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05" yWindow="-105" windowWidth="23250" windowHeight="12570" tabRatio="708"/>
  </bookViews>
  <sheets>
    <sheet name="Summary" sheetId="1" r:id="rId1"/>
    <sheet name="Total Data Set" sheetId="3" r:id="rId2"/>
    <sheet name="post retirement male" sheetId="34" r:id="rId3"/>
    <sheet name="post retirement female" sheetId="35" r:id="rId4"/>
    <sheet name="female g" sheetId="6" r:id="rId5"/>
    <sheet name="male g" sheetId="7" r:id="rId6"/>
    <sheet name="TV 1" sheetId="2" r:id="rId7"/>
    <sheet name="TV 2" sheetId="10" r:id="rId8"/>
    <sheet name="TV 3" sheetId="11" r:id="rId9"/>
    <sheet name="TV 4" sheetId="12" r:id="rId10"/>
    <sheet name="TV 5" sheetId="13" r:id="rId11"/>
    <sheet name="TV 6" sheetId="14" r:id="rId12"/>
    <sheet name="TV 7" sheetId="15" r:id="rId13"/>
    <sheet name="TV 8" sheetId="16" r:id="rId14"/>
    <sheet name="TV 9" sheetId="17" r:id="rId15"/>
    <sheet name="TV 10" sheetId="18" r:id="rId16"/>
    <sheet name="TV 11" sheetId="19" r:id="rId17"/>
    <sheet name="TV 12" sheetId="20" r:id="rId18"/>
    <sheet name="TV 13" sheetId="21" r:id="rId19"/>
    <sheet name="TV 14" sheetId="22" r:id="rId20"/>
    <sheet name="TV 15" sheetId="23" r:id="rId21"/>
    <sheet name="TV 16" sheetId="24" r:id="rId22"/>
    <sheet name="TV 17" sheetId="25" r:id="rId23"/>
    <sheet name="TV 18" sheetId="26" r:id="rId24"/>
    <sheet name="TV 19" sheetId="27" r:id="rId25"/>
    <sheet name="TV 20" sheetId="28" r:id="rId26"/>
    <sheet name="TV 21" sheetId="29" r:id="rId27"/>
    <sheet name="TV 22" sheetId="30" r:id="rId28"/>
    <sheet name="TV 23" sheetId="31" r:id="rId29"/>
    <sheet name="TV 24" sheetId="32" r:id="rId30"/>
    <sheet name="TV 25" sheetId="33" r:id="rId31"/>
  </sheets>
  <functionGroups builtInGroupCount="17"/>
  <definedNames>
    <definedName name="AAA">#REF!</definedName>
    <definedName name="calc" localSheetId="15">#REF!</definedName>
    <definedName name="calc" localSheetId="16">#REF!</definedName>
    <definedName name="calc" localSheetId="17">#REF!</definedName>
    <definedName name="calc" localSheetId="18">#REF!</definedName>
    <definedName name="calc" localSheetId="19">#REF!</definedName>
    <definedName name="calc" localSheetId="20">#REF!</definedName>
    <definedName name="calc" localSheetId="21">#REF!</definedName>
    <definedName name="calc" localSheetId="22">#REF!</definedName>
    <definedName name="calc" localSheetId="23">#REF!</definedName>
    <definedName name="calc" localSheetId="24">#REF!</definedName>
    <definedName name="calc" localSheetId="25">#REF!</definedName>
    <definedName name="calc" localSheetId="26">#REF!</definedName>
    <definedName name="calc" localSheetId="27">#REF!</definedName>
    <definedName name="calc" localSheetId="28">#REF!</definedName>
    <definedName name="calc" localSheetId="29">#REF!</definedName>
    <definedName name="calc" localSheetId="30">#REF!</definedName>
    <definedName name="calc" localSheetId="14">#REF!</definedName>
    <definedName name="calc">#REF!</definedName>
    <definedName name="Calc1" localSheetId="15">#REF!</definedName>
    <definedName name="Calc1" localSheetId="16">#REF!</definedName>
    <definedName name="Calc1" localSheetId="17">#REF!</definedName>
    <definedName name="Calc1" localSheetId="18">#REF!</definedName>
    <definedName name="Calc1" localSheetId="19">#REF!</definedName>
    <definedName name="Calc1" localSheetId="20">#REF!</definedName>
    <definedName name="Calc1" localSheetId="21">#REF!</definedName>
    <definedName name="Calc1" localSheetId="22">#REF!</definedName>
    <definedName name="Calc1" localSheetId="23">#REF!</definedName>
    <definedName name="Calc1" localSheetId="24">#REF!</definedName>
    <definedName name="Calc1" localSheetId="7">#REF!</definedName>
    <definedName name="Calc1" localSheetId="25">#REF!</definedName>
    <definedName name="Calc1" localSheetId="26">#REF!</definedName>
    <definedName name="Calc1" localSheetId="27">#REF!</definedName>
    <definedName name="Calc1" localSheetId="28">#REF!</definedName>
    <definedName name="Calc1" localSheetId="29">#REF!</definedName>
    <definedName name="Calc1" localSheetId="30">#REF!</definedName>
    <definedName name="Calc1" localSheetId="8">#REF!</definedName>
    <definedName name="Calc1" localSheetId="9">#REF!</definedName>
    <definedName name="Calc1" localSheetId="10">#REF!</definedName>
    <definedName name="Calc1" localSheetId="11">#REF!</definedName>
    <definedName name="Calc1" localSheetId="12">#REF!</definedName>
    <definedName name="Calc1" localSheetId="13">#REF!</definedName>
    <definedName name="Calc1" localSheetId="14">#REF!</definedName>
    <definedName name="Calc1">#REF!</definedName>
    <definedName name="Calc2" localSheetId="15">#REF!</definedName>
    <definedName name="Calc2" localSheetId="16">#REF!</definedName>
    <definedName name="Calc2" localSheetId="17">#REF!</definedName>
    <definedName name="Calc2" localSheetId="18">#REF!</definedName>
    <definedName name="Calc2" localSheetId="19">#REF!</definedName>
    <definedName name="Calc2" localSheetId="20">#REF!</definedName>
    <definedName name="Calc2" localSheetId="21">#REF!</definedName>
    <definedName name="Calc2" localSheetId="22">#REF!</definedName>
    <definedName name="Calc2" localSheetId="23">#REF!</definedName>
    <definedName name="Calc2" localSheetId="24">#REF!</definedName>
    <definedName name="Calc2" localSheetId="7">#REF!</definedName>
    <definedName name="Calc2" localSheetId="25">#REF!</definedName>
    <definedName name="Calc2" localSheetId="26">#REF!</definedName>
    <definedName name="Calc2" localSheetId="27">#REF!</definedName>
    <definedName name="Calc2" localSheetId="28">#REF!</definedName>
    <definedName name="Calc2" localSheetId="29">#REF!</definedName>
    <definedName name="Calc2" localSheetId="30">#REF!</definedName>
    <definedName name="Calc2" localSheetId="8">#REF!</definedName>
    <definedName name="Calc2" localSheetId="9">#REF!</definedName>
    <definedName name="Calc2" localSheetId="10">#REF!</definedName>
    <definedName name="Calc2" localSheetId="11">#REF!</definedName>
    <definedName name="Calc2" localSheetId="12">#REF!</definedName>
    <definedName name="Calc2" localSheetId="13">#REF!</definedName>
    <definedName name="Calc2" localSheetId="14">#REF!</definedName>
    <definedName name="Calc2">#REF!</definedName>
    <definedName name="calc3">#REF!</definedName>
    <definedName name="Hist1" localSheetId="15">#REF!</definedName>
    <definedName name="Hist1" localSheetId="16">#REF!</definedName>
    <definedName name="Hist1" localSheetId="17">#REF!</definedName>
    <definedName name="Hist1" localSheetId="18">#REF!</definedName>
    <definedName name="Hist1" localSheetId="19">#REF!</definedName>
    <definedName name="Hist1" localSheetId="20">#REF!</definedName>
    <definedName name="Hist1" localSheetId="21">#REF!</definedName>
    <definedName name="Hist1" localSheetId="22">#REF!</definedName>
    <definedName name="Hist1" localSheetId="23">#REF!</definedName>
    <definedName name="Hist1" localSheetId="24">#REF!</definedName>
    <definedName name="Hist1" localSheetId="7">#REF!</definedName>
    <definedName name="Hist1" localSheetId="25">#REF!</definedName>
    <definedName name="Hist1" localSheetId="26">#REF!</definedName>
    <definedName name="Hist1" localSheetId="27">#REF!</definedName>
    <definedName name="Hist1" localSheetId="28">#REF!</definedName>
    <definedName name="Hist1" localSheetId="29">#REF!</definedName>
    <definedName name="Hist1" localSheetId="30">#REF!</definedName>
    <definedName name="Hist1" localSheetId="8">#REF!</definedName>
    <definedName name="Hist1" localSheetId="9">#REF!</definedName>
    <definedName name="Hist1" localSheetId="10">#REF!</definedName>
    <definedName name="Hist1" localSheetId="11">#REF!</definedName>
    <definedName name="Hist1" localSheetId="12">#REF!</definedName>
    <definedName name="Hist1" localSheetId="13">#REF!</definedName>
    <definedName name="Hist1" localSheetId="14">#REF!</definedName>
    <definedName name="Hist1">#REF!</definedName>
    <definedName name="Hist2" localSheetId="15">#REF!</definedName>
    <definedName name="Hist2" localSheetId="16">#REF!</definedName>
    <definedName name="Hist2" localSheetId="17">#REF!</definedName>
    <definedName name="Hist2" localSheetId="18">#REF!</definedName>
    <definedName name="Hist2" localSheetId="19">#REF!</definedName>
    <definedName name="Hist2" localSheetId="20">#REF!</definedName>
    <definedName name="Hist2" localSheetId="21">#REF!</definedName>
    <definedName name="Hist2" localSheetId="22">#REF!</definedName>
    <definedName name="Hist2" localSheetId="23">#REF!</definedName>
    <definedName name="Hist2" localSheetId="24">#REF!</definedName>
    <definedName name="Hist2" localSheetId="7">#REF!</definedName>
    <definedName name="Hist2" localSheetId="25">#REF!</definedName>
    <definedName name="Hist2" localSheetId="26">#REF!</definedName>
    <definedName name="Hist2" localSheetId="27">#REF!</definedName>
    <definedName name="Hist2" localSheetId="28">#REF!</definedName>
    <definedName name="Hist2" localSheetId="29">#REF!</definedName>
    <definedName name="Hist2" localSheetId="30">#REF!</definedName>
    <definedName name="Hist2" localSheetId="8">#REF!</definedName>
    <definedName name="Hist2" localSheetId="9">#REF!</definedName>
    <definedName name="Hist2" localSheetId="10">#REF!</definedName>
    <definedName name="Hist2" localSheetId="11">#REF!</definedName>
    <definedName name="Hist2" localSheetId="12">#REF!</definedName>
    <definedName name="Hist2" localSheetId="13">#REF!</definedName>
    <definedName name="Hist2" localSheetId="14">#REF!</definedName>
    <definedName name="Hist2">#REF!</definedName>
  </definedNames>
  <calcPr calcId="144525" concurrentCalc="0"/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" i="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4" i="11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4" i="10"/>
  <c r="I15" i="10"/>
  <c r="I16" i="10"/>
  <c r="I12" i="10"/>
  <c r="I9" i="10"/>
  <c r="L28" i="1"/>
  <c r="I4" i="2"/>
  <c r="I6" i="2"/>
  <c r="I11" i="2"/>
  <c r="I10" i="2"/>
  <c r="B2" i="2"/>
  <c r="B97" i="2"/>
  <c r="A2" i="2"/>
  <c r="A97" i="2"/>
  <c r="D97" i="2"/>
  <c r="B96" i="2"/>
  <c r="A96" i="2"/>
  <c r="D96" i="2"/>
  <c r="B95" i="2"/>
  <c r="A95" i="2"/>
  <c r="D95" i="2"/>
  <c r="B94" i="2"/>
  <c r="A94" i="2"/>
  <c r="D94" i="2"/>
  <c r="D2" i="2"/>
  <c r="B3" i="2"/>
  <c r="A3" i="2"/>
  <c r="D3" i="2"/>
  <c r="B4" i="2"/>
  <c r="A4" i="2"/>
  <c r="D4" i="2"/>
  <c r="B5" i="2"/>
  <c r="A5" i="2"/>
  <c r="D5" i="2"/>
  <c r="B6" i="2"/>
  <c r="A6" i="2"/>
  <c r="D6" i="2"/>
  <c r="B7" i="2"/>
  <c r="A7" i="2"/>
  <c r="D7" i="2"/>
  <c r="B8" i="2"/>
  <c r="A8" i="2"/>
  <c r="D8" i="2"/>
  <c r="B9" i="2"/>
  <c r="A9" i="2"/>
  <c r="D9" i="2"/>
  <c r="B10" i="2"/>
  <c r="A10" i="2"/>
  <c r="D10" i="2"/>
  <c r="B11" i="2"/>
  <c r="A11" i="2"/>
  <c r="D11" i="2"/>
  <c r="B12" i="2"/>
  <c r="A12" i="2"/>
  <c r="D12" i="2"/>
  <c r="B13" i="2"/>
  <c r="A13" i="2"/>
  <c r="D13" i="2"/>
  <c r="B14" i="2"/>
  <c r="A14" i="2"/>
  <c r="D14" i="2"/>
  <c r="B15" i="2"/>
  <c r="A15" i="2"/>
  <c r="D15" i="2"/>
  <c r="B16" i="2"/>
  <c r="A16" i="2"/>
  <c r="D16" i="2"/>
  <c r="B17" i="2"/>
  <c r="A17" i="2"/>
  <c r="D17" i="2"/>
  <c r="B18" i="2"/>
  <c r="A18" i="2"/>
  <c r="D18" i="2"/>
  <c r="B19" i="2"/>
  <c r="A19" i="2"/>
  <c r="D19" i="2"/>
  <c r="B20" i="2"/>
  <c r="A20" i="2"/>
  <c r="D20" i="2"/>
  <c r="B21" i="2"/>
  <c r="A21" i="2"/>
  <c r="D21" i="2"/>
  <c r="B22" i="2"/>
  <c r="A22" i="2"/>
  <c r="D22" i="2"/>
  <c r="B23" i="2"/>
  <c r="A23" i="2"/>
  <c r="D23" i="2"/>
  <c r="B24" i="2"/>
  <c r="A24" i="2"/>
  <c r="D24" i="2"/>
  <c r="B25" i="2"/>
  <c r="A25" i="2"/>
  <c r="D25" i="2"/>
  <c r="B26" i="2"/>
  <c r="A26" i="2"/>
  <c r="D26" i="2"/>
  <c r="B27" i="2"/>
  <c r="A27" i="2"/>
  <c r="D27" i="2"/>
  <c r="B28" i="2"/>
  <c r="A28" i="2"/>
  <c r="D28" i="2"/>
  <c r="B29" i="2"/>
  <c r="A29" i="2"/>
  <c r="D29" i="2"/>
  <c r="B30" i="2"/>
  <c r="A30" i="2"/>
  <c r="D30" i="2"/>
  <c r="B31" i="2"/>
  <c r="A31" i="2"/>
  <c r="D31" i="2"/>
  <c r="B32" i="2"/>
  <c r="A32" i="2"/>
  <c r="D32" i="2"/>
  <c r="B33" i="2"/>
  <c r="A33" i="2"/>
  <c r="D33" i="2"/>
  <c r="B34" i="2"/>
  <c r="A34" i="2"/>
  <c r="D34" i="2"/>
  <c r="B35" i="2"/>
  <c r="A35" i="2"/>
  <c r="D35" i="2"/>
  <c r="B36" i="2"/>
  <c r="A36" i="2"/>
  <c r="D36" i="2"/>
  <c r="B37" i="2"/>
  <c r="A37" i="2"/>
  <c r="D37" i="2"/>
  <c r="B38" i="2"/>
  <c r="A38" i="2"/>
  <c r="D38" i="2"/>
  <c r="B39" i="2"/>
  <c r="A39" i="2"/>
  <c r="D39" i="2"/>
  <c r="B40" i="2"/>
  <c r="A40" i="2"/>
  <c r="D40" i="2"/>
  <c r="B41" i="2"/>
  <c r="A41" i="2"/>
  <c r="D41" i="2"/>
  <c r="B42" i="2"/>
  <c r="A42" i="2"/>
  <c r="D42" i="2"/>
  <c r="B43" i="2"/>
  <c r="A43" i="2"/>
  <c r="D43" i="2"/>
  <c r="B44" i="2"/>
  <c r="A44" i="2"/>
  <c r="D44" i="2"/>
  <c r="B45" i="2"/>
  <c r="A45" i="2"/>
  <c r="D45" i="2"/>
  <c r="B46" i="2"/>
  <c r="A46" i="2"/>
  <c r="D46" i="2"/>
  <c r="B47" i="2"/>
  <c r="A47" i="2"/>
  <c r="D47" i="2"/>
  <c r="B48" i="2"/>
  <c r="A48" i="2"/>
  <c r="D48" i="2"/>
  <c r="B49" i="2"/>
  <c r="A49" i="2"/>
  <c r="D49" i="2"/>
  <c r="B50" i="2"/>
  <c r="A50" i="2"/>
  <c r="D50" i="2"/>
  <c r="B51" i="2"/>
  <c r="A51" i="2"/>
  <c r="D51" i="2"/>
  <c r="B52" i="2"/>
  <c r="A52" i="2"/>
  <c r="D52" i="2"/>
  <c r="B53" i="2"/>
  <c r="A53" i="2"/>
  <c r="D53" i="2"/>
  <c r="B54" i="2"/>
  <c r="A54" i="2"/>
  <c r="D54" i="2"/>
  <c r="B55" i="2"/>
  <c r="A55" i="2"/>
  <c r="D55" i="2"/>
  <c r="B56" i="2"/>
  <c r="A56" i="2"/>
  <c r="D56" i="2"/>
  <c r="B57" i="2"/>
  <c r="A57" i="2"/>
  <c r="D57" i="2"/>
  <c r="B58" i="2"/>
  <c r="A58" i="2"/>
  <c r="D58" i="2"/>
  <c r="B59" i="2"/>
  <c r="A59" i="2"/>
  <c r="D59" i="2"/>
  <c r="B60" i="2"/>
  <c r="A60" i="2"/>
  <c r="D60" i="2"/>
  <c r="B61" i="2"/>
  <c r="A61" i="2"/>
  <c r="D61" i="2"/>
  <c r="B62" i="2"/>
  <c r="A62" i="2"/>
  <c r="D62" i="2"/>
  <c r="B63" i="2"/>
  <c r="A63" i="2"/>
  <c r="D63" i="2"/>
  <c r="B64" i="2"/>
  <c r="A64" i="2"/>
  <c r="D64" i="2"/>
  <c r="B65" i="2"/>
  <c r="A65" i="2"/>
  <c r="D65" i="2"/>
  <c r="B66" i="2"/>
  <c r="A66" i="2"/>
  <c r="D66" i="2"/>
  <c r="B67" i="2"/>
  <c r="A67" i="2"/>
  <c r="D67" i="2"/>
  <c r="B68" i="2"/>
  <c r="A68" i="2"/>
  <c r="D68" i="2"/>
  <c r="B69" i="2"/>
  <c r="A69" i="2"/>
  <c r="D69" i="2"/>
  <c r="B70" i="2"/>
  <c r="A70" i="2"/>
  <c r="D70" i="2"/>
  <c r="B71" i="2"/>
  <c r="A71" i="2"/>
  <c r="D71" i="2"/>
  <c r="B72" i="2"/>
  <c r="A72" i="2"/>
  <c r="D72" i="2"/>
  <c r="B73" i="2"/>
  <c r="A73" i="2"/>
  <c r="D73" i="2"/>
  <c r="B74" i="2"/>
  <c r="A74" i="2"/>
  <c r="D74" i="2"/>
  <c r="B75" i="2"/>
  <c r="A75" i="2"/>
  <c r="D75" i="2"/>
  <c r="B76" i="2"/>
  <c r="A76" i="2"/>
  <c r="D76" i="2"/>
  <c r="B77" i="2"/>
  <c r="A77" i="2"/>
  <c r="D77" i="2"/>
  <c r="B78" i="2"/>
  <c r="A78" i="2"/>
  <c r="D78" i="2"/>
  <c r="B79" i="2"/>
  <c r="A79" i="2"/>
  <c r="D79" i="2"/>
  <c r="B80" i="2"/>
  <c r="A80" i="2"/>
  <c r="D80" i="2"/>
  <c r="B81" i="2"/>
  <c r="A81" i="2"/>
  <c r="D81" i="2"/>
  <c r="B82" i="2"/>
  <c r="A82" i="2"/>
  <c r="D82" i="2"/>
  <c r="B83" i="2"/>
  <c r="A83" i="2"/>
  <c r="D83" i="2"/>
  <c r="B84" i="2"/>
  <c r="A84" i="2"/>
  <c r="D84" i="2"/>
  <c r="B85" i="2"/>
  <c r="A85" i="2"/>
  <c r="D85" i="2"/>
  <c r="B86" i="2"/>
  <c r="A86" i="2"/>
  <c r="D86" i="2"/>
  <c r="B87" i="2"/>
  <c r="A87" i="2"/>
  <c r="D87" i="2"/>
  <c r="B88" i="2"/>
  <c r="A88" i="2"/>
  <c r="D88" i="2"/>
  <c r="B89" i="2"/>
  <c r="A89" i="2"/>
  <c r="D89" i="2"/>
  <c r="B90" i="2"/>
  <c r="A90" i="2"/>
  <c r="D90" i="2"/>
  <c r="B91" i="2"/>
  <c r="A91" i="2"/>
  <c r="D91" i="2"/>
  <c r="B92" i="2"/>
  <c r="A92" i="2"/>
  <c r="D92" i="2"/>
  <c r="B93" i="2"/>
  <c r="A93" i="2"/>
  <c r="D93" i="2"/>
  <c r="B98" i="2"/>
  <c r="A98" i="2"/>
  <c r="D98" i="2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I2" i="11"/>
  <c r="K4" i="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I2" i="10"/>
  <c r="K3" i="1"/>
  <c r="B2" i="33"/>
  <c r="B4" i="33"/>
  <c r="A2" i="33"/>
  <c r="A4" i="33"/>
  <c r="D4" i="33"/>
  <c r="E4" i="33"/>
  <c r="B3" i="33"/>
  <c r="A3" i="33"/>
  <c r="D3" i="33"/>
  <c r="E3" i="33"/>
  <c r="F4" i="33"/>
  <c r="G4" i="33"/>
  <c r="H4" i="33"/>
  <c r="B5" i="33"/>
  <c r="A5" i="33"/>
  <c r="D5" i="33"/>
  <c r="E5" i="33"/>
  <c r="F5" i="33"/>
  <c r="G5" i="33"/>
  <c r="H5" i="33"/>
  <c r="B6" i="33"/>
  <c r="A6" i="33"/>
  <c r="D6" i="33"/>
  <c r="E6" i="33"/>
  <c r="F6" i="33"/>
  <c r="G6" i="33"/>
  <c r="H6" i="33"/>
  <c r="B7" i="33"/>
  <c r="A7" i="33"/>
  <c r="D7" i="33"/>
  <c r="E7" i="33"/>
  <c r="F7" i="33"/>
  <c r="G7" i="33"/>
  <c r="H7" i="33"/>
  <c r="B8" i="33"/>
  <c r="A8" i="33"/>
  <c r="D8" i="33"/>
  <c r="E8" i="33"/>
  <c r="F8" i="33"/>
  <c r="G8" i="33"/>
  <c r="H8" i="33"/>
  <c r="B9" i="33"/>
  <c r="A9" i="33"/>
  <c r="D9" i="33"/>
  <c r="E9" i="33"/>
  <c r="F9" i="33"/>
  <c r="G9" i="33"/>
  <c r="H9" i="33"/>
  <c r="B10" i="33"/>
  <c r="A10" i="33"/>
  <c r="D10" i="33"/>
  <c r="E10" i="33"/>
  <c r="F10" i="33"/>
  <c r="G10" i="33"/>
  <c r="H10" i="33"/>
  <c r="B11" i="33"/>
  <c r="A11" i="33"/>
  <c r="D11" i="33"/>
  <c r="E11" i="33"/>
  <c r="F11" i="33"/>
  <c r="G11" i="33"/>
  <c r="H11" i="33"/>
  <c r="B12" i="33"/>
  <c r="A12" i="33"/>
  <c r="D12" i="33"/>
  <c r="E12" i="33"/>
  <c r="F12" i="33"/>
  <c r="G12" i="33"/>
  <c r="H12" i="33"/>
  <c r="B13" i="33"/>
  <c r="A13" i="33"/>
  <c r="D13" i="33"/>
  <c r="E13" i="33"/>
  <c r="F13" i="33"/>
  <c r="G13" i="33"/>
  <c r="H13" i="33"/>
  <c r="B14" i="33"/>
  <c r="A14" i="33"/>
  <c r="D14" i="33"/>
  <c r="E14" i="33"/>
  <c r="F14" i="33"/>
  <c r="G14" i="33"/>
  <c r="H14" i="33"/>
  <c r="B15" i="33"/>
  <c r="A15" i="33"/>
  <c r="D15" i="33"/>
  <c r="E15" i="33"/>
  <c r="F15" i="33"/>
  <c r="G15" i="33"/>
  <c r="H15" i="33"/>
  <c r="B16" i="33"/>
  <c r="A16" i="33"/>
  <c r="D16" i="33"/>
  <c r="E16" i="33"/>
  <c r="F16" i="33"/>
  <c r="G16" i="33"/>
  <c r="H16" i="33"/>
  <c r="B17" i="33"/>
  <c r="A17" i="33"/>
  <c r="D17" i="33"/>
  <c r="E17" i="33"/>
  <c r="F17" i="33"/>
  <c r="G17" i="33"/>
  <c r="H17" i="33"/>
  <c r="B18" i="33"/>
  <c r="A18" i="33"/>
  <c r="D18" i="33"/>
  <c r="E18" i="33"/>
  <c r="F18" i="33"/>
  <c r="G18" i="33"/>
  <c r="H18" i="33"/>
  <c r="B19" i="33"/>
  <c r="A19" i="33"/>
  <c r="D19" i="33"/>
  <c r="E19" i="33"/>
  <c r="F19" i="33"/>
  <c r="G19" i="33"/>
  <c r="H19" i="33"/>
  <c r="B20" i="33"/>
  <c r="A20" i="33"/>
  <c r="D20" i="33"/>
  <c r="E20" i="33"/>
  <c r="F20" i="33"/>
  <c r="G20" i="33"/>
  <c r="H20" i="33"/>
  <c r="B21" i="33"/>
  <c r="A21" i="33"/>
  <c r="D21" i="33"/>
  <c r="E21" i="33"/>
  <c r="F21" i="33"/>
  <c r="G21" i="33"/>
  <c r="H21" i="33"/>
  <c r="B22" i="33"/>
  <c r="A22" i="33"/>
  <c r="D22" i="33"/>
  <c r="E22" i="33"/>
  <c r="F22" i="33"/>
  <c r="G22" i="33"/>
  <c r="H22" i="33"/>
  <c r="B23" i="33"/>
  <c r="A23" i="33"/>
  <c r="D23" i="33"/>
  <c r="E23" i="33"/>
  <c r="F23" i="33"/>
  <c r="G23" i="33"/>
  <c r="H23" i="33"/>
  <c r="B24" i="33"/>
  <c r="A24" i="33"/>
  <c r="D24" i="33"/>
  <c r="E24" i="33"/>
  <c r="F24" i="33"/>
  <c r="G24" i="33"/>
  <c r="H24" i="33"/>
  <c r="B25" i="33"/>
  <c r="A25" i="33"/>
  <c r="D25" i="33"/>
  <c r="E25" i="33"/>
  <c r="F25" i="33"/>
  <c r="G25" i="33"/>
  <c r="H25" i="33"/>
  <c r="B26" i="33"/>
  <c r="A26" i="33"/>
  <c r="D26" i="33"/>
  <c r="E26" i="33"/>
  <c r="F26" i="33"/>
  <c r="G26" i="33"/>
  <c r="H26" i="33"/>
  <c r="B27" i="33"/>
  <c r="A27" i="33"/>
  <c r="D27" i="33"/>
  <c r="E27" i="33"/>
  <c r="F27" i="33"/>
  <c r="G27" i="33"/>
  <c r="H27" i="33"/>
  <c r="B28" i="33"/>
  <c r="A28" i="33"/>
  <c r="D28" i="33"/>
  <c r="E28" i="33"/>
  <c r="F28" i="33"/>
  <c r="G28" i="33"/>
  <c r="H28" i="33"/>
  <c r="B29" i="33"/>
  <c r="A29" i="33"/>
  <c r="D29" i="33"/>
  <c r="E29" i="33"/>
  <c r="F29" i="33"/>
  <c r="G29" i="33"/>
  <c r="H29" i="33"/>
  <c r="B30" i="33"/>
  <c r="A30" i="33"/>
  <c r="D30" i="33"/>
  <c r="E30" i="33"/>
  <c r="F30" i="33"/>
  <c r="G30" i="33"/>
  <c r="H30" i="33"/>
  <c r="B31" i="33"/>
  <c r="A31" i="33"/>
  <c r="D31" i="33"/>
  <c r="E31" i="33"/>
  <c r="F31" i="33"/>
  <c r="G31" i="33"/>
  <c r="H31" i="33"/>
  <c r="B32" i="33"/>
  <c r="A32" i="33"/>
  <c r="D32" i="33"/>
  <c r="E32" i="33"/>
  <c r="F32" i="33"/>
  <c r="G32" i="33"/>
  <c r="H32" i="33"/>
  <c r="B33" i="33"/>
  <c r="A33" i="33"/>
  <c r="D33" i="33"/>
  <c r="E33" i="33"/>
  <c r="F33" i="33"/>
  <c r="G33" i="33"/>
  <c r="H33" i="33"/>
  <c r="B34" i="33"/>
  <c r="A34" i="33"/>
  <c r="D34" i="33"/>
  <c r="E34" i="33"/>
  <c r="F34" i="33"/>
  <c r="G34" i="33"/>
  <c r="H34" i="33"/>
  <c r="B35" i="33"/>
  <c r="A35" i="33"/>
  <c r="D35" i="33"/>
  <c r="E35" i="33"/>
  <c r="F35" i="33"/>
  <c r="G35" i="33"/>
  <c r="H35" i="33"/>
  <c r="B36" i="33"/>
  <c r="A36" i="33"/>
  <c r="D36" i="33"/>
  <c r="E36" i="33"/>
  <c r="F36" i="33"/>
  <c r="G36" i="33"/>
  <c r="H36" i="33"/>
  <c r="B37" i="33"/>
  <c r="A37" i="33"/>
  <c r="D37" i="33"/>
  <c r="E37" i="33"/>
  <c r="F37" i="33"/>
  <c r="G37" i="33"/>
  <c r="H37" i="33"/>
  <c r="B38" i="33"/>
  <c r="A38" i="33"/>
  <c r="D38" i="33"/>
  <c r="E38" i="33"/>
  <c r="F38" i="33"/>
  <c r="G38" i="33"/>
  <c r="H38" i="33"/>
  <c r="B39" i="33"/>
  <c r="A39" i="33"/>
  <c r="D39" i="33"/>
  <c r="E39" i="33"/>
  <c r="F39" i="33"/>
  <c r="G39" i="33"/>
  <c r="H39" i="33"/>
  <c r="B40" i="33"/>
  <c r="A40" i="33"/>
  <c r="D40" i="33"/>
  <c r="E40" i="33"/>
  <c r="F40" i="33"/>
  <c r="G40" i="33"/>
  <c r="H40" i="33"/>
  <c r="B41" i="33"/>
  <c r="A41" i="33"/>
  <c r="D41" i="33"/>
  <c r="E41" i="33"/>
  <c r="F41" i="33"/>
  <c r="G41" i="33"/>
  <c r="H41" i="33"/>
  <c r="B42" i="33"/>
  <c r="A42" i="33"/>
  <c r="D42" i="33"/>
  <c r="E42" i="33"/>
  <c r="F42" i="33"/>
  <c r="G42" i="33"/>
  <c r="H42" i="33"/>
  <c r="B43" i="33"/>
  <c r="A43" i="33"/>
  <c r="D43" i="33"/>
  <c r="E43" i="33"/>
  <c r="F43" i="33"/>
  <c r="G43" i="33"/>
  <c r="H43" i="33"/>
  <c r="B44" i="33"/>
  <c r="A44" i="33"/>
  <c r="D44" i="33"/>
  <c r="E44" i="33"/>
  <c r="F44" i="33"/>
  <c r="G44" i="33"/>
  <c r="H44" i="33"/>
  <c r="B45" i="33"/>
  <c r="A45" i="33"/>
  <c r="D45" i="33"/>
  <c r="E45" i="33"/>
  <c r="F45" i="33"/>
  <c r="G45" i="33"/>
  <c r="H45" i="33"/>
  <c r="B46" i="33"/>
  <c r="A46" i="33"/>
  <c r="D46" i="33"/>
  <c r="E46" i="33"/>
  <c r="F46" i="33"/>
  <c r="G46" i="33"/>
  <c r="H46" i="33"/>
  <c r="B47" i="33"/>
  <c r="A47" i="33"/>
  <c r="D47" i="33"/>
  <c r="E47" i="33"/>
  <c r="F47" i="33"/>
  <c r="G47" i="33"/>
  <c r="H47" i="33"/>
  <c r="B48" i="33"/>
  <c r="A48" i="33"/>
  <c r="D48" i="33"/>
  <c r="E48" i="33"/>
  <c r="F48" i="33"/>
  <c r="G48" i="33"/>
  <c r="H48" i="33"/>
  <c r="B49" i="33"/>
  <c r="A49" i="33"/>
  <c r="D49" i="33"/>
  <c r="E49" i="33"/>
  <c r="F49" i="33"/>
  <c r="G49" i="33"/>
  <c r="H49" i="33"/>
  <c r="B50" i="33"/>
  <c r="A50" i="33"/>
  <c r="D50" i="33"/>
  <c r="E50" i="33"/>
  <c r="F50" i="33"/>
  <c r="G50" i="33"/>
  <c r="H50" i="33"/>
  <c r="B51" i="33"/>
  <c r="A51" i="33"/>
  <c r="D51" i="33"/>
  <c r="E51" i="33"/>
  <c r="F51" i="33"/>
  <c r="G51" i="33"/>
  <c r="H51" i="33"/>
  <c r="B52" i="33"/>
  <c r="A52" i="33"/>
  <c r="D52" i="33"/>
  <c r="E52" i="33"/>
  <c r="F52" i="33"/>
  <c r="G52" i="33"/>
  <c r="H52" i="33"/>
  <c r="B53" i="33"/>
  <c r="A53" i="33"/>
  <c r="D53" i="33"/>
  <c r="E53" i="33"/>
  <c r="F53" i="33"/>
  <c r="G53" i="33"/>
  <c r="H53" i="33"/>
  <c r="B54" i="33"/>
  <c r="A54" i="33"/>
  <c r="D54" i="33"/>
  <c r="E54" i="33"/>
  <c r="F54" i="33"/>
  <c r="G54" i="33"/>
  <c r="H54" i="33"/>
  <c r="B55" i="33"/>
  <c r="A55" i="33"/>
  <c r="D55" i="33"/>
  <c r="E55" i="33"/>
  <c r="F55" i="33"/>
  <c r="G55" i="33"/>
  <c r="H55" i="33"/>
  <c r="B56" i="33"/>
  <c r="A56" i="33"/>
  <c r="D56" i="33"/>
  <c r="E56" i="33"/>
  <c r="F56" i="33"/>
  <c r="G56" i="33"/>
  <c r="H56" i="33"/>
  <c r="B57" i="33"/>
  <c r="A57" i="33"/>
  <c r="D57" i="33"/>
  <c r="E57" i="33"/>
  <c r="F57" i="33"/>
  <c r="G57" i="33"/>
  <c r="H57" i="33"/>
  <c r="B58" i="33"/>
  <c r="A58" i="33"/>
  <c r="D58" i="33"/>
  <c r="E58" i="33"/>
  <c r="F58" i="33"/>
  <c r="G58" i="33"/>
  <c r="H58" i="33"/>
  <c r="B59" i="33"/>
  <c r="A59" i="33"/>
  <c r="D59" i="33"/>
  <c r="E59" i="33"/>
  <c r="F59" i="33"/>
  <c r="G59" i="33"/>
  <c r="H59" i="33"/>
  <c r="B60" i="33"/>
  <c r="A60" i="33"/>
  <c r="D60" i="33"/>
  <c r="E60" i="33"/>
  <c r="F60" i="33"/>
  <c r="G60" i="33"/>
  <c r="H60" i="33"/>
  <c r="B61" i="33"/>
  <c r="A61" i="33"/>
  <c r="D61" i="33"/>
  <c r="E61" i="33"/>
  <c r="F61" i="33"/>
  <c r="G61" i="33"/>
  <c r="H61" i="33"/>
  <c r="B62" i="33"/>
  <c r="A62" i="33"/>
  <c r="D62" i="33"/>
  <c r="E62" i="33"/>
  <c r="F62" i="33"/>
  <c r="G62" i="33"/>
  <c r="H62" i="33"/>
  <c r="B63" i="33"/>
  <c r="A63" i="33"/>
  <c r="D63" i="33"/>
  <c r="E63" i="33"/>
  <c r="F63" i="33"/>
  <c r="G63" i="33"/>
  <c r="H63" i="33"/>
  <c r="B64" i="33"/>
  <c r="A64" i="33"/>
  <c r="D64" i="33"/>
  <c r="E64" i="33"/>
  <c r="F64" i="33"/>
  <c r="G64" i="33"/>
  <c r="H64" i="33"/>
  <c r="B65" i="33"/>
  <c r="A65" i="33"/>
  <c r="D65" i="33"/>
  <c r="E65" i="33"/>
  <c r="F65" i="33"/>
  <c r="G65" i="33"/>
  <c r="H65" i="33"/>
  <c r="B66" i="33"/>
  <c r="A66" i="33"/>
  <c r="D66" i="33"/>
  <c r="E66" i="33"/>
  <c r="F66" i="33"/>
  <c r="G66" i="33"/>
  <c r="H66" i="33"/>
  <c r="B67" i="33"/>
  <c r="A67" i="33"/>
  <c r="D67" i="33"/>
  <c r="E67" i="33"/>
  <c r="F67" i="33"/>
  <c r="G67" i="33"/>
  <c r="H67" i="33"/>
  <c r="B68" i="33"/>
  <c r="A68" i="33"/>
  <c r="D68" i="33"/>
  <c r="E68" i="33"/>
  <c r="F68" i="33"/>
  <c r="G68" i="33"/>
  <c r="H68" i="33"/>
  <c r="G3" i="33"/>
  <c r="D2" i="33"/>
  <c r="E2" i="33"/>
  <c r="F3" i="33"/>
  <c r="H3" i="33"/>
  <c r="G2" i="33"/>
  <c r="H2" i="33"/>
  <c r="B2" i="32"/>
  <c r="B4" i="32"/>
  <c r="A2" i="32"/>
  <c r="A4" i="32"/>
  <c r="D4" i="32"/>
  <c r="E4" i="32"/>
  <c r="B3" i="32"/>
  <c r="A3" i="32"/>
  <c r="D3" i="32"/>
  <c r="E3" i="32"/>
  <c r="F4" i="32"/>
  <c r="G4" i="32"/>
  <c r="H4" i="32"/>
  <c r="B5" i="32"/>
  <c r="A5" i="32"/>
  <c r="D5" i="32"/>
  <c r="E5" i="32"/>
  <c r="F5" i="32"/>
  <c r="G5" i="32"/>
  <c r="H5" i="32"/>
  <c r="B6" i="32"/>
  <c r="A6" i="32"/>
  <c r="D6" i="32"/>
  <c r="E6" i="32"/>
  <c r="F6" i="32"/>
  <c r="G6" i="32"/>
  <c r="H6" i="32"/>
  <c r="B7" i="32"/>
  <c r="A7" i="32"/>
  <c r="D7" i="32"/>
  <c r="E7" i="32"/>
  <c r="F7" i="32"/>
  <c r="G7" i="32"/>
  <c r="H7" i="32"/>
  <c r="B8" i="32"/>
  <c r="A8" i="32"/>
  <c r="D8" i="32"/>
  <c r="E8" i="32"/>
  <c r="F8" i="32"/>
  <c r="G8" i="32"/>
  <c r="H8" i="32"/>
  <c r="B9" i="32"/>
  <c r="A9" i="32"/>
  <c r="D9" i="32"/>
  <c r="E9" i="32"/>
  <c r="F9" i="32"/>
  <c r="G9" i="32"/>
  <c r="H9" i="32"/>
  <c r="B10" i="32"/>
  <c r="A10" i="32"/>
  <c r="D10" i="32"/>
  <c r="E10" i="32"/>
  <c r="F10" i="32"/>
  <c r="G10" i="32"/>
  <c r="H10" i="32"/>
  <c r="B11" i="32"/>
  <c r="A11" i="32"/>
  <c r="D11" i="32"/>
  <c r="E11" i="32"/>
  <c r="F11" i="32"/>
  <c r="G11" i="32"/>
  <c r="H11" i="32"/>
  <c r="B12" i="32"/>
  <c r="A12" i="32"/>
  <c r="D12" i="32"/>
  <c r="E12" i="32"/>
  <c r="F12" i="32"/>
  <c r="G12" i="32"/>
  <c r="H12" i="32"/>
  <c r="B13" i="32"/>
  <c r="A13" i="32"/>
  <c r="D13" i="32"/>
  <c r="E13" i="32"/>
  <c r="F13" i="32"/>
  <c r="G13" i="32"/>
  <c r="H13" i="32"/>
  <c r="B14" i="32"/>
  <c r="A14" i="32"/>
  <c r="D14" i="32"/>
  <c r="E14" i="32"/>
  <c r="F14" i="32"/>
  <c r="G14" i="32"/>
  <c r="H14" i="32"/>
  <c r="B15" i="32"/>
  <c r="A15" i="32"/>
  <c r="D15" i="32"/>
  <c r="E15" i="32"/>
  <c r="F15" i="32"/>
  <c r="G15" i="32"/>
  <c r="H15" i="32"/>
  <c r="B16" i="32"/>
  <c r="A16" i="32"/>
  <c r="D16" i="32"/>
  <c r="E16" i="32"/>
  <c r="F16" i="32"/>
  <c r="G16" i="32"/>
  <c r="H16" i="32"/>
  <c r="B17" i="32"/>
  <c r="A17" i="32"/>
  <c r="D17" i="32"/>
  <c r="E17" i="32"/>
  <c r="F17" i="32"/>
  <c r="G17" i="32"/>
  <c r="H17" i="32"/>
  <c r="B18" i="32"/>
  <c r="A18" i="32"/>
  <c r="D18" i="32"/>
  <c r="E18" i="32"/>
  <c r="F18" i="32"/>
  <c r="G18" i="32"/>
  <c r="H18" i="32"/>
  <c r="B19" i="32"/>
  <c r="A19" i="32"/>
  <c r="D19" i="32"/>
  <c r="E19" i="32"/>
  <c r="F19" i="32"/>
  <c r="G19" i="32"/>
  <c r="H19" i="32"/>
  <c r="B20" i="32"/>
  <c r="A20" i="32"/>
  <c r="D20" i="32"/>
  <c r="E20" i="32"/>
  <c r="F20" i="32"/>
  <c r="G20" i="32"/>
  <c r="H20" i="32"/>
  <c r="B21" i="32"/>
  <c r="A21" i="32"/>
  <c r="D21" i="32"/>
  <c r="E21" i="32"/>
  <c r="F21" i="32"/>
  <c r="G21" i="32"/>
  <c r="H21" i="32"/>
  <c r="B22" i="32"/>
  <c r="A22" i="32"/>
  <c r="D22" i="32"/>
  <c r="E22" i="32"/>
  <c r="F22" i="32"/>
  <c r="G22" i="32"/>
  <c r="H22" i="32"/>
  <c r="B23" i="32"/>
  <c r="A23" i="32"/>
  <c r="D23" i="32"/>
  <c r="E23" i="32"/>
  <c r="F23" i="32"/>
  <c r="G23" i="32"/>
  <c r="H23" i="32"/>
  <c r="B24" i="32"/>
  <c r="A24" i="32"/>
  <c r="D24" i="32"/>
  <c r="E24" i="32"/>
  <c r="F24" i="32"/>
  <c r="G24" i="32"/>
  <c r="H24" i="32"/>
  <c r="B25" i="32"/>
  <c r="A25" i="32"/>
  <c r="D25" i="32"/>
  <c r="E25" i="32"/>
  <c r="F25" i="32"/>
  <c r="G25" i="32"/>
  <c r="H25" i="32"/>
  <c r="B26" i="32"/>
  <c r="A26" i="32"/>
  <c r="D26" i="32"/>
  <c r="E26" i="32"/>
  <c r="F26" i="32"/>
  <c r="G26" i="32"/>
  <c r="H26" i="32"/>
  <c r="B27" i="32"/>
  <c r="A27" i="32"/>
  <c r="D27" i="32"/>
  <c r="E27" i="32"/>
  <c r="F27" i="32"/>
  <c r="G27" i="32"/>
  <c r="H27" i="32"/>
  <c r="B28" i="32"/>
  <c r="A28" i="32"/>
  <c r="D28" i="32"/>
  <c r="E28" i="32"/>
  <c r="F28" i="32"/>
  <c r="G28" i="32"/>
  <c r="H28" i="32"/>
  <c r="B29" i="32"/>
  <c r="A29" i="32"/>
  <c r="D29" i="32"/>
  <c r="E29" i="32"/>
  <c r="F29" i="32"/>
  <c r="G29" i="32"/>
  <c r="H29" i="32"/>
  <c r="B30" i="32"/>
  <c r="A30" i="32"/>
  <c r="D30" i="32"/>
  <c r="E30" i="32"/>
  <c r="F30" i="32"/>
  <c r="G30" i="32"/>
  <c r="H30" i="32"/>
  <c r="B31" i="32"/>
  <c r="A31" i="32"/>
  <c r="D31" i="32"/>
  <c r="E31" i="32"/>
  <c r="F31" i="32"/>
  <c r="G31" i="32"/>
  <c r="H31" i="32"/>
  <c r="B32" i="32"/>
  <c r="A32" i="32"/>
  <c r="D32" i="32"/>
  <c r="E32" i="32"/>
  <c r="F32" i="32"/>
  <c r="G32" i="32"/>
  <c r="H32" i="32"/>
  <c r="B33" i="32"/>
  <c r="A33" i="32"/>
  <c r="D33" i="32"/>
  <c r="E33" i="32"/>
  <c r="F33" i="32"/>
  <c r="G33" i="32"/>
  <c r="H33" i="32"/>
  <c r="B34" i="32"/>
  <c r="A34" i="32"/>
  <c r="D34" i="32"/>
  <c r="E34" i="32"/>
  <c r="F34" i="32"/>
  <c r="G34" i="32"/>
  <c r="H34" i="32"/>
  <c r="B35" i="32"/>
  <c r="A35" i="32"/>
  <c r="D35" i="32"/>
  <c r="E35" i="32"/>
  <c r="F35" i="32"/>
  <c r="G35" i="32"/>
  <c r="H35" i="32"/>
  <c r="B36" i="32"/>
  <c r="A36" i="32"/>
  <c r="D36" i="32"/>
  <c r="E36" i="32"/>
  <c r="F36" i="32"/>
  <c r="G36" i="32"/>
  <c r="H36" i="32"/>
  <c r="B37" i="32"/>
  <c r="A37" i="32"/>
  <c r="D37" i="32"/>
  <c r="E37" i="32"/>
  <c r="F37" i="32"/>
  <c r="G37" i="32"/>
  <c r="H37" i="32"/>
  <c r="B38" i="32"/>
  <c r="A38" i="32"/>
  <c r="D38" i="32"/>
  <c r="E38" i="32"/>
  <c r="F38" i="32"/>
  <c r="G38" i="32"/>
  <c r="H38" i="32"/>
  <c r="B39" i="32"/>
  <c r="A39" i="32"/>
  <c r="D39" i="32"/>
  <c r="E39" i="32"/>
  <c r="F39" i="32"/>
  <c r="G39" i="32"/>
  <c r="H39" i="32"/>
  <c r="B40" i="32"/>
  <c r="A40" i="32"/>
  <c r="D40" i="32"/>
  <c r="E40" i="32"/>
  <c r="F40" i="32"/>
  <c r="G40" i="32"/>
  <c r="H40" i="32"/>
  <c r="B41" i="32"/>
  <c r="A41" i="32"/>
  <c r="D41" i="32"/>
  <c r="E41" i="32"/>
  <c r="F41" i="32"/>
  <c r="G41" i="32"/>
  <c r="H41" i="32"/>
  <c r="B42" i="32"/>
  <c r="A42" i="32"/>
  <c r="D42" i="32"/>
  <c r="E42" i="32"/>
  <c r="F42" i="32"/>
  <c r="G42" i="32"/>
  <c r="H42" i="32"/>
  <c r="B43" i="32"/>
  <c r="A43" i="32"/>
  <c r="D43" i="32"/>
  <c r="E43" i="32"/>
  <c r="F43" i="32"/>
  <c r="G43" i="32"/>
  <c r="H43" i="32"/>
  <c r="B44" i="32"/>
  <c r="A44" i="32"/>
  <c r="D44" i="32"/>
  <c r="E44" i="32"/>
  <c r="F44" i="32"/>
  <c r="G44" i="32"/>
  <c r="H44" i="32"/>
  <c r="B45" i="32"/>
  <c r="A45" i="32"/>
  <c r="D45" i="32"/>
  <c r="E45" i="32"/>
  <c r="F45" i="32"/>
  <c r="G45" i="32"/>
  <c r="H45" i="32"/>
  <c r="B46" i="32"/>
  <c r="A46" i="32"/>
  <c r="D46" i="32"/>
  <c r="E46" i="32"/>
  <c r="F46" i="32"/>
  <c r="G46" i="32"/>
  <c r="H46" i="32"/>
  <c r="B47" i="32"/>
  <c r="A47" i="32"/>
  <c r="D47" i="32"/>
  <c r="E47" i="32"/>
  <c r="F47" i="32"/>
  <c r="G47" i="32"/>
  <c r="H47" i="32"/>
  <c r="B48" i="32"/>
  <c r="A48" i="32"/>
  <c r="D48" i="32"/>
  <c r="E48" i="32"/>
  <c r="F48" i="32"/>
  <c r="G48" i="32"/>
  <c r="H48" i="32"/>
  <c r="B49" i="32"/>
  <c r="A49" i="32"/>
  <c r="D49" i="32"/>
  <c r="E49" i="32"/>
  <c r="F49" i="32"/>
  <c r="G49" i="32"/>
  <c r="H49" i="32"/>
  <c r="B50" i="32"/>
  <c r="A50" i="32"/>
  <c r="D50" i="32"/>
  <c r="E50" i="32"/>
  <c r="F50" i="32"/>
  <c r="G50" i="32"/>
  <c r="H50" i="32"/>
  <c r="B51" i="32"/>
  <c r="A51" i="32"/>
  <c r="D51" i="32"/>
  <c r="E51" i="32"/>
  <c r="F51" i="32"/>
  <c r="G51" i="32"/>
  <c r="H51" i="32"/>
  <c r="B52" i="32"/>
  <c r="A52" i="32"/>
  <c r="D52" i="32"/>
  <c r="E52" i="32"/>
  <c r="F52" i="32"/>
  <c r="G52" i="32"/>
  <c r="H52" i="32"/>
  <c r="B53" i="32"/>
  <c r="A53" i="32"/>
  <c r="D53" i="32"/>
  <c r="E53" i="32"/>
  <c r="F53" i="32"/>
  <c r="G53" i="32"/>
  <c r="H53" i="32"/>
  <c r="B54" i="32"/>
  <c r="A54" i="32"/>
  <c r="D54" i="32"/>
  <c r="E54" i="32"/>
  <c r="F54" i="32"/>
  <c r="G54" i="32"/>
  <c r="H54" i="32"/>
  <c r="B55" i="32"/>
  <c r="A55" i="32"/>
  <c r="D55" i="32"/>
  <c r="E55" i="32"/>
  <c r="F55" i="32"/>
  <c r="G55" i="32"/>
  <c r="H55" i="32"/>
  <c r="B56" i="32"/>
  <c r="A56" i="32"/>
  <c r="D56" i="32"/>
  <c r="E56" i="32"/>
  <c r="F56" i="32"/>
  <c r="G56" i="32"/>
  <c r="H56" i="32"/>
  <c r="B57" i="32"/>
  <c r="A57" i="32"/>
  <c r="D57" i="32"/>
  <c r="E57" i="32"/>
  <c r="F57" i="32"/>
  <c r="G57" i="32"/>
  <c r="H57" i="32"/>
  <c r="B58" i="32"/>
  <c r="A58" i="32"/>
  <c r="D58" i="32"/>
  <c r="E58" i="32"/>
  <c r="F58" i="32"/>
  <c r="G58" i="32"/>
  <c r="H58" i="32"/>
  <c r="B59" i="32"/>
  <c r="A59" i="32"/>
  <c r="D59" i="32"/>
  <c r="E59" i="32"/>
  <c r="F59" i="32"/>
  <c r="G59" i="32"/>
  <c r="H59" i="32"/>
  <c r="B60" i="32"/>
  <c r="A60" i="32"/>
  <c r="D60" i="32"/>
  <c r="E60" i="32"/>
  <c r="F60" i="32"/>
  <c r="G60" i="32"/>
  <c r="H60" i="32"/>
  <c r="B61" i="32"/>
  <c r="A61" i="32"/>
  <c r="D61" i="32"/>
  <c r="E61" i="32"/>
  <c r="F61" i="32"/>
  <c r="G61" i="32"/>
  <c r="H61" i="32"/>
  <c r="B62" i="32"/>
  <c r="A62" i="32"/>
  <c r="D62" i="32"/>
  <c r="E62" i="32"/>
  <c r="F62" i="32"/>
  <c r="G62" i="32"/>
  <c r="H62" i="32"/>
  <c r="B63" i="32"/>
  <c r="A63" i="32"/>
  <c r="D63" i="32"/>
  <c r="E63" i="32"/>
  <c r="F63" i="32"/>
  <c r="G63" i="32"/>
  <c r="H63" i="32"/>
  <c r="B64" i="32"/>
  <c r="A64" i="32"/>
  <c r="D64" i="32"/>
  <c r="E64" i="32"/>
  <c r="F64" i="32"/>
  <c r="G64" i="32"/>
  <c r="H64" i="32"/>
  <c r="B65" i="32"/>
  <c r="A65" i="32"/>
  <c r="D65" i="32"/>
  <c r="E65" i="32"/>
  <c r="F65" i="32"/>
  <c r="G65" i="32"/>
  <c r="H65" i="32"/>
  <c r="B66" i="32"/>
  <c r="A66" i="32"/>
  <c r="D66" i="32"/>
  <c r="E66" i="32"/>
  <c r="F66" i="32"/>
  <c r="G66" i="32"/>
  <c r="H66" i="32"/>
  <c r="B67" i="32"/>
  <c r="A67" i="32"/>
  <c r="D67" i="32"/>
  <c r="E67" i="32"/>
  <c r="F67" i="32"/>
  <c r="G67" i="32"/>
  <c r="H67" i="32"/>
  <c r="B68" i="32"/>
  <c r="A68" i="32"/>
  <c r="D68" i="32"/>
  <c r="E68" i="32"/>
  <c r="F68" i="32"/>
  <c r="G68" i="32"/>
  <c r="H68" i="32"/>
  <c r="G3" i="32"/>
  <c r="D2" i="32"/>
  <c r="E2" i="32"/>
  <c r="F3" i="32"/>
  <c r="H3" i="32"/>
  <c r="G2" i="32"/>
  <c r="H2" i="32"/>
  <c r="B2" i="31"/>
  <c r="B4" i="31"/>
  <c r="A2" i="31"/>
  <c r="A4" i="31"/>
  <c r="D4" i="31"/>
  <c r="E4" i="31"/>
  <c r="B3" i="31"/>
  <c r="A3" i="31"/>
  <c r="D3" i="31"/>
  <c r="E3" i="31"/>
  <c r="F4" i="31"/>
  <c r="G4" i="31"/>
  <c r="H4" i="31"/>
  <c r="B5" i="31"/>
  <c r="A5" i="31"/>
  <c r="D5" i="31"/>
  <c r="E5" i="31"/>
  <c r="F5" i="31"/>
  <c r="G5" i="31"/>
  <c r="H5" i="31"/>
  <c r="B6" i="31"/>
  <c r="A6" i="31"/>
  <c r="D6" i="31"/>
  <c r="E6" i="31"/>
  <c r="F6" i="31"/>
  <c r="G6" i="31"/>
  <c r="H6" i="31"/>
  <c r="B7" i="31"/>
  <c r="A7" i="31"/>
  <c r="D7" i="31"/>
  <c r="E7" i="31"/>
  <c r="F7" i="31"/>
  <c r="G7" i="31"/>
  <c r="H7" i="31"/>
  <c r="B8" i="31"/>
  <c r="A8" i="31"/>
  <c r="D8" i="31"/>
  <c r="E8" i="31"/>
  <c r="F8" i="31"/>
  <c r="G8" i="31"/>
  <c r="H8" i="31"/>
  <c r="B9" i="31"/>
  <c r="A9" i="31"/>
  <c r="D9" i="31"/>
  <c r="E9" i="31"/>
  <c r="F9" i="31"/>
  <c r="G9" i="31"/>
  <c r="H9" i="31"/>
  <c r="B10" i="31"/>
  <c r="A10" i="31"/>
  <c r="D10" i="31"/>
  <c r="E10" i="31"/>
  <c r="F10" i="31"/>
  <c r="G10" i="31"/>
  <c r="H10" i="31"/>
  <c r="B11" i="31"/>
  <c r="A11" i="31"/>
  <c r="D11" i="31"/>
  <c r="E11" i="31"/>
  <c r="F11" i="31"/>
  <c r="G11" i="31"/>
  <c r="H11" i="31"/>
  <c r="B12" i="31"/>
  <c r="A12" i="31"/>
  <c r="D12" i="31"/>
  <c r="E12" i="31"/>
  <c r="F12" i="31"/>
  <c r="G12" i="31"/>
  <c r="H12" i="31"/>
  <c r="B13" i="31"/>
  <c r="A13" i="31"/>
  <c r="D13" i="31"/>
  <c r="E13" i="31"/>
  <c r="F13" i="31"/>
  <c r="G13" i="31"/>
  <c r="H13" i="31"/>
  <c r="B14" i="31"/>
  <c r="A14" i="31"/>
  <c r="D14" i="31"/>
  <c r="E14" i="31"/>
  <c r="F14" i="31"/>
  <c r="G14" i="31"/>
  <c r="H14" i="31"/>
  <c r="B15" i="31"/>
  <c r="A15" i="31"/>
  <c r="D15" i="31"/>
  <c r="E15" i="31"/>
  <c r="F15" i="31"/>
  <c r="G15" i="31"/>
  <c r="H15" i="31"/>
  <c r="B16" i="31"/>
  <c r="A16" i="31"/>
  <c r="D16" i="31"/>
  <c r="E16" i="31"/>
  <c r="F16" i="31"/>
  <c r="G16" i="31"/>
  <c r="H16" i="31"/>
  <c r="B17" i="31"/>
  <c r="A17" i="31"/>
  <c r="D17" i="31"/>
  <c r="E17" i="31"/>
  <c r="F17" i="31"/>
  <c r="G17" i="31"/>
  <c r="H17" i="31"/>
  <c r="B18" i="31"/>
  <c r="A18" i="31"/>
  <c r="D18" i="31"/>
  <c r="E18" i="31"/>
  <c r="F18" i="31"/>
  <c r="G18" i="31"/>
  <c r="H18" i="31"/>
  <c r="B19" i="31"/>
  <c r="A19" i="31"/>
  <c r="D19" i="31"/>
  <c r="E19" i="31"/>
  <c r="F19" i="31"/>
  <c r="G19" i="31"/>
  <c r="H19" i="31"/>
  <c r="B20" i="31"/>
  <c r="A20" i="31"/>
  <c r="D20" i="31"/>
  <c r="E20" i="31"/>
  <c r="F20" i="31"/>
  <c r="G20" i="31"/>
  <c r="H20" i="31"/>
  <c r="B21" i="31"/>
  <c r="A21" i="31"/>
  <c r="D21" i="31"/>
  <c r="E21" i="31"/>
  <c r="F21" i="31"/>
  <c r="G21" i="31"/>
  <c r="H21" i="31"/>
  <c r="B22" i="31"/>
  <c r="A22" i="31"/>
  <c r="D22" i="31"/>
  <c r="E22" i="31"/>
  <c r="F22" i="31"/>
  <c r="G22" i="31"/>
  <c r="H22" i="31"/>
  <c r="B23" i="31"/>
  <c r="A23" i="31"/>
  <c r="D23" i="31"/>
  <c r="E23" i="31"/>
  <c r="F23" i="31"/>
  <c r="G23" i="31"/>
  <c r="H23" i="31"/>
  <c r="B24" i="31"/>
  <c r="A24" i="31"/>
  <c r="D24" i="31"/>
  <c r="E24" i="31"/>
  <c r="F24" i="31"/>
  <c r="G24" i="31"/>
  <c r="H24" i="31"/>
  <c r="B25" i="31"/>
  <c r="A25" i="31"/>
  <c r="D25" i="31"/>
  <c r="E25" i="31"/>
  <c r="F25" i="31"/>
  <c r="G25" i="31"/>
  <c r="H25" i="31"/>
  <c r="B26" i="31"/>
  <c r="A26" i="31"/>
  <c r="D26" i="31"/>
  <c r="E26" i="31"/>
  <c r="F26" i="31"/>
  <c r="G26" i="31"/>
  <c r="H26" i="31"/>
  <c r="B27" i="31"/>
  <c r="A27" i="31"/>
  <c r="D27" i="31"/>
  <c r="E27" i="31"/>
  <c r="F27" i="31"/>
  <c r="G27" i="31"/>
  <c r="H27" i="31"/>
  <c r="B28" i="31"/>
  <c r="A28" i="31"/>
  <c r="D28" i="31"/>
  <c r="E28" i="31"/>
  <c r="F28" i="31"/>
  <c r="G28" i="31"/>
  <c r="H28" i="31"/>
  <c r="B29" i="31"/>
  <c r="A29" i="31"/>
  <c r="D29" i="31"/>
  <c r="E29" i="31"/>
  <c r="F29" i="31"/>
  <c r="G29" i="31"/>
  <c r="H29" i="31"/>
  <c r="B30" i="31"/>
  <c r="A30" i="31"/>
  <c r="D30" i="31"/>
  <c r="E30" i="31"/>
  <c r="F30" i="31"/>
  <c r="G30" i="31"/>
  <c r="H30" i="31"/>
  <c r="B31" i="31"/>
  <c r="A31" i="31"/>
  <c r="D31" i="31"/>
  <c r="E31" i="31"/>
  <c r="F31" i="31"/>
  <c r="G31" i="31"/>
  <c r="H31" i="31"/>
  <c r="B32" i="31"/>
  <c r="A32" i="31"/>
  <c r="D32" i="31"/>
  <c r="E32" i="31"/>
  <c r="F32" i="31"/>
  <c r="G32" i="31"/>
  <c r="H32" i="31"/>
  <c r="B33" i="31"/>
  <c r="A33" i="31"/>
  <c r="D33" i="31"/>
  <c r="E33" i="31"/>
  <c r="F33" i="31"/>
  <c r="G33" i="31"/>
  <c r="H33" i="31"/>
  <c r="B34" i="31"/>
  <c r="A34" i="31"/>
  <c r="D34" i="31"/>
  <c r="E34" i="31"/>
  <c r="F34" i="31"/>
  <c r="G34" i="31"/>
  <c r="H34" i="31"/>
  <c r="B35" i="31"/>
  <c r="A35" i="31"/>
  <c r="D35" i="31"/>
  <c r="E35" i="31"/>
  <c r="F35" i="31"/>
  <c r="G35" i="31"/>
  <c r="H35" i="31"/>
  <c r="B36" i="31"/>
  <c r="A36" i="31"/>
  <c r="D36" i="31"/>
  <c r="E36" i="31"/>
  <c r="F36" i="31"/>
  <c r="G36" i="31"/>
  <c r="H36" i="31"/>
  <c r="B37" i="31"/>
  <c r="A37" i="31"/>
  <c r="D37" i="31"/>
  <c r="E37" i="31"/>
  <c r="F37" i="31"/>
  <c r="G37" i="31"/>
  <c r="H37" i="31"/>
  <c r="B38" i="31"/>
  <c r="A38" i="31"/>
  <c r="D38" i="31"/>
  <c r="E38" i="31"/>
  <c r="F38" i="31"/>
  <c r="G38" i="31"/>
  <c r="H38" i="31"/>
  <c r="B39" i="31"/>
  <c r="A39" i="31"/>
  <c r="D39" i="31"/>
  <c r="E39" i="31"/>
  <c r="F39" i="31"/>
  <c r="G39" i="31"/>
  <c r="H39" i="31"/>
  <c r="B40" i="31"/>
  <c r="A40" i="31"/>
  <c r="D40" i="31"/>
  <c r="E40" i="31"/>
  <c r="F40" i="31"/>
  <c r="G40" i="31"/>
  <c r="H40" i="31"/>
  <c r="B41" i="31"/>
  <c r="A41" i="31"/>
  <c r="D41" i="31"/>
  <c r="E41" i="31"/>
  <c r="F41" i="31"/>
  <c r="G41" i="31"/>
  <c r="H41" i="31"/>
  <c r="B42" i="31"/>
  <c r="A42" i="31"/>
  <c r="D42" i="31"/>
  <c r="E42" i="31"/>
  <c r="F42" i="31"/>
  <c r="G42" i="31"/>
  <c r="H42" i="31"/>
  <c r="B43" i="31"/>
  <c r="A43" i="31"/>
  <c r="D43" i="31"/>
  <c r="E43" i="31"/>
  <c r="F43" i="31"/>
  <c r="G43" i="31"/>
  <c r="H43" i="31"/>
  <c r="B44" i="31"/>
  <c r="A44" i="31"/>
  <c r="D44" i="31"/>
  <c r="E44" i="31"/>
  <c r="F44" i="31"/>
  <c r="G44" i="31"/>
  <c r="H44" i="31"/>
  <c r="B45" i="31"/>
  <c r="A45" i="31"/>
  <c r="D45" i="31"/>
  <c r="E45" i="31"/>
  <c r="F45" i="31"/>
  <c r="G45" i="31"/>
  <c r="H45" i="31"/>
  <c r="B46" i="31"/>
  <c r="A46" i="31"/>
  <c r="D46" i="31"/>
  <c r="E46" i="31"/>
  <c r="F46" i="31"/>
  <c r="G46" i="31"/>
  <c r="H46" i="31"/>
  <c r="B47" i="31"/>
  <c r="A47" i="31"/>
  <c r="D47" i="31"/>
  <c r="E47" i="31"/>
  <c r="F47" i="31"/>
  <c r="G47" i="31"/>
  <c r="H47" i="31"/>
  <c r="B48" i="31"/>
  <c r="A48" i="31"/>
  <c r="D48" i="31"/>
  <c r="E48" i="31"/>
  <c r="F48" i="31"/>
  <c r="G48" i="31"/>
  <c r="H48" i="31"/>
  <c r="B49" i="31"/>
  <c r="A49" i="31"/>
  <c r="D49" i="31"/>
  <c r="E49" i="31"/>
  <c r="F49" i="31"/>
  <c r="G49" i="31"/>
  <c r="H49" i="31"/>
  <c r="B50" i="31"/>
  <c r="A50" i="31"/>
  <c r="D50" i="31"/>
  <c r="E50" i="31"/>
  <c r="F50" i="31"/>
  <c r="G50" i="31"/>
  <c r="H50" i="31"/>
  <c r="B51" i="31"/>
  <c r="A51" i="31"/>
  <c r="D51" i="31"/>
  <c r="E51" i="31"/>
  <c r="F51" i="31"/>
  <c r="G51" i="31"/>
  <c r="H51" i="31"/>
  <c r="B52" i="31"/>
  <c r="A52" i="31"/>
  <c r="D52" i="31"/>
  <c r="E52" i="31"/>
  <c r="F52" i="31"/>
  <c r="G52" i="31"/>
  <c r="H52" i="31"/>
  <c r="B53" i="31"/>
  <c r="A53" i="31"/>
  <c r="D53" i="31"/>
  <c r="E53" i="31"/>
  <c r="F53" i="31"/>
  <c r="G53" i="31"/>
  <c r="H53" i="31"/>
  <c r="B54" i="31"/>
  <c r="A54" i="31"/>
  <c r="D54" i="31"/>
  <c r="E54" i="31"/>
  <c r="F54" i="31"/>
  <c r="G54" i="31"/>
  <c r="H54" i="31"/>
  <c r="B55" i="31"/>
  <c r="A55" i="31"/>
  <c r="D55" i="31"/>
  <c r="E55" i="31"/>
  <c r="F55" i="31"/>
  <c r="G55" i="31"/>
  <c r="H55" i="31"/>
  <c r="B56" i="31"/>
  <c r="A56" i="31"/>
  <c r="D56" i="31"/>
  <c r="E56" i="31"/>
  <c r="F56" i="31"/>
  <c r="G56" i="31"/>
  <c r="H56" i="31"/>
  <c r="B57" i="31"/>
  <c r="A57" i="31"/>
  <c r="D57" i="31"/>
  <c r="E57" i="31"/>
  <c r="F57" i="31"/>
  <c r="G57" i="31"/>
  <c r="H57" i="31"/>
  <c r="B58" i="31"/>
  <c r="A58" i="31"/>
  <c r="D58" i="31"/>
  <c r="E58" i="31"/>
  <c r="F58" i="31"/>
  <c r="G58" i="31"/>
  <c r="H58" i="31"/>
  <c r="B59" i="31"/>
  <c r="A59" i="31"/>
  <c r="D59" i="31"/>
  <c r="E59" i="31"/>
  <c r="F59" i="31"/>
  <c r="G59" i="31"/>
  <c r="H59" i="31"/>
  <c r="B60" i="31"/>
  <c r="A60" i="31"/>
  <c r="D60" i="31"/>
  <c r="E60" i="31"/>
  <c r="F60" i="31"/>
  <c r="G60" i="31"/>
  <c r="H60" i="31"/>
  <c r="B61" i="31"/>
  <c r="A61" i="31"/>
  <c r="D61" i="31"/>
  <c r="E61" i="31"/>
  <c r="F61" i="31"/>
  <c r="G61" i="31"/>
  <c r="H61" i="31"/>
  <c r="B62" i="31"/>
  <c r="A62" i="31"/>
  <c r="D62" i="31"/>
  <c r="E62" i="31"/>
  <c r="F62" i="31"/>
  <c r="G62" i="31"/>
  <c r="H62" i="31"/>
  <c r="B63" i="31"/>
  <c r="A63" i="31"/>
  <c r="D63" i="31"/>
  <c r="E63" i="31"/>
  <c r="F63" i="31"/>
  <c r="G63" i="31"/>
  <c r="H63" i="31"/>
  <c r="B64" i="31"/>
  <c r="A64" i="31"/>
  <c r="D64" i="31"/>
  <c r="E64" i="31"/>
  <c r="F64" i="31"/>
  <c r="G64" i="31"/>
  <c r="H64" i="31"/>
  <c r="B65" i="31"/>
  <c r="A65" i="31"/>
  <c r="D65" i="31"/>
  <c r="E65" i="31"/>
  <c r="F65" i="31"/>
  <c r="G65" i="31"/>
  <c r="H65" i="31"/>
  <c r="B66" i="31"/>
  <c r="A66" i="31"/>
  <c r="D66" i="31"/>
  <c r="E66" i="31"/>
  <c r="F66" i="31"/>
  <c r="G66" i="31"/>
  <c r="H66" i="31"/>
  <c r="B67" i="31"/>
  <c r="A67" i="31"/>
  <c r="D67" i="31"/>
  <c r="E67" i="31"/>
  <c r="F67" i="31"/>
  <c r="G67" i="31"/>
  <c r="H67" i="31"/>
  <c r="B68" i="31"/>
  <c r="A68" i="31"/>
  <c r="D68" i="31"/>
  <c r="E68" i="31"/>
  <c r="F68" i="31"/>
  <c r="G68" i="31"/>
  <c r="H68" i="31"/>
  <c r="G3" i="31"/>
  <c r="D2" i="31"/>
  <c r="E2" i="31"/>
  <c r="F3" i="31"/>
  <c r="H3" i="31"/>
  <c r="G2" i="31"/>
  <c r="H2" i="31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3" i="30"/>
  <c r="B2" i="30"/>
  <c r="B4" i="30"/>
  <c r="A2" i="30"/>
  <c r="A4" i="30"/>
  <c r="D4" i="30"/>
  <c r="E4" i="30"/>
  <c r="B3" i="30"/>
  <c r="A3" i="30"/>
  <c r="D3" i="30"/>
  <c r="E3" i="30"/>
  <c r="F4" i="30"/>
  <c r="G4" i="30"/>
  <c r="B5" i="30"/>
  <c r="A5" i="30"/>
  <c r="D5" i="30"/>
  <c r="E5" i="30"/>
  <c r="F5" i="30"/>
  <c r="G5" i="30"/>
  <c r="B6" i="30"/>
  <c r="A6" i="30"/>
  <c r="D6" i="30"/>
  <c r="E6" i="30"/>
  <c r="F6" i="30"/>
  <c r="G6" i="30"/>
  <c r="B7" i="30"/>
  <c r="A7" i="30"/>
  <c r="D7" i="30"/>
  <c r="E7" i="30"/>
  <c r="F7" i="30"/>
  <c r="G7" i="30"/>
  <c r="B8" i="30"/>
  <c r="A8" i="30"/>
  <c r="D8" i="30"/>
  <c r="E8" i="30"/>
  <c r="F8" i="30"/>
  <c r="G8" i="30"/>
  <c r="B9" i="30"/>
  <c r="A9" i="30"/>
  <c r="D9" i="30"/>
  <c r="E9" i="30"/>
  <c r="F9" i="30"/>
  <c r="G9" i="30"/>
  <c r="B10" i="30"/>
  <c r="A10" i="30"/>
  <c r="D10" i="30"/>
  <c r="E10" i="30"/>
  <c r="F10" i="30"/>
  <c r="G10" i="30"/>
  <c r="B11" i="30"/>
  <c r="A11" i="30"/>
  <c r="D11" i="30"/>
  <c r="E11" i="30"/>
  <c r="F11" i="30"/>
  <c r="G11" i="30"/>
  <c r="B12" i="30"/>
  <c r="A12" i="30"/>
  <c r="D12" i="30"/>
  <c r="E12" i="30"/>
  <c r="F12" i="30"/>
  <c r="G12" i="30"/>
  <c r="B13" i="30"/>
  <c r="A13" i="30"/>
  <c r="D13" i="30"/>
  <c r="E13" i="30"/>
  <c r="F13" i="30"/>
  <c r="G13" i="30"/>
  <c r="B14" i="30"/>
  <c r="A14" i="30"/>
  <c r="D14" i="30"/>
  <c r="E14" i="30"/>
  <c r="F14" i="30"/>
  <c r="G14" i="30"/>
  <c r="B15" i="30"/>
  <c r="A15" i="30"/>
  <c r="D15" i="30"/>
  <c r="E15" i="30"/>
  <c r="F15" i="30"/>
  <c r="G15" i="30"/>
  <c r="B16" i="30"/>
  <c r="A16" i="30"/>
  <c r="D16" i="30"/>
  <c r="E16" i="30"/>
  <c r="F16" i="30"/>
  <c r="G16" i="30"/>
  <c r="B17" i="30"/>
  <c r="A17" i="30"/>
  <c r="D17" i="30"/>
  <c r="E17" i="30"/>
  <c r="F17" i="30"/>
  <c r="G17" i="30"/>
  <c r="B18" i="30"/>
  <c r="A18" i="30"/>
  <c r="D18" i="30"/>
  <c r="E18" i="30"/>
  <c r="F18" i="30"/>
  <c r="G18" i="30"/>
  <c r="B19" i="30"/>
  <c r="A19" i="30"/>
  <c r="D19" i="30"/>
  <c r="E19" i="30"/>
  <c r="F19" i="30"/>
  <c r="G19" i="30"/>
  <c r="B20" i="30"/>
  <c r="A20" i="30"/>
  <c r="D20" i="30"/>
  <c r="E20" i="30"/>
  <c r="F20" i="30"/>
  <c r="G20" i="30"/>
  <c r="B21" i="30"/>
  <c r="A21" i="30"/>
  <c r="D21" i="30"/>
  <c r="E21" i="30"/>
  <c r="F21" i="30"/>
  <c r="G21" i="30"/>
  <c r="B22" i="30"/>
  <c r="A22" i="30"/>
  <c r="D22" i="30"/>
  <c r="E22" i="30"/>
  <c r="F22" i="30"/>
  <c r="G22" i="30"/>
  <c r="B23" i="30"/>
  <c r="A23" i="30"/>
  <c r="D23" i="30"/>
  <c r="E23" i="30"/>
  <c r="F23" i="30"/>
  <c r="G23" i="30"/>
  <c r="B24" i="30"/>
  <c r="A24" i="30"/>
  <c r="D24" i="30"/>
  <c r="E24" i="30"/>
  <c r="F24" i="30"/>
  <c r="G24" i="30"/>
  <c r="B25" i="30"/>
  <c r="A25" i="30"/>
  <c r="D25" i="30"/>
  <c r="E25" i="30"/>
  <c r="F25" i="30"/>
  <c r="G25" i="30"/>
  <c r="B26" i="30"/>
  <c r="A26" i="30"/>
  <c r="D26" i="30"/>
  <c r="E26" i="30"/>
  <c r="F26" i="30"/>
  <c r="G26" i="30"/>
  <c r="B27" i="30"/>
  <c r="A27" i="30"/>
  <c r="D27" i="30"/>
  <c r="E27" i="30"/>
  <c r="F27" i="30"/>
  <c r="G27" i="30"/>
  <c r="B28" i="30"/>
  <c r="A28" i="30"/>
  <c r="D28" i="30"/>
  <c r="E28" i="30"/>
  <c r="F28" i="30"/>
  <c r="G28" i="30"/>
  <c r="B29" i="30"/>
  <c r="A29" i="30"/>
  <c r="D29" i="30"/>
  <c r="E29" i="30"/>
  <c r="F29" i="30"/>
  <c r="G29" i="30"/>
  <c r="B30" i="30"/>
  <c r="A30" i="30"/>
  <c r="D30" i="30"/>
  <c r="E30" i="30"/>
  <c r="F30" i="30"/>
  <c r="G30" i="30"/>
  <c r="B31" i="30"/>
  <c r="A31" i="30"/>
  <c r="D31" i="30"/>
  <c r="E31" i="30"/>
  <c r="F31" i="30"/>
  <c r="G31" i="30"/>
  <c r="B32" i="30"/>
  <c r="A32" i="30"/>
  <c r="D32" i="30"/>
  <c r="E32" i="30"/>
  <c r="F32" i="30"/>
  <c r="G32" i="30"/>
  <c r="B33" i="30"/>
  <c r="A33" i="30"/>
  <c r="D33" i="30"/>
  <c r="E33" i="30"/>
  <c r="F33" i="30"/>
  <c r="G33" i="30"/>
  <c r="B34" i="30"/>
  <c r="A34" i="30"/>
  <c r="D34" i="30"/>
  <c r="E34" i="30"/>
  <c r="F34" i="30"/>
  <c r="G34" i="30"/>
  <c r="B35" i="30"/>
  <c r="A35" i="30"/>
  <c r="D35" i="30"/>
  <c r="E35" i="30"/>
  <c r="F35" i="30"/>
  <c r="G35" i="30"/>
  <c r="B36" i="30"/>
  <c r="A36" i="30"/>
  <c r="D36" i="30"/>
  <c r="E36" i="30"/>
  <c r="F36" i="30"/>
  <c r="G36" i="30"/>
  <c r="B37" i="30"/>
  <c r="A37" i="30"/>
  <c r="D37" i="30"/>
  <c r="E37" i="30"/>
  <c r="F37" i="30"/>
  <c r="G37" i="30"/>
  <c r="B38" i="30"/>
  <c r="A38" i="30"/>
  <c r="D38" i="30"/>
  <c r="E38" i="30"/>
  <c r="F38" i="30"/>
  <c r="G38" i="30"/>
  <c r="B39" i="30"/>
  <c r="A39" i="30"/>
  <c r="D39" i="30"/>
  <c r="E39" i="30"/>
  <c r="F39" i="30"/>
  <c r="G39" i="30"/>
  <c r="B40" i="30"/>
  <c r="A40" i="30"/>
  <c r="D40" i="30"/>
  <c r="E40" i="30"/>
  <c r="F40" i="30"/>
  <c r="G40" i="30"/>
  <c r="B41" i="30"/>
  <c r="A41" i="30"/>
  <c r="D41" i="30"/>
  <c r="E41" i="30"/>
  <c r="F41" i="30"/>
  <c r="G41" i="30"/>
  <c r="B42" i="30"/>
  <c r="A42" i="30"/>
  <c r="D42" i="30"/>
  <c r="E42" i="30"/>
  <c r="F42" i="30"/>
  <c r="G42" i="30"/>
  <c r="B43" i="30"/>
  <c r="A43" i="30"/>
  <c r="D43" i="30"/>
  <c r="E43" i="30"/>
  <c r="F43" i="30"/>
  <c r="G43" i="30"/>
  <c r="B44" i="30"/>
  <c r="A44" i="30"/>
  <c r="D44" i="30"/>
  <c r="E44" i="30"/>
  <c r="F44" i="30"/>
  <c r="G44" i="30"/>
  <c r="B45" i="30"/>
  <c r="A45" i="30"/>
  <c r="D45" i="30"/>
  <c r="E45" i="30"/>
  <c r="F45" i="30"/>
  <c r="G45" i="30"/>
  <c r="B46" i="30"/>
  <c r="A46" i="30"/>
  <c r="D46" i="30"/>
  <c r="E46" i="30"/>
  <c r="F46" i="30"/>
  <c r="G46" i="30"/>
  <c r="B47" i="30"/>
  <c r="A47" i="30"/>
  <c r="D47" i="30"/>
  <c r="E47" i="30"/>
  <c r="F47" i="30"/>
  <c r="G47" i="30"/>
  <c r="B48" i="30"/>
  <c r="A48" i="30"/>
  <c r="D48" i="30"/>
  <c r="E48" i="30"/>
  <c r="F48" i="30"/>
  <c r="G48" i="30"/>
  <c r="B49" i="30"/>
  <c r="A49" i="30"/>
  <c r="D49" i="30"/>
  <c r="E49" i="30"/>
  <c r="F49" i="30"/>
  <c r="G49" i="30"/>
  <c r="B50" i="30"/>
  <c r="A50" i="30"/>
  <c r="D50" i="30"/>
  <c r="E50" i="30"/>
  <c r="F50" i="30"/>
  <c r="G50" i="30"/>
  <c r="B51" i="30"/>
  <c r="A51" i="30"/>
  <c r="D51" i="30"/>
  <c r="E51" i="30"/>
  <c r="F51" i="30"/>
  <c r="G51" i="30"/>
  <c r="B52" i="30"/>
  <c r="A52" i="30"/>
  <c r="D52" i="30"/>
  <c r="E52" i="30"/>
  <c r="F52" i="30"/>
  <c r="G52" i="30"/>
  <c r="B53" i="30"/>
  <c r="A53" i="30"/>
  <c r="D53" i="30"/>
  <c r="E53" i="30"/>
  <c r="F53" i="30"/>
  <c r="G53" i="30"/>
  <c r="B54" i="30"/>
  <c r="A54" i="30"/>
  <c r="D54" i="30"/>
  <c r="E54" i="30"/>
  <c r="F54" i="30"/>
  <c r="G54" i="30"/>
  <c r="B55" i="30"/>
  <c r="A55" i="30"/>
  <c r="D55" i="30"/>
  <c r="E55" i="30"/>
  <c r="F55" i="30"/>
  <c r="G55" i="30"/>
  <c r="B56" i="30"/>
  <c r="A56" i="30"/>
  <c r="D56" i="30"/>
  <c r="E56" i="30"/>
  <c r="F56" i="30"/>
  <c r="G56" i="30"/>
  <c r="B57" i="30"/>
  <c r="A57" i="30"/>
  <c r="D57" i="30"/>
  <c r="E57" i="30"/>
  <c r="F57" i="30"/>
  <c r="G57" i="30"/>
  <c r="B58" i="30"/>
  <c r="A58" i="30"/>
  <c r="D58" i="30"/>
  <c r="E58" i="30"/>
  <c r="F58" i="30"/>
  <c r="G58" i="30"/>
  <c r="B59" i="30"/>
  <c r="A59" i="30"/>
  <c r="D59" i="30"/>
  <c r="E59" i="30"/>
  <c r="F59" i="30"/>
  <c r="G59" i="30"/>
  <c r="B60" i="30"/>
  <c r="A60" i="30"/>
  <c r="D60" i="30"/>
  <c r="E60" i="30"/>
  <c r="F60" i="30"/>
  <c r="G60" i="30"/>
  <c r="B61" i="30"/>
  <c r="A61" i="30"/>
  <c r="D61" i="30"/>
  <c r="E61" i="30"/>
  <c r="F61" i="30"/>
  <c r="G61" i="30"/>
  <c r="B62" i="30"/>
  <c r="A62" i="30"/>
  <c r="D62" i="30"/>
  <c r="E62" i="30"/>
  <c r="F62" i="30"/>
  <c r="G62" i="30"/>
  <c r="B63" i="30"/>
  <c r="A63" i="30"/>
  <c r="D63" i="30"/>
  <c r="E63" i="30"/>
  <c r="F63" i="30"/>
  <c r="G63" i="30"/>
  <c r="B64" i="30"/>
  <c r="A64" i="30"/>
  <c r="D64" i="30"/>
  <c r="E64" i="30"/>
  <c r="F64" i="30"/>
  <c r="G64" i="30"/>
  <c r="B65" i="30"/>
  <c r="A65" i="30"/>
  <c r="D65" i="30"/>
  <c r="E65" i="30"/>
  <c r="F65" i="30"/>
  <c r="G65" i="30"/>
  <c r="B66" i="30"/>
  <c r="A66" i="30"/>
  <c r="D66" i="30"/>
  <c r="E66" i="30"/>
  <c r="F66" i="30"/>
  <c r="G66" i="30"/>
  <c r="B67" i="30"/>
  <c r="A67" i="30"/>
  <c r="D67" i="30"/>
  <c r="E67" i="30"/>
  <c r="F67" i="30"/>
  <c r="G67" i="30"/>
  <c r="B68" i="30"/>
  <c r="A68" i="30"/>
  <c r="D68" i="30"/>
  <c r="E68" i="30"/>
  <c r="F68" i="30"/>
  <c r="G68" i="30"/>
  <c r="G2" i="30"/>
  <c r="H2" i="30"/>
  <c r="D2" i="30"/>
  <c r="B2" i="29"/>
  <c r="B4" i="29"/>
  <c r="A2" i="29"/>
  <c r="A4" i="29"/>
  <c r="D4" i="29"/>
  <c r="E4" i="29"/>
  <c r="B3" i="29"/>
  <c r="A3" i="29"/>
  <c r="D3" i="29"/>
  <c r="E3" i="29"/>
  <c r="F4" i="29"/>
  <c r="G4" i="29"/>
  <c r="H4" i="29"/>
  <c r="B5" i="29"/>
  <c r="A5" i="29"/>
  <c r="D5" i="29"/>
  <c r="E5" i="29"/>
  <c r="F5" i="29"/>
  <c r="G5" i="29"/>
  <c r="H5" i="29"/>
  <c r="B6" i="29"/>
  <c r="A6" i="29"/>
  <c r="D6" i="29"/>
  <c r="E6" i="29"/>
  <c r="F6" i="29"/>
  <c r="G6" i="29"/>
  <c r="H6" i="29"/>
  <c r="B7" i="29"/>
  <c r="A7" i="29"/>
  <c r="D7" i="29"/>
  <c r="E7" i="29"/>
  <c r="F7" i="29"/>
  <c r="G7" i="29"/>
  <c r="H7" i="29"/>
  <c r="B8" i="29"/>
  <c r="A8" i="29"/>
  <c r="D8" i="29"/>
  <c r="E8" i="29"/>
  <c r="F8" i="29"/>
  <c r="G8" i="29"/>
  <c r="H8" i="29"/>
  <c r="B9" i="29"/>
  <c r="A9" i="29"/>
  <c r="D9" i="29"/>
  <c r="E9" i="29"/>
  <c r="F9" i="29"/>
  <c r="G9" i="29"/>
  <c r="H9" i="29"/>
  <c r="B10" i="29"/>
  <c r="A10" i="29"/>
  <c r="D10" i="29"/>
  <c r="E10" i="29"/>
  <c r="F10" i="29"/>
  <c r="G10" i="29"/>
  <c r="H10" i="29"/>
  <c r="B11" i="29"/>
  <c r="A11" i="29"/>
  <c r="D11" i="29"/>
  <c r="E11" i="29"/>
  <c r="F11" i="29"/>
  <c r="G11" i="29"/>
  <c r="H11" i="29"/>
  <c r="B12" i="29"/>
  <c r="A12" i="29"/>
  <c r="D12" i="29"/>
  <c r="E12" i="29"/>
  <c r="F12" i="29"/>
  <c r="G12" i="29"/>
  <c r="H12" i="29"/>
  <c r="B13" i="29"/>
  <c r="A13" i="29"/>
  <c r="D13" i="29"/>
  <c r="E13" i="29"/>
  <c r="F13" i="29"/>
  <c r="G13" i="29"/>
  <c r="H13" i="29"/>
  <c r="B14" i="29"/>
  <c r="A14" i="29"/>
  <c r="D14" i="29"/>
  <c r="E14" i="29"/>
  <c r="F14" i="29"/>
  <c r="G14" i="29"/>
  <c r="H14" i="29"/>
  <c r="B15" i="29"/>
  <c r="A15" i="29"/>
  <c r="D15" i="29"/>
  <c r="E15" i="29"/>
  <c r="F15" i="29"/>
  <c r="G15" i="29"/>
  <c r="H15" i="29"/>
  <c r="B16" i="29"/>
  <c r="A16" i="29"/>
  <c r="D16" i="29"/>
  <c r="E16" i="29"/>
  <c r="F16" i="29"/>
  <c r="G16" i="29"/>
  <c r="H16" i="29"/>
  <c r="B17" i="29"/>
  <c r="A17" i="29"/>
  <c r="D17" i="29"/>
  <c r="E17" i="29"/>
  <c r="F17" i="29"/>
  <c r="G17" i="29"/>
  <c r="H17" i="29"/>
  <c r="B18" i="29"/>
  <c r="A18" i="29"/>
  <c r="D18" i="29"/>
  <c r="E18" i="29"/>
  <c r="F18" i="29"/>
  <c r="G18" i="29"/>
  <c r="H18" i="29"/>
  <c r="B19" i="29"/>
  <c r="A19" i="29"/>
  <c r="D19" i="29"/>
  <c r="E19" i="29"/>
  <c r="F19" i="29"/>
  <c r="G19" i="29"/>
  <c r="H19" i="29"/>
  <c r="B20" i="29"/>
  <c r="A20" i="29"/>
  <c r="D20" i="29"/>
  <c r="E20" i="29"/>
  <c r="F20" i="29"/>
  <c r="G20" i="29"/>
  <c r="H20" i="29"/>
  <c r="B21" i="29"/>
  <c r="A21" i="29"/>
  <c r="D21" i="29"/>
  <c r="E21" i="29"/>
  <c r="F21" i="29"/>
  <c r="G21" i="29"/>
  <c r="H21" i="29"/>
  <c r="B22" i="29"/>
  <c r="A22" i="29"/>
  <c r="D22" i="29"/>
  <c r="E22" i="29"/>
  <c r="F22" i="29"/>
  <c r="G22" i="29"/>
  <c r="H22" i="29"/>
  <c r="B23" i="29"/>
  <c r="A23" i="29"/>
  <c r="D23" i="29"/>
  <c r="E23" i="29"/>
  <c r="F23" i="29"/>
  <c r="G23" i="29"/>
  <c r="H23" i="29"/>
  <c r="B24" i="29"/>
  <c r="A24" i="29"/>
  <c r="D24" i="29"/>
  <c r="E24" i="29"/>
  <c r="F24" i="29"/>
  <c r="G24" i="29"/>
  <c r="H24" i="29"/>
  <c r="B25" i="29"/>
  <c r="A25" i="29"/>
  <c r="D25" i="29"/>
  <c r="E25" i="29"/>
  <c r="F25" i="29"/>
  <c r="G25" i="29"/>
  <c r="H25" i="29"/>
  <c r="B26" i="29"/>
  <c r="A26" i="29"/>
  <c r="D26" i="29"/>
  <c r="E26" i="29"/>
  <c r="F26" i="29"/>
  <c r="G26" i="29"/>
  <c r="H26" i="29"/>
  <c r="B27" i="29"/>
  <c r="A27" i="29"/>
  <c r="D27" i="29"/>
  <c r="E27" i="29"/>
  <c r="F27" i="29"/>
  <c r="G27" i="29"/>
  <c r="H27" i="29"/>
  <c r="B28" i="29"/>
  <c r="A28" i="29"/>
  <c r="D28" i="29"/>
  <c r="E28" i="29"/>
  <c r="F28" i="29"/>
  <c r="G28" i="29"/>
  <c r="H28" i="29"/>
  <c r="B29" i="29"/>
  <c r="A29" i="29"/>
  <c r="D29" i="29"/>
  <c r="E29" i="29"/>
  <c r="F29" i="29"/>
  <c r="G29" i="29"/>
  <c r="H29" i="29"/>
  <c r="B30" i="29"/>
  <c r="A30" i="29"/>
  <c r="D30" i="29"/>
  <c r="E30" i="29"/>
  <c r="F30" i="29"/>
  <c r="G30" i="29"/>
  <c r="H30" i="29"/>
  <c r="B31" i="29"/>
  <c r="A31" i="29"/>
  <c r="D31" i="29"/>
  <c r="E31" i="29"/>
  <c r="F31" i="29"/>
  <c r="G31" i="29"/>
  <c r="H31" i="29"/>
  <c r="B32" i="29"/>
  <c r="A32" i="29"/>
  <c r="D32" i="29"/>
  <c r="E32" i="29"/>
  <c r="F32" i="29"/>
  <c r="G32" i="29"/>
  <c r="H32" i="29"/>
  <c r="B33" i="29"/>
  <c r="A33" i="29"/>
  <c r="D33" i="29"/>
  <c r="E33" i="29"/>
  <c r="F33" i="29"/>
  <c r="G33" i="29"/>
  <c r="H33" i="29"/>
  <c r="B34" i="29"/>
  <c r="A34" i="29"/>
  <c r="D34" i="29"/>
  <c r="E34" i="29"/>
  <c r="F34" i="29"/>
  <c r="G34" i="29"/>
  <c r="H34" i="29"/>
  <c r="B35" i="29"/>
  <c r="A35" i="29"/>
  <c r="D35" i="29"/>
  <c r="E35" i="29"/>
  <c r="F35" i="29"/>
  <c r="G35" i="29"/>
  <c r="H35" i="29"/>
  <c r="B36" i="29"/>
  <c r="A36" i="29"/>
  <c r="D36" i="29"/>
  <c r="E36" i="29"/>
  <c r="F36" i="29"/>
  <c r="G36" i="29"/>
  <c r="H36" i="29"/>
  <c r="B37" i="29"/>
  <c r="A37" i="29"/>
  <c r="D37" i="29"/>
  <c r="E37" i="29"/>
  <c r="F37" i="29"/>
  <c r="G37" i="29"/>
  <c r="H37" i="29"/>
  <c r="B38" i="29"/>
  <c r="A38" i="29"/>
  <c r="D38" i="29"/>
  <c r="E38" i="29"/>
  <c r="F38" i="29"/>
  <c r="G38" i="29"/>
  <c r="H38" i="29"/>
  <c r="B39" i="29"/>
  <c r="A39" i="29"/>
  <c r="D39" i="29"/>
  <c r="E39" i="29"/>
  <c r="F39" i="29"/>
  <c r="G39" i="29"/>
  <c r="H39" i="29"/>
  <c r="B40" i="29"/>
  <c r="A40" i="29"/>
  <c r="D40" i="29"/>
  <c r="E40" i="29"/>
  <c r="F40" i="29"/>
  <c r="G40" i="29"/>
  <c r="H40" i="29"/>
  <c r="B41" i="29"/>
  <c r="A41" i="29"/>
  <c r="D41" i="29"/>
  <c r="E41" i="29"/>
  <c r="F41" i="29"/>
  <c r="G41" i="29"/>
  <c r="H41" i="29"/>
  <c r="B42" i="29"/>
  <c r="A42" i="29"/>
  <c r="D42" i="29"/>
  <c r="E42" i="29"/>
  <c r="F42" i="29"/>
  <c r="G42" i="29"/>
  <c r="H42" i="29"/>
  <c r="B43" i="29"/>
  <c r="A43" i="29"/>
  <c r="D43" i="29"/>
  <c r="E43" i="29"/>
  <c r="F43" i="29"/>
  <c r="G43" i="29"/>
  <c r="H43" i="29"/>
  <c r="B44" i="29"/>
  <c r="A44" i="29"/>
  <c r="D44" i="29"/>
  <c r="E44" i="29"/>
  <c r="F44" i="29"/>
  <c r="G44" i="29"/>
  <c r="H44" i="29"/>
  <c r="B45" i="29"/>
  <c r="A45" i="29"/>
  <c r="D45" i="29"/>
  <c r="E45" i="29"/>
  <c r="F45" i="29"/>
  <c r="G45" i="29"/>
  <c r="H45" i="29"/>
  <c r="B46" i="29"/>
  <c r="A46" i="29"/>
  <c r="D46" i="29"/>
  <c r="E46" i="29"/>
  <c r="F46" i="29"/>
  <c r="G46" i="29"/>
  <c r="H46" i="29"/>
  <c r="B47" i="29"/>
  <c r="A47" i="29"/>
  <c r="D47" i="29"/>
  <c r="E47" i="29"/>
  <c r="F47" i="29"/>
  <c r="G47" i="29"/>
  <c r="H47" i="29"/>
  <c r="B48" i="29"/>
  <c r="A48" i="29"/>
  <c r="D48" i="29"/>
  <c r="E48" i="29"/>
  <c r="F48" i="29"/>
  <c r="G48" i="29"/>
  <c r="H48" i="29"/>
  <c r="B49" i="29"/>
  <c r="A49" i="29"/>
  <c r="D49" i="29"/>
  <c r="E49" i="29"/>
  <c r="F49" i="29"/>
  <c r="G49" i="29"/>
  <c r="H49" i="29"/>
  <c r="B50" i="29"/>
  <c r="A50" i="29"/>
  <c r="D50" i="29"/>
  <c r="E50" i="29"/>
  <c r="F50" i="29"/>
  <c r="G50" i="29"/>
  <c r="H50" i="29"/>
  <c r="B51" i="29"/>
  <c r="A51" i="29"/>
  <c r="D51" i="29"/>
  <c r="E51" i="29"/>
  <c r="F51" i="29"/>
  <c r="G51" i="29"/>
  <c r="H51" i="29"/>
  <c r="B52" i="29"/>
  <c r="A52" i="29"/>
  <c r="D52" i="29"/>
  <c r="E52" i="29"/>
  <c r="F52" i="29"/>
  <c r="G52" i="29"/>
  <c r="H52" i="29"/>
  <c r="B53" i="29"/>
  <c r="A53" i="29"/>
  <c r="D53" i="29"/>
  <c r="E53" i="29"/>
  <c r="F53" i="29"/>
  <c r="G53" i="29"/>
  <c r="H53" i="29"/>
  <c r="B54" i="29"/>
  <c r="A54" i="29"/>
  <c r="D54" i="29"/>
  <c r="E54" i="29"/>
  <c r="F54" i="29"/>
  <c r="G54" i="29"/>
  <c r="H54" i="29"/>
  <c r="B55" i="29"/>
  <c r="A55" i="29"/>
  <c r="D55" i="29"/>
  <c r="E55" i="29"/>
  <c r="F55" i="29"/>
  <c r="G55" i="29"/>
  <c r="H55" i="29"/>
  <c r="B56" i="29"/>
  <c r="A56" i="29"/>
  <c r="D56" i="29"/>
  <c r="E56" i="29"/>
  <c r="F56" i="29"/>
  <c r="G56" i="29"/>
  <c r="H56" i="29"/>
  <c r="B57" i="29"/>
  <c r="A57" i="29"/>
  <c r="D57" i="29"/>
  <c r="E57" i="29"/>
  <c r="F57" i="29"/>
  <c r="G57" i="29"/>
  <c r="H57" i="29"/>
  <c r="B58" i="29"/>
  <c r="A58" i="29"/>
  <c r="D58" i="29"/>
  <c r="E58" i="29"/>
  <c r="F58" i="29"/>
  <c r="G58" i="29"/>
  <c r="H58" i="29"/>
  <c r="B59" i="29"/>
  <c r="A59" i="29"/>
  <c r="D59" i="29"/>
  <c r="E59" i="29"/>
  <c r="F59" i="29"/>
  <c r="G59" i="29"/>
  <c r="H59" i="29"/>
  <c r="B60" i="29"/>
  <c r="A60" i="29"/>
  <c r="D60" i="29"/>
  <c r="E60" i="29"/>
  <c r="F60" i="29"/>
  <c r="G60" i="29"/>
  <c r="H60" i="29"/>
  <c r="B61" i="29"/>
  <c r="A61" i="29"/>
  <c r="D61" i="29"/>
  <c r="E61" i="29"/>
  <c r="F61" i="29"/>
  <c r="G61" i="29"/>
  <c r="H61" i="29"/>
  <c r="B62" i="29"/>
  <c r="A62" i="29"/>
  <c r="D62" i="29"/>
  <c r="E62" i="29"/>
  <c r="F62" i="29"/>
  <c r="G62" i="29"/>
  <c r="H62" i="29"/>
  <c r="B63" i="29"/>
  <c r="A63" i="29"/>
  <c r="D63" i="29"/>
  <c r="E63" i="29"/>
  <c r="F63" i="29"/>
  <c r="G63" i="29"/>
  <c r="H63" i="29"/>
  <c r="B64" i="29"/>
  <c r="A64" i="29"/>
  <c r="D64" i="29"/>
  <c r="E64" i="29"/>
  <c r="F64" i="29"/>
  <c r="G64" i="29"/>
  <c r="H64" i="29"/>
  <c r="B65" i="29"/>
  <c r="A65" i="29"/>
  <c r="D65" i="29"/>
  <c r="E65" i="29"/>
  <c r="F65" i="29"/>
  <c r="G65" i="29"/>
  <c r="H65" i="29"/>
  <c r="B66" i="29"/>
  <c r="A66" i="29"/>
  <c r="D66" i="29"/>
  <c r="E66" i="29"/>
  <c r="F66" i="29"/>
  <c r="G66" i="29"/>
  <c r="H66" i="29"/>
  <c r="B67" i="29"/>
  <c r="A67" i="29"/>
  <c r="D67" i="29"/>
  <c r="E67" i="29"/>
  <c r="F67" i="29"/>
  <c r="G67" i="29"/>
  <c r="H67" i="29"/>
  <c r="B68" i="29"/>
  <c r="A68" i="29"/>
  <c r="D68" i="29"/>
  <c r="E68" i="29"/>
  <c r="F68" i="29"/>
  <c r="G68" i="29"/>
  <c r="H68" i="29"/>
  <c r="B69" i="29"/>
  <c r="A69" i="29"/>
  <c r="D69" i="29"/>
  <c r="E69" i="29"/>
  <c r="F69" i="29"/>
  <c r="G69" i="29"/>
  <c r="H69" i="29"/>
  <c r="B70" i="29"/>
  <c r="A70" i="29"/>
  <c r="D70" i="29"/>
  <c r="E70" i="29"/>
  <c r="F70" i="29"/>
  <c r="G70" i="29"/>
  <c r="H70" i="29"/>
  <c r="B71" i="29"/>
  <c r="A71" i="29"/>
  <c r="D71" i="29"/>
  <c r="E71" i="29"/>
  <c r="F71" i="29"/>
  <c r="G71" i="29"/>
  <c r="H71" i="29"/>
  <c r="B72" i="29"/>
  <c r="A72" i="29"/>
  <c r="D72" i="29"/>
  <c r="E72" i="29"/>
  <c r="F72" i="29"/>
  <c r="G72" i="29"/>
  <c r="H72" i="29"/>
  <c r="B73" i="29"/>
  <c r="A73" i="29"/>
  <c r="D73" i="29"/>
  <c r="E73" i="29"/>
  <c r="F73" i="29"/>
  <c r="G73" i="29"/>
  <c r="H73" i="29"/>
  <c r="G3" i="29"/>
  <c r="D2" i="29"/>
  <c r="E2" i="29"/>
  <c r="F3" i="29"/>
  <c r="H3" i="29"/>
  <c r="G2" i="29"/>
  <c r="H2" i="29"/>
  <c r="B2" i="28"/>
  <c r="B4" i="28"/>
  <c r="A2" i="28"/>
  <c r="A4" i="28"/>
  <c r="D4" i="28"/>
  <c r="E4" i="28"/>
  <c r="B3" i="28"/>
  <c r="A3" i="28"/>
  <c r="D3" i="28"/>
  <c r="E3" i="28"/>
  <c r="F4" i="28"/>
  <c r="G4" i="28"/>
  <c r="H4" i="28"/>
  <c r="B5" i="28"/>
  <c r="A5" i="28"/>
  <c r="D5" i="28"/>
  <c r="E5" i="28"/>
  <c r="F5" i="28"/>
  <c r="G5" i="28"/>
  <c r="H5" i="28"/>
  <c r="B6" i="28"/>
  <c r="A6" i="28"/>
  <c r="D6" i="28"/>
  <c r="E6" i="28"/>
  <c r="F6" i="28"/>
  <c r="G6" i="28"/>
  <c r="H6" i="28"/>
  <c r="B7" i="28"/>
  <c r="A7" i="28"/>
  <c r="D7" i="28"/>
  <c r="E7" i="28"/>
  <c r="F7" i="28"/>
  <c r="G7" i="28"/>
  <c r="H7" i="28"/>
  <c r="B8" i="28"/>
  <c r="A8" i="28"/>
  <c r="D8" i="28"/>
  <c r="E8" i="28"/>
  <c r="F8" i="28"/>
  <c r="G8" i="28"/>
  <c r="H8" i="28"/>
  <c r="B9" i="28"/>
  <c r="A9" i="28"/>
  <c r="D9" i="28"/>
  <c r="E9" i="28"/>
  <c r="F9" i="28"/>
  <c r="G9" i="28"/>
  <c r="H9" i="28"/>
  <c r="B10" i="28"/>
  <c r="A10" i="28"/>
  <c r="D10" i="28"/>
  <c r="E10" i="28"/>
  <c r="F10" i="28"/>
  <c r="G10" i="28"/>
  <c r="H10" i="28"/>
  <c r="B11" i="28"/>
  <c r="A11" i="28"/>
  <c r="D11" i="28"/>
  <c r="E11" i="28"/>
  <c r="F11" i="28"/>
  <c r="G11" i="28"/>
  <c r="H11" i="28"/>
  <c r="B12" i="28"/>
  <c r="A12" i="28"/>
  <c r="D12" i="28"/>
  <c r="E12" i="28"/>
  <c r="F12" i="28"/>
  <c r="G12" i="28"/>
  <c r="H12" i="28"/>
  <c r="B13" i="28"/>
  <c r="A13" i="28"/>
  <c r="D13" i="28"/>
  <c r="E13" i="28"/>
  <c r="F13" i="28"/>
  <c r="G13" i="28"/>
  <c r="H13" i="28"/>
  <c r="B14" i="28"/>
  <c r="A14" i="28"/>
  <c r="D14" i="28"/>
  <c r="E14" i="28"/>
  <c r="F14" i="28"/>
  <c r="G14" i="28"/>
  <c r="H14" i="28"/>
  <c r="B15" i="28"/>
  <c r="A15" i="28"/>
  <c r="D15" i="28"/>
  <c r="E15" i="28"/>
  <c r="F15" i="28"/>
  <c r="G15" i="28"/>
  <c r="H15" i="28"/>
  <c r="B16" i="28"/>
  <c r="A16" i="28"/>
  <c r="D16" i="28"/>
  <c r="E16" i="28"/>
  <c r="F16" i="28"/>
  <c r="G16" i="28"/>
  <c r="H16" i="28"/>
  <c r="B17" i="28"/>
  <c r="A17" i="28"/>
  <c r="D17" i="28"/>
  <c r="E17" i="28"/>
  <c r="F17" i="28"/>
  <c r="G17" i="28"/>
  <c r="H17" i="28"/>
  <c r="B18" i="28"/>
  <c r="A18" i="28"/>
  <c r="D18" i="28"/>
  <c r="E18" i="28"/>
  <c r="F18" i="28"/>
  <c r="G18" i="28"/>
  <c r="H18" i="28"/>
  <c r="B19" i="28"/>
  <c r="A19" i="28"/>
  <c r="D19" i="28"/>
  <c r="E19" i="28"/>
  <c r="F19" i="28"/>
  <c r="G19" i="28"/>
  <c r="H19" i="28"/>
  <c r="B20" i="28"/>
  <c r="A20" i="28"/>
  <c r="D20" i="28"/>
  <c r="E20" i="28"/>
  <c r="F20" i="28"/>
  <c r="G20" i="28"/>
  <c r="H20" i="28"/>
  <c r="B21" i="28"/>
  <c r="A21" i="28"/>
  <c r="D21" i="28"/>
  <c r="E21" i="28"/>
  <c r="F21" i="28"/>
  <c r="G21" i="28"/>
  <c r="H21" i="28"/>
  <c r="B22" i="28"/>
  <c r="A22" i="28"/>
  <c r="D22" i="28"/>
  <c r="E22" i="28"/>
  <c r="F22" i="28"/>
  <c r="G22" i="28"/>
  <c r="H22" i="28"/>
  <c r="B23" i="28"/>
  <c r="A23" i="28"/>
  <c r="D23" i="28"/>
  <c r="E23" i="28"/>
  <c r="F23" i="28"/>
  <c r="G23" i="28"/>
  <c r="H23" i="28"/>
  <c r="B24" i="28"/>
  <c r="A24" i="28"/>
  <c r="D24" i="28"/>
  <c r="E24" i="28"/>
  <c r="F24" i="28"/>
  <c r="G24" i="28"/>
  <c r="H24" i="28"/>
  <c r="B25" i="28"/>
  <c r="A25" i="28"/>
  <c r="D25" i="28"/>
  <c r="E25" i="28"/>
  <c r="F25" i="28"/>
  <c r="G25" i="28"/>
  <c r="H25" i="28"/>
  <c r="B26" i="28"/>
  <c r="A26" i="28"/>
  <c r="D26" i="28"/>
  <c r="E26" i="28"/>
  <c r="F26" i="28"/>
  <c r="G26" i="28"/>
  <c r="H26" i="28"/>
  <c r="B27" i="28"/>
  <c r="A27" i="28"/>
  <c r="D27" i="28"/>
  <c r="E27" i="28"/>
  <c r="F27" i="28"/>
  <c r="G27" i="28"/>
  <c r="H27" i="28"/>
  <c r="B28" i="28"/>
  <c r="A28" i="28"/>
  <c r="D28" i="28"/>
  <c r="E28" i="28"/>
  <c r="F28" i="28"/>
  <c r="G28" i="28"/>
  <c r="H28" i="28"/>
  <c r="B29" i="28"/>
  <c r="A29" i="28"/>
  <c r="D29" i="28"/>
  <c r="E29" i="28"/>
  <c r="F29" i="28"/>
  <c r="G29" i="28"/>
  <c r="H29" i="28"/>
  <c r="B30" i="28"/>
  <c r="A30" i="28"/>
  <c r="D30" i="28"/>
  <c r="E30" i="28"/>
  <c r="F30" i="28"/>
  <c r="G30" i="28"/>
  <c r="H30" i="28"/>
  <c r="B31" i="28"/>
  <c r="A31" i="28"/>
  <c r="D31" i="28"/>
  <c r="E31" i="28"/>
  <c r="F31" i="28"/>
  <c r="G31" i="28"/>
  <c r="H31" i="28"/>
  <c r="B32" i="28"/>
  <c r="A32" i="28"/>
  <c r="D32" i="28"/>
  <c r="E32" i="28"/>
  <c r="F32" i="28"/>
  <c r="G32" i="28"/>
  <c r="H32" i="28"/>
  <c r="B33" i="28"/>
  <c r="A33" i="28"/>
  <c r="D33" i="28"/>
  <c r="E33" i="28"/>
  <c r="F33" i="28"/>
  <c r="G33" i="28"/>
  <c r="H33" i="28"/>
  <c r="B34" i="28"/>
  <c r="A34" i="28"/>
  <c r="D34" i="28"/>
  <c r="E34" i="28"/>
  <c r="F34" i="28"/>
  <c r="G34" i="28"/>
  <c r="H34" i="28"/>
  <c r="B35" i="28"/>
  <c r="A35" i="28"/>
  <c r="D35" i="28"/>
  <c r="E35" i="28"/>
  <c r="F35" i="28"/>
  <c r="G35" i="28"/>
  <c r="H35" i="28"/>
  <c r="B36" i="28"/>
  <c r="A36" i="28"/>
  <c r="D36" i="28"/>
  <c r="E36" i="28"/>
  <c r="F36" i="28"/>
  <c r="G36" i="28"/>
  <c r="H36" i="28"/>
  <c r="B37" i="28"/>
  <c r="A37" i="28"/>
  <c r="D37" i="28"/>
  <c r="E37" i="28"/>
  <c r="F37" i="28"/>
  <c r="G37" i="28"/>
  <c r="H37" i="28"/>
  <c r="B38" i="28"/>
  <c r="A38" i="28"/>
  <c r="D38" i="28"/>
  <c r="E38" i="28"/>
  <c r="F38" i="28"/>
  <c r="G38" i="28"/>
  <c r="H38" i="28"/>
  <c r="B39" i="28"/>
  <c r="A39" i="28"/>
  <c r="D39" i="28"/>
  <c r="E39" i="28"/>
  <c r="F39" i="28"/>
  <c r="G39" i="28"/>
  <c r="H39" i="28"/>
  <c r="B40" i="28"/>
  <c r="A40" i="28"/>
  <c r="D40" i="28"/>
  <c r="E40" i="28"/>
  <c r="F40" i="28"/>
  <c r="G40" i="28"/>
  <c r="H40" i="28"/>
  <c r="B41" i="28"/>
  <c r="A41" i="28"/>
  <c r="D41" i="28"/>
  <c r="E41" i="28"/>
  <c r="F41" i="28"/>
  <c r="G41" i="28"/>
  <c r="H41" i="28"/>
  <c r="B42" i="28"/>
  <c r="A42" i="28"/>
  <c r="D42" i="28"/>
  <c r="E42" i="28"/>
  <c r="F42" i="28"/>
  <c r="G42" i="28"/>
  <c r="H42" i="28"/>
  <c r="B43" i="28"/>
  <c r="A43" i="28"/>
  <c r="D43" i="28"/>
  <c r="E43" i="28"/>
  <c r="F43" i="28"/>
  <c r="G43" i="28"/>
  <c r="H43" i="28"/>
  <c r="B44" i="28"/>
  <c r="A44" i="28"/>
  <c r="D44" i="28"/>
  <c r="E44" i="28"/>
  <c r="F44" i="28"/>
  <c r="G44" i="28"/>
  <c r="H44" i="28"/>
  <c r="B45" i="28"/>
  <c r="A45" i="28"/>
  <c r="D45" i="28"/>
  <c r="E45" i="28"/>
  <c r="F45" i="28"/>
  <c r="G45" i="28"/>
  <c r="H45" i="28"/>
  <c r="B46" i="28"/>
  <c r="A46" i="28"/>
  <c r="D46" i="28"/>
  <c r="E46" i="28"/>
  <c r="F46" i="28"/>
  <c r="G46" i="28"/>
  <c r="H46" i="28"/>
  <c r="B47" i="28"/>
  <c r="A47" i="28"/>
  <c r="D47" i="28"/>
  <c r="E47" i="28"/>
  <c r="F47" i="28"/>
  <c r="G47" i="28"/>
  <c r="H47" i="28"/>
  <c r="B48" i="28"/>
  <c r="A48" i="28"/>
  <c r="D48" i="28"/>
  <c r="E48" i="28"/>
  <c r="F48" i="28"/>
  <c r="G48" i="28"/>
  <c r="H48" i="28"/>
  <c r="B49" i="28"/>
  <c r="A49" i="28"/>
  <c r="D49" i="28"/>
  <c r="E49" i="28"/>
  <c r="F49" i="28"/>
  <c r="G49" i="28"/>
  <c r="H49" i="28"/>
  <c r="B50" i="28"/>
  <c r="A50" i="28"/>
  <c r="D50" i="28"/>
  <c r="E50" i="28"/>
  <c r="F50" i="28"/>
  <c r="G50" i="28"/>
  <c r="H50" i="28"/>
  <c r="B51" i="28"/>
  <c r="A51" i="28"/>
  <c r="D51" i="28"/>
  <c r="E51" i="28"/>
  <c r="F51" i="28"/>
  <c r="G51" i="28"/>
  <c r="H51" i="28"/>
  <c r="B52" i="28"/>
  <c r="A52" i="28"/>
  <c r="D52" i="28"/>
  <c r="E52" i="28"/>
  <c r="F52" i="28"/>
  <c r="G52" i="28"/>
  <c r="H52" i="28"/>
  <c r="B53" i="28"/>
  <c r="A53" i="28"/>
  <c r="D53" i="28"/>
  <c r="E53" i="28"/>
  <c r="F53" i="28"/>
  <c r="G53" i="28"/>
  <c r="H53" i="28"/>
  <c r="B54" i="28"/>
  <c r="A54" i="28"/>
  <c r="D54" i="28"/>
  <c r="E54" i="28"/>
  <c r="F54" i="28"/>
  <c r="G54" i="28"/>
  <c r="H54" i="28"/>
  <c r="B55" i="28"/>
  <c r="A55" i="28"/>
  <c r="D55" i="28"/>
  <c r="E55" i="28"/>
  <c r="F55" i="28"/>
  <c r="G55" i="28"/>
  <c r="H55" i="28"/>
  <c r="B56" i="28"/>
  <c r="A56" i="28"/>
  <c r="D56" i="28"/>
  <c r="E56" i="28"/>
  <c r="F56" i="28"/>
  <c r="G56" i="28"/>
  <c r="H56" i="28"/>
  <c r="B57" i="28"/>
  <c r="A57" i="28"/>
  <c r="D57" i="28"/>
  <c r="E57" i="28"/>
  <c r="F57" i="28"/>
  <c r="G57" i="28"/>
  <c r="H57" i="28"/>
  <c r="B58" i="28"/>
  <c r="A58" i="28"/>
  <c r="D58" i="28"/>
  <c r="E58" i="28"/>
  <c r="F58" i="28"/>
  <c r="G58" i="28"/>
  <c r="H58" i="28"/>
  <c r="B59" i="28"/>
  <c r="A59" i="28"/>
  <c r="D59" i="28"/>
  <c r="E59" i="28"/>
  <c r="F59" i="28"/>
  <c r="G59" i="28"/>
  <c r="H59" i="28"/>
  <c r="B60" i="28"/>
  <c r="A60" i="28"/>
  <c r="D60" i="28"/>
  <c r="E60" i="28"/>
  <c r="F60" i="28"/>
  <c r="G60" i="28"/>
  <c r="H60" i="28"/>
  <c r="B61" i="28"/>
  <c r="A61" i="28"/>
  <c r="D61" i="28"/>
  <c r="E61" i="28"/>
  <c r="F61" i="28"/>
  <c r="G61" i="28"/>
  <c r="H61" i="28"/>
  <c r="B62" i="28"/>
  <c r="A62" i="28"/>
  <c r="D62" i="28"/>
  <c r="E62" i="28"/>
  <c r="F62" i="28"/>
  <c r="G62" i="28"/>
  <c r="H62" i="28"/>
  <c r="B63" i="28"/>
  <c r="A63" i="28"/>
  <c r="D63" i="28"/>
  <c r="E63" i="28"/>
  <c r="F63" i="28"/>
  <c r="G63" i="28"/>
  <c r="H63" i="28"/>
  <c r="B64" i="28"/>
  <c r="A64" i="28"/>
  <c r="D64" i="28"/>
  <c r="E64" i="28"/>
  <c r="F64" i="28"/>
  <c r="G64" i="28"/>
  <c r="H64" i="28"/>
  <c r="B65" i="28"/>
  <c r="A65" i="28"/>
  <c r="D65" i="28"/>
  <c r="E65" i="28"/>
  <c r="F65" i="28"/>
  <c r="G65" i="28"/>
  <c r="H65" i="28"/>
  <c r="B66" i="28"/>
  <c r="A66" i="28"/>
  <c r="D66" i="28"/>
  <c r="E66" i="28"/>
  <c r="F66" i="28"/>
  <c r="G66" i="28"/>
  <c r="H66" i="28"/>
  <c r="B67" i="28"/>
  <c r="A67" i="28"/>
  <c r="D67" i="28"/>
  <c r="E67" i="28"/>
  <c r="F67" i="28"/>
  <c r="G67" i="28"/>
  <c r="H67" i="28"/>
  <c r="B68" i="28"/>
  <c r="A68" i="28"/>
  <c r="D68" i="28"/>
  <c r="E68" i="28"/>
  <c r="F68" i="28"/>
  <c r="G68" i="28"/>
  <c r="H68" i="28"/>
  <c r="B69" i="28"/>
  <c r="A69" i="28"/>
  <c r="D69" i="28"/>
  <c r="E69" i="28"/>
  <c r="F69" i="28"/>
  <c r="G69" i="28"/>
  <c r="H69" i="28"/>
  <c r="B70" i="28"/>
  <c r="A70" i="28"/>
  <c r="D70" i="28"/>
  <c r="E70" i="28"/>
  <c r="F70" i="28"/>
  <c r="G70" i="28"/>
  <c r="H70" i="28"/>
  <c r="B71" i="28"/>
  <c r="A71" i="28"/>
  <c r="D71" i="28"/>
  <c r="E71" i="28"/>
  <c r="F71" i="28"/>
  <c r="G71" i="28"/>
  <c r="H71" i="28"/>
  <c r="B72" i="28"/>
  <c r="A72" i="28"/>
  <c r="D72" i="28"/>
  <c r="E72" i="28"/>
  <c r="F72" i="28"/>
  <c r="G72" i="28"/>
  <c r="H72" i="28"/>
  <c r="B73" i="28"/>
  <c r="A73" i="28"/>
  <c r="D73" i="28"/>
  <c r="E73" i="28"/>
  <c r="F73" i="28"/>
  <c r="G73" i="28"/>
  <c r="H73" i="28"/>
  <c r="G2" i="28"/>
  <c r="H2" i="28"/>
  <c r="D2" i="28"/>
  <c r="B2" i="27"/>
  <c r="B4" i="27"/>
  <c r="A2" i="27"/>
  <c r="A4" i="27"/>
  <c r="D4" i="27"/>
  <c r="E4" i="27"/>
  <c r="B3" i="27"/>
  <c r="A3" i="27"/>
  <c r="D3" i="27"/>
  <c r="E3" i="27"/>
  <c r="F4" i="27"/>
  <c r="G4" i="27"/>
  <c r="H4" i="27"/>
  <c r="B5" i="27"/>
  <c r="A5" i="27"/>
  <c r="D5" i="27"/>
  <c r="E5" i="27"/>
  <c r="F5" i="27"/>
  <c r="G5" i="27"/>
  <c r="H5" i="27"/>
  <c r="B6" i="27"/>
  <c r="A6" i="27"/>
  <c r="D6" i="27"/>
  <c r="E6" i="27"/>
  <c r="F6" i="27"/>
  <c r="G6" i="27"/>
  <c r="H6" i="27"/>
  <c r="B7" i="27"/>
  <c r="A7" i="27"/>
  <c r="D7" i="27"/>
  <c r="E7" i="27"/>
  <c r="F7" i="27"/>
  <c r="G7" i="27"/>
  <c r="H7" i="27"/>
  <c r="B8" i="27"/>
  <c r="A8" i="27"/>
  <c r="D8" i="27"/>
  <c r="E8" i="27"/>
  <c r="F8" i="27"/>
  <c r="G8" i="27"/>
  <c r="H8" i="27"/>
  <c r="B9" i="27"/>
  <c r="A9" i="27"/>
  <c r="D9" i="27"/>
  <c r="E9" i="27"/>
  <c r="F9" i="27"/>
  <c r="G9" i="27"/>
  <c r="H9" i="27"/>
  <c r="B10" i="27"/>
  <c r="A10" i="27"/>
  <c r="D10" i="27"/>
  <c r="E10" i="27"/>
  <c r="F10" i="27"/>
  <c r="G10" i="27"/>
  <c r="H10" i="27"/>
  <c r="B11" i="27"/>
  <c r="A11" i="27"/>
  <c r="D11" i="27"/>
  <c r="E11" i="27"/>
  <c r="F11" i="27"/>
  <c r="G11" i="27"/>
  <c r="H11" i="27"/>
  <c r="B12" i="27"/>
  <c r="A12" i="27"/>
  <c r="D12" i="27"/>
  <c r="E12" i="27"/>
  <c r="F12" i="27"/>
  <c r="G12" i="27"/>
  <c r="H12" i="27"/>
  <c r="B13" i="27"/>
  <c r="A13" i="27"/>
  <c r="D13" i="27"/>
  <c r="E13" i="27"/>
  <c r="F13" i="27"/>
  <c r="G13" i="27"/>
  <c r="H13" i="27"/>
  <c r="B14" i="27"/>
  <c r="A14" i="27"/>
  <c r="D14" i="27"/>
  <c r="E14" i="27"/>
  <c r="F14" i="27"/>
  <c r="G14" i="27"/>
  <c r="H14" i="27"/>
  <c r="B15" i="27"/>
  <c r="A15" i="27"/>
  <c r="D15" i="27"/>
  <c r="E15" i="27"/>
  <c r="F15" i="27"/>
  <c r="G15" i="27"/>
  <c r="H15" i="27"/>
  <c r="B16" i="27"/>
  <c r="A16" i="27"/>
  <c r="D16" i="27"/>
  <c r="E16" i="27"/>
  <c r="F16" i="27"/>
  <c r="G16" i="27"/>
  <c r="H16" i="27"/>
  <c r="B17" i="27"/>
  <c r="A17" i="27"/>
  <c r="D17" i="27"/>
  <c r="E17" i="27"/>
  <c r="F17" i="27"/>
  <c r="G17" i="27"/>
  <c r="H17" i="27"/>
  <c r="B18" i="27"/>
  <c r="A18" i="27"/>
  <c r="D18" i="27"/>
  <c r="E18" i="27"/>
  <c r="F18" i="27"/>
  <c r="G18" i="27"/>
  <c r="H18" i="27"/>
  <c r="B19" i="27"/>
  <c r="A19" i="27"/>
  <c r="D19" i="27"/>
  <c r="E19" i="27"/>
  <c r="F19" i="27"/>
  <c r="G19" i="27"/>
  <c r="H19" i="27"/>
  <c r="B20" i="27"/>
  <c r="A20" i="27"/>
  <c r="D20" i="27"/>
  <c r="E20" i="27"/>
  <c r="F20" i="27"/>
  <c r="G20" i="27"/>
  <c r="H20" i="27"/>
  <c r="B21" i="27"/>
  <c r="A21" i="27"/>
  <c r="D21" i="27"/>
  <c r="E21" i="27"/>
  <c r="F21" i="27"/>
  <c r="G21" i="27"/>
  <c r="H21" i="27"/>
  <c r="B22" i="27"/>
  <c r="A22" i="27"/>
  <c r="D22" i="27"/>
  <c r="E22" i="27"/>
  <c r="F22" i="27"/>
  <c r="G22" i="27"/>
  <c r="H22" i="27"/>
  <c r="B23" i="27"/>
  <c r="A23" i="27"/>
  <c r="D23" i="27"/>
  <c r="E23" i="27"/>
  <c r="F23" i="27"/>
  <c r="G23" i="27"/>
  <c r="H23" i="27"/>
  <c r="B24" i="27"/>
  <c r="A24" i="27"/>
  <c r="D24" i="27"/>
  <c r="E24" i="27"/>
  <c r="F24" i="27"/>
  <c r="G24" i="27"/>
  <c r="H24" i="27"/>
  <c r="B25" i="27"/>
  <c r="A25" i="27"/>
  <c r="D25" i="27"/>
  <c r="E25" i="27"/>
  <c r="F25" i="27"/>
  <c r="G25" i="27"/>
  <c r="H25" i="27"/>
  <c r="B26" i="27"/>
  <c r="A26" i="27"/>
  <c r="D26" i="27"/>
  <c r="E26" i="27"/>
  <c r="F26" i="27"/>
  <c r="G26" i="27"/>
  <c r="H26" i="27"/>
  <c r="B27" i="27"/>
  <c r="A27" i="27"/>
  <c r="D27" i="27"/>
  <c r="E27" i="27"/>
  <c r="F27" i="27"/>
  <c r="G27" i="27"/>
  <c r="H27" i="27"/>
  <c r="B28" i="27"/>
  <c r="A28" i="27"/>
  <c r="D28" i="27"/>
  <c r="E28" i="27"/>
  <c r="F28" i="27"/>
  <c r="G28" i="27"/>
  <c r="H28" i="27"/>
  <c r="B29" i="27"/>
  <c r="A29" i="27"/>
  <c r="D29" i="27"/>
  <c r="E29" i="27"/>
  <c r="F29" i="27"/>
  <c r="G29" i="27"/>
  <c r="H29" i="27"/>
  <c r="B30" i="27"/>
  <c r="A30" i="27"/>
  <c r="D30" i="27"/>
  <c r="E30" i="27"/>
  <c r="F30" i="27"/>
  <c r="G30" i="27"/>
  <c r="H30" i="27"/>
  <c r="B31" i="27"/>
  <c r="A31" i="27"/>
  <c r="D31" i="27"/>
  <c r="E31" i="27"/>
  <c r="F31" i="27"/>
  <c r="G31" i="27"/>
  <c r="H31" i="27"/>
  <c r="B32" i="27"/>
  <c r="A32" i="27"/>
  <c r="D32" i="27"/>
  <c r="E32" i="27"/>
  <c r="F32" i="27"/>
  <c r="G32" i="27"/>
  <c r="H32" i="27"/>
  <c r="B33" i="27"/>
  <c r="A33" i="27"/>
  <c r="D33" i="27"/>
  <c r="E33" i="27"/>
  <c r="F33" i="27"/>
  <c r="G33" i="27"/>
  <c r="H33" i="27"/>
  <c r="B34" i="27"/>
  <c r="A34" i="27"/>
  <c r="D34" i="27"/>
  <c r="E34" i="27"/>
  <c r="F34" i="27"/>
  <c r="G34" i="27"/>
  <c r="H34" i="27"/>
  <c r="B35" i="27"/>
  <c r="A35" i="27"/>
  <c r="D35" i="27"/>
  <c r="E35" i="27"/>
  <c r="F35" i="27"/>
  <c r="G35" i="27"/>
  <c r="H35" i="27"/>
  <c r="B36" i="27"/>
  <c r="A36" i="27"/>
  <c r="D36" i="27"/>
  <c r="E36" i="27"/>
  <c r="F36" i="27"/>
  <c r="G36" i="27"/>
  <c r="H36" i="27"/>
  <c r="B37" i="27"/>
  <c r="A37" i="27"/>
  <c r="D37" i="27"/>
  <c r="E37" i="27"/>
  <c r="F37" i="27"/>
  <c r="G37" i="27"/>
  <c r="H37" i="27"/>
  <c r="B38" i="27"/>
  <c r="A38" i="27"/>
  <c r="D38" i="27"/>
  <c r="E38" i="27"/>
  <c r="F38" i="27"/>
  <c r="G38" i="27"/>
  <c r="H38" i="27"/>
  <c r="B39" i="27"/>
  <c r="A39" i="27"/>
  <c r="D39" i="27"/>
  <c r="E39" i="27"/>
  <c r="F39" i="27"/>
  <c r="G39" i="27"/>
  <c r="H39" i="27"/>
  <c r="B40" i="27"/>
  <c r="A40" i="27"/>
  <c r="D40" i="27"/>
  <c r="E40" i="27"/>
  <c r="F40" i="27"/>
  <c r="G40" i="27"/>
  <c r="H40" i="27"/>
  <c r="B41" i="27"/>
  <c r="A41" i="27"/>
  <c r="D41" i="27"/>
  <c r="E41" i="27"/>
  <c r="F41" i="27"/>
  <c r="G41" i="27"/>
  <c r="H41" i="27"/>
  <c r="B42" i="27"/>
  <c r="A42" i="27"/>
  <c r="D42" i="27"/>
  <c r="E42" i="27"/>
  <c r="F42" i="27"/>
  <c r="G42" i="27"/>
  <c r="H42" i="27"/>
  <c r="B43" i="27"/>
  <c r="A43" i="27"/>
  <c r="D43" i="27"/>
  <c r="E43" i="27"/>
  <c r="F43" i="27"/>
  <c r="G43" i="27"/>
  <c r="H43" i="27"/>
  <c r="B44" i="27"/>
  <c r="A44" i="27"/>
  <c r="D44" i="27"/>
  <c r="E44" i="27"/>
  <c r="F44" i="27"/>
  <c r="G44" i="27"/>
  <c r="H44" i="27"/>
  <c r="B45" i="27"/>
  <c r="A45" i="27"/>
  <c r="D45" i="27"/>
  <c r="E45" i="27"/>
  <c r="F45" i="27"/>
  <c r="G45" i="27"/>
  <c r="H45" i="27"/>
  <c r="B46" i="27"/>
  <c r="A46" i="27"/>
  <c r="D46" i="27"/>
  <c r="E46" i="27"/>
  <c r="F46" i="27"/>
  <c r="G46" i="27"/>
  <c r="H46" i="27"/>
  <c r="B47" i="27"/>
  <c r="A47" i="27"/>
  <c r="D47" i="27"/>
  <c r="E47" i="27"/>
  <c r="F47" i="27"/>
  <c r="G47" i="27"/>
  <c r="H47" i="27"/>
  <c r="B48" i="27"/>
  <c r="A48" i="27"/>
  <c r="D48" i="27"/>
  <c r="E48" i="27"/>
  <c r="F48" i="27"/>
  <c r="G48" i="27"/>
  <c r="H48" i="27"/>
  <c r="B49" i="27"/>
  <c r="A49" i="27"/>
  <c r="D49" i="27"/>
  <c r="E49" i="27"/>
  <c r="F49" i="27"/>
  <c r="G49" i="27"/>
  <c r="H49" i="27"/>
  <c r="B50" i="27"/>
  <c r="A50" i="27"/>
  <c r="D50" i="27"/>
  <c r="E50" i="27"/>
  <c r="F50" i="27"/>
  <c r="G50" i="27"/>
  <c r="H50" i="27"/>
  <c r="B51" i="27"/>
  <c r="A51" i="27"/>
  <c r="D51" i="27"/>
  <c r="E51" i="27"/>
  <c r="F51" i="27"/>
  <c r="G51" i="27"/>
  <c r="H51" i="27"/>
  <c r="B52" i="27"/>
  <c r="A52" i="27"/>
  <c r="D52" i="27"/>
  <c r="E52" i="27"/>
  <c r="F52" i="27"/>
  <c r="G52" i="27"/>
  <c r="H52" i="27"/>
  <c r="B53" i="27"/>
  <c r="A53" i="27"/>
  <c r="D53" i="27"/>
  <c r="E53" i="27"/>
  <c r="F53" i="27"/>
  <c r="G53" i="27"/>
  <c r="H53" i="27"/>
  <c r="B54" i="27"/>
  <c r="A54" i="27"/>
  <c r="D54" i="27"/>
  <c r="E54" i="27"/>
  <c r="F54" i="27"/>
  <c r="G54" i="27"/>
  <c r="H54" i="27"/>
  <c r="B55" i="27"/>
  <c r="A55" i="27"/>
  <c r="D55" i="27"/>
  <c r="E55" i="27"/>
  <c r="F55" i="27"/>
  <c r="G55" i="27"/>
  <c r="H55" i="27"/>
  <c r="B56" i="27"/>
  <c r="A56" i="27"/>
  <c r="D56" i="27"/>
  <c r="E56" i="27"/>
  <c r="F56" i="27"/>
  <c r="G56" i="27"/>
  <c r="H56" i="27"/>
  <c r="B57" i="27"/>
  <c r="A57" i="27"/>
  <c r="D57" i="27"/>
  <c r="E57" i="27"/>
  <c r="F57" i="27"/>
  <c r="G57" i="27"/>
  <c r="H57" i="27"/>
  <c r="B58" i="27"/>
  <c r="A58" i="27"/>
  <c r="D58" i="27"/>
  <c r="E58" i="27"/>
  <c r="F58" i="27"/>
  <c r="G58" i="27"/>
  <c r="H58" i="27"/>
  <c r="B59" i="27"/>
  <c r="A59" i="27"/>
  <c r="D59" i="27"/>
  <c r="E59" i="27"/>
  <c r="F59" i="27"/>
  <c r="G59" i="27"/>
  <c r="H59" i="27"/>
  <c r="B60" i="27"/>
  <c r="A60" i="27"/>
  <c r="D60" i="27"/>
  <c r="E60" i="27"/>
  <c r="F60" i="27"/>
  <c r="G60" i="27"/>
  <c r="H60" i="27"/>
  <c r="B61" i="27"/>
  <c r="A61" i="27"/>
  <c r="D61" i="27"/>
  <c r="E61" i="27"/>
  <c r="F61" i="27"/>
  <c r="G61" i="27"/>
  <c r="H61" i="27"/>
  <c r="B62" i="27"/>
  <c r="A62" i="27"/>
  <c r="D62" i="27"/>
  <c r="E62" i="27"/>
  <c r="F62" i="27"/>
  <c r="G62" i="27"/>
  <c r="H62" i="27"/>
  <c r="B63" i="27"/>
  <c r="A63" i="27"/>
  <c r="D63" i="27"/>
  <c r="E63" i="27"/>
  <c r="F63" i="27"/>
  <c r="G63" i="27"/>
  <c r="H63" i="27"/>
  <c r="B64" i="27"/>
  <c r="A64" i="27"/>
  <c r="D64" i="27"/>
  <c r="E64" i="27"/>
  <c r="F64" i="27"/>
  <c r="G64" i="27"/>
  <c r="H64" i="27"/>
  <c r="B65" i="27"/>
  <c r="A65" i="27"/>
  <c r="D65" i="27"/>
  <c r="E65" i="27"/>
  <c r="F65" i="27"/>
  <c r="G65" i="27"/>
  <c r="H65" i="27"/>
  <c r="B66" i="27"/>
  <c r="A66" i="27"/>
  <c r="D66" i="27"/>
  <c r="E66" i="27"/>
  <c r="F66" i="27"/>
  <c r="G66" i="27"/>
  <c r="H66" i="27"/>
  <c r="B67" i="27"/>
  <c r="A67" i="27"/>
  <c r="D67" i="27"/>
  <c r="E67" i="27"/>
  <c r="F67" i="27"/>
  <c r="G67" i="27"/>
  <c r="H67" i="27"/>
  <c r="B68" i="27"/>
  <c r="A68" i="27"/>
  <c r="D68" i="27"/>
  <c r="E68" i="27"/>
  <c r="F68" i="27"/>
  <c r="G68" i="27"/>
  <c r="H68" i="27"/>
  <c r="B69" i="27"/>
  <c r="A69" i="27"/>
  <c r="D69" i="27"/>
  <c r="E69" i="27"/>
  <c r="F69" i="27"/>
  <c r="G69" i="27"/>
  <c r="H69" i="27"/>
  <c r="B70" i="27"/>
  <c r="A70" i="27"/>
  <c r="D70" i="27"/>
  <c r="E70" i="27"/>
  <c r="F70" i="27"/>
  <c r="G70" i="27"/>
  <c r="H70" i="27"/>
  <c r="B71" i="27"/>
  <c r="A71" i="27"/>
  <c r="D71" i="27"/>
  <c r="E71" i="27"/>
  <c r="F71" i="27"/>
  <c r="G71" i="27"/>
  <c r="H71" i="27"/>
  <c r="B72" i="27"/>
  <c r="A72" i="27"/>
  <c r="D72" i="27"/>
  <c r="E72" i="27"/>
  <c r="F72" i="27"/>
  <c r="G72" i="27"/>
  <c r="H72" i="27"/>
  <c r="B73" i="27"/>
  <c r="A73" i="27"/>
  <c r="D73" i="27"/>
  <c r="E73" i="27"/>
  <c r="F73" i="27"/>
  <c r="G73" i="27"/>
  <c r="H73" i="27"/>
  <c r="G3" i="27"/>
  <c r="D2" i="27"/>
  <c r="E2" i="27"/>
  <c r="F3" i="27"/>
  <c r="H3" i="27"/>
  <c r="G2" i="27"/>
  <c r="H2" i="27"/>
  <c r="B2" i="26"/>
  <c r="B4" i="26"/>
  <c r="A2" i="26"/>
  <c r="A4" i="26"/>
  <c r="D4" i="26"/>
  <c r="E4" i="26"/>
  <c r="B3" i="26"/>
  <c r="A3" i="26"/>
  <c r="D3" i="26"/>
  <c r="E3" i="26"/>
  <c r="F4" i="26"/>
  <c r="G4" i="26"/>
  <c r="H4" i="26"/>
  <c r="B5" i="26"/>
  <c r="A5" i="26"/>
  <c r="D5" i="26"/>
  <c r="E5" i="26"/>
  <c r="F5" i="26"/>
  <c r="G5" i="26"/>
  <c r="H5" i="26"/>
  <c r="B6" i="26"/>
  <c r="A6" i="26"/>
  <c r="D6" i="26"/>
  <c r="E6" i="26"/>
  <c r="F6" i="26"/>
  <c r="G6" i="26"/>
  <c r="H6" i="26"/>
  <c r="B7" i="26"/>
  <c r="A7" i="26"/>
  <c r="D7" i="26"/>
  <c r="E7" i="26"/>
  <c r="F7" i="26"/>
  <c r="G7" i="26"/>
  <c r="H7" i="26"/>
  <c r="B8" i="26"/>
  <c r="A8" i="26"/>
  <c r="D8" i="26"/>
  <c r="E8" i="26"/>
  <c r="F8" i="26"/>
  <c r="G8" i="26"/>
  <c r="H8" i="26"/>
  <c r="B9" i="26"/>
  <c r="A9" i="26"/>
  <c r="D9" i="26"/>
  <c r="E9" i="26"/>
  <c r="F9" i="26"/>
  <c r="G9" i="26"/>
  <c r="H9" i="26"/>
  <c r="B10" i="26"/>
  <c r="A10" i="26"/>
  <c r="D10" i="26"/>
  <c r="E10" i="26"/>
  <c r="F10" i="26"/>
  <c r="G10" i="26"/>
  <c r="H10" i="26"/>
  <c r="B11" i="26"/>
  <c r="A11" i="26"/>
  <c r="D11" i="26"/>
  <c r="E11" i="26"/>
  <c r="F11" i="26"/>
  <c r="G11" i="26"/>
  <c r="H11" i="26"/>
  <c r="B12" i="26"/>
  <c r="A12" i="26"/>
  <c r="D12" i="26"/>
  <c r="E12" i="26"/>
  <c r="F12" i="26"/>
  <c r="G12" i="26"/>
  <c r="H12" i="26"/>
  <c r="B13" i="26"/>
  <c r="A13" i="26"/>
  <c r="D13" i="26"/>
  <c r="E13" i="26"/>
  <c r="F13" i="26"/>
  <c r="G13" i="26"/>
  <c r="H13" i="26"/>
  <c r="B14" i="26"/>
  <c r="A14" i="26"/>
  <c r="D14" i="26"/>
  <c r="E14" i="26"/>
  <c r="F14" i="26"/>
  <c r="G14" i="26"/>
  <c r="H14" i="26"/>
  <c r="B15" i="26"/>
  <c r="A15" i="26"/>
  <c r="D15" i="26"/>
  <c r="E15" i="26"/>
  <c r="F15" i="26"/>
  <c r="G15" i="26"/>
  <c r="H15" i="26"/>
  <c r="B16" i="26"/>
  <c r="A16" i="26"/>
  <c r="D16" i="26"/>
  <c r="E16" i="26"/>
  <c r="F16" i="26"/>
  <c r="G16" i="26"/>
  <c r="H16" i="26"/>
  <c r="B17" i="26"/>
  <c r="A17" i="26"/>
  <c r="D17" i="26"/>
  <c r="E17" i="26"/>
  <c r="F17" i="26"/>
  <c r="G17" i="26"/>
  <c r="H17" i="26"/>
  <c r="B18" i="26"/>
  <c r="A18" i="26"/>
  <c r="D18" i="26"/>
  <c r="E18" i="26"/>
  <c r="F18" i="26"/>
  <c r="G18" i="26"/>
  <c r="H18" i="26"/>
  <c r="B19" i="26"/>
  <c r="A19" i="26"/>
  <c r="D19" i="26"/>
  <c r="E19" i="26"/>
  <c r="F19" i="26"/>
  <c r="G19" i="26"/>
  <c r="H19" i="26"/>
  <c r="B20" i="26"/>
  <c r="A20" i="26"/>
  <c r="D20" i="26"/>
  <c r="E20" i="26"/>
  <c r="F20" i="26"/>
  <c r="G20" i="26"/>
  <c r="H20" i="26"/>
  <c r="B21" i="26"/>
  <c r="A21" i="26"/>
  <c r="D21" i="26"/>
  <c r="E21" i="26"/>
  <c r="F21" i="26"/>
  <c r="G21" i="26"/>
  <c r="H21" i="26"/>
  <c r="B22" i="26"/>
  <c r="A22" i="26"/>
  <c r="D22" i="26"/>
  <c r="E22" i="26"/>
  <c r="F22" i="26"/>
  <c r="G22" i="26"/>
  <c r="H22" i="26"/>
  <c r="B23" i="26"/>
  <c r="A23" i="26"/>
  <c r="D23" i="26"/>
  <c r="E23" i="26"/>
  <c r="F23" i="26"/>
  <c r="G23" i="26"/>
  <c r="H23" i="26"/>
  <c r="B24" i="26"/>
  <c r="A24" i="26"/>
  <c r="D24" i="26"/>
  <c r="E24" i="26"/>
  <c r="F24" i="26"/>
  <c r="G24" i="26"/>
  <c r="H24" i="26"/>
  <c r="B25" i="26"/>
  <c r="A25" i="26"/>
  <c r="D25" i="26"/>
  <c r="E25" i="26"/>
  <c r="F25" i="26"/>
  <c r="G25" i="26"/>
  <c r="H25" i="26"/>
  <c r="B26" i="26"/>
  <c r="A26" i="26"/>
  <c r="D26" i="26"/>
  <c r="E26" i="26"/>
  <c r="F26" i="26"/>
  <c r="G26" i="26"/>
  <c r="H26" i="26"/>
  <c r="B27" i="26"/>
  <c r="A27" i="26"/>
  <c r="D27" i="26"/>
  <c r="E27" i="26"/>
  <c r="F27" i="26"/>
  <c r="G27" i="26"/>
  <c r="H27" i="26"/>
  <c r="B28" i="26"/>
  <c r="A28" i="26"/>
  <c r="D28" i="26"/>
  <c r="E28" i="26"/>
  <c r="F28" i="26"/>
  <c r="G28" i="26"/>
  <c r="H28" i="26"/>
  <c r="B29" i="26"/>
  <c r="A29" i="26"/>
  <c r="D29" i="26"/>
  <c r="E29" i="26"/>
  <c r="F29" i="26"/>
  <c r="G29" i="26"/>
  <c r="H29" i="26"/>
  <c r="B30" i="26"/>
  <c r="A30" i="26"/>
  <c r="D30" i="26"/>
  <c r="E30" i="26"/>
  <c r="F30" i="26"/>
  <c r="G30" i="26"/>
  <c r="H30" i="26"/>
  <c r="B31" i="26"/>
  <c r="A31" i="26"/>
  <c r="D31" i="26"/>
  <c r="E31" i="26"/>
  <c r="F31" i="26"/>
  <c r="G31" i="26"/>
  <c r="H31" i="26"/>
  <c r="B32" i="26"/>
  <c r="A32" i="26"/>
  <c r="D32" i="26"/>
  <c r="E32" i="26"/>
  <c r="F32" i="26"/>
  <c r="G32" i="26"/>
  <c r="H32" i="26"/>
  <c r="B33" i="26"/>
  <c r="A33" i="26"/>
  <c r="D33" i="26"/>
  <c r="E33" i="26"/>
  <c r="F33" i="26"/>
  <c r="G33" i="26"/>
  <c r="H33" i="26"/>
  <c r="B34" i="26"/>
  <c r="A34" i="26"/>
  <c r="D34" i="26"/>
  <c r="E34" i="26"/>
  <c r="F34" i="26"/>
  <c r="G34" i="26"/>
  <c r="H34" i="26"/>
  <c r="B35" i="26"/>
  <c r="A35" i="26"/>
  <c r="D35" i="26"/>
  <c r="E35" i="26"/>
  <c r="F35" i="26"/>
  <c r="G35" i="26"/>
  <c r="H35" i="26"/>
  <c r="B36" i="26"/>
  <c r="A36" i="26"/>
  <c r="D36" i="26"/>
  <c r="E36" i="26"/>
  <c r="F36" i="26"/>
  <c r="G36" i="26"/>
  <c r="H36" i="26"/>
  <c r="B37" i="26"/>
  <c r="A37" i="26"/>
  <c r="D37" i="26"/>
  <c r="E37" i="26"/>
  <c r="F37" i="26"/>
  <c r="G37" i="26"/>
  <c r="H37" i="26"/>
  <c r="B38" i="26"/>
  <c r="A38" i="26"/>
  <c r="D38" i="26"/>
  <c r="E38" i="26"/>
  <c r="F38" i="26"/>
  <c r="G38" i="26"/>
  <c r="H38" i="26"/>
  <c r="B39" i="26"/>
  <c r="A39" i="26"/>
  <c r="D39" i="26"/>
  <c r="E39" i="26"/>
  <c r="F39" i="26"/>
  <c r="G39" i="26"/>
  <c r="H39" i="26"/>
  <c r="B40" i="26"/>
  <c r="A40" i="26"/>
  <c r="D40" i="26"/>
  <c r="E40" i="26"/>
  <c r="F40" i="26"/>
  <c r="G40" i="26"/>
  <c r="H40" i="26"/>
  <c r="B41" i="26"/>
  <c r="A41" i="26"/>
  <c r="D41" i="26"/>
  <c r="E41" i="26"/>
  <c r="F41" i="26"/>
  <c r="G41" i="26"/>
  <c r="H41" i="26"/>
  <c r="B42" i="26"/>
  <c r="A42" i="26"/>
  <c r="D42" i="26"/>
  <c r="E42" i="26"/>
  <c r="F42" i="26"/>
  <c r="G42" i="26"/>
  <c r="H42" i="26"/>
  <c r="B43" i="26"/>
  <c r="A43" i="26"/>
  <c r="D43" i="26"/>
  <c r="E43" i="26"/>
  <c r="F43" i="26"/>
  <c r="G43" i="26"/>
  <c r="H43" i="26"/>
  <c r="B44" i="26"/>
  <c r="A44" i="26"/>
  <c r="D44" i="26"/>
  <c r="E44" i="26"/>
  <c r="F44" i="26"/>
  <c r="G44" i="26"/>
  <c r="H44" i="26"/>
  <c r="B45" i="26"/>
  <c r="A45" i="26"/>
  <c r="D45" i="26"/>
  <c r="E45" i="26"/>
  <c r="F45" i="26"/>
  <c r="G45" i="26"/>
  <c r="H45" i="26"/>
  <c r="B46" i="26"/>
  <c r="A46" i="26"/>
  <c r="D46" i="26"/>
  <c r="E46" i="26"/>
  <c r="F46" i="26"/>
  <c r="G46" i="26"/>
  <c r="H46" i="26"/>
  <c r="B47" i="26"/>
  <c r="A47" i="26"/>
  <c r="D47" i="26"/>
  <c r="E47" i="26"/>
  <c r="F47" i="26"/>
  <c r="G47" i="26"/>
  <c r="H47" i="26"/>
  <c r="B48" i="26"/>
  <c r="A48" i="26"/>
  <c r="D48" i="26"/>
  <c r="E48" i="26"/>
  <c r="F48" i="26"/>
  <c r="G48" i="26"/>
  <c r="H48" i="26"/>
  <c r="B49" i="26"/>
  <c r="A49" i="26"/>
  <c r="D49" i="26"/>
  <c r="E49" i="26"/>
  <c r="F49" i="26"/>
  <c r="G49" i="26"/>
  <c r="H49" i="26"/>
  <c r="B50" i="26"/>
  <c r="A50" i="26"/>
  <c r="D50" i="26"/>
  <c r="E50" i="26"/>
  <c r="F50" i="26"/>
  <c r="G50" i="26"/>
  <c r="H50" i="26"/>
  <c r="B51" i="26"/>
  <c r="A51" i="26"/>
  <c r="D51" i="26"/>
  <c r="E51" i="26"/>
  <c r="F51" i="26"/>
  <c r="G51" i="26"/>
  <c r="H51" i="26"/>
  <c r="B52" i="26"/>
  <c r="A52" i="26"/>
  <c r="D52" i="26"/>
  <c r="E52" i="26"/>
  <c r="F52" i="26"/>
  <c r="G52" i="26"/>
  <c r="H52" i="26"/>
  <c r="B53" i="26"/>
  <c r="A53" i="26"/>
  <c r="D53" i="26"/>
  <c r="E53" i="26"/>
  <c r="F53" i="26"/>
  <c r="G53" i="26"/>
  <c r="H53" i="26"/>
  <c r="B54" i="26"/>
  <c r="A54" i="26"/>
  <c r="D54" i="26"/>
  <c r="E54" i="26"/>
  <c r="F54" i="26"/>
  <c r="G54" i="26"/>
  <c r="H54" i="26"/>
  <c r="B55" i="26"/>
  <c r="A55" i="26"/>
  <c r="D55" i="26"/>
  <c r="E55" i="26"/>
  <c r="F55" i="26"/>
  <c r="G55" i="26"/>
  <c r="H55" i="26"/>
  <c r="B56" i="26"/>
  <c r="A56" i="26"/>
  <c r="D56" i="26"/>
  <c r="E56" i="26"/>
  <c r="F56" i="26"/>
  <c r="G56" i="26"/>
  <c r="H56" i="26"/>
  <c r="B57" i="26"/>
  <c r="A57" i="26"/>
  <c r="D57" i="26"/>
  <c r="E57" i="26"/>
  <c r="F57" i="26"/>
  <c r="G57" i="26"/>
  <c r="H57" i="26"/>
  <c r="B58" i="26"/>
  <c r="A58" i="26"/>
  <c r="D58" i="26"/>
  <c r="E58" i="26"/>
  <c r="F58" i="26"/>
  <c r="G58" i="26"/>
  <c r="H58" i="26"/>
  <c r="B59" i="26"/>
  <c r="A59" i="26"/>
  <c r="D59" i="26"/>
  <c r="E59" i="26"/>
  <c r="F59" i="26"/>
  <c r="G59" i="26"/>
  <c r="H59" i="26"/>
  <c r="B60" i="26"/>
  <c r="A60" i="26"/>
  <c r="D60" i="26"/>
  <c r="E60" i="26"/>
  <c r="F60" i="26"/>
  <c r="G60" i="26"/>
  <c r="H60" i="26"/>
  <c r="B61" i="26"/>
  <c r="A61" i="26"/>
  <c r="D61" i="26"/>
  <c r="E61" i="26"/>
  <c r="F61" i="26"/>
  <c r="G61" i="26"/>
  <c r="H61" i="26"/>
  <c r="B62" i="26"/>
  <c r="A62" i="26"/>
  <c r="D62" i="26"/>
  <c r="E62" i="26"/>
  <c r="F62" i="26"/>
  <c r="G62" i="26"/>
  <c r="H62" i="26"/>
  <c r="B63" i="26"/>
  <c r="A63" i="26"/>
  <c r="D63" i="26"/>
  <c r="E63" i="26"/>
  <c r="F63" i="26"/>
  <c r="G63" i="26"/>
  <c r="H63" i="26"/>
  <c r="B64" i="26"/>
  <c r="A64" i="26"/>
  <c r="D64" i="26"/>
  <c r="E64" i="26"/>
  <c r="F64" i="26"/>
  <c r="G64" i="26"/>
  <c r="H64" i="26"/>
  <c r="B65" i="26"/>
  <c r="A65" i="26"/>
  <c r="D65" i="26"/>
  <c r="E65" i="26"/>
  <c r="F65" i="26"/>
  <c r="G65" i="26"/>
  <c r="H65" i="26"/>
  <c r="B66" i="26"/>
  <c r="A66" i="26"/>
  <c r="D66" i="26"/>
  <c r="E66" i="26"/>
  <c r="F66" i="26"/>
  <c r="G66" i="26"/>
  <c r="H66" i="26"/>
  <c r="B67" i="26"/>
  <c r="A67" i="26"/>
  <c r="D67" i="26"/>
  <c r="E67" i="26"/>
  <c r="F67" i="26"/>
  <c r="G67" i="26"/>
  <c r="H67" i="26"/>
  <c r="B68" i="26"/>
  <c r="A68" i="26"/>
  <c r="D68" i="26"/>
  <c r="E68" i="26"/>
  <c r="F68" i="26"/>
  <c r="G68" i="26"/>
  <c r="H68" i="26"/>
  <c r="B69" i="26"/>
  <c r="A69" i="26"/>
  <c r="D69" i="26"/>
  <c r="E69" i="26"/>
  <c r="F69" i="26"/>
  <c r="G69" i="26"/>
  <c r="H69" i="26"/>
  <c r="B70" i="26"/>
  <c r="A70" i="26"/>
  <c r="D70" i="26"/>
  <c r="E70" i="26"/>
  <c r="F70" i="26"/>
  <c r="G70" i="26"/>
  <c r="H70" i="26"/>
  <c r="B71" i="26"/>
  <c r="A71" i="26"/>
  <c r="D71" i="26"/>
  <c r="E71" i="26"/>
  <c r="F71" i="26"/>
  <c r="G71" i="26"/>
  <c r="H71" i="26"/>
  <c r="B72" i="26"/>
  <c r="A72" i="26"/>
  <c r="D72" i="26"/>
  <c r="E72" i="26"/>
  <c r="F72" i="26"/>
  <c r="G72" i="26"/>
  <c r="H72" i="26"/>
  <c r="B73" i="26"/>
  <c r="A73" i="26"/>
  <c r="D73" i="26"/>
  <c r="E73" i="26"/>
  <c r="F73" i="26"/>
  <c r="G73" i="26"/>
  <c r="H73" i="26"/>
  <c r="G3" i="26"/>
  <c r="D2" i="26"/>
  <c r="E2" i="26"/>
  <c r="F3" i="26"/>
  <c r="H3" i="26"/>
  <c r="G2" i="26"/>
  <c r="H2" i="26"/>
  <c r="B2" i="25"/>
  <c r="B4" i="25"/>
  <c r="A2" i="25"/>
  <c r="A4" i="25"/>
  <c r="D4" i="25"/>
  <c r="E4" i="25"/>
  <c r="B3" i="25"/>
  <c r="A3" i="25"/>
  <c r="D3" i="25"/>
  <c r="E3" i="25"/>
  <c r="F4" i="25"/>
  <c r="G4" i="25"/>
  <c r="H4" i="25"/>
  <c r="B5" i="25"/>
  <c r="A5" i="25"/>
  <c r="D5" i="25"/>
  <c r="E5" i="25"/>
  <c r="F5" i="25"/>
  <c r="G5" i="25"/>
  <c r="H5" i="25"/>
  <c r="B6" i="25"/>
  <c r="A6" i="25"/>
  <c r="D6" i="25"/>
  <c r="E6" i="25"/>
  <c r="F6" i="25"/>
  <c r="G6" i="25"/>
  <c r="H6" i="25"/>
  <c r="B7" i="25"/>
  <c r="A7" i="25"/>
  <c r="D7" i="25"/>
  <c r="E7" i="25"/>
  <c r="F7" i="25"/>
  <c r="G7" i="25"/>
  <c r="H7" i="25"/>
  <c r="B8" i="25"/>
  <c r="A8" i="25"/>
  <c r="D8" i="25"/>
  <c r="E8" i="25"/>
  <c r="F8" i="25"/>
  <c r="G8" i="25"/>
  <c r="H8" i="25"/>
  <c r="B9" i="25"/>
  <c r="A9" i="25"/>
  <c r="D9" i="25"/>
  <c r="E9" i="25"/>
  <c r="F9" i="25"/>
  <c r="G9" i="25"/>
  <c r="H9" i="25"/>
  <c r="B10" i="25"/>
  <c r="A10" i="25"/>
  <c r="D10" i="25"/>
  <c r="E10" i="25"/>
  <c r="F10" i="25"/>
  <c r="G10" i="25"/>
  <c r="H10" i="25"/>
  <c r="B11" i="25"/>
  <c r="A11" i="25"/>
  <c r="D11" i="25"/>
  <c r="E11" i="25"/>
  <c r="F11" i="25"/>
  <c r="G11" i="25"/>
  <c r="H11" i="25"/>
  <c r="B12" i="25"/>
  <c r="A12" i="25"/>
  <c r="D12" i="25"/>
  <c r="E12" i="25"/>
  <c r="F12" i="25"/>
  <c r="G12" i="25"/>
  <c r="H12" i="25"/>
  <c r="B13" i="25"/>
  <c r="A13" i="25"/>
  <c r="D13" i="25"/>
  <c r="E13" i="25"/>
  <c r="F13" i="25"/>
  <c r="G13" i="25"/>
  <c r="H13" i="25"/>
  <c r="B14" i="25"/>
  <c r="A14" i="25"/>
  <c r="D14" i="25"/>
  <c r="E14" i="25"/>
  <c r="F14" i="25"/>
  <c r="G14" i="25"/>
  <c r="H14" i="25"/>
  <c r="B15" i="25"/>
  <c r="A15" i="25"/>
  <c r="D15" i="25"/>
  <c r="E15" i="25"/>
  <c r="F15" i="25"/>
  <c r="G15" i="25"/>
  <c r="H15" i="25"/>
  <c r="B16" i="25"/>
  <c r="A16" i="25"/>
  <c r="D16" i="25"/>
  <c r="E16" i="25"/>
  <c r="F16" i="25"/>
  <c r="G16" i="25"/>
  <c r="H16" i="25"/>
  <c r="B17" i="25"/>
  <c r="A17" i="25"/>
  <c r="D17" i="25"/>
  <c r="E17" i="25"/>
  <c r="F17" i="25"/>
  <c r="G17" i="25"/>
  <c r="H17" i="25"/>
  <c r="B18" i="25"/>
  <c r="A18" i="25"/>
  <c r="D18" i="25"/>
  <c r="E18" i="25"/>
  <c r="F18" i="25"/>
  <c r="G18" i="25"/>
  <c r="H18" i="25"/>
  <c r="B19" i="25"/>
  <c r="A19" i="25"/>
  <c r="D19" i="25"/>
  <c r="E19" i="25"/>
  <c r="F19" i="25"/>
  <c r="G19" i="25"/>
  <c r="H19" i="25"/>
  <c r="B20" i="25"/>
  <c r="A20" i="25"/>
  <c r="D20" i="25"/>
  <c r="E20" i="25"/>
  <c r="F20" i="25"/>
  <c r="G20" i="25"/>
  <c r="H20" i="25"/>
  <c r="B21" i="25"/>
  <c r="A21" i="25"/>
  <c r="D21" i="25"/>
  <c r="E21" i="25"/>
  <c r="F21" i="25"/>
  <c r="G21" i="25"/>
  <c r="H21" i="25"/>
  <c r="B22" i="25"/>
  <c r="A22" i="25"/>
  <c r="D22" i="25"/>
  <c r="E22" i="25"/>
  <c r="F22" i="25"/>
  <c r="G22" i="25"/>
  <c r="H22" i="25"/>
  <c r="B23" i="25"/>
  <c r="A23" i="25"/>
  <c r="D23" i="25"/>
  <c r="E23" i="25"/>
  <c r="F23" i="25"/>
  <c r="G23" i="25"/>
  <c r="H23" i="25"/>
  <c r="B24" i="25"/>
  <c r="A24" i="25"/>
  <c r="D24" i="25"/>
  <c r="E24" i="25"/>
  <c r="F24" i="25"/>
  <c r="G24" i="25"/>
  <c r="H24" i="25"/>
  <c r="B25" i="25"/>
  <c r="A25" i="25"/>
  <c r="D25" i="25"/>
  <c r="E25" i="25"/>
  <c r="F25" i="25"/>
  <c r="G25" i="25"/>
  <c r="H25" i="25"/>
  <c r="B26" i="25"/>
  <c r="A26" i="25"/>
  <c r="D26" i="25"/>
  <c r="E26" i="25"/>
  <c r="F26" i="25"/>
  <c r="G26" i="25"/>
  <c r="H26" i="25"/>
  <c r="B27" i="25"/>
  <c r="A27" i="25"/>
  <c r="D27" i="25"/>
  <c r="E27" i="25"/>
  <c r="F27" i="25"/>
  <c r="G27" i="25"/>
  <c r="H27" i="25"/>
  <c r="B28" i="25"/>
  <c r="A28" i="25"/>
  <c r="D28" i="25"/>
  <c r="E28" i="25"/>
  <c r="F28" i="25"/>
  <c r="G28" i="25"/>
  <c r="H28" i="25"/>
  <c r="B29" i="25"/>
  <c r="A29" i="25"/>
  <c r="D29" i="25"/>
  <c r="E29" i="25"/>
  <c r="F29" i="25"/>
  <c r="G29" i="25"/>
  <c r="H29" i="25"/>
  <c r="B30" i="25"/>
  <c r="A30" i="25"/>
  <c r="D30" i="25"/>
  <c r="E30" i="25"/>
  <c r="F30" i="25"/>
  <c r="G30" i="25"/>
  <c r="H30" i="25"/>
  <c r="B31" i="25"/>
  <c r="A31" i="25"/>
  <c r="D31" i="25"/>
  <c r="E31" i="25"/>
  <c r="F31" i="25"/>
  <c r="G31" i="25"/>
  <c r="H31" i="25"/>
  <c r="B32" i="25"/>
  <c r="A32" i="25"/>
  <c r="D32" i="25"/>
  <c r="E32" i="25"/>
  <c r="F32" i="25"/>
  <c r="G32" i="25"/>
  <c r="H32" i="25"/>
  <c r="B33" i="25"/>
  <c r="A33" i="25"/>
  <c r="D33" i="25"/>
  <c r="E33" i="25"/>
  <c r="F33" i="25"/>
  <c r="G33" i="25"/>
  <c r="H33" i="25"/>
  <c r="B34" i="25"/>
  <c r="A34" i="25"/>
  <c r="D34" i="25"/>
  <c r="E34" i="25"/>
  <c r="F34" i="25"/>
  <c r="G34" i="25"/>
  <c r="H34" i="25"/>
  <c r="B35" i="25"/>
  <c r="A35" i="25"/>
  <c r="D35" i="25"/>
  <c r="E35" i="25"/>
  <c r="F35" i="25"/>
  <c r="G35" i="25"/>
  <c r="H35" i="25"/>
  <c r="B36" i="25"/>
  <c r="A36" i="25"/>
  <c r="D36" i="25"/>
  <c r="E36" i="25"/>
  <c r="F36" i="25"/>
  <c r="G36" i="25"/>
  <c r="H36" i="25"/>
  <c r="B37" i="25"/>
  <c r="A37" i="25"/>
  <c r="D37" i="25"/>
  <c r="E37" i="25"/>
  <c r="F37" i="25"/>
  <c r="G37" i="25"/>
  <c r="H37" i="25"/>
  <c r="B38" i="25"/>
  <c r="A38" i="25"/>
  <c r="D38" i="25"/>
  <c r="E38" i="25"/>
  <c r="F38" i="25"/>
  <c r="G38" i="25"/>
  <c r="H38" i="25"/>
  <c r="B39" i="25"/>
  <c r="A39" i="25"/>
  <c r="D39" i="25"/>
  <c r="E39" i="25"/>
  <c r="F39" i="25"/>
  <c r="G39" i="25"/>
  <c r="H39" i="25"/>
  <c r="B40" i="25"/>
  <c r="A40" i="25"/>
  <c r="D40" i="25"/>
  <c r="E40" i="25"/>
  <c r="F40" i="25"/>
  <c r="G40" i="25"/>
  <c r="H40" i="25"/>
  <c r="B41" i="25"/>
  <c r="A41" i="25"/>
  <c r="D41" i="25"/>
  <c r="E41" i="25"/>
  <c r="F41" i="25"/>
  <c r="G41" i="25"/>
  <c r="H41" i="25"/>
  <c r="B42" i="25"/>
  <c r="A42" i="25"/>
  <c r="D42" i="25"/>
  <c r="E42" i="25"/>
  <c r="F42" i="25"/>
  <c r="G42" i="25"/>
  <c r="H42" i="25"/>
  <c r="B43" i="25"/>
  <c r="A43" i="25"/>
  <c r="D43" i="25"/>
  <c r="E43" i="25"/>
  <c r="F43" i="25"/>
  <c r="G43" i="25"/>
  <c r="H43" i="25"/>
  <c r="B44" i="25"/>
  <c r="A44" i="25"/>
  <c r="D44" i="25"/>
  <c r="E44" i="25"/>
  <c r="F44" i="25"/>
  <c r="G44" i="25"/>
  <c r="H44" i="25"/>
  <c r="B45" i="25"/>
  <c r="A45" i="25"/>
  <c r="D45" i="25"/>
  <c r="E45" i="25"/>
  <c r="F45" i="25"/>
  <c r="G45" i="25"/>
  <c r="H45" i="25"/>
  <c r="B46" i="25"/>
  <c r="A46" i="25"/>
  <c r="D46" i="25"/>
  <c r="E46" i="25"/>
  <c r="F46" i="25"/>
  <c r="G46" i="25"/>
  <c r="H46" i="25"/>
  <c r="B47" i="25"/>
  <c r="A47" i="25"/>
  <c r="D47" i="25"/>
  <c r="E47" i="25"/>
  <c r="F47" i="25"/>
  <c r="G47" i="25"/>
  <c r="H47" i="25"/>
  <c r="B48" i="25"/>
  <c r="A48" i="25"/>
  <c r="D48" i="25"/>
  <c r="E48" i="25"/>
  <c r="F48" i="25"/>
  <c r="G48" i="25"/>
  <c r="H48" i="25"/>
  <c r="B49" i="25"/>
  <c r="A49" i="25"/>
  <c r="D49" i="25"/>
  <c r="E49" i="25"/>
  <c r="F49" i="25"/>
  <c r="G49" i="25"/>
  <c r="H49" i="25"/>
  <c r="B50" i="25"/>
  <c r="A50" i="25"/>
  <c r="D50" i="25"/>
  <c r="E50" i="25"/>
  <c r="F50" i="25"/>
  <c r="G50" i="25"/>
  <c r="H50" i="25"/>
  <c r="B51" i="25"/>
  <c r="A51" i="25"/>
  <c r="D51" i="25"/>
  <c r="E51" i="25"/>
  <c r="F51" i="25"/>
  <c r="G51" i="25"/>
  <c r="H51" i="25"/>
  <c r="B52" i="25"/>
  <c r="A52" i="25"/>
  <c r="D52" i="25"/>
  <c r="E52" i="25"/>
  <c r="F52" i="25"/>
  <c r="G52" i="25"/>
  <c r="H52" i="25"/>
  <c r="B53" i="25"/>
  <c r="A53" i="25"/>
  <c r="D53" i="25"/>
  <c r="E53" i="25"/>
  <c r="F53" i="25"/>
  <c r="G53" i="25"/>
  <c r="H53" i="25"/>
  <c r="B54" i="25"/>
  <c r="A54" i="25"/>
  <c r="D54" i="25"/>
  <c r="E54" i="25"/>
  <c r="F54" i="25"/>
  <c r="G54" i="25"/>
  <c r="H54" i="25"/>
  <c r="B55" i="25"/>
  <c r="A55" i="25"/>
  <c r="D55" i="25"/>
  <c r="E55" i="25"/>
  <c r="F55" i="25"/>
  <c r="G55" i="25"/>
  <c r="H55" i="25"/>
  <c r="B56" i="25"/>
  <c r="A56" i="25"/>
  <c r="D56" i="25"/>
  <c r="E56" i="25"/>
  <c r="F56" i="25"/>
  <c r="G56" i="25"/>
  <c r="H56" i="25"/>
  <c r="B57" i="25"/>
  <c r="A57" i="25"/>
  <c r="D57" i="25"/>
  <c r="E57" i="25"/>
  <c r="F57" i="25"/>
  <c r="G57" i="25"/>
  <c r="H57" i="25"/>
  <c r="B58" i="25"/>
  <c r="A58" i="25"/>
  <c r="D58" i="25"/>
  <c r="E58" i="25"/>
  <c r="F58" i="25"/>
  <c r="G58" i="25"/>
  <c r="H58" i="25"/>
  <c r="B59" i="25"/>
  <c r="A59" i="25"/>
  <c r="D59" i="25"/>
  <c r="E59" i="25"/>
  <c r="F59" i="25"/>
  <c r="G59" i="25"/>
  <c r="H59" i="25"/>
  <c r="B60" i="25"/>
  <c r="A60" i="25"/>
  <c r="D60" i="25"/>
  <c r="E60" i="25"/>
  <c r="F60" i="25"/>
  <c r="G60" i="25"/>
  <c r="H60" i="25"/>
  <c r="B61" i="25"/>
  <c r="A61" i="25"/>
  <c r="D61" i="25"/>
  <c r="E61" i="25"/>
  <c r="F61" i="25"/>
  <c r="G61" i="25"/>
  <c r="H61" i="25"/>
  <c r="B62" i="25"/>
  <c r="A62" i="25"/>
  <c r="D62" i="25"/>
  <c r="E62" i="25"/>
  <c r="F62" i="25"/>
  <c r="G62" i="25"/>
  <c r="H62" i="25"/>
  <c r="B63" i="25"/>
  <c r="A63" i="25"/>
  <c r="D63" i="25"/>
  <c r="E63" i="25"/>
  <c r="F63" i="25"/>
  <c r="G63" i="25"/>
  <c r="H63" i="25"/>
  <c r="B64" i="25"/>
  <c r="A64" i="25"/>
  <c r="D64" i="25"/>
  <c r="E64" i="25"/>
  <c r="F64" i="25"/>
  <c r="G64" i="25"/>
  <c r="H64" i="25"/>
  <c r="B65" i="25"/>
  <c r="A65" i="25"/>
  <c r="D65" i="25"/>
  <c r="E65" i="25"/>
  <c r="F65" i="25"/>
  <c r="G65" i="25"/>
  <c r="H65" i="25"/>
  <c r="B66" i="25"/>
  <c r="A66" i="25"/>
  <c r="D66" i="25"/>
  <c r="E66" i="25"/>
  <c r="F66" i="25"/>
  <c r="G66" i="25"/>
  <c r="H66" i="25"/>
  <c r="B67" i="25"/>
  <c r="A67" i="25"/>
  <c r="D67" i="25"/>
  <c r="E67" i="25"/>
  <c r="F67" i="25"/>
  <c r="G67" i="25"/>
  <c r="H67" i="25"/>
  <c r="B68" i="25"/>
  <c r="A68" i="25"/>
  <c r="D68" i="25"/>
  <c r="E68" i="25"/>
  <c r="F68" i="25"/>
  <c r="G68" i="25"/>
  <c r="H68" i="25"/>
  <c r="B69" i="25"/>
  <c r="A69" i="25"/>
  <c r="D69" i="25"/>
  <c r="E69" i="25"/>
  <c r="F69" i="25"/>
  <c r="G69" i="25"/>
  <c r="H69" i="25"/>
  <c r="B70" i="25"/>
  <c r="A70" i="25"/>
  <c r="D70" i="25"/>
  <c r="E70" i="25"/>
  <c r="F70" i="25"/>
  <c r="G70" i="25"/>
  <c r="H70" i="25"/>
  <c r="B71" i="25"/>
  <c r="A71" i="25"/>
  <c r="D71" i="25"/>
  <c r="E71" i="25"/>
  <c r="F71" i="25"/>
  <c r="G71" i="25"/>
  <c r="H71" i="25"/>
  <c r="B72" i="25"/>
  <c r="A72" i="25"/>
  <c r="D72" i="25"/>
  <c r="E72" i="25"/>
  <c r="F72" i="25"/>
  <c r="G72" i="25"/>
  <c r="H72" i="25"/>
  <c r="B73" i="25"/>
  <c r="A73" i="25"/>
  <c r="D73" i="25"/>
  <c r="E73" i="25"/>
  <c r="F73" i="25"/>
  <c r="G73" i="25"/>
  <c r="H73" i="25"/>
  <c r="G2" i="25"/>
  <c r="H2" i="25"/>
  <c r="D2" i="25"/>
  <c r="B2" i="24"/>
  <c r="B4" i="24"/>
  <c r="A2" i="24"/>
  <c r="A4" i="24"/>
  <c r="D4" i="24"/>
  <c r="E4" i="24"/>
  <c r="B3" i="24"/>
  <c r="A3" i="24"/>
  <c r="D3" i="24"/>
  <c r="E3" i="24"/>
  <c r="F4" i="24"/>
  <c r="G4" i="24"/>
  <c r="H4" i="24"/>
  <c r="B5" i="24"/>
  <c r="A5" i="24"/>
  <c r="D5" i="24"/>
  <c r="E5" i="24"/>
  <c r="F5" i="24"/>
  <c r="G5" i="24"/>
  <c r="H5" i="24"/>
  <c r="B6" i="24"/>
  <c r="A6" i="24"/>
  <c r="D6" i="24"/>
  <c r="E6" i="24"/>
  <c r="F6" i="24"/>
  <c r="G6" i="24"/>
  <c r="H6" i="24"/>
  <c r="B7" i="24"/>
  <c r="A7" i="24"/>
  <c r="D7" i="24"/>
  <c r="E7" i="24"/>
  <c r="F7" i="24"/>
  <c r="G7" i="24"/>
  <c r="H7" i="24"/>
  <c r="B8" i="24"/>
  <c r="A8" i="24"/>
  <c r="D8" i="24"/>
  <c r="E8" i="24"/>
  <c r="F8" i="24"/>
  <c r="G8" i="24"/>
  <c r="H8" i="24"/>
  <c r="B9" i="24"/>
  <c r="A9" i="24"/>
  <c r="D9" i="24"/>
  <c r="E9" i="24"/>
  <c r="F9" i="24"/>
  <c r="G9" i="24"/>
  <c r="H9" i="24"/>
  <c r="B10" i="24"/>
  <c r="A10" i="24"/>
  <c r="D10" i="24"/>
  <c r="E10" i="24"/>
  <c r="F10" i="24"/>
  <c r="G10" i="24"/>
  <c r="H10" i="24"/>
  <c r="B11" i="24"/>
  <c r="A11" i="24"/>
  <c r="D11" i="24"/>
  <c r="E11" i="24"/>
  <c r="F11" i="24"/>
  <c r="G11" i="24"/>
  <c r="H11" i="24"/>
  <c r="B12" i="24"/>
  <c r="A12" i="24"/>
  <c r="D12" i="24"/>
  <c r="E12" i="24"/>
  <c r="F12" i="24"/>
  <c r="G12" i="24"/>
  <c r="H12" i="24"/>
  <c r="B13" i="24"/>
  <c r="A13" i="24"/>
  <c r="D13" i="24"/>
  <c r="E13" i="24"/>
  <c r="F13" i="24"/>
  <c r="G13" i="24"/>
  <c r="H13" i="24"/>
  <c r="B14" i="24"/>
  <c r="A14" i="24"/>
  <c r="D14" i="24"/>
  <c r="E14" i="24"/>
  <c r="F14" i="24"/>
  <c r="G14" i="24"/>
  <c r="H14" i="24"/>
  <c r="B15" i="24"/>
  <c r="A15" i="24"/>
  <c r="D15" i="24"/>
  <c r="E15" i="24"/>
  <c r="F15" i="24"/>
  <c r="G15" i="24"/>
  <c r="H15" i="24"/>
  <c r="B16" i="24"/>
  <c r="A16" i="24"/>
  <c r="D16" i="24"/>
  <c r="E16" i="24"/>
  <c r="F16" i="24"/>
  <c r="G16" i="24"/>
  <c r="H16" i="24"/>
  <c r="B17" i="24"/>
  <c r="A17" i="24"/>
  <c r="D17" i="24"/>
  <c r="E17" i="24"/>
  <c r="F17" i="24"/>
  <c r="G17" i="24"/>
  <c r="H17" i="24"/>
  <c r="B18" i="24"/>
  <c r="A18" i="24"/>
  <c r="D18" i="24"/>
  <c r="E18" i="24"/>
  <c r="F18" i="24"/>
  <c r="G18" i="24"/>
  <c r="H18" i="24"/>
  <c r="B19" i="24"/>
  <c r="A19" i="24"/>
  <c r="D19" i="24"/>
  <c r="E19" i="24"/>
  <c r="F19" i="24"/>
  <c r="G19" i="24"/>
  <c r="H19" i="24"/>
  <c r="B20" i="24"/>
  <c r="A20" i="24"/>
  <c r="D20" i="24"/>
  <c r="E20" i="24"/>
  <c r="F20" i="24"/>
  <c r="G20" i="24"/>
  <c r="H20" i="24"/>
  <c r="B21" i="24"/>
  <c r="A21" i="24"/>
  <c r="D21" i="24"/>
  <c r="E21" i="24"/>
  <c r="F21" i="24"/>
  <c r="G21" i="24"/>
  <c r="H21" i="24"/>
  <c r="B22" i="24"/>
  <c r="A22" i="24"/>
  <c r="D22" i="24"/>
  <c r="E22" i="24"/>
  <c r="F22" i="24"/>
  <c r="G22" i="24"/>
  <c r="H22" i="24"/>
  <c r="B23" i="24"/>
  <c r="A23" i="24"/>
  <c r="D23" i="24"/>
  <c r="E23" i="24"/>
  <c r="F23" i="24"/>
  <c r="G23" i="24"/>
  <c r="H23" i="24"/>
  <c r="B24" i="24"/>
  <c r="A24" i="24"/>
  <c r="D24" i="24"/>
  <c r="E24" i="24"/>
  <c r="F24" i="24"/>
  <c r="G24" i="24"/>
  <c r="H24" i="24"/>
  <c r="B25" i="24"/>
  <c r="A25" i="24"/>
  <c r="D25" i="24"/>
  <c r="E25" i="24"/>
  <c r="F25" i="24"/>
  <c r="G25" i="24"/>
  <c r="H25" i="24"/>
  <c r="B26" i="24"/>
  <c r="A26" i="24"/>
  <c r="D26" i="24"/>
  <c r="E26" i="24"/>
  <c r="F26" i="24"/>
  <c r="G26" i="24"/>
  <c r="H26" i="24"/>
  <c r="B27" i="24"/>
  <c r="A27" i="24"/>
  <c r="D27" i="24"/>
  <c r="E27" i="24"/>
  <c r="F27" i="24"/>
  <c r="G27" i="24"/>
  <c r="H27" i="24"/>
  <c r="B28" i="24"/>
  <c r="A28" i="24"/>
  <c r="D28" i="24"/>
  <c r="E28" i="24"/>
  <c r="F28" i="24"/>
  <c r="G28" i="24"/>
  <c r="H28" i="24"/>
  <c r="B29" i="24"/>
  <c r="A29" i="24"/>
  <c r="D29" i="24"/>
  <c r="E29" i="24"/>
  <c r="F29" i="24"/>
  <c r="G29" i="24"/>
  <c r="H29" i="24"/>
  <c r="B30" i="24"/>
  <c r="A30" i="24"/>
  <c r="D30" i="24"/>
  <c r="E30" i="24"/>
  <c r="F30" i="24"/>
  <c r="G30" i="24"/>
  <c r="H30" i="24"/>
  <c r="B31" i="24"/>
  <c r="A31" i="24"/>
  <c r="D31" i="24"/>
  <c r="E31" i="24"/>
  <c r="F31" i="24"/>
  <c r="G31" i="24"/>
  <c r="H31" i="24"/>
  <c r="B32" i="24"/>
  <c r="A32" i="24"/>
  <c r="D32" i="24"/>
  <c r="E32" i="24"/>
  <c r="F32" i="24"/>
  <c r="G32" i="24"/>
  <c r="H32" i="24"/>
  <c r="B33" i="24"/>
  <c r="A33" i="24"/>
  <c r="D33" i="24"/>
  <c r="E33" i="24"/>
  <c r="F33" i="24"/>
  <c r="G33" i="24"/>
  <c r="H33" i="24"/>
  <c r="B34" i="24"/>
  <c r="A34" i="24"/>
  <c r="D34" i="24"/>
  <c r="E34" i="24"/>
  <c r="F34" i="24"/>
  <c r="G34" i="24"/>
  <c r="H34" i="24"/>
  <c r="B35" i="24"/>
  <c r="A35" i="24"/>
  <c r="D35" i="24"/>
  <c r="E35" i="24"/>
  <c r="F35" i="24"/>
  <c r="G35" i="24"/>
  <c r="H35" i="24"/>
  <c r="B36" i="24"/>
  <c r="A36" i="24"/>
  <c r="D36" i="24"/>
  <c r="E36" i="24"/>
  <c r="F36" i="24"/>
  <c r="G36" i="24"/>
  <c r="H36" i="24"/>
  <c r="B37" i="24"/>
  <c r="A37" i="24"/>
  <c r="D37" i="24"/>
  <c r="E37" i="24"/>
  <c r="F37" i="24"/>
  <c r="G37" i="24"/>
  <c r="H37" i="24"/>
  <c r="B38" i="24"/>
  <c r="A38" i="24"/>
  <c r="D38" i="24"/>
  <c r="E38" i="24"/>
  <c r="F38" i="24"/>
  <c r="G38" i="24"/>
  <c r="H38" i="24"/>
  <c r="B39" i="24"/>
  <c r="A39" i="24"/>
  <c r="D39" i="24"/>
  <c r="E39" i="24"/>
  <c r="F39" i="24"/>
  <c r="G39" i="24"/>
  <c r="H39" i="24"/>
  <c r="B40" i="24"/>
  <c r="A40" i="24"/>
  <c r="D40" i="24"/>
  <c r="E40" i="24"/>
  <c r="F40" i="24"/>
  <c r="G40" i="24"/>
  <c r="H40" i="24"/>
  <c r="B41" i="24"/>
  <c r="A41" i="24"/>
  <c r="D41" i="24"/>
  <c r="E41" i="24"/>
  <c r="F41" i="24"/>
  <c r="G41" i="24"/>
  <c r="H41" i="24"/>
  <c r="B42" i="24"/>
  <c r="A42" i="24"/>
  <c r="D42" i="24"/>
  <c r="E42" i="24"/>
  <c r="F42" i="24"/>
  <c r="G42" i="24"/>
  <c r="H42" i="24"/>
  <c r="B43" i="24"/>
  <c r="A43" i="24"/>
  <c r="D43" i="24"/>
  <c r="E43" i="24"/>
  <c r="F43" i="24"/>
  <c r="G43" i="24"/>
  <c r="H43" i="24"/>
  <c r="B44" i="24"/>
  <c r="A44" i="24"/>
  <c r="D44" i="24"/>
  <c r="E44" i="24"/>
  <c r="F44" i="24"/>
  <c r="G44" i="24"/>
  <c r="H44" i="24"/>
  <c r="B45" i="24"/>
  <c r="A45" i="24"/>
  <c r="D45" i="24"/>
  <c r="E45" i="24"/>
  <c r="F45" i="24"/>
  <c r="G45" i="24"/>
  <c r="H45" i="24"/>
  <c r="B46" i="24"/>
  <c r="A46" i="24"/>
  <c r="D46" i="24"/>
  <c r="E46" i="24"/>
  <c r="F46" i="24"/>
  <c r="G46" i="24"/>
  <c r="H46" i="24"/>
  <c r="B47" i="24"/>
  <c r="A47" i="24"/>
  <c r="D47" i="24"/>
  <c r="E47" i="24"/>
  <c r="F47" i="24"/>
  <c r="G47" i="24"/>
  <c r="H47" i="24"/>
  <c r="B48" i="24"/>
  <c r="A48" i="24"/>
  <c r="D48" i="24"/>
  <c r="E48" i="24"/>
  <c r="F48" i="24"/>
  <c r="G48" i="24"/>
  <c r="H48" i="24"/>
  <c r="B49" i="24"/>
  <c r="A49" i="24"/>
  <c r="D49" i="24"/>
  <c r="E49" i="24"/>
  <c r="F49" i="24"/>
  <c r="G49" i="24"/>
  <c r="H49" i="24"/>
  <c r="B50" i="24"/>
  <c r="A50" i="24"/>
  <c r="D50" i="24"/>
  <c r="E50" i="24"/>
  <c r="F50" i="24"/>
  <c r="G50" i="24"/>
  <c r="H50" i="24"/>
  <c r="B51" i="24"/>
  <c r="A51" i="24"/>
  <c r="D51" i="24"/>
  <c r="E51" i="24"/>
  <c r="F51" i="24"/>
  <c r="G51" i="24"/>
  <c r="H51" i="24"/>
  <c r="B52" i="24"/>
  <c r="A52" i="24"/>
  <c r="D52" i="24"/>
  <c r="E52" i="24"/>
  <c r="F52" i="24"/>
  <c r="G52" i="24"/>
  <c r="H52" i="24"/>
  <c r="B53" i="24"/>
  <c r="A53" i="24"/>
  <c r="D53" i="24"/>
  <c r="E53" i="24"/>
  <c r="F53" i="24"/>
  <c r="G53" i="24"/>
  <c r="H53" i="24"/>
  <c r="B54" i="24"/>
  <c r="A54" i="24"/>
  <c r="D54" i="24"/>
  <c r="E54" i="24"/>
  <c r="F54" i="24"/>
  <c r="G54" i="24"/>
  <c r="H54" i="24"/>
  <c r="B55" i="24"/>
  <c r="A55" i="24"/>
  <c r="D55" i="24"/>
  <c r="E55" i="24"/>
  <c r="F55" i="24"/>
  <c r="G55" i="24"/>
  <c r="H55" i="24"/>
  <c r="B56" i="24"/>
  <c r="A56" i="24"/>
  <c r="D56" i="24"/>
  <c r="E56" i="24"/>
  <c r="F56" i="24"/>
  <c r="G56" i="24"/>
  <c r="H56" i="24"/>
  <c r="B57" i="24"/>
  <c r="A57" i="24"/>
  <c r="D57" i="24"/>
  <c r="E57" i="24"/>
  <c r="F57" i="24"/>
  <c r="G57" i="24"/>
  <c r="H57" i="24"/>
  <c r="B58" i="24"/>
  <c r="A58" i="24"/>
  <c r="D58" i="24"/>
  <c r="E58" i="24"/>
  <c r="F58" i="24"/>
  <c r="G58" i="24"/>
  <c r="H58" i="24"/>
  <c r="B59" i="24"/>
  <c r="A59" i="24"/>
  <c r="D59" i="24"/>
  <c r="E59" i="24"/>
  <c r="F59" i="24"/>
  <c r="G59" i="24"/>
  <c r="H59" i="24"/>
  <c r="B60" i="24"/>
  <c r="A60" i="24"/>
  <c r="D60" i="24"/>
  <c r="E60" i="24"/>
  <c r="F60" i="24"/>
  <c r="G60" i="24"/>
  <c r="H60" i="24"/>
  <c r="B61" i="24"/>
  <c r="A61" i="24"/>
  <c r="D61" i="24"/>
  <c r="E61" i="24"/>
  <c r="F61" i="24"/>
  <c r="G61" i="24"/>
  <c r="H61" i="24"/>
  <c r="B62" i="24"/>
  <c r="A62" i="24"/>
  <c r="D62" i="24"/>
  <c r="E62" i="24"/>
  <c r="F62" i="24"/>
  <c r="G62" i="24"/>
  <c r="H62" i="24"/>
  <c r="B63" i="24"/>
  <c r="A63" i="24"/>
  <c r="D63" i="24"/>
  <c r="E63" i="24"/>
  <c r="F63" i="24"/>
  <c r="G63" i="24"/>
  <c r="H63" i="24"/>
  <c r="B64" i="24"/>
  <c r="A64" i="24"/>
  <c r="D64" i="24"/>
  <c r="E64" i="24"/>
  <c r="F64" i="24"/>
  <c r="G64" i="24"/>
  <c r="H64" i="24"/>
  <c r="B65" i="24"/>
  <c r="A65" i="24"/>
  <c r="D65" i="24"/>
  <c r="E65" i="24"/>
  <c r="F65" i="24"/>
  <c r="G65" i="24"/>
  <c r="H65" i="24"/>
  <c r="B66" i="24"/>
  <c r="A66" i="24"/>
  <c r="D66" i="24"/>
  <c r="E66" i="24"/>
  <c r="F66" i="24"/>
  <c r="G66" i="24"/>
  <c r="H66" i="24"/>
  <c r="B67" i="24"/>
  <c r="A67" i="24"/>
  <c r="D67" i="24"/>
  <c r="E67" i="24"/>
  <c r="F67" i="24"/>
  <c r="G67" i="24"/>
  <c r="H67" i="24"/>
  <c r="B68" i="24"/>
  <c r="A68" i="24"/>
  <c r="D68" i="24"/>
  <c r="E68" i="24"/>
  <c r="F68" i="24"/>
  <c r="G68" i="24"/>
  <c r="H68" i="24"/>
  <c r="B69" i="24"/>
  <c r="A69" i="24"/>
  <c r="D69" i="24"/>
  <c r="E69" i="24"/>
  <c r="F69" i="24"/>
  <c r="G69" i="24"/>
  <c r="H69" i="24"/>
  <c r="B70" i="24"/>
  <c r="A70" i="24"/>
  <c r="D70" i="24"/>
  <c r="E70" i="24"/>
  <c r="F70" i="24"/>
  <c r="G70" i="24"/>
  <c r="H70" i="24"/>
  <c r="B71" i="24"/>
  <c r="A71" i="24"/>
  <c r="D71" i="24"/>
  <c r="E71" i="24"/>
  <c r="F71" i="24"/>
  <c r="G71" i="24"/>
  <c r="H71" i="24"/>
  <c r="B72" i="24"/>
  <c r="A72" i="24"/>
  <c r="D72" i="24"/>
  <c r="E72" i="24"/>
  <c r="F72" i="24"/>
  <c r="G72" i="24"/>
  <c r="H72" i="24"/>
  <c r="B73" i="24"/>
  <c r="A73" i="24"/>
  <c r="D73" i="24"/>
  <c r="E73" i="24"/>
  <c r="F73" i="24"/>
  <c r="G73" i="24"/>
  <c r="H73" i="24"/>
  <c r="G3" i="24"/>
  <c r="D2" i="24"/>
  <c r="E2" i="24"/>
  <c r="F3" i="24"/>
  <c r="H3" i="24"/>
  <c r="G2" i="24"/>
  <c r="H2" i="24"/>
  <c r="B2" i="23"/>
  <c r="B4" i="23"/>
  <c r="A2" i="23"/>
  <c r="A4" i="23"/>
  <c r="D4" i="23"/>
  <c r="E4" i="23"/>
  <c r="B3" i="23"/>
  <c r="A3" i="23"/>
  <c r="D3" i="23"/>
  <c r="E3" i="23"/>
  <c r="F4" i="23"/>
  <c r="G4" i="23"/>
  <c r="H4" i="23"/>
  <c r="B5" i="23"/>
  <c r="A5" i="23"/>
  <c r="D5" i="23"/>
  <c r="E5" i="23"/>
  <c r="F5" i="23"/>
  <c r="G5" i="23"/>
  <c r="H5" i="23"/>
  <c r="B6" i="23"/>
  <c r="A6" i="23"/>
  <c r="D6" i="23"/>
  <c r="E6" i="23"/>
  <c r="F6" i="23"/>
  <c r="G6" i="23"/>
  <c r="H6" i="23"/>
  <c r="B7" i="23"/>
  <c r="A7" i="23"/>
  <c r="D7" i="23"/>
  <c r="E7" i="23"/>
  <c r="F7" i="23"/>
  <c r="G7" i="23"/>
  <c r="H7" i="23"/>
  <c r="B8" i="23"/>
  <c r="A8" i="23"/>
  <c r="D8" i="23"/>
  <c r="E8" i="23"/>
  <c r="F8" i="23"/>
  <c r="G8" i="23"/>
  <c r="H8" i="23"/>
  <c r="B9" i="23"/>
  <c r="A9" i="23"/>
  <c r="D9" i="23"/>
  <c r="E9" i="23"/>
  <c r="F9" i="23"/>
  <c r="G9" i="23"/>
  <c r="H9" i="23"/>
  <c r="B10" i="23"/>
  <c r="A10" i="23"/>
  <c r="D10" i="23"/>
  <c r="E10" i="23"/>
  <c r="F10" i="23"/>
  <c r="G10" i="23"/>
  <c r="H10" i="23"/>
  <c r="B11" i="23"/>
  <c r="A11" i="23"/>
  <c r="D11" i="23"/>
  <c r="E11" i="23"/>
  <c r="F11" i="23"/>
  <c r="G11" i="23"/>
  <c r="H11" i="23"/>
  <c r="B12" i="23"/>
  <c r="A12" i="23"/>
  <c r="D12" i="23"/>
  <c r="E12" i="23"/>
  <c r="F12" i="23"/>
  <c r="G12" i="23"/>
  <c r="H12" i="23"/>
  <c r="B13" i="23"/>
  <c r="A13" i="23"/>
  <c r="D13" i="23"/>
  <c r="E13" i="23"/>
  <c r="F13" i="23"/>
  <c r="G13" i="23"/>
  <c r="H13" i="23"/>
  <c r="B14" i="23"/>
  <c r="A14" i="23"/>
  <c r="D14" i="23"/>
  <c r="E14" i="23"/>
  <c r="F14" i="23"/>
  <c r="G14" i="23"/>
  <c r="H14" i="23"/>
  <c r="B15" i="23"/>
  <c r="A15" i="23"/>
  <c r="D15" i="23"/>
  <c r="E15" i="23"/>
  <c r="F15" i="23"/>
  <c r="G15" i="23"/>
  <c r="H15" i="23"/>
  <c r="B16" i="23"/>
  <c r="A16" i="23"/>
  <c r="D16" i="23"/>
  <c r="E16" i="23"/>
  <c r="F16" i="23"/>
  <c r="G16" i="23"/>
  <c r="H16" i="23"/>
  <c r="B17" i="23"/>
  <c r="A17" i="23"/>
  <c r="D17" i="23"/>
  <c r="E17" i="23"/>
  <c r="F17" i="23"/>
  <c r="G17" i="23"/>
  <c r="H17" i="23"/>
  <c r="B18" i="23"/>
  <c r="A18" i="23"/>
  <c r="D18" i="23"/>
  <c r="E18" i="23"/>
  <c r="F18" i="23"/>
  <c r="G18" i="23"/>
  <c r="H18" i="23"/>
  <c r="B19" i="23"/>
  <c r="A19" i="23"/>
  <c r="D19" i="23"/>
  <c r="E19" i="23"/>
  <c r="F19" i="23"/>
  <c r="G19" i="23"/>
  <c r="H19" i="23"/>
  <c r="B20" i="23"/>
  <c r="A20" i="23"/>
  <c r="D20" i="23"/>
  <c r="E20" i="23"/>
  <c r="F20" i="23"/>
  <c r="G20" i="23"/>
  <c r="H20" i="23"/>
  <c r="B21" i="23"/>
  <c r="A21" i="23"/>
  <c r="D21" i="23"/>
  <c r="E21" i="23"/>
  <c r="F21" i="23"/>
  <c r="G21" i="23"/>
  <c r="H21" i="23"/>
  <c r="B22" i="23"/>
  <c r="A22" i="23"/>
  <c r="D22" i="23"/>
  <c r="E22" i="23"/>
  <c r="F22" i="23"/>
  <c r="G22" i="23"/>
  <c r="H22" i="23"/>
  <c r="B23" i="23"/>
  <c r="A23" i="23"/>
  <c r="D23" i="23"/>
  <c r="E23" i="23"/>
  <c r="F23" i="23"/>
  <c r="G23" i="23"/>
  <c r="H23" i="23"/>
  <c r="B24" i="23"/>
  <c r="A24" i="23"/>
  <c r="D24" i="23"/>
  <c r="E24" i="23"/>
  <c r="F24" i="23"/>
  <c r="G24" i="23"/>
  <c r="H24" i="23"/>
  <c r="B25" i="23"/>
  <c r="A25" i="23"/>
  <c r="D25" i="23"/>
  <c r="E25" i="23"/>
  <c r="F25" i="23"/>
  <c r="G25" i="23"/>
  <c r="H25" i="23"/>
  <c r="B26" i="23"/>
  <c r="A26" i="23"/>
  <c r="D26" i="23"/>
  <c r="E26" i="23"/>
  <c r="F26" i="23"/>
  <c r="G26" i="23"/>
  <c r="H26" i="23"/>
  <c r="B27" i="23"/>
  <c r="A27" i="23"/>
  <c r="D27" i="23"/>
  <c r="E27" i="23"/>
  <c r="F27" i="23"/>
  <c r="G27" i="23"/>
  <c r="H27" i="23"/>
  <c r="B28" i="23"/>
  <c r="A28" i="23"/>
  <c r="D28" i="23"/>
  <c r="E28" i="23"/>
  <c r="F28" i="23"/>
  <c r="G28" i="23"/>
  <c r="H28" i="23"/>
  <c r="B29" i="23"/>
  <c r="A29" i="23"/>
  <c r="D29" i="23"/>
  <c r="E29" i="23"/>
  <c r="F29" i="23"/>
  <c r="G29" i="23"/>
  <c r="H29" i="23"/>
  <c r="B30" i="23"/>
  <c r="A30" i="23"/>
  <c r="D30" i="23"/>
  <c r="E30" i="23"/>
  <c r="F30" i="23"/>
  <c r="G30" i="23"/>
  <c r="H30" i="23"/>
  <c r="B31" i="23"/>
  <c r="A31" i="23"/>
  <c r="D31" i="23"/>
  <c r="E31" i="23"/>
  <c r="F31" i="23"/>
  <c r="G31" i="23"/>
  <c r="H31" i="23"/>
  <c r="B32" i="23"/>
  <c r="A32" i="23"/>
  <c r="D32" i="23"/>
  <c r="E32" i="23"/>
  <c r="F32" i="23"/>
  <c r="G32" i="23"/>
  <c r="H32" i="23"/>
  <c r="B33" i="23"/>
  <c r="A33" i="23"/>
  <c r="D33" i="23"/>
  <c r="E33" i="23"/>
  <c r="F33" i="23"/>
  <c r="G33" i="23"/>
  <c r="H33" i="23"/>
  <c r="B34" i="23"/>
  <c r="A34" i="23"/>
  <c r="D34" i="23"/>
  <c r="E34" i="23"/>
  <c r="F34" i="23"/>
  <c r="G34" i="23"/>
  <c r="H34" i="23"/>
  <c r="B35" i="23"/>
  <c r="A35" i="23"/>
  <c r="D35" i="23"/>
  <c r="E35" i="23"/>
  <c r="F35" i="23"/>
  <c r="G35" i="23"/>
  <c r="H35" i="23"/>
  <c r="B36" i="23"/>
  <c r="A36" i="23"/>
  <c r="D36" i="23"/>
  <c r="E36" i="23"/>
  <c r="F36" i="23"/>
  <c r="G36" i="23"/>
  <c r="H36" i="23"/>
  <c r="B37" i="23"/>
  <c r="A37" i="23"/>
  <c r="D37" i="23"/>
  <c r="E37" i="23"/>
  <c r="F37" i="23"/>
  <c r="G37" i="23"/>
  <c r="H37" i="23"/>
  <c r="B38" i="23"/>
  <c r="A38" i="23"/>
  <c r="D38" i="23"/>
  <c r="E38" i="23"/>
  <c r="F38" i="23"/>
  <c r="G38" i="23"/>
  <c r="H38" i="23"/>
  <c r="B39" i="23"/>
  <c r="A39" i="23"/>
  <c r="D39" i="23"/>
  <c r="E39" i="23"/>
  <c r="F39" i="23"/>
  <c r="G39" i="23"/>
  <c r="H39" i="23"/>
  <c r="B40" i="23"/>
  <c r="A40" i="23"/>
  <c r="D40" i="23"/>
  <c r="E40" i="23"/>
  <c r="F40" i="23"/>
  <c r="G40" i="23"/>
  <c r="H40" i="23"/>
  <c r="B41" i="23"/>
  <c r="A41" i="23"/>
  <c r="D41" i="23"/>
  <c r="E41" i="23"/>
  <c r="F41" i="23"/>
  <c r="G41" i="23"/>
  <c r="H41" i="23"/>
  <c r="B42" i="23"/>
  <c r="A42" i="23"/>
  <c r="D42" i="23"/>
  <c r="E42" i="23"/>
  <c r="F42" i="23"/>
  <c r="G42" i="23"/>
  <c r="H42" i="23"/>
  <c r="B43" i="23"/>
  <c r="A43" i="23"/>
  <c r="D43" i="23"/>
  <c r="E43" i="23"/>
  <c r="F43" i="23"/>
  <c r="G43" i="23"/>
  <c r="H43" i="23"/>
  <c r="B44" i="23"/>
  <c r="A44" i="23"/>
  <c r="D44" i="23"/>
  <c r="E44" i="23"/>
  <c r="F44" i="23"/>
  <c r="G44" i="23"/>
  <c r="H44" i="23"/>
  <c r="B45" i="23"/>
  <c r="A45" i="23"/>
  <c r="D45" i="23"/>
  <c r="E45" i="23"/>
  <c r="F45" i="23"/>
  <c r="G45" i="23"/>
  <c r="H45" i="23"/>
  <c r="B46" i="23"/>
  <c r="A46" i="23"/>
  <c r="D46" i="23"/>
  <c r="E46" i="23"/>
  <c r="F46" i="23"/>
  <c r="G46" i="23"/>
  <c r="H46" i="23"/>
  <c r="B47" i="23"/>
  <c r="A47" i="23"/>
  <c r="D47" i="23"/>
  <c r="E47" i="23"/>
  <c r="F47" i="23"/>
  <c r="G47" i="23"/>
  <c r="H47" i="23"/>
  <c r="B48" i="23"/>
  <c r="A48" i="23"/>
  <c r="D48" i="23"/>
  <c r="E48" i="23"/>
  <c r="F48" i="23"/>
  <c r="G48" i="23"/>
  <c r="H48" i="23"/>
  <c r="B49" i="23"/>
  <c r="A49" i="23"/>
  <c r="D49" i="23"/>
  <c r="E49" i="23"/>
  <c r="F49" i="23"/>
  <c r="G49" i="23"/>
  <c r="H49" i="23"/>
  <c r="B50" i="23"/>
  <c r="A50" i="23"/>
  <c r="D50" i="23"/>
  <c r="E50" i="23"/>
  <c r="F50" i="23"/>
  <c r="G50" i="23"/>
  <c r="H50" i="23"/>
  <c r="B51" i="23"/>
  <c r="A51" i="23"/>
  <c r="D51" i="23"/>
  <c r="E51" i="23"/>
  <c r="F51" i="23"/>
  <c r="G51" i="23"/>
  <c r="H51" i="23"/>
  <c r="B52" i="23"/>
  <c r="A52" i="23"/>
  <c r="D52" i="23"/>
  <c r="E52" i="23"/>
  <c r="F52" i="23"/>
  <c r="G52" i="23"/>
  <c r="H52" i="23"/>
  <c r="B53" i="23"/>
  <c r="A53" i="23"/>
  <c r="D53" i="23"/>
  <c r="E53" i="23"/>
  <c r="F53" i="23"/>
  <c r="G53" i="23"/>
  <c r="H53" i="23"/>
  <c r="B54" i="23"/>
  <c r="A54" i="23"/>
  <c r="D54" i="23"/>
  <c r="E54" i="23"/>
  <c r="F54" i="23"/>
  <c r="G54" i="23"/>
  <c r="H54" i="23"/>
  <c r="B55" i="23"/>
  <c r="A55" i="23"/>
  <c r="D55" i="23"/>
  <c r="E55" i="23"/>
  <c r="F55" i="23"/>
  <c r="G55" i="23"/>
  <c r="H55" i="23"/>
  <c r="B56" i="23"/>
  <c r="A56" i="23"/>
  <c r="D56" i="23"/>
  <c r="E56" i="23"/>
  <c r="F56" i="23"/>
  <c r="G56" i="23"/>
  <c r="H56" i="23"/>
  <c r="B57" i="23"/>
  <c r="A57" i="23"/>
  <c r="D57" i="23"/>
  <c r="E57" i="23"/>
  <c r="F57" i="23"/>
  <c r="G57" i="23"/>
  <c r="H57" i="23"/>
  <c r="B58" i="23"/>
  <c r="A58" i="23"/>
  <c r="D58" i="23"/>
  <c r="E58" i="23"/>
  <c r="F58" i="23"/>
  <c r="G58" i="23"/>
  <c r="H58" i="23"/>
  <c r="B59" i="23"/>
  <c r="A59" i="23"/>
  <c r="D59" i="23"/>
  <c r="E59" i="23"/>
  <c r="F59" i="23"/>
  <c r="G59" i="23"/>
  <c r="H59" i="23"/>
  <c r="B60" i="23"/>
  <c r="A60" i="23"/>
  <c r="D60" i="23"/>
  <c r="E60" i="23"/>
  <c r="F60" i="23"/>
  <c r="G60" i="23"/>
  <c r="H60" i="23"/>
  <c r="B61" i="23"/>
  <c r="A61" i="23"/>
  <c r="D61" i="23"/>
  <c r="E61" i="23"/>
  <c r="F61" i="23"/>
  <c r="G61" i="23"/>
  <c r="H61" i="23"/>
  <c r="B62" i="23"/>
  <c r="A62" i="23"/>
  <c r="D62" i="23"/>
  <c r="E62" i="23"/>
  <c r="F62" i="23"/>
  <c r="G62" i="23"/>
  <c r="H62" i="23"/>
  <c r="B63" i="23"/>
  <c r="A63" i="23"/>
  <c r="D63" i="23"/>
  <c r="E63" i="23"/>
  <c r="F63" i="23"/>
  <c r="G63" i="23"/>
  <c r="H63" i="23"/>
  <c r="B64" i="23"/>
  <c r="A64" i="23"/>
  <c r="D64" i="23"/>
  <c r="E64" i="23"/>
  <c r="F64" i="23"/>
  <c r="G64" i="23"/>
  <c r="H64" i="23"/>
  <c r="B65" i="23"/>
  <c r="A65" i="23"/>
  <c r="D65" i="23"/>
  <c r="E65" i="23"/>
  <c r="F65" i="23"/>
  <c r="G65" i="23"/>
  <c r="H65" i="23"/>
  <c r="B66" i="23"/>
  <c r="A66" i="23"/>
  <c r="D66" i="23"/>
  <c r="E66" i="23"/>
  <c r="F66" i="23"/>
  <c r="G66" i="23"/>
  <c r="H66" i="23"/>
  <c r="B67" i="23"/>
  <c r="A67" i="23"/>
  <c r="D67" i="23"/>
  <c r="E67" i="23"/>
  <c r="F67" i="23"/>
  <c r="G67" i="23"/>
  <c r="H67" i="23"/>
  <c r="B68" i="23"/>
  <c r="A68" i="23"/>
  <c r="D68" i="23"/>
  <c r="E68" i="23"/>
  <c r="F68" i="23"/>
  <c r="G68" i="23"/>
  <c r="H68" i="23"/>
  <c r="B69" i="23"/>
  <c r="A69" i="23"/>
  <c r="D69" i="23"/>
  <c r="E69" i="23"/>
  <c r="F69" i="23"/>
  <c r="G69" i="23"/>
  <c r="H69" i="23"/>
  <c r="B70" i="23"/>
  <c r="A70" i="23"/>
  <c r="D70" i="23"/>
  <c r="E70" i="23"/>
  <c r="F70" i="23"/>
  <c r="G70" i="23"/>
  <c r="H70" i="23"/>
  <c r="B71" i="23"/>
  <c r="A71" i="23"/>
  <c r="D71" i="23"/>
  <c r="E71" i="23"/>
  <c r="F71" i="23"/>
  <c r="G71" i="23"/>
  <c r="H71" i="23"/>
  <c r="B72" i="23"/>
  <c r="A72" i="23"/>
  <c r="D72" i="23"/>
  <c r="E72" i="23"/>
  <c r="F72" i="23"/>
  <c r="G72" i="23"/>
  <c r="H72" i="23"/>
  <c r="B73" i="23"/>
  <c r="A73" i="23"/>
  <c r="D73" i="23"/>
  <c r="E73" i="23"/>
  <c r="F73" i="23"/>
  <c r="G73" i="23"/>
  <c r="H73" i="23"/>
  <c r="B74" i="23"/>
  <c r="A74" i="23"/>
  <c r="D74" i="23"/>
  <c r="E74" i="23"/>
  <c r="F74" i="23"/>
  <c r="G74" i="23"/>
  <c r="H74" i="23"/>
  <c r="B75" i="23"/>
  <c r="A75" i="23"/>
  <c r="D75" i="23"/>
  <c r="E75" i="23"/>
  <c r="F75" i="23"/>
  <c r="G75" i="23"/>
  <c r="H75" i="23"/>
  <c r="B76" i="23"/>
  <c r="A76" i="23"/>
  <c r="D76" i="23"/>
  <c r="E76" i="23"/>
  <c r="F76" i="23"/>
  <c r="G76" i="23"/>
  <c r="H76" i="23"/>
  <c r="B77" i="23"/>
  <c r="A77" i="23"/>
  <c r="D77" i="23"/>
  <c r="E77" i="23"/>
  <c r="F77" i="23"/>
  <c r="G77" i="23"/>
  <c r="H77" i="23"/>
  <c r="B78" i="23"/>
  <c r="A78" i="23"/>
  <c r="D78" i="23"/>
  <c r="E78" i="23"/>
  <c r="F78" i="23"/>
  <c r="G78" i="23"/>
  <c r="H78" i="23"/>
  <c r="G3" i="23"/>
  <c r="D2" i="23"/>
  <c r="E2" i="23"/>
  <c r="F3" i="23"/>
  <c r="H3" i="23"/>
  <c r="G2" i="23"/>
  <c r="H2" i="23"/>
  <c r="B2" i="22"/>
  <c r="B4" i="22"/>
  <c r="A2" i="22"/>
  <c r="A4" i="22"/>
  <c r="D4" i="22"/>
  <c r="E4" i="22"/>
  <c r="B3" i="22"/>
  <c r="A3" i="22"/>
  <c r="D3" i="22"/>
  <c r="E3" i="22"/>
  <c r="F4" i="22"/>
  <c r="G4" i="22"/>
  <c r="H4" i="22"/>
  <c r="B5" i="22"/>
  <c r="A5" i="22"/>
  <c r="D5" i="22"/>
  <c r="E5" i="22"/>
  <c r="F5" i="22"/>
  <c r="G5" i="22"/>
  <c r="H5" i="22"/>
  <c r="B6" i="22"/>
  <c r="A6" i="22"/>
  <c r="D6" i="22"/>
  <c r="E6" i="22"/>
  <c r="F6" i="22"/>
  <c r="G6" i="22"/>
  <c r="H6" i="22"/>
  <c r="B7" i="22"/>
  <c r="A7" i="22"/>
  <c r="D7" i="22"/>
  <c r="E7" i="22"/>
  <c r="F7" i="22"/>
  <c r="G7" i="22"/>
  <c r="H7" i="22"/>
  <c r="B8" i="22"/>
  <c r="A8" i="22"/>
  <c r="D8" i="22"/>
  <c r="E8" i="22"/>
  <c r="F8" i="22"/>
  <c r="G8" i="22"/>
  <c r="H8" i="22"/>
  <c r="B9" i="22"/>
  <c r="A9" i="22"/>
  <c r="D9" i="22"/>
  <c r="E9" i="22"/>
  <c r="F9" i="22"/>
  <c r="G9" i="22"/>
  <c r="H9" i="22"/>
  <c r="B10" i="22"/>
  <c r="A10" i="22"/>
  <c r="D10" i="22"/>
  <c r="E10" i="22"/>
  <c r="F10" i="22"/>
  <c r="G10" i="22"/>
  <c r="H10" i="22"/>
  <c r="B11" i="22"/>
  <c r="A11" i="22"/>
  <c r="D11" i="22"/>
  <c r="E11" i="22"/>
  <c r="F11" i="22"/>
  <c r="G11" i="22"/>
  <c r="H11" i="22"/>
  <c r="B12" i="22"/>
  <c r="A12" i="22"/>
  <c r="D12" i="22"/>
  <c r="E12" i="22"/>
  <c r="F12" i="22"/>
  <c r="G12" i="22"/>
  <c r="H12" i="22"/>
  <c r="B13" i="22"/>
  <c r="A13" i="22"/>
  <c r="D13" i="22"/>
  <c r="E13" i="22"/>
  <c r="F13" i="22"/>
  <c r="G13" i="22"/>
  <c r="H13" i="22"/>
  <c r="B14" i="22"/>
  <c r="A14" i="22"/>
  <c r="D14" i="22"/>
  <c r="E14" i="22"/>
  <c r="F14" i="22"/>
  <c r="G14" i="22"/>
  <c r="H14" i="22"/>
  <c r="B15" i="22"/>
  <c r="A15" i="22"/>
  <c r="D15" i="22"/>
  <c r="E15" i="22"/>
  <c r="F15" i="22"/>
  <c r="G15" i="22"/>
  <c r="H15" i="22"/>
  <c r="B16" i="22"/>
  <c r="A16" i="22"/>
  <c r="D16" i="22"/>
  <c r="E16" i="22"/>
  <c r="F16" i="22"/>
  <c r="G16" i="22"/>
  <c r="H16" i="22"/>
  <c r="B17" i="22"/>
  <c r="A17" i="22"/>
  <c r="D17" i="22"/>
  <c r="E17" i="22"/>
  <c r="F17" i="22"/>
  <c r="G17" i="22"/>
  <c r="H17" i="22"/>
  <c r="B18" i="22"/>
  <c r="A18" i="22"/>
  <c r="D18" i="22"/>
  <c r="E18" i="22"/>
  <c r="F18" i="22"/>
  <c r="G18" i="22"/>
  <c r="H18" i="22"/>
  <c r="B19" i="22"/>
  <c r="A19" i="22"/>
  <c r="D19" i="22"/>
  <c r="E19" i="22"/>
  <c r="F19" i="22"/>
  <c r="G19" i="22"/>
  <c r="H19" i="22"/>
  <c r="B20" i="22"/>
  <c r="A20" i="22"/>
  <c r="D20" i="22"/>
  <c r="E20" i="22"/>
  <c r="F20" i="22"/>
  <c r="G20" i="22"/>
  <c r="H20" i="22"/>
  <c r="B21" i="22"/>
  <c r="A21" i="22"/>
  <c r="D21" i="22"/>
  <c r="E21" i="22"/>
  <c r="F21" i="22"/>
  <c r="G21" i="22"/>
  <c r="H21" i="22"/>
  <c r="B22" i="22"/>
  <c r="A22" i="22"/>
  <c r="D22" i="22"/>
  <c r="E22" i="22"/>
  <c r="F22" i="22"/>
  <c r="G22" i="22"/>
  <c r="H22" i="22"/>
  <c r="B23" i="22"/>
  <c r="A23" i="22"/>
  <c r="D23" i="22"/>
  <c r="E23" i="22"/>
  <c r="F23" i="22"/>
  <c r="G23" i="22"/>
  <c r="H23" i="22"/>
  <c r="B24" i="22"/>
  <c r="A24" i="22"/>
  <c r="D24" i="22"/>
  <c r="E24" i="22"/>
  <c r="F24" i="22"/>
  <c r="G24" i="22"/>
  <c r="H24" i="22"/>
  <c r="B25" i="22"/>
  <c r="A25" i="22"/>
  <c r="D25" i="22"/>
  <c r="E25" i="22"/>
  <c r="F25" i="22"/>
  <c r="G25" i="22"/>
  <c r="H25" i="22"/>
  <c r="B26" i="22"/>
  <c r="A26" i="22"/>
  <c r="D26" i="22"/>
  <c r="E26" i="22"/>
  <c r="F26" i="22"/>
  <c r="G26" i="22"/>
  <c r="H26" i="22"/>
  <c r="B27" i="22"/>
  <c r="A27" i="22"/>
  <c r="D27" i="22"/>
  <c r="E27" i="22"/>
  <c r="F27" i="22"/>
  <c r="G27" i="22"/>
  <c r="H27" i="22"/>
  <c r="B28" i="22"/>
  <c r="A28" i="22"/>
  <c r="D28" i="22"/>
  <c r="E28" i="22"/>
  <c r="F28" i="22"/>
  <c r="G28" i="22"/>
  <c r="H28" i="22"/>
  <c r="B29" i="22"/>
  <c r="A29" i="22"/>
  <c r="D29" i="22"/>
  <c r="E29" i="22"/>
  <c r="F29" i="22"/>
  <c r="G29" i="22"/>
  <c r="H29" i="22"/>
  <c r="B30" i="22"/>
  <c r="A30" i="22"/>
  <c r="D30" i="22"/>
  <c r="E30" i="22"/>
  <c r="F30" i="22"/>
  <c r="G30" i="22"/>
  <c r="H30" i="22"/>
  <c r="B31" i="22"/>
  <c r="A31" i="22"/>
  <c r="D31" i="22"/>
  <c r="E31" i="22"/>
  <c r="F31" i="22"/>
  <c r="G31" i="22"/>
  <c r="H31" i="22"/>
  <c r="B32" i="22"/>
  <c r="A32" i="22"/>
  <c r="D32" i="22"/>
  <c r="E32" i="22"/>
  <c r="F32" i="22"/>
  <c r="G32" i="22"/>
  <c r="H32" i="22"/>
  <c r="B33" i="22"/>
  <c r="A33" i="22"/>
  <c r="D33" i="22"/>
  <c r="E33" i="22"/>
  <c r="F33" i="22"/>
  <c r="G33" i="22"/>
  <c r="H33" i="22"/>
  <c r="B34" i="22"/>
  <c r="A34" i="22"/>
  <c r="D34" i="22"/>
  <c r="E34" i="22"/>
  <c r="F34" i="22"/>
  <c r="G34" i="22"/>
  <c r="H34" i="22"/>
  <c r="B35" i="22"/>
  <c r="A35" i="22"/>
  <c r="D35" i="22"/>
  <c r="E35" i="22"/>
  <c r="F35" i="22"/>
  <c r="G35" i="22"/>
  <c r="H35" i="22"/>
  <c r="B36" i="22"/>
  <c r="A36" i="22"/>
  <c r="D36" i="22"/>
  <c r="E36" i="22"/>
  <c r="F36" i="22"/>
  <c r="G36" i="22"/>
  <c r="H36" i="22"/>
  <c r="B37" i="22"/>
  <c r="A37" i="22"/>
  <c r="D37" i="22"/>
  <c r="E37" i="22"/>
  <c r="F37" i="22"/>
  <c r="G37" i="22"/>
  <c r="H37" i="22"/>
  <c r="B38" i="22"/>
  <c r="A38" i="22"/>
  <c r="D38" i="22"/>
  <c r="E38" i="22"/>
  <c r="F38" i="22"/>
  <c r="G38" i="22"/>
  <c r="H38" i="22"/>
  <c r="B39" i="22"/>
  <c r="A39" i="22"/>
  <c r="D39" i="22"/>
  <c r="E39" i="22"/>
  <c r="F39" i="22"/>
  <c r="G39" i="22"/>
  <c r="H39" i="22"/>
  <c r="B40" i="22"/>
  <c r="A40" i="22"/>
  <c r="D40" i="22"/>
  <c r="E40" i="22"/>
  <c r="F40" i="22"/>
  <c r="G40" i="22"/>
  <c r="H40" i="22"/>
  <c r="B41" i="22"/>
  <c r="A41" i="22"/>
  <c r="D41" i="22"/>
  <c r="E41" i="22"/>
  <c r="F41" i="22"/>
  <c r="G41" i="22"/>
  <c r="H41" i="22"/>
  <c r="B42" i="22"/>
  <c r="A42" i="22"/>
  <c r="D42" i="22"/>
  <c r="E42" i="22"/>
  <c r="F42" i="22"/>
  <c r="G42" i="22"/>
  <c r="H42" i="22"/>
  <c r="B43" i="22"/>
  <c r="A43" i="22"/>
  <c r="D43" i="22"/>
  <c r="E43" i="22"/>
  <c r="F43" i="22"/>
  <c r="G43" i="22"/>
  <c r="H43" i="22"/>
  <c r="B44" i="22"/>
  <c r="A44" i="22"/>
  <c r="D44" i="22"/>
  <c r="E44" i="22"/>
  <c r="F44" i="22"/>
  <c r="G44" i="22"/>
  <c r="H44" i="22"/>
  <c r="B45" i="22"/>
  <c r="A45" i="22"/>
  <c r="D45" i="22"/>
  <c r="E45" i="22"/>
  <c r="F45" i="22"/>
  <c r="G45" i="22"/>
  <c r="H45" i="22"/>
  <c r="B46" i="22"/>
  <c r="A46" i="22"/>
  <c r="D46" i="22"/>
  <c r="E46" i="22"/>
  <c r="F46" i="22"/>
  <c r="G46" i="22"/>
  <c r="H46" i="22"/>
  <c r="B47" i="22"/>
  <c r="A47" i="22"/>
  <c r="D47" i="22"/>
  <c r="E47" i="22"/>
  <c r="F47" i="22"/>
  <c r="G47" i="22"/>
  <c r="H47" i="22"/>
  <c r="B48" i="22"/>
  <c r="A48" i="22"/>
  <c r="D48" i="22"/>
  <c r="E48" i="22"/>
  <c r="F48" i="22"/>
  <c r="G48" i="22"/>
  <c r="H48" i="22"/>
  <c r="B49" i="22"/>
  <c r="A49" i="22"/>
  <c r="D49" i="22"/>
  <c r="E49" i="22"/>
  <c r="F49" i="22"/>
  <c r="G49" i="22"/>
  <c r="H49" i="22"/>
  <c r="B50" i="22"/>
  <c r="A50" i="22"/>
  <c r="D50" i="22"/>
  <c r="E50" i="22"/>
  <c r="F50" i="22"/>
  <c r="G50" i="22"/>
  <c r="H50" i="22"/>
  <c r="B51" i="22"/>
  <c r="A51" i="22"/>
  <c r="D51" i="22"/>
  <c r="E51" i="22"/>
  <c r="F51" i="22"/>
  <c r="G51" i="22"/>
  <c r="H51" i="22"/>
  <c r="B52" i="22"/>
  <c r="A52" i="22"/>
  <c r="D52" i="22"/>
  <c r="E52" i="22"/>
  <c r="F52" i="22"/>
  <c r="G52" i="22"/>
  <c r="H52" i="22"/>
  <c r="B53" i="22"/>
  <c r="A53" i="22"/>
  <c r="D53" i="22"/>
  <c r="E53" i="22"/>
  <c r="F53" i="22"/>
  <c r="G53" i="22"/>
  <c r="H53" i="22"/>
  <c r="B54" i="22"/>
  <c r="A54" i="22"/>
  <c r="D54" i="22"/>
  <c r="E54" i="22"/>
  <c r="F54" i="22"/>
  <c r="G54" i="22"/>
  <c r="H54" i="22"/>
  <c r="B55" i="22"/>
  <c r="A55" i="22"/>
  <c r="D55" i="22"/>
  <c r="E55" i="22"/>
  <c r="F55" i="22"/>
  <c r="G55" i="22"/>
  <c r="H55" i="22"/>
  <c r="B56" i="22"/>
  <c r="A56" i="22"/>
  <c r="D56" i="22"/>
  <c r="E56" i="22"/>
  <c r="F56" i="22"/>
  <c r="G56" i="22"/>
  <c r="H56" i="22"/>
  <c r="B57" i="22"/>
  <c r="A57" i="22"/>
  <c r="D57" i="22"/>
  <c r="E57" i="22"/>
  <c r="F57" i="22"/>
  <c r="G57" i="22"/>
  <c r="H57" i="22"/>
  <c r="B58" i="22"/>
  <c r="A58" i="22"/>
  <c r="D58" i="22"/>
  <c r="E58" i="22"/>
  <c r="F58" i="22"/>
  <c r="G58" i="22"/>
  <c r="H58" i="22"/>
  <c r="B59" i="22"/>
  <c r="A59" i="22"/>
  <c r="D59" i="22"/>
  <c r="E59" i="22"/>
  <c r="F59" i="22"/>
  <c r="G59" i="22"/>
  <c r="H59" i="22"/>
  <c r="B60" i="22"/>
  <c r="A60" i="22"/>
  <c r="D60" i="22"/>
  <c r="E60" i="22"/>
  <c r="F60" i="22"/>
  <c r="G60" i="22"/>
  <c r="H60" i="22"/>
  <c r="B61" i="22"/>
  <c r="A61" i="22"/>
  <c r="D61" i="22"/>
  <c r="E61" i="22"/>
  <c r="F61" i="22"/>
  <c r="G61" i="22"/>
  <c r="H61" i="22"/>
  <c r="B62" i="22"/>
  <c r="A62" i="22"/>
  <c r="D62" i="22"/>
  <c r="E62" i="22"/>
  <c r="F62" i="22"/>
  <c r="G62" i="22"/>
  <c r="H62" i="22"/>
  <c r="B63" i="22"/>
  <c r="A63" i="22"/>
  <c r="D63" i="22"/>
  <c r="E63" i="22"/>
  <c r="F63" i="22"/>
  <c r="G63" i="22"/>
  <c r="H63" i="22"/>
  <c r="B64" i="22"/>
  <c r="A64" i="22"/>
  <c r="D64" i="22"/>
  <c r="E64" i="22"/>
  <c r="F64" i="22"/>
  <c r="G64" i="22"/>
  <c r="H64" i="22"/>
  <c r="B65" i="22"/>
  <c r="A65" i="22"/>
  <c r="D65" i="22"/>
  <c r="E65" i="22"/>
  <c r="F65" i="22"/>
  <c r="G65" i="22"/>
  <c r="H65" i="22"/>
  <c r="B66" i="22"/>
  <c r="A66" i="22"/>
  <c r="D66" i="22"/>
  <c r="E66" i="22"/>
  <c r="F66" i="22"/>
  <c r="G66" i="22"/>
  <c r="H66" i="22"/>
  <c r="B67" i="22"/>
  <c r="A67" i="22"/>
  <c r="D67" i="22"/>
  <c r="E67" i="22"/>
  <c r="F67" i="22"/>
  <c r="G67" i="22"/>
  <c r="H67" i="22"/>
  <c r="B68" i="22"/>
  <c r="A68" i="22"/>
  <c r="D68" i="22"/>
  <c r="E68" i="22"/>
  <c r="F68" i="22"/>
  <c r="G68" i="22"/>
  <c r="H68" i="22"/>
  <c r="B69" i="22"/>
  <c r="A69" i="22"/>
  <c r="D69" i="22"/>
  <c r="E69" i="22"/>
  <c r="F69" i="22"/>
  <c r="G69" i="22"/>
  <c r="H69" i="22"/>
  <c r="B70" i="22"/>
  <c r="A70" i="22"/>
  <c r="D70" i="22"/>
  <c r="E70" i="22"/>
  <c r="F70" i="22"/>
  <c r="G70" i="22"/>
  <c r="H70" i="22"/>
  <c r="B71" i="22"/>
  <c r="A71" i="22"/>
  <c r="D71" i="22"/>
  <c r="E71" i="22"/>
  <c r="F71" i="22"/>
  <c r="G71" i="22"/>
  <c r="H71" i="22"/>
  <c r="B72" i="22"/>
  <c r="A72" i="22"/>
  <c r="D72" i="22"/>
  <c r="E72" i="22"/>
  <c r="F72" i="22"/>
  <c r="G72" i="22"/>
  <c r="H72" i="22"/>
  <c r="B73" i="22"/>
  <c r="A73" i="22"/>
  <c r="D73" i="22"/>
  <c r="E73" i="22"/>
  <c r="F73" i="22"/>
  <c r="G73" i="22"/>
  <c r="H73" i="22"/>
  <c r="B74" i="22"/>
  <c r="A74" i="22"/>
  <c r="D74" i="22"/>
  <c r="E74" i="22"/>
  <c r="F74" i="22"/>
  <c r="G74" i="22"/>
  <c r="H74" i="22"/>
  <c r="B75" i="22"/>
  <c r="A75" i="22"/>
  <c r="D75" i="22"/>
  <c r="E75" i="22"/>
  <c r="F75" i="22"/>
  <c r="G75" i="22"/>
  <c r="H75" i="22"/>
  <c r="B76" i="22"/>
  <c r="A76" i="22"/>
  <c r="D76" i="22"/>
  <c r="E76" i="22"/>
  <c r="F76" i="22"/>
  <c r="G76" i="22"/>
  <c r="H76" i="22"/>
  <c r="B77" i="22"/>
  <c r="A77" i="22"/>
  <c r="D77" i="22"/>
  <c r="E77" i="22"/>
  <c r="F77" i="22"/>
  <c r="G77" i="22"/>
  <c r="H77" i="22"/>
  <c r="B78" i="22"/>
  <c r="A78" i="22"/>
  <c r="D78" i="22"/>
  <c r="E78" i="22"/>
  <c r="F78" i="22"/>
  <c r="G78" i="22"/>
  <c r="H78" i="22"/>
  <c r="G2" i="22"/>
  <c r="H2" i="22"/>
  <c r="D2" i="22"/>
  <c r="B2" i="21"/>
  <c r="B4" i="21"/>
  <c r="A2" i="21"/>
  <c r="A4" i="21"/>
  <c r="D4" i="21"/>
  <c r="E4" i="21"/>
  <c r="B3" i="21"/>
  <c r="A3" i="21"/>
  <c r="D3" i="21"/>
  <c r="E3" i="21"/>
  <c r="F4" i="21"/>
  <c r="G4" i="21"/>
  <c r="H4" i="21"/>
  <c r="B5" i="21"/>
  <c r="A5" i="21"/>
  <c r="D5" i="21"/>
  <c r="E5" i="21"/>
  <c r="F5" i="21"/>
  <c r="G5" i="21"/>
  <c r="H5" i="21"/>
  <c r="B6" i="21"/>
  <c r="A6" i="21"/>
  <c r="D6" i="21"/>
  <c r="E6" i="21"/>
  <c r="F6" i="21"/>
  <c r="G6" i="21"/>
  <c r="H6" i="21"/>
  <c r="B7" i="21"/>
  <c r="A7" i="21"/>
  <c r="D7" i="21"/>
  <c r="E7" i="21"/>
  <c r="F7" i="21"/>
  <c r="G7" i="21"/>
  <c r="H7" i="21"/>
  <c r="B8" i="21"/>
  <c r="A8" i="21"/>
  <c r="D8" i="21"/>
  <c r="E8" i="21"/>
  <c r="F8" i="21"/>
  <c r="G8" i="21"/>
  <c r="H8" i="21"/>
  <c r="B9" i="21"/>
  <c r="A9" i="21"/>
  <c r="D9" i="21"/>
  <c r="E9" i="21"/>
  <c r="F9" i="21"/>
  <c r="G9" i="21"/>
  <c r="H9" i="21"/>
  <c r="B10" i="21"/>
  <c r="A10" i="21"/>
  <c r="D10" i="21"/>
  <c r="E10" i="21"/>
  <c r="F10" i="21"/>
  <c r="G10" i="21"/>
  <c r="H10" i="21"/>
  <c r="B11" i="21"/>
  <c r="A11" i="21"/>
  <c r="D11" i="21"/>
  <c r="E11" i="21"/>
  <c r="F11" i="21"/>
  <c r="G11" i="21"/>
  <c r="H11" i="21"/>
  <c r="B12" i="21"/>
  <c r="A12" i="21"/>
  <c r="D12" i="21"/>
  <c r="E12" i="21"/>
  <c r="F12" i="21"/>
  <c r="G12" i="21"/>
  <c r="H12" i="21"/>
  <c r="B13" i="21"/>
  <c r="A13" i="21"/>
  <c r="D13" i="21"/>
  <c r="E13" i="21"/>
  <c r="F13" i="21"/>
  <c r="G13" i="21"/>
  <c r="H13" i="21"/>
  <c r="B14" i="21"/>
  <c r="A14" i="21"/>
  <c r="D14" i="21"/>
  <c r="E14" i="21"/>
  <c r="F14" i="21"/>
  <c r="G14" i="21"/>
  <c r="H14" i="21"/>
  <c r="B15" i="21"/>
  <c r="A15" i="21"/>
  <c r="D15" i="21"/>
  <c r="E15" i="21"/>
  <c r="F15" i="21"/>
  <c r="G15" i="21"/>
  <c r="H15" i="21"/>
  <c r="B16" i="21"/>
  <c r="A16" i="21"/>
  <c r="D16" i="21"/>
  <c r="E16" i="21"/>
  <c r="F16" i="21"/>
  <c r="G16" i="21"/>
  <c r="H16" i="21"/>
  <c r="B17" i="21"/>
  <c r="A17" i="21"/>
  <c r="D17" i="21"/>
  <c r="E17" i="21"/>
  <c r="F17" i="21"/>
  <c r="G17" i="21"/>
  <c r="H17" i="21"/>
  <c r="B18" i="21"/>
  <c r="A18" i="21"/>
  <c r="D18" i="21"/>
  <c r="E18" i="21"/>
  <c r="F18" i="21"/>
  <c r="G18" i="21"/>
  <c r="H18" i="21"/>
  <c r="B19" i="21"/>
  <c r="A19" i="21"/>
  <c r="D19" i="21"/>
  <c r="E19" i="21"/>
  <c r="F19" i="21"/>
  <c r="G19" i="21"/>
  <c r="H19" i="21"/>
  <c r="B20" i="21"/>
  <c r="A20" i="21"/>
  <c r="D20" i="21"/>
  <c r="E20" i="21"/>
  <c r="F20" i="21"/>
  <c r="G20" i="21"/>
  <c r="H20" i="21"/>
  <c r="B21" i="21"/>
  <c r="A21" i="21"/>
  <c r="D21" i="21"/>
  <c r="E21" i="21"/>
  <c r="F21" i="21"/>
  <c r="G21" i="21"/>
  <c r="H21" i="21"/>
  <c r="B22" i="21"/>
  <c r="A22" i="21"/>
  <c r="D22" i="21"/>
  <c r="E22" i="21"/>
  <c r="F22" i="21"/>
  <c r="G22" i="21"/>
  <c r="H22" i="21"/>
  <c r="B23" i="21"/>
  <c r="A23" i="21"/>
  <c r="D23" i="21"/>
  <c r="E23" i="21"/>
  <c r="F23" i="21"/>
  <c r="G23" i="21"/>
  <c r="H23" i="21"/>
  <c r="B24" i="21"/>
  <c r="A24" i="21"/>
  <c r="D24" i="21"/>
  <c r="E24" i="21"/>
  <c r="F24" i="21"/>
  <c r="G24" i="21"/>
  <c r="H24" i="21"/>
  <c r="B25" i="21"/>
  <c r="A25" i="21"/>
  <c r="D25" i="21"/>
  <c r="E25" i="21"/>
  <c r="F25" i="21"/>
  <c r="G25" i="21"/>
  <c r="H25" i="21"/>
  <c r="B26" i="21"/>
  <c r="A26" i="21"/>
  <c r="D26" i="21"/>
  <c r="E26" i="21"/>
  <c r="F26" i="21"/>
  <c r="G26" i="21"/>
  <c r="H26" i="21"/>
  <c r="B27" i="21"/>
  <c r="A27" i="21"/>
  <c r="D27" i="21"/>
  <c r="E27" i="21"/>
  <c r="F27" i="21"/>
  <c r="G27" i="21"/>
  <c r="H27" i="21"/>
  <c r="B28" i="21"/>
  <c r="A28" i="21"/>
  <c r="D28" i="21"/>
  <c r="E28" i="21"/>
  <c r="F28" i="21"/>
  <c r="G28" i="21"/>
  <c r="H28" i="21"/>
  <c r="B29" i="21"/>
  <c r="A29" i="21"/>
  <c r="D29" i="21"/>
  <c r="E29" i="21"/>
  <c r="F29" i="21"/>
  <c r="G29" i="21"/>
  <c r="H29" i="21"/>
  <c r="B30" i="21"/>
  <c r="A30" i="21"/>
  <c r="D30" i="21"/>
  <c r="E30" i="21"/>
  <c r="F30" i="21"/>
  <c r="G30" i="21"/>
  <c r="H30" i="21"/>
  <c r="B31" i="21"/>
  <c r="A31" i="21"/>
  <c r="D31" i="21"/>
  <c r="E31" i="21"/>
  <c r="F31" i="21"/>
  <c r="G31" i="21"/>
  <c r="H31" i="21"/>
  <c r="B32" i="21"/>
  <c r="A32" i="21"/>
  <c r="D32" i="21"/>
  <c r="E32" i="21"/>
  <c r="F32" i="21"/>
  <c r="G32" i="21"/>
  <c r="H32" i="21"/>
  <c r="B33" i="21"/>
  <c r="A33" i="21"/>
  <c r="D33" i="21"/>
  <c r="E33" i="21"/>
  <c r="F33" i="21"/>
  <c r="G33" i="21"/>
  <c r="H33" i="21"/>
  <c r="B34" i="21"/>
  <c r="A34" i="21"/>
  <c r="D34" i="21"/>
  <c r="E34" i="21"/>
  <c r="F34" i="21"/>
  <c r="G34" i="21"/>
  <c r="H34" i="21"/>
  <c r="B35" i="21"/>
  <c r="A35" i="21"/>
  <c r="D35" i="21"/>
  <c r="E35" i="21"/>
  <c r="F35" i="21"/>
  <c r="G35" i="21"/>
  <c r="H35" i="21"/>
  <c r="B36" i="21"/>
  <c r="A36" i="21"/>
  <c r="D36" i="21"/>
  <c r="E36" i="21"/>
  <c r="F36" i="21"/>
  <c r="G36" i="21"/>
  <c r="H36" i="21"/>
  <c r="B37" i="21"/>
  <c r="A37" i="21"/>
  <c r="D37" i="21"/>
  <c r="E37" i="21"/>
  <c r="F37" i="21"/>
  <c r="G37" i="21"/>
  <c r="H37" i="21"/>
  <c r="B38" i="21"/>
  <c r="A38" i="21"/>
  <c r="D38" i="21"/>
  <c r="E38" i="21"/>
  <c r="F38" i="21"/>
  <c r="G38" i="21"/>
  <c r="H38" i="21"/>
  <c r="B39" i="21"/>
  <c r="A39" i="21"/>
  <c r="D39" i="21"/>
  <c r="E39" i="21"/>
  <c r="F39" i="21"/>
  <c r="G39" i="21"/>
  <c r="H39" i="21"/>
  <c r="B40" i="21"/>
  <c r="A40" i="21"/>
  <c r="D40" i="21"/>
  <c r="E40" i="21"/>
  <c r="F40" i="21"/>
  <c r="G40" i="21"/>
  <c r="H40" i="21"/>
  <c r="B41" i="21"/>
  <c r="A41" i="21"/>
  <c r="D41" i="21"/>
  <c r="E41" i="21"/>
  <c r="F41" i="21"/>
  <c r="G41" i="21"/>
  <c r="H41" i="21"/>
  <c r="B42" i="21"/>
  <c r="A42" i="21"/>
  <c r="D42" i="21"/>
  <c r="E42" i="21"/>
  <c r="F42" i="21"/>
  <c r="G42" i="21"/>
  <c r="H42" i="21"/>
  <c r="B43" i="21"/>
  <c r="A43" i="21"/>
  <c r="D43" i="21"/>
  <c r="E43" i="21"/>
  <c r="F43" i="21"/>
  <c r="G43" i="21"/>
  <c r="H43" i="21"/>
  <c r="B44" i="21"/>
  <c r="A44" i="21"/>
  <c r="D44" i="21"/>
  <c r="E44" i="21"/>
  <c r="F44" i="21"/>
  <c r="G44" i="21"/>
  <c r="H44" i="21"/>
  <c r="B45" i="21"/>
  <c r="A45" i="21"/>
  <c r="D45" i="21"/>
  <c r="E45" i="21"/>
  <c r="F45" i="21"/>
  <c r="G45" i="21"/>
  <c r="H45" i="21"/>
  <c r="B46" i="21"/>
  <c r="A46" i="21"/>
  <c r="D46" i="21"/>
  <c r="E46" i="21"/>
  <c r="F46" i="21"/>
  <c r="G46" i="21"/>
  <c r="H46" i="21"/>
  <c r="B47" i="21"/>
  <c r="A47" i="21"/>
  <c r="D47" i="21"/>
  <c r="E47" i="21"/>
  <c r="F47" i="21"/>
  <c r="G47" i="21"/>
  <c r="H47" i="21"/>
  <c r="B48" i="21"/>
  <c r="A48" i="21"/>
  <c r="D48" i="21"/>
  <c r="E48" i="21"/>
  <c r="F48" i="21"/>
  <c r="G48" i="21"/>
  <c r="H48" i="21"/>
  <c r="B49" i="21"/>
  <c r="A49" i="21"/>
  <c r="D49" i="21"/>
  <c r="E49" i="21"/>
  <c r="F49" i="21"/>
  <c r="G49" i="21"/>
  <c r="H49" i="21"/>
  <c r="B50" i="21"/>
  <c r="A50" i="21"/>
  <c r="D50" i="21"/>
  <c r="E50" i="21"/>
  <c r="F50" i="21"/>
  <c r="G50" i="21"/>
  <c r="H50" i="21"/>
  <c r="B51" i="21"/>
  <c r="A51" i="21"/>
  <c r="D51" i="21"/>
  <c r="E51" i="21"/>
  <c r="F51" i="21"/>
  <c r="G51" i="21"/>
  <c r="H51" i="21"/>
  <c r="B52" i="21"/>
  <c r="A52" i="21"/>
  <c r="D52" i="21"/>
  <c r="E52" i="21"/>
  <c r="F52" i="21"/>
  <c r="G52" i="21"/>
  <c r="H52" i="21"/>
  <c r="B53" i="21"/>
  <c r="A53" i="21"/>
  <c r="D53" i="21"/>
  <c r="E53" i="21"/>
  <c r="F53" i="21"/>
  <c r="G53" i="21"/>
  <c r="H53" i="21"/>
  <c r="B54" i="21"/>
  <c r="A54" i="21"/>
  <c r="D54" i="21"/>
  <c r="E54" i="21"/>
  <c r="F54" i="21"/>
  <c r="G54" i="21"/>
  <c r="H54" i="21"/>
  <c r="B55" i="21"/>
  <c r="A55" i="21"/>
  <c r="D55" i="21"/>
  <c r="E55" i="21"/>
  <c r="F55" i="21"/>
  <c r="G55" i="21"/>
  <c r="H55" i="21"/>
  <c r="B56" i="21"/>
  <c r="A56" i="21"/>
  <c r="D56" i="21"/>
  <c r="E56" i="21"/>
  <c r="F56" i="21"/>
  <c r="G56" i="21"/>
  <c r="H56" i="21"/>
  <c r="B57" i="21"/>
  <c r="A57" i="21"/>
  <c r="D57" i="21"/>
  <c r="E57" i="21"/>
  <c r="F57" i="21"/>
  <c r="G57" i="21"/>
  <c r="H57" i="21"/>
  <c r="B58" i="21"/>
  <c r="A58" i="21"/>
  <c r="D58" i="21"/>
  <c r="E58" i="21"/>
  <c r="F58" i="21"/>
  <c r="G58" i="21"/>
  <c r="H58" i="21"/>
  <c r="B59" i="21"/>
  <c r="A59" i="21"/>
  <c r="D59" i="21"/>
  <c r="E59" i="21"/>
  <c r="F59" i="21"/>
  <c r="G59" i="21"/>
  <c r="H59" i="21"/>
  <c r="B60" i="21"/>
  <c r="A60" i="21"/>
  <c r="D60" i="21"/>
  <c r="E60" i="21"/>
  <c r="F60" i="21"/>
  <c r="G60" i="21"/>
  <c r="H60" i="21"/>
  <c r="B61" i="21"/>
  <c r="A61" i="21"/>
  <c r="D61" i="21"/>
  <c r="E61" i="21"/>
  <c r="F61" i="21"/>
  <c r="G61" i="21"/>
  <c r="H61" i="21"/>
  <c r="B62" i="21"/>
  <c r="A62" i="21"/>
  <c r="D62" i="21"/>
  <c r="E62" i="21"/>
  <c r="F62" i="21"/>
  <c r="G62" i="21"/>
  <c r="H62" i="21"/>
  <c r="B63" i="21"/>
  <c r="A63" i="21"/>
  <c r="D63" i="21"/>
  <c r="E63" i="21"/>
  <c r="F63" i="21"/>
  <c r="G63" i="21"/>
  <c r="H63" i="21"/>
  <c r="B64" i="21"/>
  <c r="A64" i="21"/>
  <c r="D64" i="21"/>
  <c r="E64" i="21"/>
  <c r="F64" i="21"/>
  <c r="G64" i="21"/>
  <c r="H64" i="21"/>
  <c r="B65" i="21"/>
  <c r="A65" i="21"/>
  <c r="D65" i="21"/>
  <c r="E65" i="21"/>
  <c r="F65" i="21"/>
  <c r="G65" i="21"/>
  <c r="H65" i="21"/>
  <c r="B66" i="21"/>
  <c r="A66" i="21"/>
  <c r="D66" i="21"/>
  <c r="E66" i="21"/>
  <c r="F66" i="21"/>
  <c r="G66" i="21"/>
  <c r="H66" i="21"/>
  <c r="B67" i="21"/>
  <c r="A67" i="21"/>
  <c r="D67" i="21"/>
  <c r="E67" i="21"/>
  <c r="F67" i="21"/>
  <c r="G67" i="21"/>
  <c r="H67" i="21"/>
  <c r="B68" i="21"/>
  <c r="A68" i="21"/>
  <c r="D68" i="21"/>
  <c r="E68" i="21"/>
  <c r="F68" i="21"/>
  <c r="G68" i="21"/>
  <c r="H68" i="21"/>
  <c r="B69" i="21"/>
  <c r="A69" i="21"/>
  <c r="D69" i="21"/>
  <c r="E69" i="21"/>
  <c r="F69" i="21"/>
  <c r="G69" i="21"/>
  <c r="H69" i="21"/>
  <c r="B70" i="21"/>
  <c r="A70" i="21"/>
  <c r="D70" i="21"/>
  <c r="E70" i="21"/>
  <c r="F70" i="21"/>
  <c r="G70" i="21"/>
  <c r="H70" i="21"/>
  <c r="B71" i="21"/>
  <c r="A71" i="21"/>
  <c r="D71" i="21"/>
  <c r="E71" i="21"/>
  <c r="F71" i="21"/>
  <c r="G71" i="21"/>
  <c r="H71" i="21"/>
  <c r="B72" i="21"/>
  <c r="A72" i="21"/>
  <c r="D72" i="21"/>
  <c r="E72" i="21"/>
  <c r="F72" i="21"/>
  <c r="G72" i="21"/>
  <c r="H72" i="21"/>
  <c r="B73" i="21"/>
  <c r="A73" i="21"/>
  <c r="D73" i="21"/>
  <c r="E73" i="21"/>
  <c r="F73" i="21"/>
  <c r="G73" i="21"/>
  <c r="H73" i="21"/>
  <c r="B74" i="21"/>
  <c r="A74" i="21"/>
  <c r="D74" i="21"/>
  <c r="E74" i="21"/>
  <c r="F74" i="21"/>
  <c r="G74" i="21"/>
  <c r="H74" i="21"/>
  <c r="B75" i="21"/>
  <c r="A75" i="21"/>
  <c r="D75" i="21"/>
  <c r="E75" i="21"/>
  <c r="F75" i="21"/>
  <c r="G75" i="21"/>
  <c r="H75" i="21"/>
  <c r="B76" i="21"/>
  <c r="A76" i="21"/>
  <c r="D76" i="21"/>
  <c r="E76" i="21"/>
  <c r="F76" i="21"/>
  <c r="G76" i="21"/>
  <c r="H76" i="21"/>
  <c r="B77" i="21"/>
  <c r="A77" i="21"/>
  <c r="D77" i="21"/>
  <c r="E77" i="21"/>
  <c r="F77" i="21"/>
  <c r="G77" i="21"/>
  <c r="H77" i="21"/>
  <c r="B78" i="21"/>
  <c r="A78" i="21"/>
  <c r="D78" i="21"/>
  <c r="E78" i="21"/>
  <c r="F78" i="21"/>
  <c r="G78" i="21"/>
  <c r="H78" i="21"/>
  <c r="G3" i="21"/>
  <c r="D2" i="21"/>
  <c r="E2" i="21"/>
  <c r="F3" i="21"/>
  <c r="H3" i="21"/>
  <c r="G2" i="21"/>
  <c r="H2" i="21"/>
  <c r="B2" i="20"/>
  <c r="B4" i="20"/>
  <c r="A2" i="20"/>
  <c r="A4" i="20"/>
  <c r="D4" i="20"/>
  <c r="E4" i="20"/>
  <c r="B3" i="20"/>
  <c r="A3" i="20"/>
  <c r="D3" i="20"/>
  <c r="E3" i="20"/>
  <c r="F4" i="20"/>
  <c r="G4" i="20"/>
  <c r="H4" i="20"/>
  <c r="B5" i="20"/>
  <c r="A5" i="20"/>
  <c r="D5" i="20"/>
  <c r="E5" i="20"/>
  <c r="F5" i="20"/>
  <c r="G5" i="20"/>
  <c r="H5" i="20"/>
  <c r="B6" i="20"/>
  <c r="A6" i="20"/>
  <c r="D6" i="20"/>
  <c r="E6" i="20"/>
  <c r="F6" i="20"/>
  <c r="G6" i="20"/>
  <c r="H6" i="20"/>
  <c r="B7" i="20"/>
  <c r="A7" i="20"/>
  <c r="D7" i="20"/>
  <c r="E7" i="20"/>
  <c r="F7" i="20"/>
  <c r="G7" i="20"/>
  <c r="H7" i="20"/>
  <c r="B8" i="20"/>
  <c r="A8" i="20"/>
  <c r="D8" i="20"/>
  <c r="E8" i="20"/>
  <c r="F8" i="20"/>
  <c r="G8" i="20"/>
  <c r="H8" i="20"/>
  <c r="B9" i="20"/>
  <c r="A9" i="20"/>
  <c r="D9" i="20"/>
  <c r="E9" i="20"/>
  <c r="F9" i="20"/>
  <c r="G9" i="20"/>
  <c r="H9" i="20"/>
  <c r="B10" i="20"/>
  <c r="A10" i="20"/>
  <c r="D10" i="20"/>
  <c r="E10" i="20"/>
  <c r="F10" i="20"/>
  <c r="G10" i="20"/>
  <c r="H10" i="20"/>
  <c r="B11" i="20"/>
  <c r="A11" i="20"/>
  <c r="D11" i="20"/>
  <c r="E11" i="20"/>
  <c r="F11" i="20"/>
  <c r="G11" i="20"/>
  <c r="H11" i="20"/>
  <c r="B12" i="20"/>
  <c r="A12" i="20"/>
  <c r="D12" i="20"/>
  <c r="E12" i="20"/>
  <c r="F12" i="20"/>
  <c r="G12" i="20"/>
  <c r="H12" i="20"/>
  <c r="B13" i="20"/>
  <c r="A13" i="20"/>
  <c r="D13" i="20"/>
  <c r="E13" i="20"/>
  <c r="F13" i="20"/>
  <c r="G13" i="20"/>
  <c r="H13" i="20"/>
  <c r="B14" i="20"/>
  <c r="A14" i="20"/>
  <c r="D14" i="20"/>
  <c r="E14" i="20"/>
  <c r="F14" i="20"/>
  <c r="G14" i="20"/>
  <c r="H14" i="20"/>
  <c r="B15" i="20"/>
  <c r="A15" i="20"/>
  <c r="D15" i="20"/>
  <c r="E15" i="20"/>
  <c r="F15" i="20"/>
  <c r="G15" i="20"/>
  <c r="H15" i="20"/>
  <c r="B16" i="20"/>
  <c r="A16" i="20"/>
  <c r="D16" i="20"/>
  <c r="E16" i="20"/>
  <c r="F16" i="20"/>
  <c r="G16" i="20"/>
  <c r="H16" i="20"/>
  <c r="B17" i="20"/>
  <c r="A17" i="20"/>
  <c r="D17" i="20"/>
  <c r="E17" i="20"/>
  <c r="F17" i="20"/>
  <c r="G17" i="20"/>
  <c r="H17" i="20"/>
  <c r="B18" i="20"/>
  <c r="A18" i="20"/>
  <c r="D18" i="20"/>
  <c r="E18" i="20"/>
  <c r="F18" i="20"/>
  <c r="G18" i="20"/>
  <c r="H18" i="20"/>
  <c r="B19" i="20"/>
  <c r="A19" i="20"/>
  <c r="D19" i="20"/>
  <c r="E19" i="20"/>
  <c r="F19" i="20"/>
  <c r="G19" i="20"/>
  <c r="H19" i="20"/>
  <c r="B20" i="20"/>
  <c r="A20" i="20"/>
  <c r="D20" i="20"/>
  <c r="E20" i="20"/>
  <c r="F20" i="20"/>
  <c r="G20" i="20"/>
  <c r="H20" i="20"/>
  <c r="B21" i="20"/>
  <c r="A21" i="20"/>
  <c r="D21" i="20"/>
  <c r="E21" i="20"/>
  <c r="F21" i="20"/>
  <c r="G21" i="20"/>
  <c r="H21" i="20"/>
  <c r="B22" i="20"/>
  <c r="A22" i="20"/>
  <c r="D22" i="20"/>
  <c r="E22" i="20"/>
  <c r="F22" i="20"/>
  <c r="G22" i="20"/>
  <c r="H22" i="20"/>
  <c r="B23" i="20"/>
  <c r="A23" i="20"/>
  <c r="D23" i="20"/>
  <c r="E23" i="20"/>
  <c r="F23" i="20"/>
  <c r="G23" i="20"/>
  <c r="H23" i="20"/>
  <c r="B24" i="20"/>
  <c r="A24" i="20"/>
  <c r="D24" i="20"/>
  <c r="E24" i="20"/>
  <c r="F24" i="20"/>
  <c r="G24" i="20"/>
  <c r="H24" i="20"/>
  <c r="B25" i="20"/>
  <c r="A25" i="20"/>
  <c r="D25" i="20"/>
  <c r="E25" i="20"/>
  <c r="F25" i="20"/>
  <c r="G25" i="20"/>
  <c r="H25" i="20"/>
  <c r="B26" i="20"/>
  <c r="A26" i="20"/>
  <c r="D26" i="20"/>
  <c r="E26" i="20"/>
  <c r="F26" i="20"/>
  <c r="G26" i="20"/>
  <c r="H26" i="20"/>
  <c r="B27" i="20"/>
  <c r="A27" i="20"/>
  <c r="D27" i="20"/>
  <c r="E27" i="20"/>
  <c r="F27" i="20"/>
  <c r="G27" i="20"/>
  <c r="H27" i="20"/>
  <c r="B28" i="20"/>
  <c r="A28" i="20"/>
  <c r="D28" i="20"/>
  <c r="E28" i="20"/>
  <c r="F28" i="20"/>
  <c r="G28" i="20"/>
  <c r="H28" i="20"/>
  <c r="B29" i="20"/>
  <c r="A29" i="20"/>
  <c r="D29" i="20"/>
  <c r="E29" i="20"/>
  <c r="F29" i="20"/>
  <c r="G29" i="20"/>
  <c r="H29" i="20"/>
  <c r="B30" i="20"/>
  <c r="A30" i="20"/>
  <c r="D30" i="20"/>
  <c r="E30" i="20"/>
  <c r="F30" i="20"/>
  <c r="G30" i="20"/>
  <c r="H30" i="20"/>
  <c r="B31" i="20"/>
  <c r="A31" i="20"/>
  <c r="D31" i="20"/>
  <c r="E31" i="20"/>
  <c r="F31" i="20"/>
  <c r="G31" i="20"/>
  <c r="H31" i="20"/>
  <c r="B32" i="20"/>
  <c r="A32" i="20"/>
  <c r="D32" i="20"/>
  <c r="E32" i="20"/>
  <c r="F32" i="20"/>
  <c r="G32" i="20"/>
  <c r="H32" i="20"/>
  <c r="B33" i="20"/>
  <c r="A33" i="20"/>
  <c r="D33" i="20"/>
  <c r="E33" i="20"/>
  <c r="F33" i="20"/>
  <c r="G33" i="20"/>
  <c r="H33" i="20"/>
  <c r="B34" i="20"/>
  <c r="A34" i="20"/>
  <c r="D34" i="20"/>
  <c r="E34" i="20"/>
  <c r="F34" i="20"/>
  <c r="G34" i="20"/>
  <c r="H34" i="20"/>
  <c r="B35" i="20"/>
  <c r="A35" i="20"/>
  <c r="D35" i="20"/>
  <c r="E35" i="20"/>
  <c r="F35" i="20"/>
  <c r="G35" i="20"/>
  <c r="H35" i="20"/>
  <c r="B36" i="20"/>
  <c r="A36" i="20"/>
  <c r="D36" i="20"/>
  <c r="E36" i="20"/>
  <c r="F36" i="20"/>
  <c r="G36" i="20"/>
  <c r="H36" i="20"/>
  <c r="B37" i="20"/>
  <c r="A37" i="20"/>
  <c r="D37" i="20"/>
  <c r="E37" i="20"/>
  <c r="F37" i="20"/>
  <c r="G37" i="20"/>
  <c r="H37" i="20"/>
  <c r="B38" i="20"/>
  <c r="A38" i="20"/>
  <c r="D38" i="20"/>
  <c r="E38" i="20"/>
  <c r="F38" i="20"/>
  <c r="G38" i="20"/>
  <c r="H38" i="20"/>
  <c r="B39" i="20"/>
  <c r="A39" i="20"/>
  <c r="D39" i="20"/>
  <c r="E39" i="20"/>
  <c r="F39" i="20"/>
  <c r="G39" i="20"/>
  <c r="H39" i="20"/>
  <c r="B40" i="20"/>
  <c r="A40" i="20"/>
  <c r="D40" i="20"/>
  <c r="E40" i="20"/>
  <c r="F40" i="20"/>
  <c r="G40" i="20"/>
  <c r="H40" i="20"/>
  <c r="B41" i="20"/>
  <c r="A41" i="20"/>
  <c r="D41" i="20"/>
  <c r="E41" i="20"/>
  <c r="F41" i="20"/>
  <c r="G41" i="20"/>
  <c r="H41" i="20"/>
  <c r="B42" i="20"/>
  <c r="A42" i="20"/>
  <c r="D42" i="20"/>
  <c r="E42" i="20"/>
  <c r="F42" i="20"/>
  <c r="G42" i="20"/>
  <c r="H42" i="20"/>
  <c r="B43" i="20"/>
  <c r="A43" i="20"/>
  <c r="D43" i="20"/>
  <c r="E43" i="20"/>
  <c r="F43" i="20"/>
  <c r="G43" i="20"/>
  <c r="H43" i="20"/>
  <c r="B44" i="20"/>
  <c r="A44" i="20"/>
  <c r="D44" i="20"/>
  <c r="E44" i="20"/>
  <c r="F44" i="20"/>
  <c r="G44" i="20"/>
  <c r="H44" i="20"/>
  <c r="B45" i="20"/>
  <c r="A45" i="20"/>
  <c r="D45" i="20"/>
  <c r="E45" i="20"/>
  <c r="F45" i="20"/>
  <c r="G45" i="20"/>
  <c r="H45" i="20"/>
  <c r="B46" i="20"/>
  <c r="A46" i="20"/>
  <c r="D46" i="20"/>
  <c r="E46" i="20"/>
  <c r="F46" i="20"/>
  <c r="G46" i="20"/>
  <c r="H46" i="20"/>
  <c r="B47" i="20"/>
  <c r="A47" i="20"/>
  <c r="D47" i="20"/>
  <c r="E47" i="20"/>
  <c r="F47" i="20"/>
  <c r="G47" i="20"/>
  <c r="H47" i="20"/>
  <c r="B48" i="20"/>
  <c r="A48" i="20"/>
  <c r="D48" i="20"/>
  <c r="E48" i="20"/>
  <c r="F48" i="20"/>
  <c r="G48" i="20"/>
  <c r="H48" i="20"/>
  <c r="B49" i="20"/>
  <c r="A49" i="20"/>
  <c r="D49" i="20"/>
  <c r="E49" i="20"/>
  <c r="F49" i="20"/>
  <c r="G49" i="20"/>
  <c r="H49" i="20"/>
  <c r="B50" i="20"/>
  <c r="A50" i="20"/>
  <c r="D50" i="20"/>
  <c r="E50" i="20"/>
  <c r="F50" i="20"/>
  <c r="G50" i="20"/>
  <c r="H50" i="20"/>
  <c r="B51" i="20"/>
  <c r="A51" i="20"/>
  <c r="D51" i="20"/>
  <c r="E51" i="20"/>
  <c r="F51" i="20"/>
  <c r="G51" i="20"/>
  <c r="H51" i="20"/>
  <c r="B52" i="20"/>
  <c r="A52" i="20"/>
  <c r="D52" i="20"/>
  <c r="E52" i="20"/>
  <c r="F52" i="20"/>
  <c r="G52" i="20"/>
  <c r="H52" i="20"/>
  <c r="B53" i="20"/>
  <c r="A53" i="20"/>
  <c r="D53" i="20"/>
  <c r="E53" i="20"/>
  <c r="F53" i="20"/>
  <c r="G53" i="20"/>
  <c r="H53" i="20"/>
  <c r="B54" i="20"/>
  <c r="A54" i="20"/>
  <c r="D54" i="20"/>
  <c r="E54" i="20"/>
  <c r="F54" i="20"/>
  <c r="G54" i="20"/>
  <c r="H54" i="20"/>
  <c r="B55" i="20"/>
  <c r="A55" i="20"/>
  <c r="D55" i="20"/>
  <c r="E55" i="20"/>
  <c r="F55" i="20"/>
  <c r="G55" i="20"/>
  <c r="H55" i="20"/>
  <c r="B56" i="20"/>
  <c r="A56" i="20"/>
  <c r="D56" i="20"/>
  <c r="E56" i="20"/>
  <c r="F56" i="20"/>
  <c r="G56" i="20"/>
  <c r="H56" i="20"/>
  <c r="B57" i="20"/>
  <c r="A57" i="20"/>
  <c r="D57" i="20"/>
  <c r="E57" i="20"/>
  <c r="F57" i="20"/>
  <c r="G57" i="20"/>
  <c r="H57" i="20"/>
  <c r="B58" i="20"/>
  <c r="A58" i="20"/>
  <c r="D58" i="20"/>
  <c r="E58" i="20"/>
  <c r="F58" i="20"/>
  <c r="G58" i="20"/>
  <c r="H58" i="20"/>
  <c r="B59" i="20"/>
  <c r="A59" i="20"/>
  <c r="D59" i="20"/>
  <c r="E59" i="20"/>
  <c r="F59" i="20"/>
  <c r="G59" i="20"/>
  <c r="H59" i="20"/>
  <c r="B60" i="20"/>
  <c r="A60" i="20"/>
  <c r="D60" i="20"/>
  <c r="E60" i="20"/>
  <c r="F60" i="20"/>
  <c r="G60" i="20"/>
  <c r="H60" i="20"/>
  <c r="B61" i="20"/>
  <c r="A61" i="20"/>
  <c r="D61" i="20"/>
  <c r="E61" i="20"/>
  <c r="F61" i="20"/>
  <c r="G61" i="20"/>
  <c r="H61" i="20"/>
  <c r="B62" i="20"/>
  <c r="A62" i="20"/>
  <c r="D62" i="20"/>
  <c r="E62" i="20"/>
  <c r="F62" i="20"/>
  <c r="G62" i="20"/>
  <c r="H62" i="20"/>
  <c r="B63" i="20"/>
  <c r="A63" i="20"/>
  <c r="D63" i="20"/>
  <c r="E63" i="20"/>
  <c r="F63" i="20"/>
  <c r="G63" i="20"/>
  <c r="H63" i="20"/>
  <c r="B64" i="20"/>
  <c r="A64" i="20"/>
  <c r="D64" i="20"/>
  <c r="E64" i="20"/>
  <c r="F64" i="20"/>
  <c r="G64" i="20"/>
  <c r="H64" i="20"/>
  <c r="B65" i="20"/>
  <c r="A65" i="20"/>
  <c r="D65" i="20"/>
  <c r="E65" i="20"/>
  <c r="F65" i="20"/>
  <c r="G65" i="20"/>
  <c r="H65" i="20"/>
  <c r="B66" i="20"/>
  <c r="A66" i="20"/>
  <c r="D66" i="20"/>
  <c r="E66" i="20"/>
  <c r="F66" i="20"/>
  <c r="G66" i="20"/>
  <c r="H66" i="20"/>
  <c r="B67" i="20"/>
  <c r="A67" i="20"/>
  <c r="D67" i="20"/>
  <c r="E67" i="20"/>
  <c r="F67" i="20"/>
  <c r="G67" i="20"/>
  <c r="H67" i="20"/>
  <c r="B68" i="20"/>
  <c r="A68" i="20"/>
  <c r="D68" i="20"/>
  <c r="E68" i="20"/>
  <c r="F68" i="20"/>
  <c r="G68" i="20"/>
  <c r="H68" i="20"/>
  <c r="B69" i="20"/>
  <c r="A69" i="20"/>
  <c r="D69" i="20"/>
  <c r="E69" i="20"/>
  <c r="F69" i="20"/>
  <c r="G69" i="20"/>
  <c r="H69" i="20"/>
  <c r="B70" i="20"/>
  <c r="A70" i="20"/>
  <c r="D70" i="20"/>
  <c r="E70" i="20"/>
  <c r="F70" i="20"/>
  <c r="G70" i="20"/>
  <c r="H70" i="20"/>
  <c r="B71" i="20"/>
  <c r="A71" i="20"/>
  <c r="D71" i="20"/>
  <c r="E71" i="20"/>
  <c r="F71" i="20"/>
  <c r="G71" i="20"/>
  <c r="H71" i="20"/>
  <c r="B72" i="20"/>
  <c r="A72" i="20"/>
  <c r="D72" i="20"/>
  <c r="E72" i="20"/>
  <c r="F72" i="20"/>
  <c r="G72" i="20"/>
  <c r="H72" i="20"/>
  <c r="B73" i="20"/>
  <c r="A73" i="20"/>
  <c r="D73" i="20"/>
  <c r="E73" i="20"/>
  <c r="F73" i="20"/>
  <c r="G73" i="20"/>
  <c r="H73" i="20"/>
  <c r="B74" i="20"/>
  <c r="A74" i="20"/>
  <c r="D74" i="20"/>
  <c r="E74" i="20"/>
  <c r="F74" i="20"/>
  <c r="G74" i="20"/>
  <c r="H74" i="20"/>
  <c r="B75" i="20"/>
  <c r="A75" i="20"/>
  <c r="D75" i="20"/>
  <c r="E75" i="20"/>
  <c r="F75" i="20"/>
  <c r="G75" i="20"/>
  <c r="H75" i="20"/>
  <c r="B76" i="20"/>
  <c r="A76" i="20"/>
  <c r="D76" i="20"/>
  <c r="E76" i="20"/>
  <c r="F76" i="20"/>
  <c r="G76" i="20"/>
  <c r="H76" i="20"/>
  <c r="B77" i="20"/>
  <c r="A77" i="20"/>
  <c r="D77" i="20"/>
  <c r="E77" i="20"/>
  <c r="F77" i="20"/>
  <c r="G77" i="20"/>
  <c r="H77" i="20"/>
  <c r="B78" i="20"/>
  <c r="A78" i="20"/>
  <c r="D78" i="20"/>
  <c r="E78" i="20"/>
  <c r="F78" i="20"/>
  <c r="G78" i="20"/>
  <c r="H78" i="20"/>
  <c r="G3" i="20"/>
  <c r="D2" i="20"/>
  <c r="E2" i="20"/>
  <c r="F3" i="20"/>
  <c r="H3" i="20"/>
  <c r="G2" i="20"/>
  <c r="H2" i="20"/>
  <c r="B2" i="19"/>
  <c r="B4" i="19"/>
  <c r="A2" i="19"/>
  <c r="A4" i="19"/>
  <c r="D4" i="19"/>
  <c r="E4" i="19"/>
  <c r="B3" i="19"/>
  <c r="A3" i="19"/>
  <c r="D3" i="19"/>
  <c r="E3" i="19"/>
  <c r="F4" i="19"/>
  <c r="G4" i="19"/>
  <c r="H4" i="19"/>
  <c r="B5" i="19"/>
  <c r="A5" i="19"/>
  <c r="D5" i="19"/>
  <c r="E5" i="19"/>
  <c r="F5" i="19"/>
  <c r="G5" i="19"/>
  <c r="H5" i="19"/>
  <c r="B6" i="19"/>
  <c r="A6" i="19"/>
  <c r="D6" i="19"/>
  <c r="E6" i="19"/>
  <c r="F6" i="19"/>
  <c r="G6" i="19"/>
  <c r="H6" i="19"/>
  <c r="B7" i="19"/>
  <c r="A7" i="19"/>
  <c r="D7" i="19"/>
  <c r="E7" i="19"/>
  <c r="F7" i="19"/>
  <c r="G7" i="19"/>
  <c r="H7" i="19"/>
  <c r="B8" i="19"/>
  <c r="A8" i="19"/>
  <c r="D8" i="19"/>
  <c r="E8" i="19"/>
  <c r="F8" i="19"/>
  <c r="G8" i="19"/>
  <c r="H8" i="19"/>
  <c r="B9" i="19"/>
  <c r="A9" i="19"/>
  <c r="D9" i="19"/>
  <c r="E9" i="19"/>
  <c r="F9" i="19"/>
  <c r="G9" i="19"/>
  <c r="H9" i="19"/>
  <c r="B10" i="19"/>
  <c r="A10" i="19"/>
  <c r="D10" i="19"/>
  <c r="E10" i="19"/>
  <c r="F10" i="19"/>
  <c r="G10" i="19"/>
  <c r="H10" i="19"/>
  <c r="B11" i="19"/>
  <c r="A11" i="19"/>
  <c r="D11" i="19"/>
  <c r="E11" i="19"/>
  <c r="F11" i="19"/>
  <c r="G11" i="19"/>
  <c r="H11" i="19"/>
  <c r="B12" i="19"/>
  <c r="A12" i="19"/>
  <c r="D12" i="19"/>
  <c r="E12" i="19"/>
  <c r="F12" i="19"/>
  <c r="G12" i="19"/>
  <c r="H12" i="19"/>
  <c r="B13" i="19"/>
  <c r="A13" i="19"/>
  <c r="D13" i="19"/>
  <c r="E13" i="19"/>
  <c r="F13" i="19"/>
  <c r="G13" i="19"/>
  <c r="H13" i="19"/>
  <c r="B14" i="19"/>
  <c r="A14" i="19"/>
  <c r="D14" i="19"/>
  <c r="E14" i="19"/>
  <c r="F14" i="19"/>
  <c r="G14" i="19"/>
  <c r="H14" i="19"/>
  <c r="B15" i="19"/>
  <c r="A15" i="19"/>
  <c r="D15" i="19"/>
  <c r="E15" i="19"/>
  <c r="F15" i="19"/>
  <c r="G15" i="19"/>
  <c r="H15" i="19"/>
  <c r="B16" i="19"/>
  <c r="A16" i="19"/>
  <c r="D16" i="19"/>
  <c r="E16" i="19"/>
  <c r="F16" i="19"/>
  <c r="G16" i="19"/>
  <c r="H16" i="19"/>
  <c r="B17" i="19"/>
  <c r="A17" i="19"/>
  <c r="D17" i="19"/>
  <c r="E17" i="19"/>
  <c r="F17" i="19"/>
  <c r="G17" i="19"/>
  <c r="H17" i="19"/>
  <c r="B18" i="19"/>
  <c r="A18" i="19"/>
  <c r="D18" i="19"/>
  <c r="E18" i="19"/>
  <c r="F18" i="19"/>
  <c r="G18" i="19"/>
  <c r="H18" i="19"/>
  <c r="B19" i="19"/>
  <c r="A19" i="19"/>
  <c r="D19" i="19"/>
  <c r="E19" i="19"/>
  <c r="F19" i="19"/>
  <c r="G19" i="19"/>
  <c r="H19" i="19"/>
  <c r="B20" i="19"/>
  <c r="A20" i="19"/>
  <c r="D20" i="19"/>
  <c r="E20" i="19"/>
  <c r="F20" i="19"/>
  <c r="G20" i="19"/>
  <c r="H20" i="19"/>
  <c r="B21" i="19"/>
  <c r="A21" i="19"/>
  <c r="D21" i="19"/>
  <c r="E21" i="19"/>
  <c r="F21" i="19"/>
  <c r="G21" i="19"/>
  <c r="H21" i="19"/>
  <c r="B22" i="19"/>
  <c r="A22" i="19"/>
  <c r="D22" i="19"/>
  <c r="E22" i="19"/>
  <c r="F22" i="19"/>
  <c r="G22" i="19"/>
  <c r="H22" i="19"/>
  <c r="B23" i="19"/>
  <c r="A23" i="19"/>
  <c r="D23" i="19"/>
  <c r="E23" i="19"/>
  <c r="F23" i="19"/>
  <c r="G23" i="19"/>
  <c r="H23" i="19"/>
  <c r="B24" i="19"/>
  <c r="A24" i="19"/>
  <c r="D24" i="19"/>
  <c r="E24" i="19"/>
  <c r="F24" i="19"/>
  <c r="G24" i="19"/>
  <c r="H24" i="19"/>
  <c r="B25" i="19"/>
  <c r="A25" i="19"/>
  <c r="D25" i="19"/>
  <c r="E25" i="19"/>
  <c r="F25" i="19"/>
  <c r="G25" i="19"/>
  <c r="H25" i="19"/>
  <c r="B26" i="19"/>
  <c r="A26" i="19"/>
  <c r="D26" i="19"/>
  <c r="E26" i="19"/>
  <c r="F26" i="19"/>
  <c r="G26" i="19"/>
  <c r="H26" i="19"/>
  <c r="B27" i="19"/>
  <c r="A27" i="19"/>
  <c r="D27" i="19"/>
  <c r="E27" i="19"/>
  <c r="F27" i="19"/>
  <c r="G27" i="19"/>
  <c r="H27" i="19"/>
  <c r="B28" i="19"/>
  <c r="A28" i="19"/>
  <c r="D28" i="19"/>
  <c r="E28" i="19"/>
  <c r="F28" i="19"/>
  <c r="G28" i="19"/>
  <c r="H28" i="19"/>
  <c r="B29" i="19"/>
  <c r="A29" i="19"/>
  <c r="D29" i="19"/>
  <c r="E29" i="19"/>
  <c r="F29" i="19"/>
  <c r="G29" i="19"/>
  <c r="H29" i="19"/>
  <c r="B30" i="19"/>
  <c r="A30" i="19"/>
  <c r="D30" i="19"/>
  <c r="E30" i="19"/>
  <c r="F30" i="19"/>
  <c r="G30" i="19"/>
  <c r="H30" i="19"/>
  <c r="B31" i="19"/>
  <c r="A31" i="19"/>
  <c r="D31" i="19"/>
  <c r="E31" i="19"/>
  <c r="F31" i="19"/>
  <c r="G31" i="19"/>
  <c r="H31" i="19"/>
  <c r="B32" i="19"/>
  <c r="A32" i="19"/>
  <c r="D32" i="19"/>
  <c r="E32" i="19"/>
  <c r="F32" i="19"/>
  <c r="G32" i="19"/>
  <c r="H32" i="19"/>
  <c r="B33" i="19"/>
  <c r="A33" i="19"/>
  <c r="D33" i="19"/>
  <c r="E33" i="19"/>
  <c r="F33" i="19"/>
  <c r="G33" i="19"/>
  <c r="H33" i="19"/>
  <c r="B34" i="19"/>
  <c r="A34" i="19"/>
  <c r="D34" i="19"/>
  <c r="E34" i="19"/>
  <c r="F34" i="19"/>
  <c r="G34" i="19"/>
  <c r="H34" i="19"/>
  <c r="B35" i="19"/>
  <c r="A35" i="19"/>
  <c r="D35" i="19"/>
  <c r="E35" i="19"/>
  <c r="F35" i="19"/>
  <c r="G35" i="19"/>
  <c r="H35" i="19"/>
  <c r="B36" i="19"/>
  <c r="A36" i="19"/>
  <c r="D36" i="19"/>
  <c r="E36" i="19"/>
  <c r="F36" i="19"/>
  <c r="G36" i="19"/>
  <c r="H36" i="19"/>
  <c r="B37" i="19"/>
  <c r="A37" i="19"/>
  <c r="D37" i="19"/>
  <c r="E37" i="19"/>
  <c r="F37" i="19"/>
  <c r="G37" i="19"/>
  <c r="H37" i="19"/>
  <c r="B38" i="19"/>
  <c r="A38" i="19"/>
  <c r="D38" i="19"/>
  <c r="E38" i="19"/>
  <c r="F38" i="19"/>
  <c r="G38" i="19"/>
  <c r="H38" i="19"/>
  <c r="B39" i="19"/>
  <c r="A39" i="19"/>
  <c r="D39" i="19"/>
  <c r="E39" i="19"/>
  <c r="F39" i="19"/>
  <c r="G39" i="19"/>
  <c r="H39" i="19"/>
  <c r="B40" i="19"/>
  <c r="A40" i="19"/>
  <c r="D40" i="19"/>
  <c r="E40" i="19"/>
  <c r="F40" i="19"/>
  <c r="G40" i="19"/>
  <c r="H40" i="19"/>
  <c r="B41" i="19"/>
  <c r="A41" i="19"/>
  <c r="D41" i="19"/>
  <c r="E41" i="19"/>
  <c r="F41" i="19"/>
  <c r="G41" i="19"/>
  <c r="H41" i="19"/>
  <c r="B42" i="19"/>
  <c r="A42" i="19"/>
  <c r="D42" i="19"/>
  <c r="E42" i="19"/>
  <c r="F42" i="19"/>
  <c r="G42" i="19"/>
  <c r="H42" i="19"/>
  <c r="B43" i="19"/>
  <c r="A43" i="19"/>
  <c r="D43" i="19"/>
  <c r="E43" i="19"/>
  <c r="F43" i="19"/>
  <c r="G43" i="19"/>
  <c r="H43" i="19"/>
  <c r="B44" i="19"/>
  <c r="A44" i="19"/>
  <c r="D44" i="19"/>
  <c r="E44" i="19"/>
  <c r="F44" i="19"/>
  <c r="G44" i="19"/>
  <c r="H44" i="19"/>
  <c r="B45" i="19"/>
  <c r="A45" i="19"/>
  <c r="D45" i="19"/>
  <c r="E45" i="19"/>
  <c r="F45" i="19"/>
  <c r="G45" i="19"/>
  <c r="H45" i="19"/>
  <c r="B46" i="19"/>
  <c r="A46" i="19"/>
  <c r="D46" i="19"/>
  <c r="E46" i="19"/>
  <c r="F46" i="19"/>
  <c r="G46" i="19"/>
  <c r="H46" i="19"/>
  <c r="B47" i="19"/>
  <c r="A47" i="19"/>
  <c r="D47" i="19"/>
  <c r="E47" i="19"/>
  <c r="F47" i="19"/>
  <c r="G47" i="19"/>
  <c r="H47" i="19"/>
  <c r="B48" i="19"/>
  <c r="A48" i="19"/>
  <c r="D48" i="19"/>
  <c r="E48" i="19"/>
  <c r="F48" i="19"/>
  <c r="G48" i="19"/>
  <c r="H48" i="19"/>
  <c r="B49" i="19"/>
  <c r="A49" i="19"/>
  <c r="D49" i="19"/>
  <c r="E49" i="19"/>
  <c r="F49" i="19"/>
  <c r="G49" i="19"/>
  <c r="H49" i="19"/>
  <c r="B50" i="19"/>
  <c r="A50" i="19"/>
  <c r="D50" i="19"/>
  <c r="E50" i="19"/>
  <c r="F50" i="19"/>
  <c r="G50" i="19"/>
  <c r="H50" i="19"/>
  <c r="B51" i="19"/>
  <c r="A51" i="19"/>
  <c r="D51" i="19"/>
  <c r="E51" i="19"/>
  <c r="F51" i="19"/>
  <c r="G51" i="19"/>
  <c r="H51" i="19"/>
  <c r="B52" i="19"/>
  <c r="A52" i="19"/>
  <c r="D52" i="19"/>
  <c r="E52" i="19"/>
  <c r="F52" i="19"/>
  <c r="G52" i="19"/>
  <c r="H52" i="19"/>
  <c r="B53" i="19"/>
  <c r="A53" i="19"/>
  <c r="D53" i="19"/>
  <c r="E53" i="19"/>
  <c r="F53" i="19"/>
  <c r="G53" i="19"/>
  <c r="H53" i="19"/>
  <c r="B54" i="19"/>
  <c r="A54" i="19"/>
  <c r="D54" i="19"/>
  <c r="E54" i="19"/>
  <c r="F54" i="19"/>
  <c r="G54" i="19"/>
  <c r="H54" i="19"/>
  <c r="B55" i="19"/>
  <c r="A55" i="19"/>
  <c r="D55" i="19"/>
  <c r="E55" i="19"/>
  <c r="F55" i="19"/>
  <c r="G55" i="19"/>
  <c r="H55" i="19"/>
  <c r="B56" i="19"/>
  <c r="A56" i="19"/>
  <c r="D56" i="19"/>
  <c r="E56" i="19"/>
  <c r="F56" i="19"/>
  <c r="G56" i="19"/>
  <c r="H56" i="19"/>
  <c r="B57" i="19"/>
  <c r="A57" i="19"/>
  <c r="D57" i="19"/>
  <c r="E57" i="19"/>
  <c r="F57" i="19"/>
  <c r="G57" i="19"/>
  <c r="H57" i="19"/>
  <c r="B58" i="19"/>
  <c r="A58" i="19"/>
  <c r="D58" i="19"/>
  <c r="E58" i="19"/>
  <c r="F58" i="19"/>
  <c r="G58" i="19"/>
  <c r="H58" i="19"/>
  <c r="B59" i="19"/>
  <c r="A59" i="19"/>
  <c r="D59" i="19"/>
  <c r="E59" i="19"/>
  <c r="F59" i="19"/>
  <c r="G59" i="19"/>
  <c r="H59" i="19"/>
  <c r="B60" i="19"/>
  <c r="A60" i="19"/>
  <c r="D60" i="19"/>
  <c r="E60" i="19"/>
  <c r="F60" i="19"/>
  <c r="G60" i="19"/>
  <c r="H60" i="19"/>
  <c r="B61" i="19"/>
  <c r="A61" i="19"/>
  <c r="D61" i="19"/>
  <c r="E61" i="19"/>
  <c r="F61" i="19"/>
  <c r="G61" i="19"/>
  <c r="H61" i="19"/>
  <c r="B62" i="19"/>
  <c r="A62" i="19"/>
  <c r="D62" i="19"/>
  <c r="E62" i="19"/>
  <c r="F62" i="19"/>
  <c r="G62" i="19"/>
  <c r="H62" i="19"/>
  <c r="B63" i="19"/>
  <c r="A63" i="19"/>
  <c r="D63" i="19"/>
  <c r="E63" i="19"/>
  <c r="F63" i="19"/>
  <c r="G63" i="19"/>
  <c r="H63" i="19"/>
  <c r="B64" i="19"/>
  <c r="A64" i="19"/>
  <c r="D64" i="19"/>
  <c r="E64" i="19"/>
  <c r="F64" i="19"/>
  <c r="G64" i="19"/>
  <c r="H64" i="19"/>
  <c r="B65" i="19"/>
  <c r="A65" i="19"/>
  <c r="D65" i="19"/>
  <c r="E65" i="19"/>
  <c r="F65" i="19"/>
  <c r="G65" i="19"/>
  <c r="H65" i="19"/>
  <c r="B66" i="19"/>
  <c r="A66" i="19"/>
  <c r="D66" i="19"/>
  <c r="E66" i="19"/>
  <c r="F66" i="19"/>
  <c r="G66" i="19"/>
  <c r="H66" i="19"/>
  <c r="B67" i="19"/>
  <c r="A67" i="19"/>
  <c r="D67" i="19"/>
  <c r="E67" i="19"/>
  <c r="F67" i="19"/>
  <c r="G67" i="19"/>
  <c r="H67" i="19"/>
  <c r="B68" i="19"/>
  <c r="A68" i="19"/>
  <c r="D68" i="19"/>
  <c r="E68" i="19"/>
  <c r="F68" i="19"/>
  <c r="G68" i="19"/>
  <c r="H68" i="19"/>
  <c r="B69" i="19"/>
  <c r="A69" i="19"/>
  <c r="D69" i="19"/>
  <c r="E69" i="19"/>
  <c r="F69" i="19"/>
  <c r="G69" i="19"/>
  <c r="H69" i="19"/>
  <c r="B70" i="19"/>
  <c r="A70" i="19"/>
  <c r="D70" i="19"/>
  <c r="E70" i="19"/>
  <c r="F70" i="19"/>
  <c r="G70" i="19"/>
  <c r="H70" i="19"/>
  <c r="B71" i="19"/>
  <c r="A71" i="19"/>
  <c r="D71" i="19"/>
  <c r="E71" i="19"/>
  <c r="F71" i="19"/>
  <c r="G71" i="19"/>
  <c r="H71" i="19"/>
  <c r="B72" i="19"/>
  <c r="A72" i="19"/>
  <c r="D72" i="19"/>
  <c r="E72" i="19"/>
  <c r="F72" i="19"/>
  <c r="G72" i="19"/>
  <c r="H72" i="19"/>
  <c r="B73" i="19"/>
  <c r="A73" i="19"/>
  <c r="D73" i="19"/>
  <c r="E73" i="19"/>
  <c r="F73" i="19"/>
  <c r="G73" i="19"/>
  <c r="H73" i="19"/>
  <c r="B74" i="19"/>
  <c r="A74" i="19"/>
  <c r="D74" i="19"/>
  <c r="E74" i="19"/>
  <c r="F74" i="19"/>
  <c r="G74" i="19"/>
  <c r="H74" i="19"/>
  <c r="B75" i="19"/>
  <c r="A75" i="19"/>
  <c r="D75" i="19"/>
  <c r="E75" i="19"/>
  <c r="F75" i="19"/>
  <c r="G75" i="19"/>
  <c r="H75" i="19"/>
  <c r="B76" i="19"/>
  <c r="A76" i="19"/>
  <c r="D76" i="19"/>
  <c r="E76" i="19"/>
  <c r="F76" i="19"/>
  <c r="G76" i="19"/>
  <c r="H76" i="19"/>
  <c r="B77" i="19"/>
  <c r="A77" i="19"/>
  <c r="D77" i="19"/>
  <c r="E77" i="19"/>
  <c r="F77" i="19"/>
  <c r="G77" i="19"/>
  <c r="H77" i="19"/>
  <c r="B78" i="19"/>
  <c r="A78" i="19"/>
  <c r="D78" i="19"/>
  <c r="E78" i="19"/>
  <c r="F78" i="19"/>
  <c r="G78" i="19"/>
  <c r="H78" i="19"/>
  <c r="G3" i="19"/>
  <c r="D2" i="19"/>
  <c r="E2" i="19"/>
  <c r="F3" i="19"/>
  <c r="H3" i="19"/>
  <c r="G2" i="2"/>
  <c r="H2" i="2"/>
  <c r="G3" i="2"/>
  <c r="E2" i="2"/>
  <c r="F3" i="2"/>
  <c r="H3" i="2"/>
  <c r="G4" i="2"/>
  <c r="E3" i="2"/>
  <c r="F4" i="2"/>
  <c r="H4" i="2"/>
  <c r="G5" i="2"/>
  <c r="E4" i="2"/>
  <c r="F5" i="2"/>
  <c r="H5" i="2"/>
  <c r="G6" i="2"/>
  <c r="E5" i="2"/>
  <c r="F6" i="2"/>
  <c r="H6" i="2"/>
  <c r="G7" i="2"/>
  <c r="E6" i="2"/>
  <c r="F7" i="2"/>
  <c r="H7" i="2"/>
  <c r="G8" i="2"/>
  <c r="E7" i="2"/>
  <c r="F8" i="2"/>
  <c r="H8" i="2"/>
  <c r="G9" i="2"/>
  <c r="E8" i="2"/>
  <c r="F9" i="2"/>
  <c r="H9" i="2"/>
  <c r="G10" i="2"/>
  <c r="E9" i="2"/>
  <c r="F10" i="2"/>
  <c r="H10" i="2"/>
  <c r="G11" i="2"/>
  <c r="E10" i="2"/>
  <c r="F11" i="2"/>
  <c r="H11" i="2"/>
  <c r="G12" i="2"/>
  <c r="E11" i="2"/>
  <c r="F12" i="2"/>
  <c r="H12" i="2"/>
  <c r="G13" i="2"/>
  <c r="E12" i="2"/>
  <c r="F13" i="2"/>
  <c r="H13" i="2"/>
  <c r="G14" i="2"/>
  <c r="E13" i="2"/>
  <c r="F14" i="2"/>
  <c r="H14" i="2"/>
  <c r="G15" i="2"/>
  <c r="E14" i="2"/>
  <c r="F15" i="2"/>
  <c r="H15" i="2"/>
  <c r="G16" i="2"/>
  <c r="E15" i="2"/>
  <c r="F16" i="2"/>
  <c r="H16" i="2"/>
  <c r="G17" i="2"/>
  <c r="E16" i="2"/>
  <c r="F17" i="2"/>
  <c r="H17" i="2"/>
  <c r="G18" i="2"/>
  <c r="E17" i="2"/>
  <c r="F18" i="2"/>
  <c r="H18" i="2"/>
  <c r="G19" i="2"/>
  <c r="E18" i="2"/>
  <c r="F19" i="2"/>
  <c r="H19" i="2"/>
  <c r="G20" i="2"/>
  <c r="E19" i="2"/>
  <c r="F20" i="2"/>
  <c r="H20" i="2"/>
  <c r="G21" i="2"/>
  <c r="E20" i="2"/>
  <c r="F21" i="2"/>
  <c r="H21" i="2"/>
  <c r="G22" i="2"/>
  <c r="E21" i="2"/>
  <c r="F22" i="2"/>
  <c r="H22" i="2"/>
  <c r="G23" i="2"/>
  <c r="E22" i="2"/>
  <c r="F23" i="2"/>
  <c r="H23" i="2"/>
  <c r="G24" i="2"/>
  <c r="E23" i="2"/>
  <c r="F24" i="2"/>
  <c r="H24" i="2"/>
  <c r="G25" i="2"/>
  <c r="E24" i="2"/>
  <c r="F25" i="2"/>
  <c r="H25" i="2"/>
  <c r="G26" i="2"/>
  <c r="E25" i="2"/>
  <c r="F26" i="2"/>
  <c r="H26" i="2"/>
  <c r="G27" i="2"/>
  <c r="E26" i="2"/>
  <c r="F27" i="2"/>
  <c r="H27" i="2"/>
  <c r="G28" i="2"/>
  <c r="E27" i="2"/>
  <c r="F28" i="2"/>
  <c r="H28" i="2"/>
  <c r="G29" i="2"/>
  <c r="E28" i="2"/>
  <c r="F29" i="2"/>
  <c r="H29" i="2"/>
  <c r="G30" i="2"/>
  <c r="E29" i="2"/>
  <c r="F30" i="2"/>
  <c r="H30" i="2"/>
  <c r="G31" i="2"/>
  <c r="E30" i="2"/>
  <c r="F31" i="2"/>
  <c r="H31" i="2"/>
  <c r="G32" i="2"/>
  <c r="E31" i="2"/>
  <c r="F32" i="2"/>
  <c r="H32" i="2"/>
  <c r="G33" i="2"/>
  <c r="E32" i="2"/>
  <c r="F33" i="2"/>
  <c r="H33" i="2"/>
  <c r="G34" i="2"/>
  <c r="E33" i="2"/>
  <c r="F34" i="2"/>
  <c r="H34" i="2"/>
  <c r="G35" i="2"/>
  <c r="E34" i="2"/>
  <c r="F35" i="2"/>
  <c r="H35" i="2"/>
  <c r="G36" i="2"/>
  <c r="E35" i="2"/>
  <c r="F36" i="2"/>
  <c r="H36" i="2"/>
  <c r="G37" i="2"/>
  <c r="E36" i="2"/>
  <c r="F37" i="2"/>
  <c r="H37" i="2"/>
  <c r="G38" i="2"/>
  <c r="E37" i="2"/>
  <c r="F38" i="2"/>
  <c r="H38" i="2"/>
  <c r="G39" i="2"/>
  <c r="E38" i="2"/>
  <c r="F39" i="2"/>
  <c r="H39" i="2"/>
  <c r="G40" i="2"/>
  <c r="E39" i="2"/>
  <c r="F40" i="2"/>
  <c r="H40" i="2"/>
  <c r="G41" i="2"/>
  <c r="E40" i="2"/>
  <c r="F41" i="2"/>
  <c r="H41" i="2"/>
  <c r="G42" i="2"/>
  <c r="E41" i="2"/>
  <c r="F42" i="2"/>
  <c r="H42" i="2"/>
  <c r="G43" i="2"/>
  <c r="E42" i="2"/>
  <c r="F43" i="2"/>
  <c r="H43" i="2"/>
  <c r="G44" i="2"/>
  <c r="E43" i="2"/>
  <c r="F44" i="2"/>
  <c r="H44" i="2"/>
  <c r="G45" i="2"/>
  <c r="E44" i="2"/>
  <c r="F45" i="2"/>
  <c r="H45" i="2"/>
  <c r="G46" i="2"/>
  <c r="E45" i="2"/>
  <c r="F46" i="2"/>
  <c r="H46" i="2"/>
  <c r="G47" i="2"/>
  <c r="E46" i="2"/>
  <c r="F47" i="2"/>
  <c r="H47" i="2"/>
  <c r="G48" i="2"/>
  <c r="E47" i="2"/>
  <c r="F48" i="2"/>
  <c r="H48" i="2"/>
  <c r="G49" i="2"/>
  <c r="E48" i="2"/>
  <c r="F49" i="2"/>
  <c r="H49" i="2"/>
  <c r="G50" i="2"/>
  <c r="E49" i="2"/>
  <c r="F50" i="2"/>
  <c r="H50" i="2"/>
  <c r="G51" i="2"/>
  <c r="E50" i="2"/>
  <c r="F51" i="2"/>
  <c r="H51" i="2"/>
  <c r="G52" i="2"/>
  <c r="E51" i="2"/>
  <c r="F52" i="2"/>
  <c r="H52" i="2"/>
  <c r="G53" i="2"/>
  <c r="E52" i="2"/>
  <c r="F53" i="2"/>
  <c r="H53" i="2"/>
  <c r="G54" i="2"/>
  <c r="E53" i="2"/>
  <c r="F54" i="2"/>
  <c r="H54" i="2"/>
  <c r="G55" i="2"/>
  <c r="E54" i="2"/>
  <c r="F55" i="2"/>
  <c r="H55" i="2"/>
  <c r="G56" i="2"/>
  <c r="E55" i="2"/>
  <c r="F56" i="2"/>
  <c r="H56" i="2"/>
  <c r="G57" i="2"/>
  <c r="E56" i="2"/>
  <c r="F57" i="2"/>
  <c r="H57" i="2"/>
  <c r="G58" i="2"/>
  <c r="E57" i="2"/>
  <c r="F58" i="2"/>
  <c r="H58" i="2"/>
  <c r="G59" i="2"/>
  <c r="E58" i="2"/>
  <c r="F59" i="2"/>
  <c r="H59" i="2"/>
  <c r="G60" i="2"/>
  <c r="E59" i="2"/>
  <c r="F60" i="2"/>
  <c r="H60" i="2"/>
  <c r="G61" i="2"/>
  <c r="E60" i="2"/>
  <c r="F61" i="2"/>
  <c r="H61" i="2"/>
  <c r="G62" i="2"/>
  <c r="E61" i="2"/>
  <c r="F62" i="2"/>
  <c r="H62" i="2"/>
  <c r="G63" i="2"/>
  <c r="E62" i="2"/>
  <c r="F63" i="2"/>
  <c r="H63" i="2"/>
  <c r="G64" i="2"/>
  <c r="E63" i="2"/>
  <c r="F64" i="2"/>
  <c r="H64" i="2"/>
  <c r="G65" i="2"/>
  <c r="E64" i="2"/>
  <c r="F65" i="2"/>
  <c r="H65" i="2"/>
  <c r="G66" i="2"/>
  <c r="E65" i="2"/>
  <c r="F66" i="2"/>
  <c r="H66" i="2"/>
  <c r="G67" i="2"/>
  <c r="E66" i="2"/>
  <c r="F67" i="2"/>
  <c r="H67" i="2"/>
  <c r="G68" i="2"/>
  <c r="E67" i="2"/>
  <c r="F68" i="2"/>
  <c r="H68" i="2"/>
  <c r="G69" i="2"/>
  <c r="E68" i="2"/>
  <c r="F69" i="2"/>
  <c r="H69" i="2"/>
  <c r="G70" i="2"/>
  <c r="E69" i="2"/>
  <c r="F70" i="2"/>
  <c r="H70" i="2"/>
  <c r="G71" i="2"/>
  <c r="E70" i="2"/>
  <c r="F71" i="2"/>
  <c r="H71" i="2"/>
  <c r="G72" i="2"/>
  <c r="E71" i="2"/>
  <c r="F72" i="2"/>
  <c r="H72" i="2"/>
  <c r="G73" i="2"/>
  <c r="E72" i="2"/>
  <c r="F73" i="2"/>
  <c r="H73" i="2"/>
  <c r="G74" i="2"/>
  <c r="E73" i="2"/>
  <c r="F74" i="2"/>
  <c r="H74" i="2"/>
  <c r="G75" i="2"/>
  <c r="E74" i="2"/>
  <c r="F75" i="2"/>
  <c r="H75" i="2"/>
  <c r="G76" i="2"/>
  <c r="E75" i="2"/>
  <c r="F76" i="2"/>
  <c r="H76" i="2"/>
  <c r="G77" i="2"/>
  <c r="E76" i="2"/>
  <c r="F77" i="2"/>
  <c r="H77" i="2"/>
  <c r="G78" i="2"/>
  <c r="E77" i="2"/>
  <c r="F78" i="2"/>
  <c r="H78" i="2"/>
  <c r="G79" i="2"/>
  <c r="E78" i="2"/>
  <c r="F79" i="2"/>
  <c r="H79" i="2"/>
  <c r="G80" i="2"/>
  <c r="E79" i="2"/>
  <c r="F80" i="2"/>
  <c r="H80" i="2"/>
  <c r="G81" i="2"/>
  <c r="E80" i="2"/>
  <c r="F81" i="2"/>
  <c r="H81" i="2"/>
  <c r="G82" i="2"/>
  <c r="E81" i="2"/>
  <c r="F82" i="2"/>
  <c r="H82" i="2"/>
  <c r="G83" i="2"/>
  <c r="E82" i="2"/>
  <c r="F83" i="2"/>
  <c r="H83" i="2"/>
  <c r="G84" i="2"/>
  <c r="E83" i="2"/>
  <c r="F84" i="2"/>
  <c r="H84" i="2"/>
  <c r="G85" i="2"/>
  <c r="E84" i="2"/>
  <c r="F85" i="2"/>
  <c r="H85" i="2"/>
  <c r="G86" i="2"/>
  <c r="E85" i="2"/>
  <c r="F86" i="2"/>
  <c r="H86" i="2"/>
  <c r="G87" i="2"/>
  <c r="E86" i="2"/>
  <c r="F87" i="2"/>
  <c r="H87" i="2"/>
  <c r="G88" i="2"/>
  <c r="E87" i="2"/>
  <c r="F88" i="2"/>
  <c r="H88" i="2"/>
  <c r="G89" i="2"/>
  <c r="E88" i="2"/>
  <c r="F89" i="2"/>
  <c r="H89" i="2"/>
  <c r="G90" i="2"/>
  <c r="E89" i="2"/>
  <c r="F90" i="2"/>
  <c r="H90" i="2"/>
  <c r="G91" i="2"/>
  <c r="E90" i="2"/>
  <c r="F91" i="2"/>
  <c r="H91" i="2"/>
  <c r="G92" i="2"/>
  <c r="E91" i="2"/>
  <c r="F92" i="2"/>
  <c r="H92" i="2"/>
  <c r="G93" i="2"/>
  <c r="E92" i="2"/>
  <c r="F93" i="2"/>
  <c r="H93" i="2"/>
  <c r="G94" i="2"/>
  <c r="E93" i="2"/>
  <c r="F94" i="2"/>
  <c r="H94" i="2"/>
  <c r="G95" i="2"/>
  <c r="E94" i="2"/>
  <c r="F95" i="2"/>
  <c r="H95" i="2"/>
  <c r="G96" i="2"/>
  <c r="E95" i="2"/>
  <c r="F96" i="2"/>
  <c r="H96" i="2"/>
  <c r="G97" i="2"/>
  <c r="E96" i="2"/>
  <c r="F97" i="2"/>
  <c r="H97" i="2"/>
  <c r="G98" i="2"/>
  <c r="E97" i="2"/>
  <c r="F98" i="2"/>
  <c r="H98" i="2"/>
  <c r="I2" i="2"/>
  <c r="K2" i="1"/>
  <c r="D4" i="18"/>
  <c r="E4" i="18"/>
  <c r="F4" i="18"/>
  <c r="G4" i="18"/>
  <c r="H4" i="18"/>
  <c r="D5" i="18"/>
  <c r="E5" i="18"/>
  <c r="F5" i="18"/>
  <c r="G5" i="18"/>
  <c r="H5" i="18"/>
  <c r="D6" i="18"/>
  <c r="E6" i="18"/>
  <c r="F6" i="18"/>
  <c r="G6" i="18"/>
  <c r="H6" i="18"/>
  <c r="D7" i="18"/>
  <c r="E7" i="18"/>
  <c r="F7" i="18"/>
  <c r="G7" i="18"/>
  <c r="H7" i="18"/>
  <c r="D8" i="18"/>
  <c r="E8" i="18"/>
  <c r="F8" i="18"/>
  <c r="G8" i="18"/>
  <c r="H8" i="18"/>
  <c r="D9" i="18"/>
  <c r="E9" i="18"/>
  <c r="F9" i="18"/>
  <c r="G9" i="18"/>
  <c r="H9" i="18"/>
  <c r="D10" i="18"/>
  <c r="E10" i="18"/>
  <c r="F10" i="18"/>
  <c r="G10" i="18"/>
  <c r="H10" i="18"/>
  <c r="D11" i="18"/>
  <c r="E11" i="18"/>
  <c r="F11" i="18"/>
  <c r="G11" i="18"/>
  <c r="H11" i="18"/>
  <c r="D12" i="18"/>
  <c r="E12" i="18"/>
  <c r="F12" i="18"/>
  <c r="G12" i="18"/>
  <c r="H12" i="18"/>
  <c r="D13" i="18"/>
  <c r="E13" i="18"/>
  <c r="F13" i="18"/>
  <c r="G13" i="18"/>
  <c r="H13" i="18"/>
  <c r="D14" i="18"/>
  <c r="E14" i="18"/>
  <c r="F14" i="18"/>
  <c r="G14" i="18"/>
  <c r="H14" i="18"/>
  <c r="D15" i="18"/>
  <c r="E15" i="18"/>
  <c r="F15" i="18"/>
  <c r="G15" i="18"/>
  <c r="H15" i="18"/>
  <c r="D16" i="18"/>
  <c r="E16" i="18"/>
  <c r="F16" i="18"/>
  <c r="G16" i="18"/>
  <c r="H16" i="18"/>
  <c r="D17" i="18"/>
  <c r="E17" i="18"/>
  <c r="F17" i="18"/>
  <c r="G17" i="18"/>
  <c r="H17" i="18"/>
  <c r="D18" i="18"/>
  <c r="E18" i="18"/>
  <c r="F18" i="18"/>
  <c r="G18" i="18"/>
  <c r="H18" i="18"/>
  <c r="D19" i="18"/>
  <c r="E19" i="18"/>
  <c r="F19" i="18"/>
  <c r="G19" i="18"/>
  <c r="H19" i="18"/>
  <c r="D20" i="18"/>
  <c r="E20" i="18"/>
  <c r="F20" i="18"/>
  <c r="G20" i="18"/>
  <c r="H20" i="18"/>
  <c r="D21" i="18"/>
  <c r="E21" i="18"/>
  <c r="F21" i="18"/>
  <c r="G21" i="18"/>
  <c r="H21" i="18"/>
  <c r="D22" i="18"/>
  <c r="E22" i="18"/>
  <c r="F22" i="18"/>
  <c r="G22" i="18"/>
  <c r="H22" i="18"/>
  <c r="D23" i="18"/>
  <c r="E23" i="18"/>
  <c r="F23" i="18"/>
  <c r="G23" i="18"/>
  <c r="H23" i="18"/>
  <c r="D24" i="18"/>
  <c r="E24" i="18"/>
  <c r="F24" i="18"/>
  <c r="G24" i="18"/>
  <c r="H24" i="18"/>
  <c r="D25" i="18"/>
  <c r="E25" i="18"/>
  <c r="F25" i="18"/>
  <c r="G25" i="18"/>
  <c r="H25" i="18"/>
  <c r="D26" i="18"/>
  <c r="E26" i="18"/>
  <c r="F26" i="18"/>
  <c r="G26" i="18"/>
  <c r="H26" i="18"/>
  <c r="D27" i="18"/>
  <c r="E27" i="18"/>
  <c r="F27" i="18"/>
  <c r="G27" i="18"/>
  <c r="H27" i="18"/>
  <c r="D28" i="18"/>
  <c r="E28" i="18"/>
  <c r="F28" i="18"/>
  <c r="G28" i="18"/>
  <c r="H28" i="18"/>
  <c r="D29" i="18"/>
  <c r="E29" i="18"/>
  <c r="F29" i="18"/>
  <c r="G29" i="18"/>
  <c r="H29" i="18"/>
  <c r="D30" i="18"/>
  <c r="E30" i="18"/>
  <c r="F30" i="18"/>
  <c r="G30" i="18"/>
  <c r="H30" i="18"/>
  <c r="D31" i="18"/>
  <c r="E31" i="18"/>
  <c r="F31" i="18"/>
  <c r="G31" i="18"/>
  <c r="H31" i="18"/>
  <c r="D32" i="18"/>
  <c r="E32" i="18"/>
  <c r="F32" i="18"/>
  <c r="G32" i="18"/>
  <c r="H32" i="18"/>
  <c r="D33" i="18"/>
  <c r="E33" i="18"/>
  <c r="F33" i="18"/>
  <c r="G33" i="18"/>
  <c r="H33" i="18"/>
  <c r="D34" i="18"/>
  <c r="E34" i="18"/>
  <c r="F34" i="18"/>
  <c r="G34" i="18"/>
  <c r="H34" i="18"/>
  <c r="D35" i="18"/>
  <c r="E35" i="18"/>
  <c r="F35" i="18"/>
  <c r="G35" i="18"/>
  <c r="H35" i="18"/>
  <c r="D36" i="18"/>
  <c r="E36" i="18"/>
  <c r="F36" i="18"/>
  <c r="G36" i="18"/>
  <c r="H36" i="18"/>
  <c r="D37" i="18"/>
  <c r="E37" i="18"/>
  <c r="F37" i="18"/>
  <c r="G37" i="18"/>
  <c r="H37" i="18"/>
  <c r="D38" i="18"/>
  <c r="E38" i="18"/>
  <c r="F38" i="18"/>
  <c r="G38" i="18"/>
  <c r="H38" i="18"/>
  <c r="D39" i="18"/>
  <c r="E39" i="18"/>
  <c r="F39" i="18"/>
  <c r="G39" i="18"/>
  <c r="H39" i="18"/>
  <c r="D40" i="18"/>
  <c r="E40" i="18"/>
  <c r="F40" i="18"/>
  <c r="G40" i="18"/>
  <c r="H40" i="18"/>
  <c r="D41" i="18"/>
  <c r="E41" i="18"/>
  <c r="F41" i="18"/>
  <c r="G41" i="18"/>
  <c r="H41" i="18"/>
  <c r="D42" i="18"/>
  <c r="E42" i="18"/>
  <c r="F42" i="18"/>
  <c r="G42" i="18"/>
  <c r="H42" i="18"/>
  <c r="D43" i="18"/>
  <c r="E43" i="18"/>
  <c r="F43" i="18"/>
  <c r="G43" i="18"/>
  <c r="H43" i="18"/>
  <c r="D44" i="18"/>
  <c r="E44" i="18"/>
  <c r="F44" i="18"/>
  <c r="G44" i="18"/>
  <c r="H44" i="18"/>
  <c r="D45" i="18"/>
  <c r="E45" i="18"/>
  <c r="F45" i="18"/>
  <c r="G45" i="18"/>
  <c r="H45" i="18"/>
  <c r="D46" i="18"/>
  <c r="E46" i="18"/>
  <c r="F46" i="18"/>
  <c r="G46" i="18"/>
  <c r="H46" i="18"/>
  <c r="D47" i="18"/>
  <c r="E47" i="18"/>
  <c r="F47" i="18"/>
  <c r="G47" i="18"/>
  <c r="H47" i="18"/>
  <c r="D48" i="18"/>
  <c r="E48" i="18"/>
  <c r="F48" i="18"/>
  <c r="G48" i="18"/>
  <c r="H48" i="18"/>
  <c r="D49" i="18"/>
  <c r="E49" i="18"/>
  <c r="F49" i="18"/>
  <c r="G49" i="18"/>
  <c r="H49" i="18"/>
  <c r="D50" i="18"/>
  <c r="E50" i="18"/>
  <c r="F50" i="18"/>
  <c r="G50" i="18"/>
  <c r="H50" i="18"/>
  <c r="D51" i="18"/>
  <c r="E51" i="18"/>
  <c r="F51" i="18"/>
  <c r="G51" i="18"/>
  <c r="H51" i="18"/>
  <c r="D52" i="18"/>
  <c r="E52" i="18"/>
  <c r="F52" i="18"/>
  <c r="G52" i="18"/>
  <c r="H52" i="18"/>
  <c r="D53" i="18"/>
  <c r="E53" i="18"/>
  <c r="F53" i="18"/>
  <c r="G53" i="18"/>
  <c r="H53" i="18"/>
  <c r="D54" i="18"/>
  <c r="E54" i="18"/>
  <c r="F54" i="18"/>
  <c r="G54" i="18"/>
  <c r="H54" i="18"/>
  <c r="D55" i="18"/>
  <c r="E55" i="18"/>
  <c r="F55" i="18"/>
  <c r="G55" i="18"/>
  <c r="H55" i="18"/>
  <c r="D56" i="18"/>
  <c r="E56" i="18"/>
  <c r="F56" i="18"/>
  <c r="G56" i="18"/>
  <c r="H56" i="18"/>
  <c r="D57" i="18"/>
  <c r="E57" i="18"/>
  <c r="F57" i="18"/>
  <c r="G57" i="18"/>
  <c r="H57" i="18"/>
  <c r="D58" i="18"/>
  <c r="E58" i="18"/>
  <c r="F58" i="18"/>
  <c r="G58" i="18"/>
  <c r="H58" i="18"/>
  <c r="D59" i="18"/>
  <c r="E59" i="18"/>
  <c r="F59" i="18"/>
  <c r="G59" i="18"/>
  <c r="H59" i="18"/>
  <c r="D60" i="18"/>
  <c r="E60" i="18"/>
  <c r="F60" i="18"/>
  <c r="G60" i="18"/>
  <c r="H60" i="18"/>
  <c r="D61" i="18"/>
  <c r="E61" i="18"/>
  <c r="F61" i="18"/>
  <c r="G61" i="18"/>
  <c r="H61" i="18"/>
  <c r="D62" i="18"/>
  <c r="E62" i="18"/>
  <c r="F62" i="18"/>
  <c r="G62" i="18"/>
  <c r="H62" i="18"/>
  <c r="D63" i="18"/>
  <c r="E63" i="18"/>
  <c r="F63" i="18"/>
  <c r="G63" i="18"/>
  <c r="H63" i="18"/>
  <c r="D64" i="18"/>
  <c r="E64" i="18"/>
  <c r="F64" i="18"/>
  <c r="G64" i="18"/>
  <c r="H64" i="18"/>
  <c r="D65" i="18"/>
  <c r="E65" i="18"/>
  <c r="F65" i="18"/>
  <c r="G65" i="18"/>
  <c r="H65" i="18"/>
  <c r="D66" i="18"/>
  <c r="E66" i="18"/>
  <c r="F66" i="18"/>
  <c r="G66" i="18"/>
  <c r="H66" i="18"/>
  <c r="D67" i="18"/>
  <c r="E67" i="18"/>
  <c r="F67" i="18"/>
  <c r="G67" i="18"/>
  <c r="H67" i="18"/>
  <c r="D68" i="18"/>
  <c r="E68" i="18"/>
  <c r="F68" i="18"/>
  <c r="G68" i="18"/>
  <c r="H68" i="18"/>
  <c r="D69" i="18"/>
  <c r="E69" i="18"/>
  <c r="F69" i="18"/>
  <c r="G69" i="18"/>
  <c r="H69" i="18"/>
  <c r="D70" i="18"/>
  <c r="E70" i="18"/>
  <c r="F70" i="18"/>
  <c r="G70" i="18"/>
  <c r="H70" i="18"/>
  <c r="D71" i="18"/>
  <c r="E71" i="18"/>
  <c r="F71" i="18"/>
  <c r="G71" i="18"/>
  <c r="H71" i="18"/>
  <c r="D72" i="18"/>
  <c r="E72" i="18"/>
  <c r="F72" i="18"/>
  <c r="G72" i="18"/>
  <c r="H72" i="18"/>
  <c r="D73" i="18"/>
  <c r="E73" i="18"/>
  <c r="F73" i="18"/>
  <c r="G73" i="18"/>
  <c r="H73" i="18"/>
  <c r="D74" i="18"/>
  <c r="E74" i="18"/>
  <c r="F74" i="18"/>
  <c r="G74" i="18"/>
  <c r="H74" i="18"/>
  <c r="D75" i="18"/>
  <c r="E75" i="18"/>
  <c r="F75" i="18"/>
  <c r="G75" i="18"/>
  <c r="H75" i="18"/>
  <c r="D76" i="18"/>
  <c r="E76" i="18"/>
  <c r="F76" i="18"/>
  <c r="G76" i="18"/>
  <c r="H76" i="18"/>
  <c r="D77" i="18"/>
  <c r="E77" i="18"/>
  <c r="F77" i="18"/>
  <c r="G77" i="18"/>
  <c r="H77" i="18"/>
  <c r="D78" i="18"/>
  <c r="E78" i="18"/>
  <c r="F78" i="18"/>
  <c r="G78" i="18"/>
  <c r="H78" i="18"/>
  <c r="D79" i="18"/>
  <c r="E79" i="18"/>
  <c r="F79" i="18"/>
  <c r="G79" i="18"/>
  <c r="H79" i="18"/>
  <c r="D80" i="18"/>
  <c r="E80" i="18"/>
  <c r="F80" i="18"/>
  <c r="G80" i="18"/>
  <c r="H80" i="18"/>
  <c r="D81" i="18"/>
  <c r="E81" i="18"/>
  <c r="F81" i="18"/>
  <c r="G81" i="18"/>
  <c r="H81" i="18"/>
  <c r="D82" i="18"/>
  <c r="E82" i="18"/>
  <c r="F82" i="18"/>
  <c r="G82" i="18"/>
  <c r="H82" i="18"/>
  <c r="D83" i="18"/>
  <c r="E83" i="18"/>
  <c r="F83" i="18"/>
  <c r="G83" i="18"/>
  <c r="H83" i="18"/>
  <c r="H3" i="18"/>
  <c r="B2" i="18"/>
  <c r="B4" i="18"/>
  <c r="A2" i="18"/>
  <c r="A4" i="18"/>
  <c r="B3" i="18"/>
  <c r="A3" i="18"/>
  <c r="D3" i="18"/>
  <c r="E3" i="18"/>
  <c r="B5" i="18"/>
  <c r="A5" i="18"/>
  <c r="B6" i="18"/>
  <c r="A6" i="18"/>
  <c r="B7" i="18"/>
  <c r="A7" i="18"/>
  <c r="B8" i="18"/>
  <c r="A8" i="18"/>
  <c r="B9" i="18"/>
  <c r="A9" i="18"/>
  <c r="B10" i="18"/>
  <c r="A10" i="18"/>
  <c r="B11" i="18"/>
  <c r="A11" i="18"/>
  <c r="B12" i="18"/>
  <c r="A12" i="18"/>
  <c r="B13" i="18"/>
  <c r="A13" i="18"/>
  <c r="B14" i="18"/>
  <c r="A14" i="18"/>
  <c r="B15" i="18"/>
  <c r="A15" i="18"/>
  <c r="B16" i="18"/>
  <c r="A16" i="18"/>
  <c r="B17" i="18"/>
  <c r="A17" i="18"/>
  <c r="B18" i="18"/>
  <c r="A18" i="18"/>
  <c r="B19" i="18"/>
  <c r="A19" i="18"/>
  <c r="B20" i="18"/>
  <c r="A20" i="18"/>
  <c r="B21" i="18"/>
  <c r="A21" i="18"/>
  <c r="B22" i="18"/>
  <c r="A22" i="18"/>
  <c r="B23" i="18"/>
  <c r="A23" i="18"/>
  <c r="B24" i="18"/>
  <c r="A24" i="18"/>
  <c r="B25" i="18"/>
  <c r="A25" i="18"/>
  <c r="B26" i="18"/>
  <c r="A26" i="18"/>
  <c r="B27" i="18"/>
  <c r="A27" i="18"/>
  <c r="B28" i="18"/>
  <c r="A28" i="18"/>
  <c r="B29" i="18"/>
  <c r="A29" i="18"/>
  <c r="B30" i="18"/>
  <c r="A30" i="18"/>
  <c r="B31" i="18"/>
  <c r="A31" i="18"/>
  <c r="B32" i="18"/>
  <c r="A32" i="18"/>
  <c r="B33" i="18"/>
  <c r="A33" i="18"/>
  <c r="B34" i="18"/>
  <c r="A34" i="18"/>
  <c r="B35" i="18"/>
  <c r="A35" i="18"/>
  <c r="B36" i="18"/>
  <c r="A36" i="18"/>
  <c r="B37" i="18"/>
  <c r="A37" i="18"/>
  <c r="B38" i="18"/>
  <c r="A38" i="18"/>
  <c r="B39" i="18"/>
  <c r="A39" i="18"/>
  <c r="B40" i="18"/>
  <c r="A40" i="18"/>
  <c r="B41" i="18"/>
  <c r="A41" i="18"/>
  <c r="B42" i="18"/>
  <c r="A42" i="18"/>
  <c r="B43" i="18"/>
  <c r="A43" i="18"/>
  <c r="B44" i="18"/>
  <c r="A44" i="18"/>
  <c r="B45" i="18"/>
  <c r="A45" i="18"/>
  <c r="B46" i="18"/>
  <c r="A46" i="18"/>
  <c r="B47" i="18"/>
  <c r="A47" i="18"/>
  <c r="B48" i="18"/>
  <c r="A48" i="18"/>
  <c r="B49" i="18"/>
  <c r="A49" i="18"/>
  <c r="B50" i="18"/>
  <c r="A50" i="18"/>
  <c r="B51" i="18"/>
  <c r="A51" i="18"/>
  <c r="B52" i="18"/>
  <c r="A52" i="18"/>
  <c r="B53" i="18"/>
  <c r="A53" i="18"/>
  <c r="B54" i="18"/>
  <c r="A54" i="18"/>
  <c r="B55" i="18"/>
  <c r="A55" i="18"/>
  <c r="B56" i="18"/>
  <c r="A56" i="18"/>
  <c r="B57" i="18"/>
  <c r="A57" i="18"/>
  <c r="B58" i="18"/>
  <c r="A58" i="18"/>
  <c r="B59" i="18"/>
  <c r="A59" i="18"/>
  <c r="B60" i="18"/>
  <c r="A60" i="18"/>
  <c r="B61" i="18"/>
  <c r="A61" i="18"/>
  <c r="B62" i="18"/>
  <c r="A62" i="18"/>
  <c r="B63" i="18"/>
  <c r="A63" i="18"/>
  <c r="B64" i="18"/>
  <c r="A64" i="18"/>
  <c r="B65" i="18"/>
  <c r="A65" i="18"/>
  <c r="B66" i="18"/>
  <c r="A66" i="18"/>
  <c r="B67" i="18"/>
  <c r="A67" i="18"/>
  <c r="B68" i="18"/>
  <c r="A68" i="18"/>
  <c r="B69" i="18"/>
  <c r="A69" i="18"/>
  <c r="B70" i="18"/>
  <c r="A70" i="18"/>
  <c r="B71" i="18"/>
  <c r="A71" i="18"/>
  <c r="B72" i="18"/>
  <c r="A72" i="18"/>
  <c r="B73" i="18"/>
  <c r="A73" i="18"/>
  <c r="B74" i="18"/>
  <c r="A74" i="18"/>
  <c r="B75" i="18"/>
  <c r="A75" i="18"/>
  <c r="B76" i="18"/>
  <c r="A76" i="18"/>
  <c r="B77" i="18"/>
  <c r="A77" i="18"/>
  <c r="B78" i="18"/>
  <c r="A78" i="18"/>
  <c r="B79" i="18"/>
  <c r="A79" i="18"/>
  <c r="B80" i="18"/>
  <c r="A80" i="18"/>
  <c r="B81" i="18"/>
  <c r="A81" i="18"/>
  <c r="B82" i="18"/>
  <c r="A82" i="18"/>
  <c r="B83" i="18"/>
  <c r="A83" i="18"/>
  <c r="G2" i="18"/>
  <c r="H2" i="18"/>
  <c r="D2" i="18"/>
  <c r="B2" i="17"/>
  <c r="B4" i="17"/>
  <c r="A2" i="17"/>
  <c r="A4" i="17"/>
  <c r="D4" i="17"/>
  <c r="E4" i="17"/>
  <c r="B3" i="17"/>
  <c r="A3" i="17"/>
  <c r="D3" i="17"/>
  <c r="E3" i="17"/>
  <c r="F4" i="17"/>
  <c r="G4" i="17"/>
  <c r="H4" i="17"/>
  <c r="B5" i="17"/>
  <c r="A5" i="17"/>
  <c r="D5" i="17"/>
  <c r="E5" i="17"/>
  <c r="F5" i="17"/>
  <c r="G5" i="17"/>
  <c r="H5" i="17"/>
  <c r="B6" i="17"/>
  <c r="A6" i="17"/>
  <c r="D6" i="17"/>
  <c r="E6" i="17"/>
  <c r="F6" i="17"/>
  <c r="G6" i="17"/>
  <c r="H6" i="17"/>
  <c r="B7" i="17"/>
  <c r="A7" i="17"/>
  <c r="D7" i="17"/>
  <c r="E7" i="17"/>
  <c r="F7" i="17"/>
  <c r="G7" i="17"/>
  <c r="H7" i="17"/>
  <c r="B8" i="17"/>
  <c r="A8" i="17"/>
  <c r="D8" i="17"/>
  <c r="E8" i="17"/>
  <c r="F8" i="17"/>
  <c r="G8" i="17"/>
  <c r="H8" i="17"/>
  <c r="B9" i="17"/>
  <c r="A9" i="17"/>
  <c r="D9" i="17"/>
  <c r="E9" i="17"/>
  <c r="F9" i="17"/>
  <c r="G9" i="17"/>
  <c r="H9" i="17"/>
  <c r="B10" i="17"/>
  <c r="A10" i="17"/>
  <c r="D10" i="17"/>
  <c r="E10" i="17"/>
  <c r="F10" i="17"/>
  <c r="G10" i="17"/>
  <c r="H10" i="17"/>
  <c r="B11" i="17"/>
  <c r="A11" i="17"/>
  <c r="D11" i="17"/>
  <c r="E11" i="17"/>
  <c r="F11" i="17"/>
  <c r="G11" i="17"/>
  <c r="H11" i="17"/>
  <c r="B12" i="17"/>
  <c r="A12" i="17"/>
  <c r="D12" i="17"/>
  <c r="E12" i="17"/>
  <c r="F12" i="17"/>
  <c r="G12" i="17"/>
  <c r="H12" i="17"/>
  <c r="B13" i="17"/>
  <c r="A13" i="17"/>
  <c r="D13" i="17"/>
  <c r="E13" i="17"/>
  <c r="F13" i="17"/>
  <c r="G13" i="17"/>
  <c r="H13" i="17"/>
  <c r="B14" i="17"/>
  <c r="A14" i="17"/>
  <c r="D14" i="17"/>
  <c r="E14" i="17"/>
  <c r="F14" i="17"/>
  <c r="G14" i="17"/>
  <c r="H14" i="17"/>
  <c r="B15" i="17"/>
  <c r="A15" i="17"/>
  <c r="D15" i="17"/>
  <c r="E15" i="17"/>
  <c r="F15" i="17"/>
  <c r="G15" i="17"/>
  <c r="H15" i="17"/>
  <c r="B16" i="17"/>
  <c r="A16" i="17"/>
  <c r="D16" i="17"/>
  <c r="E16" i="17"/>
  <c r="F16" i="17"/>
  <c r="G16" i="17"/>
  <c r="H16" i="17"/>
  <c r="B17" i="17"/>
  <c r="A17" i="17"/>
  <c r="D17" i="17"/>
  <c r="E17" i="17"/>
  <c r="F17" i="17"/>
  <c r="G17" i="17"/>
  <c r="H17" i="17"/>
  <c r="B18" i="17"/>
  <c r="A18" i="17"/>
  <c r="D18" i="17"/>
  <c r="E18" i="17"/>
  <c r="F18" i="17"/>
  <c r="G18" i="17"/>
  <c r="H18" i="17"/>
  <c r="B19" i="17"/>
  <c r="A19" i="17"/>
  <c r="D19" i="17"/>
  <c r="E19" i="17"/>
  <c r="F19" i="17"/>
  <c r="G19" i="17"/>
  <c r="H19" i="17"/>
  <c r="B20" i="17"/>
  <c r="A20" i="17"/>
  <c r="D20" i="17"/>
  <c r="E20" i="17"/>
  <c r="F20" i="17"/>
  <c r="G20" i="17"/>
  <c r="H20" i="17"/>
  <c r="B21" i="17"/>
  <c r="A21" i="17"/>
  <c r="D21" i="17"/>
  <c r="E21" i="17"/>
  <c r="F21" i="17"/>
  <c r="G21" i="17"/>
  <c r="H21" i="17"/>
  <c r="B22" i="17"/>
  <c r="A22" i="17"/>
  <c r="D22" i="17"/>
  <c r="E22" i="17"/>
  <c r="F22" i="17"/>
  <c r="G22" i="17"/>
  <c r="H22" i="17"/>
  <c r="B23" i="17"/>
  <c r="A23" i="17"/>
  <c r="D23" i="17"/>
  <c r="E23" i="17"/>
  <c r="F23" i="17"/>
  <c r="G23" i="17"/>
  <c r="H23" i="17"/>
  <c r="B24" i="17"/>
  <c r="A24" i="17"/>
  <c r="D24" i="17"/>
  <c r="E24" i="17"/>
  <c r="F24" i="17"/>
  <c r="G24" i="17"/>
  <c r="H24" i="17"/>
  <c r="B25" i="17"/>
  <c r="A25" i="17"/>
  <c r="D25" i="17"/>
  <c r="E25" i="17"/>
  <c r="F25" i="17"/>
  <c r="G25" i="17"/>
  <c r="H25" i="17"/>
  <c r="B26" i="17"/>
  <c r="A26" i="17"/>
  <c r="D26" i="17"/>
  <c r="E26" i="17"/>
  <c r="F26" i="17"/>
  <c r="G26" i="17"/>
  <c r="H26" i="17"/>
  <c r="B27" i="17"/>
  <c r="A27" i="17"/>
  <c r="D27" i="17"/>
  <c r="E27" i="17"/>
  <c r="F27" i="17"/>
  <c r="G27" i="17"/>
  <c r="H27" i="17"/>
  <c r="B28" i="17"/>
  <c r="A28" i="17"/>
  <c r="D28" i="17"/>
  <c r="E28" i="17"/>
  <c r="F28" i="17"/>
  <c r="G28" i="17"/>
  <c r="H28" i="17"/>
  <c r="B29" i="17"/>
  <c r="A29" i="17"/>
  <c r="D29" i="17"/>
  <c r="E29" i="17"/>
  <c r="F29" i="17"/>
  <c r="G29" i="17"/>
  <c r="H29" i="17"/>
  <c r="B30" i="17"/>
  <c r="A30" i="17"/>
  <c r="D30" i="17"/>
  <c r="E30" i="17"/>
  <c r="F30" i="17"/>
  <c r="G30" i="17"/>
  <c r="H30" i="17"/>
  <c r="B31" i="17"/>
  <c r="A31" i="17"/>
  <c r="D31" i="17"/>
  <c r="E31" i="17"/>
  <c r="F31" i="17"/>
  <c r="G31" i="17"/>
  <c r="H31" i="17"/>
  <c r="B32" i="17"/>
  <c r="A32" i="17"/>
  <c r="D32" i="17"/>
  <c r="E32" i="17"/>
  <c r="F32" i="17"/>
  <c r="G32" i="17"/>
  <c r="H32" i="17"/>
  <c r="B33" i="17"/>
  <c r="A33" i="17"/>
  <c r="D33" i="17"/>
  <c r="E33" i="17"/>
  <c r="F33" i="17"/>
  <c r="G33" i="17"/>
  <c r="H33" i="17"/>
  <c r="B34" i="17"/>
  <c r="A34" i="17"/>
  <c r="D34" i="17"/>
  <c r="E34" i="17"/>
  <c r="F34" i="17"/>
  <c r="G34" i="17"/>
  <c r="H34" i="17"/>
  <c r="B35" i="17"/>
  <c r="A35" i="17"/>
  <c r="D35" i="17"/>
  <c r="E35" i="17"/>
  <c r="F35" i="17"/>
  <c r="G35" i="17"/>
  <c r="H35" i="17"/>
  <c r="B36" i="17"/>
  <c r="A36" i="17"/>
  <c r="D36" i="17"/>
  <c r="E36" i="17"/>
  <c r="F36" i="17"/>
  <c r="G36" i="17"/>
  <c r="H36" i="17"/>
  <c r="B37" i="17"/>
  <c r="A37" i="17"/>
  <c r="D37" i="17"/>
  <c r="E37" i="17"/>
  <c r="F37" i="17"/>
  <c r="G37" i="17"/>
  <c r="H37" i="17"/>
  <c r="B38" i="17"/>
  <c r="A38" i="17"/>
  <c r="D38" i="17"/>
  <c r="E38" i="17"/>
  <c r="F38" i="17"/>
  <c r="G38" i="17"/>
  <c r="H38" i="17"/>
  <c r="B39" i="17"/>
  <c r="A39" i="17"/>
  <c r="D39" i="17"/>
  <c r="E39" i="17"/>
  <c r="F39" i="17"/>
  <c r="G39" i="17"/>
  <c r="H39" i="17"/>
  <c r="B40" i="17"/>
  <c r="A40" i="17"/>
  <c r="D40" i="17"/>
  <c r="E40" i="17"/>
  <c r="F40" i="17"/>
  <c r="G40" i="17"/>
  <c r="H40" i="17"/>
  <c r="B41" i="17"/>
  <c r="A41" i="17"/>
  <c r="D41" i="17"/>
  <c r="E41" i="17"/>
  <c r="F41" i="17"/>
  <c r="G41" i="17"/>
  <c r="H41" i="17"/>
  <c r="B42" i="17"/>
  <c r="A42" i="17"/>
  <c r="D42" i="17"/>
  <c r="E42" i="17"/>
  <c r="F42" i="17"/>
  <c r="G42" i="17"/>
  <c r="H42" i="17"/>
  <c r="B43" i="17"/>
  <c r="A43" i="17"/>
  <c r="D43" i="17"/>
  <c r="E43" i="17"/>
  <c r="F43" i="17"/>
  <c r="G43" i="17"/>
  <c r="H43" i="17"/>
  <c r="B44" i="17"/>
  <c r="A44" i="17"/>
  <c r="D44" i="17"/>
  <c r="E44" i="17"/>
  <c r="F44" i="17"/>
  <c r="G44" i="17"/>
  <c r="H44" i="17"/>
  <c r="B45" i="17"/>
  <c r="A45" i="17"/>
  <c r="D45" i="17"/>
  <c r="E45" i="17"/>
  <c r="F45" i="17"/>
  <c r="G45" i="17"/>
  <c r="H45" i="17"/>
  <c r="B46" i="17"/>
  <c r="A46" i="17"/>
  <c r="D46" i="17"/>
  <c r="E46" i="17"/>
  <c r="F46" i="17"/>
  <c r="G46" i="17"/>
  <c r="H46" i="17"/>
  <c r="B47" i="17"/>
  <c r="A47" i="17"/>
  <c r="D47" i="17"/>
  <c r="E47" i="17"/>
  <c r="F47" i="17"/>
  <c r="G47" i="17"/>
  <c r="H47" i="17"/>
  <c r="B48" i="17"/>
  <c r="A48" i="17"/>
  <c r="D48" i="17"/>
  <c r="E48" i="17"/>
  <c r="F48" i="17"/>
  <c r="G48" i="17"/>
  <c r="H48" i="17"/>
  <c r="B49" i="17"/>
  <c r="A49" i="17"/>
  <c r="D49" i="17"/>
  <c r="E49" i="17"/>
  <c r="F49" i="17"/>
  <c r="G49" i="17"/>
  <c r="H49" i="17"/>
  <c r="B50" i="17"/>
  <c r="A50" i="17"/>
  <c r="D50" i="17"/>
  <c r="E50" i="17"/>
  <c r="F50" i="17"/>
  <c r="G50" i="17"/>
  <c r="H50" i="17"/>
  <c r="B51" i="17"/>
  <c r="A51" i="17"/>
  <c r="D51" i="17"/>
  <c r="E51" i="17"/>
  <c r="F51" i="17"/>
  <c r="G51" i="17"/>
  <c r="H51" i="17"/>
  <c r="B52" i="17"/>
  <c r="A52" i="17"/>
  <c r="D52" i="17"/>
  <c r="E52" i="17"/>
  <c r="F52" i="17"/>
  <c r="G52" i="17"/>
  <c r="H52" i="17"/>
  <c r="B53" i="17"/>
  <c r="A53" i="17"/>
  <c r="D53" i="17"/>
  <c r="E53" i="17"/>
  <c r="F53" i="17"/>
  <c r="G53" i="17"/>
  <c r="H53" i="17"/>
  <c r="B54" i="17"/>
  <c r="A54" i="17"/>
  <c r="D54" i="17"/>
  <c r="E54" i="17"/>
  <c r="F54" i="17"/>
  <c r="G54" i="17"/>
  <c r="H54" i="17"/>
  <c r="B55" i="17"/>
  <c r="A55" i="17"/>
  <c r="D55" i="17"/>
  <c r="E55" i="17"/>
  <c r="F55" i="17"/>
  <c r="G55" i="17"/>
  <c r="H55" i="17"/>
  <c r="B56" i="17"/>
  <c r="A56" i="17"/>
  <c r="D56" i="17"/>
  <c r="E56" i="17"/>
  <c r="F56" i="17"/>
  <c r="G56" i="17"/>
  <c r="H56" i="17"/>
  <c r="B57" i="17"/>
  <c r="A57" i="17"/>
  <c r="D57" i="17"/>
  <c r="E57" i="17"/>
  <c r="F57" i="17"/>
  <c r="G57" i="17"/>
  <c r="H57" i="17"/>
  <c r="B58" i="17"/>
  <c r="A58" i="17"/>
  <c r="D58" i="17"/>
  <c r="E58" i="17"/>
  <c r="F58" i="17"/>
  <c r="G58" i="17"/>
  <c r="H58" i="17"/>
  <c r="B59" i="17"/>
  <c r="A59" i="17"/>
  <c r="D59" i="17"/>
  <c r="E59" i="17"/>
  <c r="F59" i="17"/>
  <c r="G59" i="17"/>
  <c r="H59" i="17"/>
  <c r="B60" i="17"/>
  <c r="A60" i="17"/>
  <c r="D60" i="17"/>
  <c r="E60" i="17"/>
  <c r="F60" i="17"/>
  <c r="G60" i="17"/>
  <c r="H60" i="17"/>
  <c r="B61" i="17"/>
  <c r="A61" i="17"/>
  <c r="D61" i="17"/>
  <c r="E61" i="17"/>
  <c r="F61" i="17"/>
  <c r="G61" i="17"/>
  <c r="H61" i="17"/>
  <c r="B62" i="17"/>
  <c r="A62" i="17"/>
  <c r="D62" i="17"/>
  <c r="E62" i="17"/>
  <c r="F62" i="17"/>
  <c r="G62" i="17"/>
  <c r="H62" i="17"/>
  <c r="B63" i="17"/>
  <c r="A63" i="17"/>
  <c r="D63" i="17"/>
  <c r="E63" i="17"/>
  <c r="F63" i="17"/>
  <c r="G63" i="17"/>
  <c r="H63" i="17"/>
  <c r="B64" i="17"/>
  <c r="A64" i="17"/>
  <c r="D64" i="17"/>
  <c r="E64" i="17"/>
  <c r="F64" i="17"/>
  <c r="G64" i="17"/>
  <c r="H64" i="17"/>
  <c r="B65" i="17"/>
  <c r="A65" i="17"/>
  <c r="D65" i="17"/>
  <c r="E65" i="17"/>
  <c r="F65" i="17"/>
  <c r="G65" i="17"/>
  <c r="H65" i="17"/>
  <c r="B66" i="17"/>
  <c r="A66" i="17"/>
  <c r="D66" i="17"/>
  <c r="E66" i="17"/>
  <c r="F66" i="17"/>
  <c r="G66" i="17"/>
  <c r="H66" i="17"/>
  <c r="B67" i="17"/>
  <c r="A67" i="17"/>
  <c r="D67" i="17"/>
  <c r="E67" i="17"/>
  <c r="F67" i="17"/>
  <c r="G67" i="17"/>
  <c r="H67" i="17"/>
  <c r="B68" i="17"/>
  <c r="A68" i="17"/>
  <c r="D68" i="17"/>
  <c r="E68" i="17"/>
  <c r="F68" i="17"/>
  <c r="G68" i="17"/>
  <c r="H68" i="17"/>
  <c r="B69" i="17"/>
  <c r="A69" i="17"/>
  <c r="D69" i="17"/>
  <c r="E69" i="17"/>
  <c r="F69" i="17"/>
  <c r="G69" i="17"/>
  <c r="H69" i="17"/>
  <c r="B70" i="17"/>
  <c r="A70" i="17"/>
  <c r="D70" i="17"/>
  <c r="E70" i="17"/>
  <c r="F70" i="17"/>
  <c r="G70" i="17"/>
  <c r="H70" i="17"/>
  <c r="B71" i="17"/>
  <c r="A71" i="17"/>
  <c r="D71" i="17"/>
  <c r="E71" i="17"/>
  <c r="F71" i="17"/>
  <c r="G71" i="17"/>
  <c r="H71" i="17"/>
  <c r="B72" i="17"/>
  <c r="A72" i="17"/>
  <c r="D72" i="17"/>
  <c r="E72" i="17"/>
  <c r="F72" i="17"/>
  <c r="G72" i="17"/>
  <c r="H72" i="17"/>
  <c r="B73" i="17"/>
  <c r="A73" i="17"/>
  <c r="D73" i="17"/>
  <c r="E73" i="17"/>
  <c r="F73" i="17"/>
  <c r="G73" i="17"/>
  <c r="H73" i="17"/>
  <c r="B74" i="17"/>
  <c r="A74" i="17"/>
  <c r="D74" i="17"/>
  <c r="E74" i="17"/>
  <c r="F74" i="17"/>
  <c r="G74" i="17"/>
  <c r="H74" i="17"/>
  <c r="B75" i="17"/>
  <c r="A75" i="17"/>
  <c r="D75" i="17"/>
  <c r="E75" i="17"/>
  <c r="F75" i="17"/>
  <c r="G75" i="17"/>
  <c r="H75" i="17"/>
  <c r="B76" i="17"/>
  <c r="A76" i="17"/>
  <c r="D76" i="17"/>
  <c r="E76" i="17"/>
  <c r="F76" i="17"/>
  <c r="G76" i="17"/>
  <c r="H76" i="17"/>
  <c r="B77" i="17"/>
  <c r="A77" i="17"/>
  <c r="D77" i="17"/>
  <c r="E77" i="17"/>
  <c r="F77" i="17"/>
  <c r="G77" i="17"/>
  <c r="H77" i="17"/>
  <c r="B78" i="17"/>
  <c r="A78" i="17"/>
  <c r="D78" i="17"/>
  <c r="E78" i="17"/>
  <c r="F78" i="17"/>
  <c r="G78" i="17"/>
  <c r="H78" i="17"/>
  <c r="B79" i="17"/>
  <c r="A79" i="17"/>
  <c r="D79" i="17"/>
  <c r="E79" i="17"/>
  <c r="F79" i="17"/>
  <c r="G79" i="17"/>
  <c r="H79" i="17"/>
  <c r="B80" i="17"/>
  <c r="A80" i="17"/>
  <c r="D80" i="17"/>
  <c r="E80" i="17"/>
  <c r="F80" i="17"/>
  <c r="G80" i="17"/>
  <c r="H80" i="17"/>
  <c r="B81" i="17"/>
  <c r="A81" i="17"/>
  <c r="D81" i="17"/>
  <c r="E81" i="17"/>
  <c r="F81" i="17"/>
  <c r="G81" i="17"/>
  <c r="H81" i="17"/>
  <c r="B82" i="17"/>
  <c r="A82" i="17"/>
  <c r="D82" i="17"/>
  <c r="E82" i="17"/>
  <c r="F82" i="17"/>
  <c r="G82" i="17"/>
  <c r="H82" i="17"/>
  <c r="B83" i="17"/>
  <c r="A83" i="17"/>
  <c r="D83" i="17"/>
  <c r="E83" i="17"/>
  <c r="F83" i="17"/>
  <c r="G83" i="17"/>
  <c r="H83" i="17"/>
  <c r="G2" i="17"/>
  <c r="H2" i="17"/>
  <c r="D2" i="17"/>
  <c r="D4" i="16"/>
  <c r="E4" i="16"/>
  <c r="F4" i="16"/>
  <c r="G4" i="16"/>
  <c r="H4" i="16"/>
  <c r="D5" i="16"/>
  <c r="E5" i="16"/>
  <c r="F5" i="16"/>
  <c r="G5" i="16"/>
  <c r="H5" i="16"/>
  <c r="D6" i="16"/>
  <c r="E6" i="16"/>
  <c r="F6" i="16"/>
  <c r="G6" i="16"/>
  <c r="H6" i="16"/>
  <c r="D7" i="16"/>
  <c r="E7" i="16"/>
  <c r="F7" i="16"/>
  <c r="G7" i="16"/>
  <c r="H7" i="16"/>
  <c r="D8" i="16"/>
  <c r="E8" i="16"/>
  <c r="F8" i="16"/>
  <c r="G8" i="16"/>
  <c r="H8" i="16"/>
  <c r="D9" i="16"/>
  <c r="E9" i="16"/>
  <c r="F9" i="16"/>
  <c r="G9" i="16"/>
  <c r="H9" i="16"/>
  <c r="D10" i="16"/>
  <c r="E10" i="16"/>
  <c r="F10" i="16"/>
  <c r="G10" i="16"/>
  <c r="H10" i="16"/>
  <c r="D11" i="16"/>
  <c r="E11" i="16"/>
  <c r="F11" i="16"/>
  <c r="G11" i="16"/>
  <c r="H11" i="16"/>
  <c r="D12" i="16"/>
  <c r="E12" i="16"/>
  <c r="F12" i="16"/>
  <c r="G12" i="16"/>
  <c r="H12" i="16"/>
  <c r="D13" i="16"/>
  <c r="E13" i="16"/>
  <c r="F13" i="16"/>
  <c r="G13" i="16"/>
  <c r="H13" i="16"/>
  <c r="D14" i="16"/>
  <c r="E14" i="16"/>
  <c r="F14" i="16"/>
  <c r="G14" i="16"/>
  <c r="H14" i="16"/>
  <c r="D15" i="16"/>
  <c r="E15" i="16"/>
  <c r="F15" i="16"/>
  <c r="G15" i="16"/>
  <c r="H15" i="16"/>
  <c r="D16" i="16"/>
  <c r="E16" i="16"/>
  <c r="F16" i="16"/>
  <c r="G16" i="16"/>
  <c r="H16" i="16"/>
  <c r="D17" i="16"/>
  <c r="E17" i="16"/>
  <c r="F17" i="16"/>
  <c r="G17" i="16"/>
  <c r="H17" i="16"/>
  <c r="D18" i="16"/>
  <c r="E18" i="16"/>
  <c r="F18" i="16"/>
  <c r="G18" i="16"/>
  <c r="H18" i="16"/>
  <c r="D19" i="16"/>
  <c r="E19" i="16"/>
  <c r="F19" i="16"/>
  <c r="G19" i="16"/>
  <c r="H19" i="16"/>
  <c r="D20" i="16"/>
  <c r="E20" i="16"/>
  <c r="F20" i="16"/>
  <c r="G20" i="16"/>
  <c r="H20" i="16"/>
  <c r="D21" i="16"/>
  <c r="E21" i="16"/>
  <c r="F21" i="16"/>
  <c r="G21" i="16"/>
  <c r="H21" i="16"/>
  <c r="D22" i="16"/>
  <c r="E22" i="16"/>
  <c r="F22" i="16"/>
  <c r="G22" i="16"/>
  <c r="H22" i="16"/>
  <c r="D23" i="16"/>
  <c r="E23" i="16"/>
  <c r="F23" i="16"/>
  <c r="G23" i="16"/>
  <c r="H23" i="16"/>
  <c r="D24" i="16"/>
  <c r="E24" i="16"/>
  <c r="F24" i="16"/>
  <c r="G24" i="16"/>
  <c r="H24" i="16"/>
  <c r="D25" i="16"/>
  <c r="E25" i="16"/>
  <c r="F25" i="16"/>
  <c r="G25" i="16"/>
  <c r="H25" i="16"/>
  <c r="D26" i="16"/>
  <c r="E26" i="16"/>
  <c r="F26" i="16"/>
  <c r="G26" i="16"/>
  <c r="H26" i="16"/>
  <c r="D27" i="16"/>
  <c r="E27" i="16"/>
  <c r="F27" i="16"/>
  <c r="G27" i="16"/>
  <c r="H27" i="16"/>
  <c r="D28" i="16"/>
  <c r="E28" i="16"/>
  <c r="F28" i="16"/>
  <c r="G28" i="16"/>
  <c r="H28" i="16"/>
  <c r="D29" i="16"/>
  <c r="E29" i="16"/>
  <c r="F29" i="16"/>
  <c r="G29" i="16"/>
  <c r="H29" i="16"/>
  <c r="D30" i="16"/>
  <c r="E30" i="16"/>
  <c r="F30" i="16"/>
  <c r="G30" i="16"/>
  <c r="H30" i="16"/>
  <c r="D31" i="16"/>
  <c r="E31" i="16"/>
  <c r="F31" i="16"/>
  <c r="G31" i="16"/>
  <c r="H31" i="16"/>
  <c r="D32" i="16"/>
  <c r="E32" i="16"/>
  <c r="F32" i="16"/>
  <c r="G32" i="16"/>
  <c r="H32" i="16"/>
  <c r="D33" i="16"/>
  <c r="E33" i="16"/>
  <c r="F33" i="16"/>
  <c r="G33" i="16"/>
  <c r="H33" i="16"/>
  <c r="D34" i="16"/>
  <c r="E34" i="16"/>
  <c r="F34" i="16"/>
  <c r="G34" i="16"/>
  <c r="H34" i="16"/>
  <c r="D35" i="16"/>
  <c r="E35" i="16"/>
  <c r="F35" i="16"/>
  <c r="G35" i="16"/>
  <c r="H35" i="16"/>
  <c r="D36" i="16"/>
  <c r="E36" i="16"/>
  <c r="F36" i="16"/>
  <c r="G36" i="16"/>
  <c r="H36" i="16"/>
  <c r="D37" i="16"/>
  <c r="E37" i="16"/>
  <c r="F37" i="16"/>
  <c r="G37" i="16"/>
  <c r="H37" i="16"/>
  <c r="D38" i="16"/>
  <c r="E38" i="16"/>
  <c r="F38" i="16"/>
  <c r="G38" i="16"/>
  <c r="H38" i="16"/>
  <c r="D39" i="16"/>
  <c r="E39" i="16"/>
  <c r="F39" i="16"/>
  <c r="G39" i="16"/>
  <c r="H39" i="16"/>
  <c r="D40" i="16"/>
  <c r="E40" i="16"/>
  <c r="F40" i="16"/>
  <c r="G40" i="16"/>
  <c r="H40" i="16"/>
  <c r="D41" i="16"/>
  <c r="E41" i="16"/>
  <c r="F41" i="16"/>
  <c r="G41" i="16"/>
  <c r="H41" i="16"/>
  <c r="D42" i="16"/>
  <c r="E42" i="16"/>
  <c r="F42" i="16"/>
  <c r="G42" i="16"/>
  <c r="H42" i="16"/>
  <c r="D43" i="16"/>
  <c r="E43" i="16"/>
  <c r="F43" i="16"/>
  <c r="G43" i="16"/>
  <c r="H43" i="16"/>
  <c r="D44" i="16"/>
  <c r="E44" i="16"/>
  <c r="F44" i="16"/>
  <c r="G44" i="16"/>
  <c r="H44" i="16"/>
  <c r="D45" i="16"/>
  <c r="E45" i="16"/>
  <c r="F45" i="16"/>
  <c r="G45" i="16"/>
  <c r="H45" i="16"/>
  <c r="D46" i="16"/>
  <c r="E46" i="16"/>
  <c r="F46" i="16"/>
  <c r="G46" i="16"/>
  <c r="H46" i="16"/>
  <c r="D47" i="16"/>
  <c r="E47" i="16"/>
  <c r="F47" i="16"/>
  <c r="G47" i="16"/>
  <c r="H47" i="16"/>
  <c r="D48" i="16"/>
  <c r="E48" i="16"/>
  <c r="F48" i="16"/>
  <c r="G48" i="16"/>
  <c r="H48" i="16"/>
  <c r="D49" i="16"/>
  <c r="E49" i="16"/>
  <c r="F49" i="16"/>
  <c r="G49" i="16"/>
  <c r="H49" i="16"/>
  <c r="D50" i="16"/>
  <c r="E50" i="16"/>
  <c r="F50" i="16"/>
  <c r="G50" i="16"/>
  <c r="H50" i="16"/>
  <c r="D51" i="16"/>
  <c r="E51" i="16"/>
  <c r="F51" i="16"/>
  <c r="G51" i="16"/>
  <c r="H51" i="16"/>
  <c r="D52" i="16"/>
  <c r="E52" i="16"/>
  <c r="F52" i="16"/>
  <c r="G52" i="16"/>
  <c r="H52" i="16"/>
  <c r="D53" i="16"/>
  <c r="E53" i="16"/>
  <c r="F53" i="16"/>
  <c r="G53" i="16"/>
  <c r="H53" i="16"/>
  <c r="D54" i="16"/>
  <c r="E54" i="16"/>
  <c r="F54" i="16"/>
  <c r="G54" i="16"/>
  <c r="H54" i="16"/>
  <c r="D55" i="16"/>
  <c r="E55" i="16"/>
  <c r="F55" i="16"/>
  <c r="G55" i="16"/>
  <c r="H55" i="16"/>
  <c r="D56" i="16"/>
  <c r="E56" i="16"/>
  <c r="F56" i="16"/>
  <c r="G56" i="16"/>
  <c r="H56" i="16"/>
  <c r="D57" i="16"/>
  <c r="E57" i="16"/>
  <c r="F57" i="16"/>
  <c r="G57" i="16"/>
  <c r="H57" i="16"/>
  <c r="D58" i="16"/>
  <c r="E58" i="16"/>
  <c r="F58" i="16"/>
  <c r="G58" i="16"/>
  <c r="H58" i="16"/>
  <c r="D59" i="16"/>
  <c r="E59" i="16"/>
  <c r="F59" i="16"/>
  <c r="G59" i="16"/>
  <c r="H59" i="16"/>
  <c r="D60" i="16"/>
  <c r="E60" i="16"/>
  <c r="F60" i="16"/>
  <c r="G60" i="16"/>
  <c r="H60" i="16"/>
  <c r="D61" i="16"/>
  <c r="E61" i="16"/>
  <c r="F61" i="16"/>
  <c r="G61" i="16"/>
  <c r="H61" i="16"/>
  <c r="D62" i="16"/>
  <c r="E62" i="16"/>
  <c r="F62" i="16"/>
  <c r="G62" i="16"/>
  <c r="H62" i="16"/>
  <c r="D63" i="16"/>
  <c r="E63" i="16"/>
  <c r="F63" i="16"/>
  <c r="G63" i="16"/>
  <c r="H63" i="16"/>
  <c r="D64" i="16"/>
  <c r="E64" i="16"/>
  <c r="F64" i="16"/>
  <c r="G64" i="16"/>
  <c r="H64" i="16"/>
  <c r="D65" i="16"/>
  <c r="E65" i="16"/>
  <c r="F65" i="16"/>
  <c r="G65" i="16"/>
  <c r="H65" i="16"/>
  <c r="D66" i="16"/>
  <c r="E66" i="16"/>
  <c r="F66" i="16"/>
  <c r="G66" i="16"/>
  <c r="H66" i="16"/>
  <c r="D67" i="16"/>
  <c r="E67" i="16"/>
  <c r="F67" i="16"/>
  <c r="G67" i="16"/>
  <c r="H67" i="16"/>
  <c r="D68" i="16"/>
  <c r="E68" i="16"/>
  <c r="F68" i="16"/>
  <c r="G68" i="16"/>
  <c r="H68" i="16"/>
  <c r="D69" i="16"/>
  <c r="E69" i="16"/>
  <c r="F69" i="16"/>
  <c r="G69" i="16"/>
  <c r="H69" i="16"/>
  <c r="D70" i="16"/>
  <c r="E70" i="16"/>
  <c r="F70" i="16"/>
  <c r="G70" i="16"/>
  <c r="H70" i="16"/>
  <c r="D71" i="16"/>
  <c r="E71" i="16"/>
  <c r="F71" i="16"/>
  <c r="G71" i="16"/>
  <c r="H71" i="16"/>
  <c r="D72" i="16"/>
  <c r="E72" i="16"/>
  <c r="F72" i="16"/>
  <c r="G72" i="16"/>
  <c r="H72" i="16"/>
  <c r="D73" i="16"/>
  <c r="E73" i="16"/>
  <c r="F73" i="16"/>
  <c r="G73" i="16"/>
  <c r="H73" i="16"/>
  <c r="D74" i="16"/>
  <c r="E74" i="16"/>
  <c r="F74" i="16"/>
  <c r="G74" i="16"/>
  <c r="H74" i="16"/>
  <c r="D75" i="16"/>
  <c r="E75" i="16"/>
  <c r="F75" i="16"/>
  <c r="G75" i="16"/>
  <c r="H75" i="16"/>
  <c r="D76" i="16"/>
  <c r="E76" i="16"/>
  <c r="F76" i="16"/>
  <c r="G76" i="16"/>
  <c r="H76" i="16"/>
  <c r="D77" i="16"/>
  <c r="E77" i="16"/>
  <c r="F77" i="16"/>
  <c r="G77" i="16"/>
  <c r="H77" i="16"/>
  <c r="D78" i="16"/>
  <c r="E78" i="16"/>
  <c r="F78" i="16"/>
  <c r="G78" i="16"/>
  <c r="H78" i="16"/>
  <c r="D79" i="16"/>
  <c r="E79" i="16"/>
  <c r="F79" i="16"/>
  <c r="G79" i="16"/>
  <c r="H79" i="16"/>
  <c r="D80" i="16"/>
  <c r="E80" i="16"/>
  <c r="F80" i="16"/>
  <c r="G80" i="16"/>
  <c r="H80" i="16"/>
  <c r="D81" i="16"/>
  <c r="E81" i="16"/>
  <c r="F81" i="16"/>
  <c r="G81" i="16"/>
  <c r="H81" i="16"/>
  <c r="D82" i="16"/>
  <c r="E82" i="16"/>
  <c r="F82" i="16"/>
  <c r="G82" i="16"/>
  <c r="H82" i="16"/>
  <c r="D83" i="16"/>
  <c r="E83" i="16"/>
  <c r="F83" i="16"/>
  <c r="G83" i="16"/>
  <c r="H83" i="16"/>
  <c r="H3" i="16"/>
  <c r="D3" i="16"/>
  <c r="B2" i="16"/>
  <c r="B4" i="16"/>
  <c r="A2" i="16"/>
  <c r="A4" i="16"/>
  <c r="B3" i="16"/>
  <c r="A3" i="16"/>
  <c r="E3" i="16"/>
  <c r="B5" i="16"/>
  <c r="A5" i="16"/>
  <c r="B6" i="16"/>
  <c r="A6" i="16"/>
  <c r="B7" i="16"/>
  <c r="A7" i="16"/>
  <c r="B8" i="16"/>
  <c r="A8" i="16"/>
  <c r="B9" i="16"/>
  <c r="A9" i="16"/>
  <c r="B10" i="16"/>
  <c r="A10" i="16"/>
  <c r="B11" i="16"/>
  <c r="A11" i="16"/>
  <c r="B12" i="16"/>
  <c r="A12" i="16"/>
  <c r="B13" i="16"/>
  <c r="A13" i="16"/>
  <c r="B14" i="16"/>
  <c r="A14" i="16"/>
  <c r="B15" i="16"/>
  <c r="A15" i="16"/>
  <c r="B16" i="16"/>
  <c r="A16" i="16"/>
  <c r="B17" i="16"/>
  <c r="A17" i="16"/>
  <c r="B18" i="16"/>
  <c r="A18" i="16"/>
  <c r="B19" i="16"/>
  <c r="A19" i="16"/>
  <c r="B20" i="16"/>
  <c r="A20" i="16"/>
  <c r="B21" i="16"/>
  <c r="A21" i="16"/>
  <c r="B22" i="16"/>
  <c r="A22" i="16"/>
  <c r="B23" i="16"/>
  <c r="A23" i="16"/>
  <c r="B24" i="16"/>
  <c r="A24" i="16"/>
  <c r="B25" i="16"/>
  <c r="A25" i="16"/>
  <c r="B26" i="16"/>
  <c r="A26" i="16"/>
  <c r="B27" i="16"/>
  <c r="A27" i="16"/>
  <c r="B28" i="16"/>
  <c r="A28" i="16"/>
  <c r="B29" i="16"/>
  <c r="A29" i="16"/>
  <c r="B30" i="16"/>
  <c r="A30" i="16"/>
  <c r="B31" i="16"/>
  <c r="A31" i="16"/>
  <c r="B32" i="16"/>
  <c r="A32" i="16"/>
  <c r="B33" i="16"/>
  <c r="A33" i="16"/>
  <c r="B34" i="16"/>
  <c r="A34" i="16"/>
  <c r="B35" i="16"/>
  <c r="A35" i="16"/>
  <c r="B36" i="16"/>
  <c r="A36" i="16"/>
  <c r="B37" i="16"/>
  <c r="A37" i="16"/>
  <c r="B38" i="16"/>
  <c r="A38" i="16"/>
  <c r="B39" i="16"/>
  <c r="A39" i="16"/>
  <c r="B40" i="16"/>
  <c r="A40" i="16"/>
  <c r="B41" i="16"/>
  <c r="A41" i="16"/>
  <c r="B42" i="16"/>
  <c r="A42" i="16"/>
  <c r="B43" i="16"/>
  <c r="A43" i="16"/>
  <c r="B44" i="16"/>
  <c r="A44" i="16"/>
  <c r="B45" i="16"/>
  <c r="A45" i="16"/>
  <c r="B46" i="16"/>
  <c r="A46" i="16"/>
  <c r="B47" i="16"/>
  <c r="A47" i="16"/>
  <c r="B48" i="16"/>
  <c r="A48" i="16"/>
  <c r="B49" i="16"/>
  <c r="A49" i="16"/>
  <c r="B50" i="16"/>
  <c r="A50" i="16"/>
  <c r="B51" i="16"/>
  <c r="A51" i="16"/>
  <c r="B52" i="16"/>
  <c r="A52" i="16"/>
  <c r="B53" i="16"/>
  <c r="A53" i="16"/>
  <c r="B54" i="16"/>
  <c r="A54" i="16"/>
  <c r="B55" i="16"/>
  <c r="A55" i="16"/>
  <c r="B56" i="16"/>
  <c r="A56" i="16"/>
  <c r="B57" i="16"/>
  <c r="A57" i="16"/>
  <c r="B58" i="16"/>
  <c r="A58" i="16"/>
  <c r="B59" i="16"/>
  <c r="A59" i="16"/>
  <c r="B60" i="16"/>
  <c r="A60" i="16"/>
  <c r="B61" i="16"/>
  <c r="A61" i="16"/>
  <c r="B62" i="16"/>
  <c r="A62" i="16"/>
  <c r="B63" i="16"/>
  <c r="A63" i="16"/>
  <c r="B64" i="16"/>
  <c r="A64" i="16"/>
  <c r="B65" i="16"/>
  <c r="A65" i="16"/>
  <c r="B66" i="16"/>
  <c r="A66" i="16"/>
  <c r="B67" i="16"/>
  <c r="A67" i="16"/>
  <c r="B68" i="16"/>
  <c r="A68" i="16"/>
  <c r="B69" i="16"/>
  <c r="A69" i="16"/>
  <c r="B70" i="16"/>
  <c r="A70" i="16"/>
  <c r="B71" i="16"/>
  <c r="A71" i="16"/>
  <c r="B72" i="16"/>
  <c r="A72" i="16"/>
  <c r="B73" i="16"/>
  <c r="A73" i="16"/>
  <c r="B74" i="16"/>
  <c r="A74" i="16"/>
  <c r="B75" i="16"/>
  <c r="A75" i="16"/>
  <c r="B76" i="16"/>
  <c r="A76" i="16"/>
  <c r="B77" i="16"/>
  <c r="A77" i="16"/>
  <c r="B78" i="16"/>
  <c r="A78" i="16"/>
  <c r="B79" i="16"/>
  <c r="A79" i="16"/>
  <c r="B80" i="16"/>
  <c r="A80" i="16"/>
  <c r="B81" i="16"/>
  <c r="A81" i="16"/>
  <c r="B82" i="16"/>
  <c r="A82" i="16"/>
  <c r="B83" i="16"/>
  <c r="A83" i="16"/>
  <c r="G2" i="16"/>
  <c r="H2" i="16"/>
  <c r="D2" i="16"/>
  <c r="B2" i="15"/>
  <c r="B4" i="15"/>
  <c r="A2" i="15"/>
  <c r="A4" i="15"/>
  <c r="D4" i="15"/>
  <c r="E4" i="15"/>
  <c r="B3" i="15"/>
  <c r="A3" i="15"/>
  <c r="D3" i="15"/>
  <c r="E3" i="15"/>
  <c r="F4" i="15"/>
  <c r="G4" i="15"/>
  <c r="H4" i="15"/>
  <c r="B5" i="15"/>
  <c r="A5" i="15"/>
  <c r="D5" i="15"/>
  <c r="E5" i="15"/>
  <c r="F5" i="15"/>
  <c r="G5" i="15"/>
  <c r="H5" i="15"/>
  <c r="B6" i="15"/>
  <c r="A6" i="15"/>
  <c r="D6" i="15"/>
  <c r="E6" i="15"/>
  <c r="F6" i="15"/>
  <c r="G6" i="15"/>
  <c r="H6" i="15"/>
  <c r="B7" i="15"/>
  <c r="A7" i="15"/>
  <c r="D7" i="15"/>
  <c r="E7" i="15"/>
  <c r="F7" i="15"/>
  <c r="G7" i="15"/>
  <c r="H7" i="15"/>
  <c r="B8" i="15"/>
  <c r="A8" i="15"/>
  <c r="D8" i="15"/>
  <c r="E8" i="15"/>
  <c r="F8" i="15"/>
  <c r="G8" i="15"/>
  <c r="H8" i="15"/>
  <c r="B9" i="15"/>
  <c r="A9" i="15"/>
  <c r="D9" i="15"/>
  <c r="E9" i="15"/>
  <c r="F9" i="15"/>
  <c r="G9" i="15"/>
  <c r="H9" i="15"/>
  <c r="B10" i="15"/>
  <c r="A10" i="15"/>
  <c r="D10" i="15"/>
  <c r="E10" i="15"/>
  <c r="F10" i="15"/>
  <c r="G10" i="15"/>
  <c r="H10" i="15"/>
  <c r="B11" i="15"/>
  <c r="A11" i="15"/>
  <c r="D11" i="15"/>
  <c r="E11" i="15"/>
  <c r="F11" i="15"/>
  <c r="G11" i="15"/>
  <c r="H11" i="15"/>
  <c r="B12" i="15"/>
  <c r="A12" i="15"/>
  <c r="D12" i="15"/>
  <c r="E12" i="15"/>
  <c r="F12" i="15"/>
  <c r="G12" i="15"/>
  <c r="H12" i="15"/>
  <c r="B13" i="15"/>
  <c r="A13" i="15"/>
  <c r="D13" i="15"/>
  <c r="E13" i="15"/>
  <c r="F13" i="15"/>
  <c r="G13" i="15"/>
  <c r="H13" i="15"/>
  <c r="B14" i="15"/>
  <c r="A14" i="15"/>
  <c r="D14" i="15"/>
  <c r="E14" i="15"/>
  <c r="F14" i="15"/>
  <c r="G14" i="15"/>
  <c r="H14" i="15"/>
  <c r="B15" i="15"/>
  <c r="A15" i="15"/>
  <c r="D15" i="15"/>
  <c r="E15" i="15"/>
  <c r="F15" i="15"/>
  <c r="G15" i="15"/>
  <c r="H15" i="15"/>
  <c r="B16" i="15"/>
  <c r="A16" i="15"/>
  <c r="D16" i="15"/>
  <c r="E16" i="15"/>
  <c r="F16" i="15"/>
  <c r="G16" i="15"/>
  <c r="H16" i="15"/>
  <c r="B17" i="15"/>
  <c r="A17" i="15"/>
  <c r="D17" i="15"/>
  <c r="E17" i="15"/>
  <c r="F17" i="15"/>
  <c r="G17" i="15"/>
  <c r="H17" i="15"/>
  <c r="B18" i="15"/>
  <c r="A18" i="15"/>
  <c r="D18" i="15"/>
  <c r="E18" i="15"/>
  <c r="F18" i="15"/>
  <c r="G18" i="15"/>
  <c r="H18" i="15"/>
  <c r="B19" i="15"/>
  <c r="A19" i="15"/>
  <c r="D19" i="15"/>
  <c r="E19" i="15"/>
  <c r="F19" i="15"/>
  <c r="G19" i="15"/>
  <c r="H19" i="15"/>
  <c r="B20" i="15"/>
  <c r="A20" i="15"/>
  <c r="D20" i="15"/>
  <c r="E20" i="15"/>
  <c r="F20" i="15"/>
  <c r="G20" i="15"/>
  <c r="H20" i="15"/>
  <c r="B21" i="15"/>
  <c r="A21" i="15"/>
  <c r="D21" i="15"/>
  <c r="E21" i="15"/>
  <c r="F21" i="15"/>
  <c r="G21" i="15"/>
  <c r="H21" i="15"/>
  <c r="B22" i="15"/>
  <c r="A22" i="15"/>
  <c r="D22" i="15"/>
  <c r="E22" i="15"/>
  <c r="F22" i="15"/>
  <c r="G22" i="15"/>
  <c r="H22" i="15"/>
  <c r="B23" i="15"/>
  <c r="A23" i="15"/>
  <c r="D23" i="15"/>
  <c r="E23" i="15"/>
  <c r="F23" i="15"/>
  <c r="G23" i="15"/>
  <c r="H23" i="15"/>
  <c r="B24" i="15"/>
  <c r="A24" i="15"/>
  <c r="D24" i="15"/>
  <c r="E24" i="15"/>
  <c r="F24" i="15"/>
  <c r="G24" i="15"/>
  <c r="H24" i="15"/>
  <c r="B25" i="15"/>
  <c r="A25" i="15"/>
  <c r="D25" i="15"/>
  <c r="E25" i="15"/>
  <c r="F25" i="15"/>
  <c r="G25" i="15"/>
  <c r="H25" i="15"/>
  <c r="B26" i="15"/>
  <c r="A26" i="15"/>
  <c r="D26" i="15"/>
  <c r="E26" i="15"/>
  <c r="F26" i="15"/>
  <c r="G26" i="15"/>
  <c r="H26" i="15"/>
  <c r="B27" i="15"/>
  <c r="A27" i="15"/>
  <c r="D27" i="15"/>
  <c r="E27" i="15"/>
  <c r="F27" i="15"/>
  <c r="G27" i="15"/>
  <c r="H27" i="15"/>
  <c r="B28" i="15"/>
  <c r="A28" i="15"/>
  <c r="D28" i="15"/>
  <c r="E28" i="15"/>
  <c r="F28" i="15"/>
  <c r="G28" i="15"/>
  <c r="H28" i="15"/>
  <c r="B29" i="15"/>
  <c r="A29" i="15"/>
  <c r="D29" i="15"/>
  <c r="E29" i="15"/>
  <c r="F29" i="15"/>
  <c r="G29" i="15"/>
  <c r="H29" i="15"/>
  <c r="B30" i="15"/>
  <c r="A30" i="15"/>
  <c r="D30" i="15"/>
  <c r="E30" i="15"/>
  <c r="F30" i="15"/>
  <c r="G30" i="15"/>
  <c r="H30" i="15"/>
  <c r="B31" i="15"/>
  <c r="A31" i="15"/>
  <c r="D31" i="15"/>
  <c r="E31" i="15"/>
  <c r="F31" i="15"/>
  <c r="G31" i="15"/>
  <c r="H31" i="15"/>
  <c r="B32" i="15"/>
  <c r="A32" i="15"/>
  <c r="D32" i="15"/>
  <c r="E32" i="15"/>
  <c r="F32" i="15"/>
  <c r="G32" i="15"/>
  <c r="H32" i="15"/>
  <c r="B33" i="15"/>
  <c r="A33" i="15"/>
  <c r="D33" i="15"/>
  <c r="E33" i="15"/>
  <c r="F33" i="15"/>
  <c r="G33" i="15"/>
  <c r="H33" i="15"/>
  <c r="B34" i="15"/>
  <c r="A34" i="15"/>
  <c r="D34" i="15"/>
  <c r="E34" i="15"/>
  <c r="F34" i="15"/>
  <c r="G34" i="15"/>
  <c r="H34" i="15"/>
  <c r="B35" i="15"/>
  <c r="A35" i="15"/>
  <c r="D35" i="15"/>
  <c r="E35" i="15"/>
  <c r="F35" i="15"/>
  <c r="G35" i="15"/>
  <c r="H35" i="15"/>
  <c r="B36" i="15"/>
  <c r="A36" i="15"/>
  <c r="D36" i="15"/>
  <c r="E36" i="15"/>
  <c r="F36" i="15"/>
  <c r="G36" i="15"/>
  <c r="H36" i="15"/>
  <c r="B37" i="15"/>
  <c r="A37" i="15"/>
  <c r="D37" i="15"/>
  <c r="E37" i="15"/>
  <c r="F37" i="15"/>
  <c r="G37" i="15"/>
  <c r="H37" i="15"/>
  <c r="B38" i="15"/>
  <c r="A38" i="15"/>
  <c r="D38" i="15"/>
  <c r="E38" i="15"/>
  <c r="F38" i="15"/>
  <c r="G38" i="15"/>
  <c r="H38" i="15"/>
  <c r="B39" i="15"/>
  <c r="A39" i="15"/>
  <c r="D39" i="15"/>
  <c r="E39" i="15"/>
  <c r="F39" i="15"/>
  <c r="G39" i="15"/>
  <c r="H39" i="15"/>
  <c r="B40" i="15"/>
  <c r="A40" i="15"/>
  <c r="D40" i="15"/>
  <c r="E40" i="15"/>
  <c r="F40" i="15"/>
  <c r="G40" i="15"/>
  <c r="H40" i="15"/>
  <c r="B41" i="15"/>
  <c r="A41" i="15"/>
  <c r="D41" i="15"/>
  <c r="E41" i="15"/>
  <c r="F41" i="15"/>
  <c r="G41" i="15"/>
  <c r="H41" i="15"/>
  <c r="B42" i="15"/>
  <c r="A42" i="15"/>
  <c r="D42" i="15"/>
  <c r="E42" i="15"/>
  <c r="F42" i="15"/>
  <c r="G42" i="15"/>
  <c r="H42" i="15"/>
  <c r="B43" i="15"/>
  <c r="A43" i="15"/>
  <c r="D43" i="15"/>
  <c r="E43" i="15"/>
  <c r="F43" i="15"/>
  <c r="G43" i="15"/>
  <c r="H43" i="15"/>
  <c r="B44" i="15"/>
  <c r="A44" i="15"/>
  <c r="D44" i="15"/>
  <c r="E44" i="15"/>
  <c r="F44" i="15"/>
  <c r="G44" i="15"/>
  <c r="H44" i="15"/>
  <c r="B45" i="15"/>
  <c r="A45" i="15"/>
  <c r="D45" i="15"/>
  <c r="E45" i="15"/>
  <c r="F45" i="15"/>
  <c r="G45" i="15"/>
  <c r="H45" i="15"/>
  <c r="B46" i="15"/>
  <c r="A46" i="15"/>
  <c r="D46" i="15"/>
  <c r="E46" i="15"/>
  <c r="F46" i="15"/>
  <c r="G46" i="15"/>
  <c r="H46" i="15"/>
  <c r="B47" i="15"/>
  <c r="A47" i="15"/>
  <c r="D47" i="15"/>
  <c r="E47" i="15"/>
  <c r="F47" i="15"/>
  <c r="G47" i="15"/>
  <c r="H47" i="15"/>
  <c r="B48" i="15"/>
  <c r="A48" i="15"/>
  <c r="D48" i="15"/>
  <c r="E48" i="15"/>
  <c r="F48" i="15"/>
  <c r="G48" i="15"/>
  <c r="H48" i="15"/>
  <c r="B49" i="15"/>
  <c r="A49" i="15"/>
  <c r="D49" i="15"/>
  <c r="E49" i="15"/>
  <c r="F49" i="15"/>
  <c r="G49" i="15"/>
  <c r="H49" i="15"/>
  <c r="B50" i="15"/>
  <c r="A50" i="15"/>
  <c r="D50" i="15"/>
  <c r="E50" i="15"/>
  <c r="F50" i="15"/>
  <c r="G50" i="15"/>
  <c r="H50" i="15"/>
  <c r="B51" i="15"/>
  <c r="A51" i="15"/>
  <c r="D51" i="15"/>
  <c r="E51" i="15"/>
  <c r="F51" i="15"/>
  <c r="G51" i="15"/>
  <c r="H51" i="15"/>
  <c r="B52" i="15"/>
  <c r="A52" i="15"/>
  <c r="D52" i="15"/>
  <c r="E52" i="15"/>
  <c r="F52" i="15"/>
  <c r="G52" i="15"/>
  <c r="H52" i="15"/>
  <c r="B53" i="15"/>
  <c r="A53" i="15"/>
  <c r="D53" i="15"/>
  <c r="E53" i="15"/>
  <c r="F53" i="15"/>
  <c r="G53" i="15"/>
  <c r="H53" i="15"/>
  <c r="B54" i="15"/>
  <c r="A54" i="15"/>
  <c r="D54" i="15"/>
  <c r="E54" i="15"/>
  <c r="F54" i="15"/>
  <c r="G54" i="15"/>
  <c r="H54" i="15"/>
  <c r="B55" i="15"/>
  <c r="A55" i="15"/>
  <c r="D55" i="15"/>
  <c r="E55" i="15"/>
  <c r="F55" i="15"/>
  <c r="G55" i="15"/>
  <c r="H55" i="15"/>
  <c r="B56" i="15"/>
  <c r="A56" i="15"/>
  <c r="D56" i="15"/>
  <c r="E56" i="15"/>
  <c r="F56" i="15"/>
  <c r="G56" i="15"/>
  <c r="H56" i="15"/>
  <c r="B57" i="15"/>
  <c r="A57" i="15"/>
  <c r="D57" i="15"/>
  <c r="E57" i="15"/>
  <c r="F57" i="15"/>
  <c r="G57" i="15"/>
  <c r="H57" i="15"/>
  <c r="B58" i="15"/>
  <c r="A58" i="15"/>
  <c r="D58" i="15"/>
  <c r="E58" i="15"/>
  <c r="F58" i="15"/>
  <c r="G58" i="15"/>
  <c r="H58" i="15"/>
  <c r="B59" i="15"/>
  <c r="A59" i="15"/>
  <c r="D59" i="15"/>
  <c r="E59" i="15"/>
  <c r="F59" i="15"/>
  <c r="G59" i="15"/>
  <c r="H59" i="15"/>
  <c r="B60" i="15"/>
  <c r="A60" i="15"/>
  <c r="D60" i="15"/>
  <c r="E60" i="15"/>
  <c r="F60" i="15"/>
  <c r="G60" i="15"/>
  <c r="H60" i="15"/>
  <c r="B61" i="15"/>
  <c r="A61" i="15"/>
  <c r="D61" i="15"/>
  <c r="E61" i="15"/>
  <c r="F61" i="15"/>
  <c r="G61" i="15"/>
  <c r="H61" i="15"/>
  <c r="B62" i="15"/>
  <c r="A62" i="15"/>
  <c r="D62" i="15"/>
  <c r="E62" i="15"/>
  <c r="F62" i="15"/>
  <c r="G62" i="15"/>
  <c r="H62" i="15"/>
  <c r="B63" i="15"/>
  <c r="A63" i="15"/>
  <c r="D63" i="15"/>
  <c r="E63" i="15"/>
  <c r="F63" i="15"/>
  <c r="G63" i="15"/>
  <c r="H63" i="15"/>
  <c r="B64" i="15"/>
  <c r="A64" i="15"/>
  <c r="D64" i="15"/>
  <c r="E64" i="15"/>
  <c r="F64" i="15"/>
  <c r="G64" i="15"/>
  <c r="H64" i="15"/>
  <c r="B65" i="15"/>
  <c r="A65" i="15"/>
  <c r="D65" i="15"/>
  <c r="E65" i="15"/>
  <c r="F65" i="15"/>
  <c r="G65" i="15"/>
  <c r="H65" i="15"/>
  <c r="B66" i="15"/>
  <c r="A66" i="15"/>
  <c r="D66" i="15"/>
  <c r="E66" i="15"/>
  <c r="F66" i="15"/>
  <c r="G66" i="15"/>
  <c r="H66" i="15"/>
  <c r="B67" i="15"/>
  <c r="A67" i="15"/>
  <c r="D67" i="15"/>
  <c r="E67" i="15"/>
  <c r="F67" i="15"/>
  <c r="G67" i="15"/>
  <c r="H67" i="15"/>
  <c r="B68" i="15"/>
  <c r="A68" i="15"/>
  <c r="D68" i="15"/>
  <c r="E68" i="15"/>
  <c r="F68" i="15"/>
  <c r="G68" i="15"/>
  <c r="H68" i="15"/>
  <c r="B69" i="15"/>
  <c r="A69" i="15"/>
  <c r="D69" i="15"/>
  <c r="E69" i="15"/>
  <c r="F69" i="15"/>
  <c r="G69" i="15"/>
  <c r="H69" i="15"/>
  <c r="B70" i="15"/>
  <c r="A70" i="15"/>
  <c r="D70" i="15"/>
  <c r="E70" i="15"/>
  <c r="F70" i="15"/>
  <c r="G70" i="15"/>
  <c r="H70" i="15"/>
  <c r="B71" i="15"/>
  <c r="A71" i="15"/>
  <c r="D71" i="15"/>
  <c r="E71" i="15"/>
  <c r="F71" i="15"/>
  <c r="G71" i="15"/>
  <c r="H71" i="15"/>
  <c r="B72" i="15"/>
  <c r="A72" i="15"/>
  <c r="D72" i="15"/>
  <c r="E72" i="15"/>
  <c r="F72" i="15"/>
  <c r="G72" i="15"/>
  <c r="H72" i="15"/>
  <c r="B73" i="15"/>
  <c r="A73" i="15"/>
  <c r="D73" i="15"/>
  <c r="E73" i="15"/>
  <c r="F73" i="15"/>
  <c r="G73" i="15"/>
  <c r="H73" i="15"/>
  <c r="B74" i="15"/>
  <c r="A74" i="15"/>
  <c r="D74" i="15"/>
  <c r="E74" i="15"/>
  <c r="F74" i="15"/>
  <c r="G74" i="15"/>
  <c r="H74" i="15"/>
  <c r="B75" i="15"/>
  <c r="A75" i="15"/>
  <c r="D75" i="15"/>
  <c r="E75" i="15"/>
  <c r="F75" i="15"/>
  <c r="G75" i="15"/>
  <c r="H75" i="15"/>
  <c r="B76" i="15"/>
  <c r="A76" i="15"/>
  <c r="D76" i="15"/>
  <c r="E76" i="15"/>
  <c r="F76" i="15"/>
  <c r="G76" i="15"/>
  <c r="H76" i="15"/>
  <c r="B77" i="15"/>
  <c r="A77" i="15"/>
  <c r="D77" i="15"/>
  <c r="E77" i="15"/>
  <c r="F77" i="15"/>
  <c r="G77" i="15"/>
  <c r="H77" i="15"/>
  <c r="B78" i="15"/>
  <c r="A78" i="15"/>
  <c r="D78" i="15"/>
  <c r="E78" i="15"/>
  <c r="F78" i="15"/>
  <c r="G78" i="15"/>
  <c r="H78" i="15"/>
  <c r="B79" i="15"/>
  <c r="A79" i="15"/>
  <c r="D79" i="15"/>
  <c r="E79" i="15"/>
  <c r="F79" i="15"/>
  <c r="G79" i="15"/>
  <c r="H79" i="15"/>
  <c r="B80" i="15"/>
  <c r="A80" i="15"/>
  <c r="D80" i="15"/>
  <c r="E80" i="15"/>
  <c r="F80" i="15"/>
  <c r="G80" i="15"/>
  <c r="H80" i="15"/>
  <c r="B81" i="15"/>
  <c r="A81" i="15"/>
  <c r="D81" i="15"/>
  <c r="E81" i="15"/>
  <c r="F81" i="15"/>
  <c r="G81" i="15"/>
  <c r="H81" i="15"/>
  <c r="B82" i="15"/>
  <c r="A82" i="15"/>
  <c r="D82" i="15"/>
  <c r="E82" i="15"/>
  <c r="F82" i="15"/>
  <c r="G82" i="15"/>
  <c r="H82" i="15"/>
  <c r="B83" i="15"/>
  <c r="A83" i="15"/>
  <c r="D83" i="15"/>
  <c r="E83" i="15"/>
  <c r="F83" i="15"/>
  <c r="G83" i="15"/>
  <c r="H83" i="15"/>
  <c r="D2" i="15"/>
  <c r="E2" i="15"/>
  <c r="F3" i="15"/>
  <c r="G3" i="15"/>
  <c r="H3" i="15"/>
  <c r="G2" i="15"/>
  <c r="H2" i="15"/>
  <c r="B2" i="14"/>
  <c r="B4" i="14"/>
  <c r="A2" i="14"/>
  <c r="A4" i="14"/>
  <c r="D4" i="14"/>
  <c r="E4" i="14"/>
  <c r="B3" i="14"/>
  <c r="A3" i="14"/>
  <c r="D3" i="14"/>
  <c r="E3" i="14"/>
  <c r="F4" i="14"/>
  <c r="G4" i="14"/>
  <c r="H4" i="14"/>
  <c r="B5" i="14"/>
  <c r="A5" i="14"/>
  <c r="D5" i="14"/>
  <c r="E5" i="14"/>
  <c r="F5" i="14"/>
  <c r="G5" i="14"/>
  <c r="H5" i="14"/>
  <c r="B6" i="14"/>
  <c r="A6" i="14"/>
  <c r="D6" i="14"/>
  <c r="E6" i="14"/>
  <c r="F6" i="14"/>
  <c r="G6" i="14"/>
  <c r="H6" i="14"/>
  <c r="B7" i="14"/>
  <c r="A7" i="14"/>
  <c r="D7" i="14"/>
  <c r="E7" i="14"/>
  <c r="F7" i="14"/>
  <c r="G7" i="14"/>
  <c r="H7" i="14"/>
  <c r="B8" i="14"/>
  <c r="A8" i="14"/>
  <c r="D8" i="14"/>
  <c r="E8" i="14"/>
  <c r="F8" i="14"/>
  <c r="G8" i="14"/>
  <c r="H8" i="14"/>
  <c r="B9" i="14"/>
  <c r="A9" i="14"/>
  <c r="D9" i="14"/>
  <c r="E9" i="14"/>
  <c r="F9" i="14"/>
  <c r="G9" i="14"/>
  <c r="H9" i="14"/>
  <c r="B10" i="14"/>
  <c r="A10" i="14"/>
  <c r="D10" i="14"/>
  <c r="E10" i="14"/>
  <c r="F10" i="14"/>
  <c r="G10" i="14"/>
  <c r="H10" i="14"/>
  <c r="B11" i="14"/>
  <c r="A11" i="14"/>
  <c r="D11" i="14"/>
  <c r="E11" i="14"/>
  <c r="F11" i="14"/>
  <c r="G11" i="14"/>
  <c r="H11" i="14"/>
  <c r="B12" i="14"/>
  <c r="A12" i="14"/>
  <c r="D12" i="14"/>
  <c r="E12" i="14"/>
  <c r="F12" i="14"/>
  <c r="G12" i="14"/>
  <c r="H12" i="14"/>
  <c r="B13" i="14"/>
  <c r="A13" i="14"/>
  <c r="D13" i="14"/>
  <c r="E13" i="14"/>
  <c r="F13" i="14"/>
  <c r="G13" i="14"/>
  <c r="H13" i="14"/>
  <c r="B14" i="14"/>
  <c r="A14" i="14"/>
  <c r="D14" i="14"/>
  <c r="E14" i="14"/>
  <c r="F14" i="14"/>
  <c r="G14" i="14"/>
  <c r="H14" i="14"/>
  <c r="B15" i="14"/>
  <c r="A15" i="14"/>
  <c r="D15" i="14"/>
  <c r="E15" i="14"/>
  <c r="F15" i="14"/>
  <c r="G15" i="14"/>
  <c r="H15" i="14"/>
  <c r="B16" i="14"/>
  <c r="A16" i="14"/>
  <c r="D16" i="14"/>
  <c r="E16" i="14"/>
  <c r="F16" i="14"/>
  <c r="G16" i="14"/>
  <c r="H16" i="14"/>
  <c r="B17" i="14"/>
  <c r="A17" i="14"/>
  <c r="D17" i="14"/>
  <c r="E17" i="14"/>
  <c r="F17" i="14"/>
  <c r="G17" i="14"/>
  <c r="H17" i="14"/>
  <c r="B18" i="14"/>
  <c r="A18" i="14"/>
  <c r="D18" i="14"/>
  <c r="E18" i="14"/>
  <c r="F18" i="14"/>
  <c r="G18" i="14"/>
  <c r="H18" i="14"/>
  <c r="B19" i="14"/>
  <c r="A19" i="14"/>
  <c r="D19" i="14"/>
  <c r="E19" i="14"/>
  <c r="F19" i="14"/>
  <c r="G19" i="14"/>
  <c r="H19" i="14"/>
  <c r="B20" i="14"/>
  <c r="A20" i="14"/>
  <c r="D20" i="14"/>
  <c r="E20" i="14"/>
  <c r="F20" i="14"/>
  <c r="G20" i="14"/>
  <c r="H20" i="14"/>
  <c r="B21" i="14"/>
  <c r="A21" i="14"/>
  <c r="D21" i="14"/>
  <c r="E21" i="14"/>
  <c r="F21" i="14"/>
  <c r="G21" i="14"/>
  <c r="H21" i="14"/>
  <c r="B22" i="14"/>
  <c r="A22" i="14"/>
  <c r="D22" i="14"/>
  <c r="E22" i="14"/>
  <c r="F22" i="14"/>
  <c r="G22" i="14"/>
  <c r="H22" i="14"/>
  <c r="B23" i="14"/>
  <c r="A23" i="14"/>
  <c r="D23" i="14"/>
  <c r="E23" i="14"/>
  <c r="F23" i="14"/>
  <c r="G23" i="14"/>
  <c r="H23" i="14"/>
  <c r="B24" i="14"/>
  <c r="A24" i="14"/>
  <c r="D24" i="14"/>
  <c r="E24" i="14"/>
  <c r="F24" i="14"/>
  <c r="G24" i="14"/>
  <c r="H24" i="14"/>
  <c r="B25" i="14"/>
  <c r="A25" i="14"/>
  <c r="D25" i="14"/>
  <c r="E25" i="14"/>
  <c r="F25" i="14"/>
  <c r="G25" i="14"/>
  <c r="H25" i="14"/>
  <c r="B26" i="14"/>
  <c r="A26" i="14"/>
  <c r="D26" i="14"/>
  <c r="E26" i="14"/>
  <c r="F26" i="14"/>
  <c r="G26" i="14"/>
  <c r="H26" i="14"/>
  <c r="B27" i="14"/>
  <c r="A27" i="14"/>
  <c r="D27" i="14"/>
  <c r="E27" i="14"/>
  <c r="F27" i="14"/>
  <c r="G27" i="14"/>
  <c r="H27" i="14"/>
  <c r="B28" i="14"/>
  <c r="A28" i="14"/>
  <c r="D28" i="14"/>
  <c r="E28" i="14"/>
  <c r="F28" i="14"/>
  <c r="G28" i="14"/>
  <c r="H28" i="14"/>
  <c r="B29" i="14"/>
  <c r="A29" i="14"/>
  <c r="D29" i="14"/>
  <c r="E29" i="14"/>
  <c r="F29" i="14"/>
  <c r="G29" i="14"/>
  <c r="H29" i="14"/>
  <c r="B30" i="14"/>
  <c r="A30" i="14"/>
  <c r="D30" i="14"/>
  <c r="E30" i="14"/>
  <c r="F30" i="14"/>
  <c r="G30" i="14"/>
  <c r="H30" i="14"/>
  <c r="B31" i="14"/>
  <c r="A31" i="14"/>
  <c r="D31" i="14"/>
  <c r="E31" i="14"/>
  <c r="F31" i="14"/>
  <c r="G31" i="14"/>
  <c r="H31" i="14"/>
  <c r="B32" i="14"/>
  <c r="A32" i="14"/>
  <c r="D32" i="14"/>
  <c r="E32" i="14"/>
  <c r="F32" i="14"/>
  <c r="G32" i="14"/>
  <c r="H32" i="14"/>
  <c r="B33" i="14"/>
  <c r="A33" i="14"/>
  <c r="D33" i="14"/>
  <c r="E33" i="14"/>
  <c r="F33" i="14"/>
  <c r="G33" i="14"/>
  <c r="H33" i="14"/>
  <c r="B34" i="14"/>
  <c r="A34" i="14"/>
  <c r="D34" i="14"/>
  <c r="E34" i="14"/>
  <c r="F34" i="14"/>
  <c r="G34" i="14"/>
  <c r="H34" i="14"/>
  <c r="B35" i="14"/>
  <c r="A35" i="14"/>
  <c r="D35" i="14"/>
  <c r="E35" i="14"/>
  <c r="F35" i="14"/>
  <c r="G35" i="14"/>
  <c r="H35" i="14"/>
  <c r="B36" i="14"/>
  <c r="A36" i="14"/>
  <c r="D36" i="14"/>
  <c r="E36" i="14"/>
  <c r="F36" i="14"/>
  <c r="G36" i="14"/>
  <c r="H36" i="14"/>
  <c r="B37" i="14"/>
  <c r="A37" i="14"/>
  <c r="D37" i="14"/>
  <c r="E37" i="14"/>
  <c r="F37" i="14"/>
  <c r="G37" i="14"/>
  <c r="H37" i="14"/>
  <c r="B38" i="14"/>
  <c r="A38" i="14"/>
  <c r="D38" i="14"/>
  <c r="E38" i="14"/>
  <c r="F38" i="14"/>
  <c r="G38" i="14"/>
  <c r="H38" i="14"/>
  <c r="B39" i="14"/>
  <c r="A39" i="14"/>
  <c r="D39" i="14"/>
  <c r="E39" i="14"/>
  <c r="F39" i="14"/>
  <c r="G39" i="14"/>
  <c r="H39" i="14"/>
  <c r="B40" i="14"/>
  <c r="A40" i="14"/>
  <c r="D40" i="14"/>
  <c r="E40" i="14"/>
  <c r="F40" i="14"/>
  <c r="G40" i="14"/>
  <c r="H40" i="14"/>
  <c r="B41" i="14"/>
  <c r="A41" i="14"/>
  <c r="D41" i="14"/>
  <c r="E41" i="14"/>
  <c r="F41" i="14"/>
  <c r="G41" i="14"/>
  <c r="H41" i="14"/>
  <c r="B42" i="14"/>
  <c r="A42" i="14"/>
  <c r="D42" i="14"/>
  <c r="E42" i="14"/>
  <c r="F42" i="14"/>
  <c r="G42" i="14"/>
  <c r="H42" i="14"/>
  <c r="B43" i="14"/>
  <c r="A43" i="14"/>
  <c r="D43" i="14"/>
  <c r="E43" i="14"/>
  <c r="F43" i="14"/>
  <c r="G43" i="14"/>
  <c r="H43" i="14"/>
  <c r="B44" i="14"/>
  <c r="A44" i="14"/>
  <c r="D44" i="14"/>
  <c r="E44" i="14"/>
  <c r="F44" i="14"/>
  <c r="G44" i="14"/>
  <c r="H44" i="14"/>
  <c r="B45" i="14"/>
  <c r="A45" i="14"/>
  <c r="D45" i="14"/>
  <c r="E45" i="14"/>
  <c r="F45" i="14"/>
  <c r="G45" i="14"/>
  <c r="H45" i="14"/>
  <c r="B46" i="14"/>
  <c r="A46" i="14"/>
  <c r="D46" i="14"/>
  <c r="E46" i="14"/>
  <c r="F46" i="14"/>
  <c r="G46" i="14"/>
  <c r="H46" i="14"/>
  <c r="B47" i="14"/>
  <c r="A47" i="14"/>
  <c r="D47" i="14"/>
  <c r="E47" i="14"/>
  <c r="F47" i="14"/>
  <c r="G47" i="14"/>
  <c r="H47" i="14"/>
  <c r="B48" i="14"/>
  <c r="A48" i="14"/>
  <c r="D48" i="14"/>
  <c r="E48" i="14"/>
  <c r="F48" i="14"/>
  <c r="G48" i="14"/>
  <c r="H48" i="14"/>
  <c r="B49" i="14"/>
  <c r="A49" i="14"/>
  <c r="D49" i="14"/>
  <c r="E49" i="14"/>
  <c r="F49" i="14"/>
  <c r="G49" i="14"/>
  <c r="H49" i="14"/>
  <c r="B50" i="14"/>
  <c r="A50" i="14"/>
  <c r="D50" i="14"/>
  <c r="E50" i="14"/>
  <c r="F50" i="14"/>
  <c r="G50" i="14"/>
  <c r="H50" i="14"/>
  <c r="B51" i="14"/>
  <c r="A51" i="14"/>
  <c r="D51" i="14"/>
  <c r="E51" i="14"/>
  <c r="F51" i="14"/>
  <c r="G51" i="14"/>
  <c r="H51" i="14"/>
  <c r="B52" i="14"/>
  <c r="A52" i="14"/>
  <c r="D52" i="14"/>
  <c r="E52" i="14"/>
  <c r="F52" i="14"/>
  <c r="G52" i="14"/>
  <c r="H52" i="14"/>
  <c r="B53" i="14"/>
  <c r="A53" i="14"/>
  <c r="D53" i="14"/>
  <c r="E53" i="14"/>
  <c r="F53" i="14"/>
  <c r="G53" i="14"/>
  <c r="H53" i="14"/>
  <c r="B54" i="14"/>
  <c r="A54" i="14"/>
  <c r="D54" i="14"/>
  <c r="E54" i="14"/>
  <c r="F54" i="14"/>
  <c r="G54" i="14"/>
  <c r="H54" i="14"/>
  <c r="B55" i="14"/>
  <c r="A55" i="14"/>
  <c r="D55" i="14"/>
  <c r="E55" i="14"/>
  <c r="F55" i="14"/>
  <c r="G55" i="14"/>
  <c r="H55" i="14"/>
  <c r="B56" i="14"/>
  <c r="A56" i="14"/>
  <c r="D56" i="14"/>
  <c r="E56" i="14"/>
  <c r="F56" i="14"/>
  <c r="G56" i="14"/>
  <c r="H56" i="14"/>
  <c r="B57" i="14"/>
  <c r="A57" i="14"/>
  <c r="D57" i="14"/>
  <c r="E57" i="14"/>
  <c r="F57" i="14"/>
  <c r="G57" i="14"/>
  <c r="H57" i="14"/>
  <c r="B58" i="14"/>
  <c r="A58" i="14"/>
  <c r="D58" i="14"/>
  <c r="E58" i="14"/>
  <c r="F58" i="14"/>
  <c r="G58" i="14"/>
  <c r="H58" i="14"/>
  <c r="B59" i="14"/>
  <c r="A59" i="14"/>
  <c r="D59" i="14"/>
  <c r="E59" i="14"/>
  <c r="F59" i="14"/>
  <c r="G59" i="14"/>
  <c r="H59" i="14"/>
  <c r="B60" i="14"/>
  <c r="A60" i="14"/>
  <c r="D60" i="14"/>
  <c r="E60" i="14"/>
  <c r="F60" i="14"/>
  <c r="G60" i="14"/>
  <c r="H60" i="14"/>
  <c r="B61" i="14"/>
  <c r="A61" i="14"/>
  <c r="D61" i="14"/>
  <c r="E61" i="14"/>
  <c r="F61" i="14"/>
  <c r="G61" i="14"/>
  <c r="H61" i="14"/>
  <c r="B62" i="14"/>
  <c r="A62" i="14"/>
  <c r="D62" i="14"/>
  <c r="E62" i="14"/>
  <c r="F62" i="14"/>
  <c r="G62" i="14"/>
  <c r="H62" i="14"/>
  <c r="B63" i="14"/>
  <c r="A63" i="14"/>
  <c r="D63" i="14"/>
  <c r="E63" i="14"/>
  <c r="F63" i="14"/>
  <c r="G63" i="14"/>
  <c r="H63" i="14"/>
  <c r="B64" i="14"/>
  <c r="A64" i="14"/>
  <c r="D64" i="14"/>
  <c r="E64" i="14"/>
  <c r="F64" i="14"/>
  <c r="G64" i="14"/>
  <c r="H64" i="14"/>
  <c r="B65" i="14"/>
  <c r="A65" i="14"/>
  <c r="D65" i="14"/>
  <c r="E65" i="14"/>
  <c r="F65" i="14"/>
  <c r="G65" i="14"/>
  <c r="H65" i="14"/>
  <c r="B66" i="14"/>
  <c r="A66" i="14"/>
  <c r="D66" i="14"/>
  <c r="E66" i="14"/>
  <c r="F66" i="14"/>
  <c r="G66" i="14"/>
  <c r="H66" i="14"/>
  <c r="B67" i="14"/>
  <c r="A67" i="14"/>
  <c r="D67" i="14"/>
  <c r="E67" i="14"/>
  <c r="F67" i="14"/>
  <c r="G67" i="14"/>
  <c r="H67" i="14"/>
  <c r="B68" i="14"/>
  <c r="A68" i="14"/>
  <c r="D68" i="14"/>
  <c r="E68" i="14"/>
  <c r="F68" i="14"/>
  <c r="G68" i="14"/>
  <c r="H68" i="14"/>
  <c r="B69" i="14"/>
  <c r="A69" i="14"/>
  <c r="D69" i="14"/>
  <c r="E69" i="14"/>
  <c r="F69" i="14"/>
  <c r="G69" i="14"/>
  <c r="H69" i="14"/>
  <c r="B70" i="14"/>
  <c r="A70" i="14"/>
  <c r="D70" i="14"/>
  <c r="E70" i="14"/>
  <c r="F70" i="14"/>
  <c r="G70" i="14"/>
  <c r="H70" i="14"/>
  <c r="B71" i="14"/>
  <c r="A71" i="14"/>
  <c r="D71" i="14"/>
  <c r="E71" i="14"/>
  <c r="F71" i="14"/>
  <c r="G71" i="14"/>
  <c r="H71" i="14"/>
  <c r="B72" i="14"/>
  <c r="A72" i="14"/>
  <c r="D72" i="14"/>
  <c r="E72" i="14"/>
  <c r="F72" i="14"/>
  <c r="G72" i="14"/>
  <c r="H72" i="14"/>
  <c r="B73" i="14"/>
  <c r="A73" i="14"/>
  <c r="D73" i="14"/>
  <c r="E73" i="14"/>
  <c r="F73" i="14"/>
  <c r="G73" i="14"/>
  <c r="H73" i="14"/>
  <c r="B74" i="14"/>
  <c r="A74" i="14"/>
  <c r="D74" i="14"/>
  <c r="E74" i="14"/>
  <c r="F74" i="14"/>
  <c r="G74" i="14"/>
  <c r="H74" i="14"/>
  <c r="B75" i="14"/>
  <c r="A75" i="14"/>
  <c r="D75" i="14"/>
  <c r="E75" i="14"/>
  <c r="F75" i="14"/>
  <c r="G75" i="14"/>
  <c r="H75" i="14"/>
  <c r="B76" i="14"/>
  <c r="A76" i="14"/>
  <c r="D76" i="14"/>
  <c r="E76" i="14"/>
  <c r="F76" i="14"/>
  <c r="G76" i="14"/>
  <c r="H76" i="14"/>
  <c r="B77" i="14"/>
  <c r="A77" i="14"/>
  <c r="D77" i="14"/>
  <c r="E77" i="14"/>
  <c r="F77" i="14"/>
  <c r="G77" i="14"/>
  <c r="H77" i="14"/>
  <c r="B78" i="14"/>
  <c r="A78" i="14"/>
  <c r="D78" i="14"/>
  <c r="E78" i="14"/>
  <c r="F78" i="14"/>
  <c r="G78" i="14"/>
  <c r="H78" i="14"/>
  <c r="B79" i="14"/>
  <c r="A79" i="14"/>
  <c r="D79" i="14"/>
  <c r="E79" i="14"/>
  <c r="F79" i="14"/>
  <c r="G79" i="14"/>
  <c r="H79" i="14"/>
  <c r="B80" i="14"/>
  <c r="A80" i="14"/>
  <c r="D80" i="14"/>
  <c r="E80" i="14"/>
  <c r="F80" i="14"/>
  <c r="G80" i="14"/>
  <c r="H80" i="14"/>
  <c r="B81" i="14"/>
  <c r="A81" i="14"/>
  <c r="D81" i="14"/>
  <c r="E81" i="14"/>
  <c r="F81" i="14"/>
  <c r="G81" i="14"/>
  <c r="H81" i="14"/>
  <c r="B82" i="14"/>
  <c r="A82" i="14"/>
  <c r="D82" i="14"/>
  <c r="E82" i="14"/>
  <c r="F82" i="14"/>
  <c r="G82" i="14"/>
  <c r="H82" i="14"/>
  <c r="B83" i="14"/>
  <c r="A83" i="14"/>
  <c r="D83" i="14"/>
  <c r="E83" i="14"/>
  <c r="F83" i="14"/>
  <c r="G83" i="14"/>
  <c r="H83" i="14"/>
  <c r="B84" i="14"/>
  <c r="A84" i="14"/>
  <c r="D84" i="14"/>
  <c r="E84" i="14"/>
  <c r="F84" i="14"/>
  <c r="G84" i="14"/>
  <c r="H84" i="14"/>
  <c r="B85" i="14"/>
  <c r="A85" i="14"/>
  <c r="D85" i="14"/>
  <c r="E85" i="14"/>
  <c r="F85" i="14"/>
  <c r="G85" i="14"/>
  <c r="H85" i="14"/>
  <c r="B86" i="14"/>
  <c r="A86" i="14"/>
  <c r="D86" i="14"/>
  <c r="E86" i="14"/>
  <c r="F86" i="14"/>
  <c r="G86" i="14"/>
  <c r="H86" i="14"/>
  <c r="B87" i="14"/>
  <c r="A87" i="14"/>
  <c r="D87" i="14"/>
  <c r="E87" i="14"/>
  <c r="F87" i="14"/>
  <c r="G87" i="14"/>
  <c r="H87" i="14"/>
  <c r="B88" i="14"/>
  <c r="A88" i="14"/>
  <c r="D88" i="14"/>
  <c r="E88" i="14"/>
  <c r="F88" i="14"/>
  <c r="G88" i="14"/>
  <c r="H88" i="14"/>
  <c r="G3" i="14"/>
  <c r="D2" i="14"/>
  <c r="E2" i="14"/>
  <c r="F3" i="14"/>
  <c r="H3" i="14"/>
  <c r="G2" i="14"/>
  <c r="H2" i="14"/>
  <c r="B2" i="13"/>
  <c r="B4" i="13"/>
  <c r="A2" i="13"/>
  <c r="A4" i="13"/>
  <c r="D4" i="13"/>
  <c r="E4" i="13"/>
  <c r="B3" i="13"/>
  <c r="A3" i="13"/>
  <c r="D3" i="13"/>
  <c r="E3" i="13"/>
  <c r="F4" i="13"/>
  <c r="G4" i="13"/>
  <c r="H4" i="13"/>
  <c r="B5" i="13"/>
  <c r="A5" i="13"/>
  <c r="D5" i="13"/>
  <c r="E5" i="13"/>
  <c r="F5" i="13"/>
  <c r="G5" i="13"/>
  <c r="H5" i="13"/>
  <c r="B6" i="13"/>
  <c r="A6" i="13"/>
  <c r="D6" i="13"/>
  <c r="E6" i="13"/>
  <c r="F6" i="13"/>
  <c r="G6" i="13"/>
  <c r="H6" i="13"/>
  <c r="B7" i="13"/>
  <c r="A7" i="13"/>
  <c r="D7" i="13"/>
  <c r="E7" i="13"/>
  <c r="F7" i="13"/>
  <c r="G7" i="13"/>
  <c r="H7" i="13"/>
  <c r="B8" i="13"/>
  <c r="A8" i="13"/>
  <c r="D8" i="13"/>
  <c r="E8" i="13"/>
  <c r="F8" i="13"/>
  <c r="G8" i="13"/>
  <c r="H8" i="13"/>
  <c r="B9" i="13"/>
  <c r="A9" i="13"/>
  <c r="D9" i="13"/>
  <c r="E9" i="13"/>
  <c r="F9" i="13"/>
  <c r="G9" i="13"/>
  <c r="H9" i="13"/>
  <c r="B10" i="13"/>
  <c r="A10" i="13"/>
  <c r="D10" i="13"/>
  <c r="E10" i="13"/>
  <c r="F10" i="13"/>
  <c r="G10" i="13"/>
  <c r="H10" i="13"/>
  <c r="B11" i="13"/>
  <c r="A11" i="13"/>
  <c r="D11" i="13"/>
  <c r="E11" i="13"/>
  <c r="F11" i="13"/>
  <c r="G11" i="13"/>
  <c r="H11" i="13"/>
  <c r="B12" i="13"/>
  <c r="A12" i="13"/>
  <c r="D12" i="13"/>
  <c r="E12" i="13"/>
  <c r="F12" i="13"/>
  <c r="G12" i="13"/>
  <c r="H12" i="13"/>
  <c r="B13" i="13"/>
  <c r="A13" i="13"/>
  <c r="D13" i="13"/>
  <c r="E13" i="13"/>
  <c r="F13" i="13"/>
  <c r="G13" i="13"/>
  <c r="H13" i="13"/>
  <c r="B14" i="13"/>
  <c r="A14" i="13"/>
  <c r="D14" i="13"/>
  <c r="E14" i="13"/>
  <c r="F14" i="13"/>
  <c r="G14" i="13"/>
  <c r="H14" i="13"/>
  <c r="B15" i="13"/>
  <c r="A15" i="13"/>
  <c r="D15" i="13"/>
  <c r="E15" i="13"/>
  <c r="F15" i="13"/>
  <c r="G15" i="13"/>
  <c r="H15" i="13"/>
  <c r="B16" i="13"/>
  <c r="A16" i="13"/>
  <c r="D16" i="13"/>
  <c r="E16" i="13"/>
  <c r="F16" i="13"/>
  <c r="G16" i="13"/>
  <c r="H16" i="13"/>
  <c r="B17" i="13"/>
  <c r="A17" i="13"/>
  <c r="D17" i="13"/>
  <c r="E17" i="13"/>
  <c r="F17" i="13"/>
  <c r="G17" i="13"/>
  <c r="H17" i="13"/>
  <c r="B18" i="13"/>
  <c r="A18" i="13"/>
  <c r="D18" i="13"/>
  <c r="E18" i="13"/>
  <c r="F18" i="13"/>
  <c r="G18" i="13"/>
  <c r="H18" i="13"/>
  <c r="B19" i="13"/>
  <c r="A19" i="13"/>
  <c r="D19" i="13"/>
  <c r="E19" i="13"/>
  <c r="F19" i="13"/>
  <c r="G19" i="13"/>
  <c r="H19" i="13"/>
  <c r="B20" i="13"/>
  <c r="A20" i="13"/>
  <c r="D20" i="13"/>
  <c r="E20" i="13"/>
  <c r="F20" i="13"/>
  <c r="G20" i="13"/>
  <c r="H20" i="13"/>
  <c r="B21" i="13"/>
  <c r="A21" i="13"/>
  <c r="D21" i="13"/>
  <c r="E21" i="13"/>
  <c r="F21" i="13"/>
  <c r="G21" i="13"/>
  <c r="H21" i="13"/>
  <c r="B22" i="13"/>
  <c r="A22" i="13"/>
  <c r="D22" i="13"/>
  <c r="E22" i="13"/>
  <c r="F22" i="13"/>
  <c r="G22" i="13"/>
  <c r="H22" i="13"/>
  <c r="B23" i="13"/>
  <c r="A23" i="13"/>
  <c r="D23" i="13"/>
  <c r="E23" i="13"/>
  <c r="F23" i="13"/>
  <c r="G23" i="13"/>
  <c r="H23" i="13"/>
  <c r="B24" i="13"/>
  <c r="A24" i="13"/>
  <c r="D24" i="13"/>
  <c r="E24" i="13"/>
  <c r="F24" i="13"/>
  <c r="G24" i="13"/>
  <c r="H24" i="13"/>
  <c r="B25" i="13"/>
  <c r="A25" i="13"/>
  <c r="D25" i="13"/>
  <c r="E25" i="13"/>
  <c r="F25" i="13"/>
  <c r="G25" i="13"/>
  <c r="H25" i="13"/>
  <c r="B26" i="13"/>
  <c r="A26" i="13"/>
  <c r="D26" i="13"/>
  <c r="E26" i="13"/>
  <c r="F26" i="13"/>
  <c r="G26" i="13"/>
  <c r="H26" i="13"/>
  <c r="B27" i="13"/>
  <c r="A27" i="13"/>
  <c r="D27" i="13"/>
  <c r="E27" i="13"/>
  <c r="F27" i="13"/>
  <c r="G27" i="13"/>
  <c r="H27" i="13"/>
  <c r="B28" i="13"/>
  <c r="A28" i="13"/>
  <c r="D28" i="13"/>
  <c r="E28" i="13"/>
  <c r="F28" i="13"/>
  <c r="G28" i="13"/>
  <c r="H28" i="13"/>
  <c r="B29" i="13"/>
  <c r="A29" i="13"/>
  <c r="D29" i="13"/>
  <c r="E29" i="13"/>
  <c r="F29" i="13"/>
  <c r="G29" i="13"/>
  <c r="H29" i="13"/>
  <c r="B30" i="13"/>
  <c r="A30" i="13"/>
  <c r="D30" i="13"/>
  <c r="E30" i="13"/>
  <c r="F30" i="13"/>
  <c r="G30" i="13"/>
  <c r="H30" i="13"/>
  <c r="B31" i="13"/>
  <c r="A31" i="13"/>
  <c r="D31" i="13"/>
  <c r="E31" i="13"/>
  <c r="F31" i="13"/>
  <c r="G31" i="13"/>
  <c r="H31" i="13"/>
  <c r="B32" i="13"/>
  <c r="A32" i="13"/>
  <c r="D32" i="13"/>
  <c r="E32" i="13"/>
  <c r="F32" i="13"/>
  <c r="G32" i="13"/>
  <c r="H32" i="13"/>
  <c r="B33" i="13"/>
  <c r="A33" i="13"/>
  <c r="D33" i="13"/>
  <c r="E33" i="13"/>
  <c r="F33" i="13"/>
  <c r="G33" i="13"/>
  <c r="H33" i="13"/>
  <c r="B34" i="13"/>
  <c r="A34" i="13"/>
  <c r="D34" i="13"/>
  <c r="E34" i="13"/>
  <c r="F34" i="13"/>
  <c r="G34" i="13"/>
  <c r="H34" i="13"/>
  <c r="B35" i="13"/>
  <c r="A35" i="13"/>
  <c r="D35" i="13"/>
  <c r="E35" i="13"/>
  <c r="F35" i="13"/>
  <c r="G35" i="13"/>
  <c r="H35" i="13"/>
  <c r="B36" i="13"/>
  <c r="A36" i="13"/>
  <c r="D36" i="13"/>
  <c r="E36" i="13"/>
  <c r="F36" i="13"/>
  <c r="G36" i="13"/>
  <c r="H36" i="13"/>
  <c r="B37" i="13"/>
  <c r="A37" i="13"/>
  <c r="D37" i="13"/>
  <c r="E37" i="13"/>
  <c r="F37" i="13"/>
  <c r="G37" i="13"/>
  <c r="H37" i="13"/>
  <c r="B38" i="13"/>
  <c r="A38" i="13"/>
  <c r="D38" i="13"/>
  <c r="E38" i="13"/>
  <c r="F38" i="13"/>
  <c r="G38" i="13"/>
  <c r="H38" i="13"/>
  <c r="B39" i="13"/>
  <c r="A39" i="13"/>
  <c r="D39" i="13"/>
  <c r="E39" i="13"/>
  <c r="F39" i="13"/>
  <c r="G39" i="13"/>
  <c r="H39" i="13"/>
  <c r="B40" i="13"/>
  <c r="A40" i="13"/>
  <c r="D40" i="13"/>
  <c r="E40" i="13"/>
  <c r="F40" i="13"/>
  <c r="G40" i="13"/>
  <c r="H40" i="13"/>
  <c r="B41" i="13"/>
  <c r="A41" i="13"/>
  <c r="D41" i="13"/>
  <c r="E41" i="13"/>
  <c r="F41" i="13"/>
  <c r="G41" i="13"/>
  <c r="H41" i="13"/>
  <c r="B42" i="13"/>
  <c r="A42" i="13"/>
  <c r="D42" i="13"/>
  <c r="E42" i="13"/>
  <c r="F42" i="13"/>
  <c r="G42" i="13"/>
  <c r="H42" i="13"/>
  <c r="B43" i="13"/>
  <c r="A43" i="13"/>
  <c r="D43" i="13"/>
  <c r="E43" i="13"/>
  <c r="F43" i="13"/>
  <c r="G43" i="13"/>
  <c r="H43" i="13"/>
  <c r="B44" i="13"/>
  <c r="A44" i="13"/>
  <c r="D44" i="13"/>
  <c r="E44" i="13"/>
  <c r="F44" i="13"/>
  <c r="G44" i="13"/>
  <c r="H44" i="13"/>
  <c r="B45" i="13"/>
  <c r="A45" i="13"/>
  <c r="D45" i="13"/>
  <c r="E45" i="13"/>
  <c r="F45" i="13"/>
  <c r="G45" i="13"/>
  <c r="H45" i="13"/>
  <c r="B46" i="13"/>
  <c r="A46" i="13"/>
  <c r="D46" i="13"/>
  <c r="E46" i="13"/>
  <c r="F46" i="13"/>
  <c r="G46" i="13"/>
  <c r="H46" i="13"/>
  <c r="B47" i="13"/>
  <c r="A47" i="13"/>
  <c r="D47" i="13"/>
  <c r="E47" i="13"/>
  <c r="F47" i="13"/>
  <c r="G47" i="13"/>
  <c r="H47" i="13"/>
  <c r="B48" i="13"/>
  <c r="A48" i="13"/>
  <c r="D48" i="13"/>
  <c r="E48" i="13"/>
  <c r="F48" i="13"/>
  <c r="G48" i="13"/>
  <c r="H48" i="13"/>
  <c r="B49" i="13"/>
  <c r="A49" i="13"/>
  <c r="D49" i="13"/>
  <c r="E49" i="13"/>
  <c r="F49" i="13"/>
  <c r="G49" i="13"/>
  <c r="H49" i="13"/>
  <c r="B50" i="13"/>
  <c r="A50" i="13"/>
  <c r="D50" i="13"/>
  <c r="E50" i="13"/>
  <c r="F50" i="13"/>
  <c r="G50" i="13"/>
  <c r="H50" i="13"/>
  <c r="B51" i="13"/>
  <c r="A51" i="13"/>
  <c r="D51" i="13"/>
  <c r="E51" i="13"/>
  <c r="F51" i="13"/>
  <c r="G51" i="13"/>
  <c r="H51" i="13"/>
  <c r="B52" i="13"/>
  <c r="A52" i="13"/>
  <c r="D52" i="13"/>
  <c r="E52" i="13"/>
  <c r="F52" i="13"/>
  <c r="G52" i="13"/>
  <c r="H52" i="13"/>
  <c r="B53" i="13"/>
  <c r="A53" i="13"/>
  <c r="D53" i="13"/>
  <c r="E53" i="13"/>
  <c r="F53" i="13"/>
  <c r="G53" i="13"/>
  <c r="H53" i="13"/>
  <c r="B54" i="13"/>
  <c r="A54" i="13"/>
  <c r="D54" i="13"/>
  <c r="E54" i="13"/>
  <c r="F54" i="13"/>
  <c r="G54" i="13"/>
  <c r="H54" i="13"/>
  <c r="B55" i="13"/>
  <c r="A55" i="13"/>
  <c r="D55" i="13"/>
  <c r="E55" i="13"/>
  <c r="F55" i="13"/>
  <c r="G55" i="13"/>
  <c r="H55" i="13"/>
  <c r="B56" i="13"/>
  <c r="A56" i="13"/>
  <c r="D56" i="13"/>
  <c r="E56" i="13"/>
  <c r="F56" i="13"/>
  <c r="G56" i="13"/>
  <c r="H56" i="13"/>
  <c r="B57" i="13"/>
  <c r="A57" i="13"/>
  <c r="D57" i="13"/>
  <c r="E57" i="13"/>
  <c r="F57" i="13"/>
  <c r="G57" i="13"/>
  <c r="H57" i="13"/>
  <c r="B58" i="13"/>
  <c r="A58" i="13"/>
  <c r="D58" i="13"/>
  <c r="E58" i="13"/>
  <c r="F58" i="13"/>
  <c r="G58" i="13"/>
  <c r="H58" i="13"/>
  <c r="B59" i="13"/>
  <c r="A59" i="13"/>
  <c r="D59" i="13"/>
  <c r="E59" i="13"/>
  <c r="F59" i="13"/>
  <c r="G59" i="13"/>
  <c r="H59" i="13"/>
  <c r="B60" i="13"/>
  <c r="A60" i="13"/>
  <c r="D60" i="13"/>
  <c r="E60" i="13"/>
  <c r="F60" i="13"/>
  <c r="G60" i="13"/>
  <c r="H60" i="13"/>
  <c r="B61" i="13"/>
  <c r="A61" i="13"/>
  <c r="D61" i="13"/>
  <c r="E61" i="13"/>
  <c r="F61" i="13"/>
  <c r="G61" i="13"/>
  <c r="H61" i="13"/>
  <c r="B62" i="13"/>
  <c r="A62" i="13"/>
  <c r="D62" i="13"/>
  <c r="E62" i="13"/>
  <c r="F62" i="13"/>
  <c r="G62" i="13"/>
  <c r="H62" i="13"/>
  <c r="B63" i="13"/>
  <c r="A63" i="13"/>
  <c r="D63" i="13"/>
  <c r="E63" i="13"/>
  <c r="F63" i="13"/>
  <c r="G63" i="13"/>
  <c r="H63" i="13"/>
  <c r="B64" i="13"/>
  <c r="A64" i="13"/>
  <c r="D64" i="13"/>
  <c r="E64" i="13"/>
  <c r="F64" i="13"/>
  <c r="G64" i="13"/>
  <c r="H64" i="13"/>
  <c r="B65" i="13"/>
  <c r="A65" i="13"/>
  <c r="D65" i="13"/>
  <c r="E65" i="13"/>
  <c r="F65" i="13"/>
  <c r="G65" i="13"/>
  <c r="H65" i="13"/>
  <c r="B66" i="13"/>
  <c r="A66" i="13"/>
  <c r="D66" i="13"/>
  <c r="E66" i="13"/>
  <c r="F66" i="13"/>
  <c r="G66" i="13"/>
  <c r="H66" i="13"/>
  <c r="B67" i="13"/>
  <c r="A67" i="13"/>
  <c r="D67" i="13"/>
  <c r="E67" i="13"/>
  <c r="F67" i="13"/>
  <c r="G67" i="13"/>
  <c r="H67" i="13"/>
  <c r="B68" i="13"/>
  <c r="A68" i="13"/>
  <c r="D68" i="13"/>
  <c r="E68" i="13"/>
  <c r="F68" i="13"/>
  <c r="G68" i="13"/>
  <c r="H68" i="13"/>
  <c r="B69" i="13"/>
  <c r="A69" i="13"/>
  <c r="D69" i="13"/>
  <c r="E69" i="13"/>
  <c r="F69" i="13"/>
  <c r="G69" i="13"/>
  <c r="H69" i="13"/>
  <c r="B70" i="13"/>
  <c r="A70" i="13"/>
  <c r="D70" i="13"/>
  <c r="E70" i="13"/>
  <c r="F70" i="13"/>
  <c r="G70" i="13"/>
  <c r="H70" i="13"/>
  <c r="B71" i="13"/>
  <c r="A71" i="13"/>
  <c r="D71" i="13"/>
  <c r="E71" i="13"/>
  <c r="F71" i="13"/>
  <c r="G71" i="13"/>
  <c r="H71" i="13"/>
  <c r="B72" i="13"/>
  <c r="A72" i="13"/>
  <c r="D72" i="13"/>
  <c r="E72" i="13"/>
  <c r="F72" i="13"/>
  <c r="G72" i="13"/>
  <c r="H72" i="13"/>
  <c r="B73" i="13"/>
  <c r="A73" i="13"/>
  <c r="D73" i="13"/>
  <c r="E73" i="13"/>
  <c r="F73" i="13"/>
  <c r="G73" i="13"/>
  <c r="H73" i="13"/>
  <c r="B74" i="13"/>
  <c r="A74" i="13"/>
  <c r="D74" i="13"/>
  <c r="E74" i="13"/>
  <c r="F74" i="13"/>
  <c r="G74" i="13"/>
  <c r="H74" i="13"/>
  <c r="B75" i="13"/>
  <c r="A75" i="13"/>
  <c r="D75" i="13"/>
  <c r="E75" i="13"/>
  <c r="F75" i="13"/>
  <c r="G75" i="13"/>
  <c r="H75" i="13"/>
  <c r="B76" i="13"/>
  <c r="A76" i="13"/>
  <c r="D76" i="13"/>
  <c r="E76" i="13"/>
  <c r="F76" i="13"/>
  <c r="G76" i="13"/>
  <c r="H76" i="13"/>
  <c r="B77" i="13"/>
  <c r="A77" i="13"/>
  <c r="D77" i="13"/>
  <c r="E77" i="13"/>
  <c r="F77" i="13"/>
  <c r="G77" i="13"/>
  <c r="H77" i="13"/>
  <c r="B78" i="13"/>
  <c r="A78" i="13"/>
  <c r="D78" i="13"/>
  <c r="E78" i="13"/>
  <c r="F78" i="13"/>
  <c r="G78" i="13"/>
  <c r="H78" i="13"/>
  <c r="B79" i="13"/>
  <c r="A79" i="13"/>
  <c r="D79" i="13"/>
  <c r="E79" i="13"/>
  <c r="F79" i="13"/>
  <c r="G79" i="13"/>
  <c r="H79" i="13"/>
  <c r="B80" i="13"/>
  <c r="A80" i="13"/>
  <c r="D80" i="13"/>
  <c r="E80" i="13"/>
  <c r="F80" i="13"/>
  <c r="G80" i="13"/>
  <c r="H80" i="13"/>
  <c r="B81" i="13"/>
  <c r="A81" i="13"/>
  <c r="D81" i="13"/>
  <c r="E81" i="13"/>
  <c r="F81" i="13"/>
  <c r="G81" i="13"/>
  <c r="H81" i="13"/>
  <c r="B82" i="13"/>
  <c r="A82" i="13"/>
  <c r="D82" i="13"/>
  <c r="E82" i="13"/>
  <c r="F82" i="13"/>
  <c r="G82" i="13"/>
  <c r="H82" i="13"/>
  <c r="B83" i="13"/>
  <c r="A83" i="13"/>
  <c r="D83" i="13"/>
  <c r="E83" i="13"/>
  <c r="F83" i="13"/>
  <c r="G83" i="13"/>
  <c r="H83" i="13"/>
  <c r="B84" i="13"/>
  <c r="A84" i="13"/>
  <c r="D84" i="13"/>
  <c r="E84" i="13"/>
  <c r="F84" i="13"/>
  <c r="G84" i="13"/>
  <c r="H84" i="13"/>
  <c r="B85" i="13"/>
  <c r="A85" i="13"/>
  <c r="D85" i="13"/>
  <c r="E85" i="13"/>
  <c r="F85" i="13"/>
  <c r="G85" i="13"/>
  <c r="H85" i="13"/>
  <c r="B86" i="13"/>
  <c r="A86" i="13"/>
  <c r="D86" i="13"/>
  <c r="E86" i="13"/>
  <c r="F86" i="13"/>
  <c r="G86" i="13"/>
  <c r="H86" i="13"/>
  <c r="B87" i="13"/>
  <c r="A87" i="13"/>
  <c r="D87" i="13"/>
  <c r="E87" i="13"/>
  <c r="F87" i="13"/>
  <c r="G87" i="13"/>
  <c r="H87" i="13"/>
  <c r="B88" i="13"/>
  <c r="A88" i="13"/>
  <c r="D88" i="13"/>
  <c r="E88" i="13"/>
  <c r="F88" i="13"/>
  <c r="G88" i="13"/>
  <c r="H88" i="13"/>
  <c r="D2" i="13"/>
  <c r="E2" i="13"/>
  <c r="F3" i="13"/>
  <c r="G3" i="13"/>
  <c r="H3" i="13"/>
  <c r="G2" i="13"/>
  <c r="H2" i="13"/>
  <c r="B2" i="12"/>
  <c r="B4" i="12"/>
  <c r="A2" i="12"/>
  <c r="A4" i="12"/>
  <c r="D4" i="12"/>
  <c r="E4" i="12"/>
  <c r="B3" i="12"/>
  <c r="A3" i="12"/>
  <c r="D3" i="12"/>
  <c r="E3" i="12"/>
  <c r="F4" i="12"/>
  <c r="G4" i="12"/>
  <c r="H4" i="12"/>
  <c r="B5" i="12"/>
  <c r="A5" i="12"/>
  <c r="D5" i="12"/>
  <c r="E5" i="12"/>
  <c r="F5" i="12"/>
  <c r="G5" i="12"/>
  <c r="H5" i="12"/>
  <c r="B6" i="12"/>
  <c r="A6" i="12"/>
  <c r="D6" i="12"/>
  <c r="E6" i="12"/>
  <c r="F6" i="12"/>
  <c r="G6" i="12"/>
  <c r="H6" i="12"/>
  <c r="B7" i="12"/>
  <c r="A7" i="12"/>
  <c r="D7" i="12"/>
  <c r="E7" i="12"/>
  <c r="F7" i="12"/>
  <c r="G7" i="12"/>
  <c r="H7" i="12"/>
  <c r="B8" i="12"/>
  <c r="A8" i="12"/>
  <c r="D8" i="12"/>
  <c r="E8" i="12"/>
  <c r="F8" i="12"/>
  <c r="G8" i="12"/>
  <c r="H8" i="12"/>
  <c r="B9" i="12"/>
  <c r="A9" i="12"/>
  <c r="D9" i="12"/>
  <c r="E9" i="12"/>
  <c r="F9" i="12"/>
  <c r="G9" i="12"/>
  <c r="H9" i="12"/>
  <c r="B10" i="12"/>
  <c r="A10" i="12"/>
  <c r="D10" i="12"/>
  <c r="E10" i="12"/>
  <c r="F10" i="12"/>
  <c r="G10" i="12"/>
  <c r="H10" i="12"/>
  <c r="B11" i="12"/>
  <c r="A11" i="12"/>
  <c r="D11" i="12"/>
  <c r="E11" i="12"/>
  <c r="F11" i="12"/>
  <c r="G11" i="12"/>
  <c r="H11" i="12"/>
  <c r="B12" i="12"/>
  <c r="A12" i="12"/>
  <c r="D12" i="12"/>
  <c r="E12" i="12"/>
  <c r="F12" i="12"/>
  <c r="G12" i="12"/>
  <c r="H12" i="12"/>
  <c r="B13" i="12"/>
  <c r="A13" i="12"/>
  <c r="D13" i="12"/>
  <c r="E13" i="12"/>
  <c r="F13" i="12"/>
  <c r="G13" i="12"/>
  <c r="H13" i="12"/>
  <c r="B14" i="12"/>
  <c r="A14" i="12"/>
  <c r="D14" i="12"/>
  <c r="E14" i="12"/>
  <c r="F14" i="12"/>
  <c r="G14" i="12"/>
  <c r="H14" i="12"/>
  <c r="B15" i="12"/>
  <c r="A15" i="12"/>
  <c r="D15" i="12"/>
  <c r="E15" i="12"/>
  <c r="F15" i="12"/>
  <c r="G15" i="12"/>
  <c r="H15" i="12"/>
  <c r="B16" i="12"/>
  <c r="A16" i="12"/>
  <c r="D16" i="12"/>
  <c r="E16" i="12"/>
  <c r="F16" i="12"/>
  <c r="G16" i="12"/>
  <c r="H16" i="12"/>
  <c r="B17" i="12"/>
  <c r="A17" i="12"/>
  <c r="D17" i="12"/>
  <c r="E17" i="12"/>
  <c r="F17" i="12"/>
  <c r="G17" i="12"/>
  <c r="H17" i="12"/>
  <c r="B18" i="12"/>
  <c r="A18" i="12"/>
  <c r="D18" i="12"/>
  <c r="E18" i="12"/>
  <c r="F18" i="12"/>
  <c r="G18" i="12"/>
  <c r="H18" i="12"/>
  <c r="B19" i="12"/>
  <c r="A19" i="12"/>
  <c r="D19" i="12"/>
  <c r="E19" i="12"/>
  <c r="F19" i="12"/>
  <c r="G19" i="12"/>
  <c r="H19" i="12"/>
  <c r="B20" i="12"/>
  <c r="A20" i="12"/>
  <c r="D20" i="12"/>
  <c r="E20" i="12"/>
  <c r="F20" i="12"/>
  <c r="G20" i="12"/>
  <c r="H20" i="12"/>
  <c r="B21" i="12"/>
  <c r="A21" i="12"/>
  <c r="D21" i="12"/>
  <c r="E21" i="12"/>
  <c r="F21" i="12"/>
  <c r="G21" i="12"/>
  <c r="H21" i="12"/>
  <c r="B22" i="12"/>
  <c r="A22" i="12"/>
  <c r="D22" i="12"/>
  <c r="E22" i="12"/>
  <c r="F22" i="12"/>
  <c r="G22" i="12"/>
  <c r="H22" i="12"/>
  <c r="B23" i="12"/>
  <c r="A23" i="12"/>
  <c r="D23" i="12"/>
  <c r="E23" i="12"/>
  <c r="F23" i="12"/>
  <c r="G23" i="12"/>
  <c r="H23" i="12"/>
  <c r="B24" i="12"/>
  <c r="A24" i="12"/>
  <c r="D24" i="12"/>
  <c r="E24" i="12"/>
  <c r="F24" i="12"/>
  <c r="G24" i="12"/>
  <c r="H24" i="12"/>
  <c r="B25" i="12"/>
  <c r="A25" i="12"/>
  <c r="D25" i="12"/>
  <c r="E25" i="12"/>
  <c r="F25" i="12"/>
  <c r="G25" i="12"/>
  <c r="H25" i="12"/>
  <c r="B26" i="12"/>
  <c r="A26" i="12"/>
  <c r="D26" i="12"/>
  <c r="E26" i="12"/>
  <c r="F26" i="12"/>
  <c r="G26" i="12"/>
  <c r="H26" i="12"/>
  <c r="B27" i="12"/>
  <c r="A27" i="12"/>
  <c r="D27" i="12"/>
  <c r="E27" i="12"/>
  <c r="F27" i="12"/>
  <c r="G27" i="12"/>
  <c r="H27" i="12"/>
  <c r="B28" i="12"/>
  <c r="A28" i="12"/>
  <c r="D28" i="12"/>
  <c r="E28" i="12"/>
  <c r="F28" i="12"/>
  <c r="G28" i="12"/>
  <c r="H28" i="12"/>
  <c r="B29" i="12"/>
  <c r="A29" i="12"/>
  <c r="D29" i="12"/>
  <c r="E29" i="12"/>
  <c r="F29" i="12"/>
  <c r="G29" i="12"/>
  <c r="H29" i="12"/>
  <c r="B30" i="12"/>
  <c r="A30" i="12"/>
  <c r="D30" i="12"/>
  <c r="E30" i="12"/>
  <c r="F30" i="12"/>
  <c r="G30" i="12"/>
  <c r="H30" i="12"/>
  <c r="B31" i="12"/>
  <c r="A31" i="12"/>
  <c r="D31" i="12"/>
  <c r="E31" i="12"/>
  <c r="F31" i="12"/>
  <c r="G31" i="12"/>
  <c r="H31" i="12"/>
  <c r="B32" i="12"/>
  <c r="A32" i="12"/>
  <c r="D32" i="12"/>
  <c r="E32" i="12"/>
  <c r="F32" i="12"/>
  <c r="G32" i="12"/>
  <c r="H32" i="12"/>
  <c r="B33" i="12"/>
  <c r="A33" i="12"/>
  <c r="D33" i="12"/>
  <c r="E33" i="12"/>
  <c r="F33" i="12"/>
  <c r="G33" i="12"/>
  <c r="H33" i="12"/>
  <c r="B34" i="12"/>
  <c r="A34" i="12"/>
  <c r="D34" i="12"/>
  <c r="E34" i="12"/>
  <c r="F34" i="12"/>
  <c r="G34" i="12"/>
  <c r="H34" i="12"/>
  <c r="B35" i="12"/>
  <c r="A35" i="12"/>
  <c r="D35" i="12"/>
  <c r="E35" i="12"/>
  <c r="F35" i="12"/>
  <c r="G35" i="12"/>
  <c r="H35" i="12"/>
  <c r="B36" i="12"/>
  <c r="A36" i="12"/>
  <c r="D36" i="12"/>
  <c r="E36" i="12"/>
  <c r="F36" i="12"/>
  <c r="G36" i="12"/>
  <c r="H36" i="12"/>
  <c r="B37" i="12"/>
  <c r="A37" i="12"/>
  <c r="D37" i="12"/>
  <c r="E37" i="12"/>
  <c r="F37" i="12"/>
  <c r="G37" i="12"/>
  <c r="H37" i="12"/>
  <c r="B38" i="12"/>
  <c r="A38" i="12"/>
  <c r="D38" i="12"/>
  <c r="E38" i="12"/>
  <c r="F38" i="12"/>
  <c r="G38" i="12"/>
  <c r="H38" i="12"/>
  <c r="B39" i="12"/>
  <c r="A39" i="12"/>
  <c r="D39" i="12"/>
  <c r="E39" i="12"/>
  <c r="F39" i="12"/>
  <c r="G39" i="12"/>
  <c r="H39" i="12"/>
  <c r="B40" i="12"/>
  <c r="A40" i="12"/>
  <c r="D40" i="12"/>
  <c r="E40" i="12"/>
  <c r="F40" i="12"/>
  <c r="G40" i="12"/>
  <c r="H40" i="12"/>
  <c r="B41" i="12"/>
  <c r="A41" i="12"/>
  <c r="D41" i="12"/>
  <c r="E41" i="12"/>
  <c r="F41" i="12"/>
  <c r="G41" i="12"/>
  <c r="H41" i="12"/>
  <c r="B42" i="12"/>
  <c r="A42" i="12"/>
  <c r="D42" i="12"/>
  <c r="E42" i="12"/>
  <c r="F42" i="12"/>
  <c r="G42" i="12"/>
  <c r="H42" i="12"/>
  <c r="B43" i="12"/>
  <c r="A43" i="12"/>
  <c r="D43" i="12"/>
  <c r="E43" i="12"/>
  <c r="F43" i="12"/>
  <c r="G43" i="12"/>
  <c r="H43" i="12"/>
  <c r="B44" i="12"/>
  <c r="A44" i="12"/>
  <c r="D44" i="12"/>
  <c r="E44" i="12"/>
  <c r="F44" i="12"/>
  <c r="G44" i="12"/>
  <c r="H44" i="12"/>
  <c r="B45" i="12"/>
  <c r="A45" i="12"/>
  <c r="D45" i="12"/>
  <c r="E45" i="12"/>
  <c r="F45" i="12"/>
  <c r="G45" i="12"/>
  <c r="H45" i="12"/>
  <c r="B46" i="12"/>
  <c r="A46" i="12"/>
  <c r="D46" i="12"/>
  <c r="E46" i="12"/>
  <c r="F46" i="12"/>
  <c r="G46" i="12"/>
  <c r="H46" i="12"/>
  <c r="B47" i="12"/>
  <c r="A47" i="12"/>
  <c r="D47" i="12"/>
  <c r="E47" i="12"/>
  <c r="F47" i="12"/>
  <c r="G47" i="12"/>
  <c r="H47" i="12"/>
  <c r="B48" i="12"/>
  <c r="A48" i="12"/>
  <c r="D48" i="12"/>
  <c r="E48" i="12"/>
  <c r="F48" i="12"/>
  <c r="G48" i="12"/>
  <c r="H48" i="12"/>
  <c r="B49" i="12"/>
  <c r="A49" i="12"/>
  <c r="D49" i="12"/>
  <c r="E49" i="12"/>
  <c r="F49" i="12"/>
  <c r="G49" i="12"/>
  <c r="H49" i="12"/>
  <c r="B50" i="12"/>
  <c r="A50" i="12"/>
  <c r="D50" i="12"/>
  <c r="E50" i="12"/>
  <c r="F50" i="12"/>
  <c r="G50" i="12"/>
  <c r="H50" i="12"/>
  <c r="B51" i="12"/>
  <c r="A51" i="12"/>
  <c r="D51" i="12"/>
  <c r="E51" i="12"/>
  <c r="F51" i="12"/>
  <c r="G51" i="12"/>
  <c r="H51" i="12"/>
  <c r="B52" i="12"/>
  <c r="A52" i="12"/>
  <c r="D52" i="12"/>
  <c r="E52" i="12"/>
  <c r="F52" i="12"/>
  <c r="G52" i="12"/>
  <c r="H52" i="12"/>
  <c r="B53" i="12"/>
  <c r="A53" i="12"/>
  <c r="D53" i="12"/>
  <c r="E53" i="12"/>
  <c r="F53" i="12"/>
  <c r="G53" i="12"/>
  <c r="H53" i="12"/>
  <c r="B54" i="12"/>
  <c r="A54" i="12"/>
  <c r="D54" i="12"/>
  <c r="E54" i="12"/>
  <c r="F54" i="12"/>
  <c r="G54" i="12"/>
  <c r="H54" i="12"/>
  <c r="B55" i="12"/>
  <c r="A55" i="12"/>
  <c r="D55" i="12"/>
  <c r="E55" i="12"/>
  <c r="F55" i="12"/>
  <c r="G55" i="12"/>
  <c r="H55" i="12"/>
  <c r="B56" i="12"/>
  <c r="A56" i="12"/>
  <c r="D56" i="12"/>
  <c r="E56" i="12"/>
  <c r="F56" i="12"/>
  <c r="G56" i="12"/>
  <c r="H56" i="12"/>
  <c r="B57" i="12"/>
  <c r="A57" i="12"/>
  <c r="D57" i="12"/>
  <c r="E57" i="12"/>
  <c r="F57" i="12"/>
  <c r="G57" i="12"/>
  <c r="H57" i="12"/>
  <c r="B58" i="12"/>
  <c r="A58" i="12"/>
  <c r="D58" i="12"/>
  <c r="E58" i="12"/>
  <c r="F58" i="12"/>
  <c r="G58" i="12"/>
  <c r="H58" i="12"/>
  <c r="B59" i="12"/>
  <c r="A59" i="12"/>
  <c r="D59" i="12"/>
  <c r="E59" i="12"/>
  <c r="F59" i="12"/>
  <c r="G59" i="12"/>
  <c r="H59" i="12"/>
  <c r="B60" i="12"/>
  <c r="A60" i="12"/>
  <c r="D60" i="12"/>
  <c r="E60" i="12"/>
  <c r="F60" i="12"/>
  <c r="G60" i="12"/>
  <c r="H60" i="12"/>
  <c r="B61" i="12"/>
  <c r="A61" i="12"/>
  <c r="D61" i="12"/>
  <c r="E61" i="12"/>
  <c r="F61" i="12"/>
  <c r="G61" i="12"/>
  <c r="H61" i="12"/>
  <c r="B62" i="12"/>
  <c r="A62" i="12"/>
  <c r="D62" i="12"/>
  <c r="E62" i="12"/>
  <c r="F62" i="12"/>
  <c r="G62" i="12"/>
  <c r="H62" i="12"/>
  <c r="B63" i="12"/>
  <c r="A63" i="12"/>
  <c r="D63" i="12"/>
  <c r="E63" i="12"/>
  <c r="F63" i="12"/>
  <c r="G63" i="12"/>
  <c r="H63" i="12"/>
  <c r="B64" i="12"/>
  <c r="A64" i="12"/>
  <c r="D64" i="12"/>
  <c r="E64" i="12"/>
  <c r="F64" i="12"/>
  <c r="G64" i="12"/>
  <c r="H64" i="12"/>
  <c r="B65" i="12"/>
  <c r="A65" i="12"/>
  <c r="D65" i="12"/>
  <c r="E65" i="12"/>
  <c r="F65" i="12"/>
  <c r="G65" i="12"/>
  <c r="H65" i="12"/>
  <c r="B66" i="12"/>
  <c r="A66" i="12"/>
  <c r="D66" i="12"/>
  <c r="E66" i="12"/>
  <c r="F66" i="12"/>
  <c r="G66" i="12"/>
  <c r="H66" i="12"/>
  <c r="B67" i="12"/>
  <c r="A67" i="12"/>
  <c r="D67" i="12"/>
  <c r="E67" i="12"/>
  <c r="F67" i="12"/>
  <c r="G67" i="12"/>
  <c r="H67" i="12"/>
  <c r="B68" i="12"/>
  <c r="A68" i="12"/>
  <c r="D68" i="12"/>
  <c r="E68" i="12"/>
  <c r="F68" i="12"/>
  <c r="G68" i="12"/>
  <c r="H68" i="12"/>
  <c r="B69" i="12"/>
  <c r="A69" i="12"/>
  <c r="D69" i="12"/>
  <c r="E69" i="12"/>
  <c r="F69" i="12"/>
  <c r="G69" i="12"/>
  <c r="H69" i="12"/>
  <c r="B70" i="12"/>
  <c r="A70" i="12"/>
  <c r="D70" i="12"/>
  <c r="E70" i="12"/>
  <c r="F70" i="12"/>
  <c r="G70" i="12"/>
  <c r="H70" i="12"/>
  <c r="B71" i="12"/>
  <c r="A71" i="12"/>
  <c r="D71" i="12"/>
  <c r="E71" i="12"/>
  <c r="F71" i="12"/>
  <c r="G71" i="12"/>
  <c r="H71" i="12"/>
  <c r="B72" i="12"/>
  <c r="A72" i="12"/>
  <c r="D72" i="12"/>
  <c r="E72" i="12"/>
  <c r="F72" i="12"/>
  <c r="G72" i="12"/>
  <c r="H72" i="12"/>
  <c r="B73" i="12"/>
  <c r="A73" i="12"/>
  <c r="D73" i="12"/>
  <c r="E73" i="12"/>
  <c r="F73" i="12"/>
  <c r="G73" i="12"/>
  <c r="H73" i="12"/>
  <c r="B74" i="12"/>
  <c r="A74" i="12"/>
  <c r="D74" i="12"/>
  <c r="E74" i="12"/>
  <c r="F74" i="12"/>
  <c r="G74" i="12"/>
  <c r="H74" i="12"/>
  <c r="B75" i="12"/>
  <c r="A75" i="12"/>
  <c r="D75" i="12"/>
  <c r="E75" i="12"/>
  <c r="F75" i="12"/>
  <c r="G75" i="12"/>
  <c r="H75" i="12"/>
  <c r="B76" i="12"/>
  <c r="A76" i="12"/>
  <c r="D76" i="12"/>
  <c r="E76" i="12"/>
  <c r="F76" i="12"/>
  <c r="G76" i="12"/>
  <c r="H76" i="12"/>
  <c r="B77" i="12"/>
  <c r="A77" i="12"/>
  <c r="D77" i="12"/>
  <c r="E77" i="12"/>
  <c r="F77" i="12"/>
  <c r="G77" i="12"/>
  <c r="H77" i="12"/>
  <c r="B78" i="12"/>
  <c r="A78" i="12"/>
  <c r="D78" i="12"/>
  <c r="E78" i="12"/>
  <c r="F78" i="12"/>
  <c r="G78" i="12"/>
  <c r="H78" i="12"/>
  <c r="B79" i="12"/>
  <c r="A79" i="12"/>
  <c r="D79" i="12"/>
  <c r="E79" i="12"/>
  <c r="F79" i="12"/>
  <c r="G79" i="12"/>
  <c r="H79" i="12"/>
  <c r="B80" i="12"/>
  <c r="A80" i="12"/>
  <c r="D80" i="12"/>
  <c r="E80" i="12"/>
  <c r="F80" i="12"/>
  <c r="G80" i="12"/>
  <c r="H80" i="12"/>
  <c r="B81" i="12"/>
  <c r="A81" i="12"/>
  <c r="D81" i="12"/>
  <c r="E81" i="12"/>
  <c r="F81" i="12"/>
  <c r="G81" i="12"/>
  <c r="H81" i="12"/>
  <c r="B82" i="12"/>
  <c r="A82" i="12"/>
  <c r="D82" i="12"/>
  <c r="E82" i="12"/>
  <c r="F82" i="12"/>
  <c r="G82" i="12"/>
  <c r="H82" i="12"/>
  <c r="B83" i="12"/>
  <c r="A83" i="12"/>
  <c r="D83" i="12"/>
  <c r="E83" i="12"/>
  <c r="F83" i="12"/>
  <c r="G83" i="12"/>
  <c r="H83" i="12"/>
  <c r="B84" i="12"/>
  <c r="A84" i="12"/>
  <c r="D84" i="12"/>
  <c r="E84" i="12"/>
  <c r="F84" i="12"/>
  <c r="G84" i="12"/>
  <c r="H84" i="12"/>
  <c r="B85" i="12"/>
  <c r="A85" i="12"/>
  <c r="D85" i="12"/>
  <c r="E85" i="12"/>
  <c r="F85" i="12"/>
  <c r="G85" i="12"/>
  <c r="H85" i="12"/>
  <c r="B86" i="12"/>
  <c r="A86" i="12"/>
  <c r="D86" i="12"/>
  <c r="E86" i="12"/>
  <c r="F86" i="12"/>
  <c r="G86" i="12"/>
  <c r="H86" i="12"/>
  <c r="B87" i="12"/>
  <c r="A87" i="12"/>
  <c r="D87" i="12"/>
  <c r="E87" i="12"/>
  <c r="F87" i="12"/>
  <c r="G87" i="12"/>
  <c r="H87" i="12"/>
  <c r="B88" i="12"/>
  <c r="A88" i="12"/>
  <c r="D88" i="12"/>
  <c r="E88" i="12"/>
  <c r="F88" i="12"/>
  <c r="G88" i="12"/>
  <c r="H88" i="12"/>
  <c r="G3" i="12"/>
  <c r="D2" i="12"/>
  <c r="E2" i="12"/>
  <c r="F3" i="12"/>
  <c r="H3" i="12"/>
  <c r="G2" i="12"/>
  <c r="H2" i="12"/>
  <c r="H3" i="11"/>
  <c r="H2" i="11"/>
  <c r="H3" i="10"/>
  <c r="H2" i="10"/>
  <c r="B2" i="11"/>
  <c r="B4" i="11"/>
  <c r="A2" i="11"/>
  <c r="A4" i="11"/>
  <c r="D4" i="11"/>
  <c r="E4" i="11"/>
  <c r="B3" i="11"/>
  <c r="A3" i="11"/>
  <c r="D3" i="11"/>
  <c r="E3" i="11"/>
  <c r="G4" i="11"/>
  <c r="B5" i="11"/>
  <c r="A5" i="11"/>
  <c r="D5" i="11"/>
  <c r="E5" i="11"/>
  <c r="G5" i="11"/>
  <c r="B6" i="11"/>
  <c r="A6" i="11"/>
  <c r="D6" i="11"/>
  <c r="E6" i="11"/>
  <c r="G6" i="11"/>
  <c r="B7" i="11"/>
  <c r="A7" i="11"/>
  <c r="D7" i="11"/>
  <c r="E7" i="11"/>
  <c r="G7" i="11"/>
  <c r="B8" i="11"/>
  <c r="A8" i="11"/>
  <c r="D8" i="11"/>
  <c r="E8" i="11"/>
  <c r="G8" i="11"/>
  <c r="B9" i="11"/>
  <c r="A9" i="11"/>
  <c r="D9" i="11"/>
  <c r="E9" i="11"/>
  <c r="G9" i="11"/>
  <c r="B10" i="11"/>
  <c r="A10" i="11"/>
  <c r="D10" i="11"/>
  <c r="E10" i="11"/>
  <c r="G10" i="11"/>
  <c r="B11" i="11"/>
  <c r="A11" i="11"/>
  <c r="D11" i="11"/>
  <c r="E11" i="11"/>
  <c r="G11" i="11"/>
  <c r="B12" i="11"/>
  <c r="A12" i="11"/>
  <c r="D12" i="11"/>
  <c r="E12" i="11"/>
  <c r="G12" i="11"/>
  <c r="B13" i="11"/>
  <c r="A13" i="11"/>
  <c r="D13" i="11"/>
  <c r="E13" i="11"/>
  <c r="G13" i="11"/>
  <c r="B14" i="11"/>
  <c r="A14" i="11"/>
  <c r="D14" i="11"/>
  <c r="E14" i="11"/>
  <c r="G14" i="11"/>
  <c r="B15" i="11"/>
  <c r="A15" i="11"/>
  <c r="D15" i="11"/>
  <c r="E15" i="11"/>
  <c r="G15" i="11"/>
  <c r="B16" i="11"/>
  <c r="A16" i="11"/>
  <c r="D16" i="11"/>
  <c r="E16" i="11"/>
  <c r="G16" i="11"/>
  <c r="B17" i="11"/>
  <c r="A17" i="11"/>
  <c r="D17" i="11"/>
  <c r="E17" i="11"/>
  <c r="G17" i="11"/>
  <c r="B18" i="11"/>
  <c r="A18" i="11"/>
  <c r="D18" i="11"/>
  <c r="E18" i="11"/>
  <c r="G18" i="11"/>
  <c r="B19" i="11"/>
  <c r="A19" i="11"/>
  <c r="D19" i="11"/>
  <c r="E19" i="11"/>
  <c r="G19" i="11"/>
  <c r="B20" i="11"/>
  <c r="A20" i="11"/>
  <c r="D20" i="11"/>
  <c r="E20" i="11"/>
  <c r="G20" i="11"/>
  <c r="B21" i="11"/>
  <c r="A21" i="11"/>
  <c r="D21" i="11"/>
  <c r="E21" i="11"/>
  <c r="G21" i="11"/>
  <c r="B22" i="11"/>
  <c r="A22" i="11"/>
  <c r="D22" i="11"/>
  <c r="E22" i="11"/>
  <c r="G22" i="11"/>
  <c r="B23" i="11"/>
  <c r="A23" i="11"/>
  <c r="D23" i="11"/>
  <c r="E23" i="11"/>
  <c r="G23" i="11"/>
  <c r="B24" i="11"/>
  <c r="A24" i="11"/>
  <c r="D24" i="11"/>
  <c r="E24" i="11"/>
  <c r="G24" i="11"/>
  <c r="B25" i="11"/>
  <c r="A25" i="11"/>
  <c r="D25" i="11"/>
  <c r="E25" i="11"/>
  <c r="G25" i="11"/>
  <c r="B26" i="11"/>
  <c r="A26" i="11"/>
  <c r="D26" i="11"/>
  <c r="E26" i="11"/>
  <c r="G26" i="11"/>
  <c r="B27" i="11"/>
  <c r="A27" i="11"/>
  <c r="D27" i="11"/>
  <c r="E27" i="11"/>
  <c r="G27" i="11"/>
  <c r="B28" i="11"/>
  <c r="A28" i="11"/>
  <c r="D28" i="11"/>
  <c r="E28" i="11"/>
  <c r="G28" i="11"/>
  <c r="B29" i="11"/>
  <c r="A29" i="11"/>
  <c r="D29" i="11"/>
  <c r="E29" i="11"/>
  <c r="G29" i="11"/>
  <c r="B30" i="11"/>
  <c r="A30" i="11"/>
  <c r="D30" i="11"/>
  <c r="E30" i="11"/>
  <c r="G30" i="11"/>
  <c r="B31" i="11"/>
  <c r="A31" i="11"/>
  <c r="D31" i="11"/>
  <c r="E31" i="11"/>
  <c r="G31" i="11"/>
  <c r="B32" i="11"/>
  <c r="A32" i="11"/>
  <c r="D32" i="11"/>
  <c r="E32" i="11"/>
  <c r="G32" i="11"/>
  <c r="B33" i="11"/>
  <c r="A33" i="11"/>
  <c r="D33" i="11"/>
  <c r="E33" i="11"/>
  <c r="G33" i="11"/>
  <c r="B34" i="11"/>
  <c r="A34" i="11"/>
  <c r="D34" i="11"/>
  <c r="E34" i="11"/>
  <c r="G34" i="11"/>
  <c r="B35" i="11"/>
  <c r="A35" i="11"/>
  <c r="D35" i="11"/>
  <c r="E35" i="11"/>
  <c r="G35" i="11"/>
  <c r="B36" i="11"/>
  <c r="A36" i="11"/>
  <c r="D36" i="11"/>
  <c r="E36" i="11"/>
  <c r="G36" i="11"/>
  <c r="B37" i="11"/>
  <c r="A37" i="11"/>
  <c r="D37" i="11"/>
  <c r="E37" i="11"/>
  <c r="G37" i="11"/>
  <c r="B38" i="11"/>
  <c r="A38" i="11"/>
  <c r="D38" i="11"/>
  <c r="E38" i="11"/>
  <c r="G38" i="11"/>
  <c r="B39" i="11"/>
  <c r="A39" i="11"/>
  <c r="D39" i="11"/>
  <c r="E39" i="11"/>
  <c r="G39" i="11"/>
  <c r="B40" i="11"/>
  <c r="A40" i="11"/>
  <c r="D40" i="11"/>
  <c r="E40" i="11"/>
  <c r="G40" i="11"/>
  <c r="B41" i="11"/>
  <c r="A41" i="11"/>
  <c r="D41" i="11"/>
  <c r="E41" i="11"/>
  <c r="G41" i="11"/>
  <c r="B42" i="11"/>
  <c r="A42" i="11"/>
  <c r="D42" i="11"/>
  <c r="E42" i="11"/>
  <c r="G42" i="11"/>
  <c r="B43" i="11"/>
  <c r="A43" i="11"/>
  <c r="D43" i="11"/>
  <c r="E43" i="11"/>
  <c r="G43" i="11"/>
  <c r="B44" i="11"/>
  <c r="A44" i="11"/>
  <c r="D44" i="11"/>
  <c r="E44" i="11"/>
  <c r="G44" i="11"/>
  <c r="B45" i="11"/>
  <c r="A45" i="11"/>
  <c r="D45" i="11"/>
  <c r="E45" i="11"/>
  <c r="G45" i="11"/>
  <c r="B46" i="11"/>
  <c r="A46" i="11"/>
  <c r="D46" i="11"/>
  <c r="E46" i="11"/>
  <c r="G46" i="11"/>
  <c r="B47" i="11"/>
  <c r="A47" i="11"/>
  <c r="D47" i="11"/>
  <c r="E47" i="11"/>
  <c r="G47" i="11"/>
  <c r="B48" i="11"/>
  <c r="A48" i="11"/>
  <c r="D48" i="11"/>
  <c r="E48" i="11"/>
  <c r="G48" i="11"/>
  <c r="B49" i="11"/>
  <c r="A49" i="11"/>
  <c r="D49" i="11"/>
  <c r="E49" i="11"/>
  <c r="G49" i="11"/>
  <c r="B50" i="11"/>
  <c r="A50" i="11"/>
  <c r="D50" i="11"/>
  <c r="E50" i="11"/>
  <c r="G50" i="11"/>
  <c r="B51" i="11"/>
  <c r="A51" i="11"/>
  <c r="D51" i="11"/>
  <c r="E51" i="11"/>
  <c r="G51" i="11"/>
  <c r="B52" i="11"/>
  <c r="A52" i="11"/>
  <c r="D52" i="11"/>
  <c r="E52" i="11"/>
  <c r="G52" i="11"/>
  <c r="B53" i="11"/>
  <c r="A53" i="11"/>
  <c r="D53" i="11"/>
  <c r="E53" i="11"/>
  <c r="G53" i="11"/>
  <c r="B54" i="11"/>
  <c r="A54" i="11"/>
  <c r="D54" i="11"/>
  <c r="E54" i="11"/>
  <c r="G54" i="11"/>
  <c r="B55" i="11"/>
  <c r="A55" i="11"/>
  <c r="D55" i="11"/>
  <c r="E55" i="11"/>
  <c r="G55" i="11"/>
  <c r="B56" i="11"/>
  <c r="A56" i="11"/>
  <c r="D56" i="11"/>
  <c r="E56" i="11"/>
  <c r="G56" i="11"/>
  <c r="B57" i="11"/>
  <c r="A57" i="11"/>
  <c r="D57" i="11"/>
  <c r="E57" i="11"/>
  <c r="G57" i="11"/>
  <c r="B58" i="11"/>
  <c r="A58" i="11"/>
  <c r="D58" i="11"/>
  <c r="E58" i="11"/>
  <c r="G58" i="11"/>
  <c r="B59" i="11"/>
  <c r="A59" i="11"/>
  <c r="D59" i="11"/>
  <c r="E59" i="11"/>
  <c r="G59" i="11"/>
  <c r="B60" i="11"/>
  <c r="A60" i="11"/>
  <c r="D60" i="11"/>
  <c r="E60" i="11"/>
  <c r="G60" i="11"/>
  <c r="B61" i="11"/>
  <c r="A61" i="11"/>
  <c r="D61" i="11"/>
  <c r="E61" i="11"/>
  <c r="G61" i="11"/>
  <c r="B62" i="11"/>
  <c r="A62" i="11"/>
  <c r="D62" i="11"/>
  <c r="E62" i="11"/>
  <c r="G62" i="11"/>
  <c r="B63" i="11"/>
  <c r="A63" i="11"/>
  <c r="D63" i="11"/>
  <c r="E63" i="11"/>
  <c r="G63" i="11"/>
  <c r="B64" i="11"/>
  <c r="A64" i="11"/>
  <c r="D64" i="11"/>
  <c r="E64" i="11"/>
  <c r="G64" i="11"/>
  <c r="B65" i="11"/>
  <c r="A65" i="11"/>
  <c r="D65" i="11"/>
  <c r="E65" i="11"/>
  <c r="G65" i="11"/>
  <c r="B66" i="11"/>
  <c r="A66" i="11"/>
  <c r="D66" i="11"/>
  <c r="E66" i="11"/>
  <c r="G66" i="11"/>
  <c r="B67" i="11"/>
  <c r="A67" i="11"/>
  <c r="D67" i="11"/>
  <c r="E67" i="11"/>
  <c r="G67" i="11"/>
  <c r="B68" i="11"/>
  <c r="A68" i="11"/>
  <c r="D68" i="11"/>
  <c r="E68" i="11"/>
  <c r="G68" i="11"/>
  <c r="B69" i="11"/>
  <c r="A69" i="11"/>
  <c r="D69" i="11"/>
  <c r="E69" i="11"/>
  <c r="G69" i="11"/>
  <c r="B70" i="11"/>
  <c r="A70" i="11"/>
  <c r="D70" i="11"/>
  <c r="E70" i="11"/>
  <c r="G70" i="11"/>
  <c r="B71" i="11"/>
  <c r="A71" i="11"/>
  <c r="D71" i="11"/>
  <c r="E71" i="11"/>
  <c r="G71" i="11"/>
  <c r="B72" i="11"/>
  <c r="A72" i="11"/>
  <c r="D72" i="11"/>
  <c r="E72" i="11"/>
  <c r="G72" i="11"/>
  <c r="B73" i="11"/>
  <c r="A73" i="11"/>
  <c r="D73" i="11"/>
  <c r="E73" i="11"/>
  <c r="G73" i="11"/>
  <c r="B74" i="11"/>
  <c r="A74" i="11"/>
  <c r="D74" i="11"/>
  <c r="E74" i="11"/>
  <c r="G74" i="11"/>
  <c r="B75" i="11"/>
  <c r="A75" i="11"/>
  <c r="D75" i="11"/>
  <c r="E75" i="11"/>
  <c r="G75" i="11"/>
  <c r="B76" i="11"/>
  <c r="A76" i="11"/>
  <c r="D76" i="11"/>
  <c r="E76" i="11"/>
  <c r="G76" i="11"/>
  <c r="B77" i="11"/>
  <c r="A77" i="11"/>
  <c r="D77" i="11"/>
  <c r="E77" i="11"/>
  <c r="G77" i="11"/>
  <c r="B78" i="11"/>
  <c r="A78" i="11"/>
  <c r="D78" i="11"/>
  <c r="E78" i="11"/>
  <c r="G78" i="11"/>
  <c r="B79" i="11"/>
  <c r="A79" i="11"/>
  <c r="D79" i="11"/>
  <c r="E79" i="11"/>
  <c r="G79" i="11"/>
  <c r="B80" i="11"/>
  <c r="A80" i="11"/>
  <c r="D80" i="11"/>
  <c r="E80" i="11"/>
  <c r="G80" i="11"/>
  <c r="B81" i="11"/>
  <c r="A81" i="11"/>
  <c r="D81" i="11"/>
  <c r="E81" i="11"/>
  <c r="G81" i="11"/>
  <c r="B82" i="11"/>
  <c r="A82" i="11"/>
  <c r="D82" i="11"/>
  <c r="E82" i="11"/>
  <c r="G82" i="11"/>
  <c r="B83" i="11"/>
  <c r="A83" i="11"/>
  <c r="D83" i="11"/>
  <c r="E83" i="11"/>
  <c r="G83" i="11"/>
  <c r="B84" i="11"/>
  <c r="A84" i="11"/>
  <c r="D84" i="11"/>
  <c r="E84" i="11"/>
  <c r="G84" i="11"/>
  <c r="B85" i="11"/>
  <c r="A85" i="11"/>
  <c r="D85" i="11"/>
  <c r="E85" i="11"/>
  <c r="G85" i="11"/>
  <c r="B86" i="11"/>
  <c r="A86" i="11"/>
  <c r="D86" i="11"/>
  <c r="E86" i="11"/>
  <c r="G86" i="11"/>
  <c r="B87" i="11"/>
  <c r="A87" i="11"/>
  <c r="D87" i="11"/>
  <c r="E87" i="11"/>
  <c r="G87" i="11"/>
  <c r="B88" i="11"/>
  <c r="A88" i="11"/>
  <c r="D88" i="11"/>
  <c r="E88" i="11"/>
  <c r="G88" i="11"/>
  <c r="B89" i="11"/>
  <c r="A89" i="11"/>
  <c r="D89" i="11"/>
  <c r="E89" i="11"/>
  <c r="G89" i="11"/>
  <c r="B90" i="11"/>
  <c r="A90" i="11"/>
  <c r="D90" i="11"/>
  <c r="E90" i="11"/>
  <c r="G90" i="11"/>
  <c r="B91" i="11"/>
  <c r="A91" i="11"/>
  <c r="D91" i="11"/>
  <c r="E91" i="11"/>
  <c r="G91" i="11"/>
  <c r="B92" i="11"/>
  <c r="A92" i="11"/>
  <c r="D92" i="11"/>
  <c r="E92" i="11"/>
  <c r="G92" i="11"/>
  <c r="B93" i="11"/>
  <c r="A93" i="11"/>
  <c r="D93" i="11"/>
  <c r="E93" i="11"/>
  <c r="G93" i="11"/>
  <c r="D2" i="11"/>
  <c r="B2" i="10"/>
  <c r="B4" i="10"/>
  <c r="A2" i="10"/>
  <c r="A4" i="10"/>
  <c r="D4" i="10"/>
  <c r="E4" i="10"/>
  <c r="B3" i="10"/>
  <c r="A3" i="10"/>
  <c r="D3" i="10"/>
  <c r="E3" i="10"/>
  <c r="G4" i="10"/>
  <c r="B5" i="10"/>
  <c r="A5" i="10"/>
  <c r="D5" i="10"/>
  <c r="E5" i="10"/>
  <c r="G5" i="10"/>
  <c r="B6" i="10"/>
  <c r="A6" i="10"/>
  <c r="D6" i="10"/>
  <c r="E6" i="10"/>
  <c r="G6" i="10"/>
  <c r="B7" i="10"/>
  <c r="A7" i="10"/>
  <c r="D7" i="10"/>
  <c r="E7" i="10"/>
  <c r="G7" i="10"/>
  <c r="B8" i="10"/>
  <c r="A8" i="10"/>
  <c r="D8" i="10"/>
  <c r="E8" i="10"/>
  <c r="G8" i="10"/>
  <c r="B9" i="10"/>
  <c r="A9" i="10"/>
  <c r="D9" i="10"/>
  <c r="E9" i="10"/>
  <c r="G9" i="10"/>
  <c r="B10" i="10"/>
  <c r="A10" i="10"/>
  <c r="D10" i="10"/>
  <c r="E10" i="10"/>
  <c r="G10" i="10"/>
  <c r="B11" i="10"/>
  <c r="A11" i="10"/>
  <c r="D11" i="10"/>
  <c r="E11" i="10"/>
  <c r="G11" i="10"/>
  <c r="B12" i="10"/>
  <c r="A12" i="10"/>
  <c r="D12" i="10"/>
  <c r="E12" i="10"/>
  <c r="G12" i="10"/>
  <c r="B13" i="10"/>
  <c r="A13" i="10"/>
  <c r="D13" i="10"/>
  <c r="E13" i="10"/>
  <c r="G13" i="10"/>
  <c r="B14" i="10"/>
  <c r="A14" i="10"/>
  <c r="D14" i="10"/>
  <c r="E14" i="10"/>
  <c r="G14" i="10"/>
  <c r="B15" i="10"/>
  <c r="A15" i="10"/>
  <c r="D15" i="10"/>
  <c r="E15" i="10"/>
  <c r="G15" i="10"/>
  <c r="B16" i="10"/>
  <c r="A16" i="10"/>
  <c r="D16" i="10"/>
  <c r="E16" i="10"/>
  <c r="G16" i="10"/>
  <c r="B17" i="10"/>
  <c r="A17" i="10"/>
  <c r="D17" i="10"/>
  <c r="E17" i="10"/>
  <c r="G17" i="10"/>
  <c r="B18" i="10"/>
  <c r="A18" i="10"/>
  <c r="D18" i="10"/>
  <c r="E18" i="10"/>
  <c r="G18" i="10"/>
  <c r="B19" i="10"/>
  <c r="A19" i="10"/>
  <c r="D19" i="10"/>
  <c r="E19" i="10"/>
  <c r="G19" i="10"/>
  <c r="B20" i="10"/>
  <c r="A20" i="10"/>
  <c r="D20" i="10"/>
  <c r="E20" i="10"/>
  <c r="G20" i="10"/>
  <c r="B21" i="10"/>
  <c r="A21" i="10"/>
  <c r="D21" i="10"/>
  <c r="E21" i="10"/>
  <c r="G21" i="10"/>
  <c r="B22" i="10"/>
  <c r="A22" i="10"/>
  <c r="D22" i="10"/>
  <c r="E22" i="10"/>
  <c r="G22" i="10"/>
  <c r="B23" i="10"/>
  <c r="A23" i="10"/>
  <c r="D23" i="10"/>
  <c r="E23" i="10"/>
  <c r="G23" i="10"/>
  <c r="B24" i="10"/>
  <c r="A24" i="10"/>
  <c r="D24" i="10"/>
  <c r="E24" i="10"/>
  <c r="G24" i="10"/>
  <c r="B25" i="10"/>
  <c r="A25" i="10"/>
  <c r="D25" i="10"/>
  <c r="E25" i="10"/>
  <c r="G25" i="10"/>
  <c r="B26" i="10"/>
  <c r="A26" i="10"/>
  <c r="D26" i="10"/>
  <c r="E26" i="10"/>
  <c r="G26" i="10"/>
  <c r="B27" i="10"/>
  <c r="A27" i="10"/>
  <c r="D27" i="10"/>
  <c r="E27" i="10"/>
  <c r="G27" i="10"/>
  <c r="B28" i="10"/>
  <c r="A28" i="10"/>
  <c r="D28" i="10"/>
  <c r="E28" i="10"/>
  <c r="G28" i="10"/>
  <c r="B29" i="10"/>
  <c r="A29" i="10"/>
  <c r="D29" i="10"/>
  <c r="E29" i="10"/>
  <c r="G29" i="10"/>
  <c r="B30" i="10"/>
  <c r="A30" i="10"/>
  <c r="D30" i="10"/>
  <c r="E30" i="10"/>
  <c r="G30" i="10"/>
  <c r="B31" i="10"/>
  <c r="A31" i="10"/>
  <c r="D31" i="10"/>
  <c r="E31" i="10"/>
  <c r="G31" i="10"/>
  <c r="B32" i="10"/>
  <c r="A32" i="10"/>
  <c r="D32" i="10"/>
  <c r="E32" i="10"/>
  <c r="G32" i="10"/>
  <c r="B33" i="10"/>
  <c r="A33" i="10"/>
  <c r="D33" i="10"/>
  <c r="E33" i="10"/>
  <c r="G33" i="10"/>
  <c r="B34" i="10"/>
  <c r="A34" i="10"/>
  <c r="D34" i="10"/>
  <c r="E34" i="10"/>
  <c r="G34" i="10"/>
  <c r="B35" i="10"/>
  <c r="A35" i="10"/>
  <c r="D35" i="10"/>
  <c r="E35" i="10"/>
  <c r="G35" i="10"/>
  <c r="B36" i="10"/>
  <c r="A36" i="10"/>
  <c r="D36" i="10"/>
  <c r="E36" i="10"/>
  <c r="G36" i="10"/>
  <c r="B37" i="10"/>
  <c r="A37" i="10"/>
  <c r="D37" i="10"/>
  <c r="E37" i="10"/>
  <c r="G37" i="10"/>
  <c r="B38" i="10"/>
  <c r="A38" i="10"/>
  <c r="D38" i="10"/>
  <c r="E38" i="10"/>
  <c r="G38" i="10"/>
  <c r="B39" i="10"/>
  <c r="A39" i="10"/>
  <c r="D39" i="10"/>
  <c r="E39" i="10"/>
  <c r="G39" i="10"/>
  <c r="B40" i="10"/>
  <c r="A40" i="10"/>
  <c r="D40" i="10"/>
  <c r="E40" i="10"/>
  <c r="G40" i="10"/>
  <c r="B41" i="10"/>
  <c r="A41" i="10"/>
  <c r="D41" i="10"/>
  <c r="E41" i="10"/>
  <c r="G41" i="10"/>
  <c r="B42" i="10"/>
  <c r="A42" i="10"/>
  <c r="D42" i="10"/>
  <c r="E42" i="10"/>
  <c r="G42" i="10"/>
  <c r="B43" i="10"/>
  <c r="A43" i="10"/>
  <c r="D43" i="10"/>
  <c r="E43" i="10"/>
  <c r="G43" i="10"/>
  <c r="B44" i="10"/>
  <c r="A44" i="10"/>
  <c r="D44" i="10"/>
  <c r="E44" i="10"/>
  <c r="G44" i="10"/>
  <c r="B45" i="10"/>
  <c r="A45" i="10"/>
  <c r="D45" i="10"/>
  <c r="E45" i="10"/>
  <c r="G45" i="10"/>
  <c r="B46" i="10"/>
  <c r="A46" i="10"/>
  <c r="D46" i="10"/>
  <c r="E46" i="10"/>
  <c r="G46" i="10"/>
  <c r="B47" i="10"/>
  <c r="A47" i="10"/>
  <c r="D47" i="10"/>
  <c r="E47" i="10"/>
  <c r="G47" i="10"/>
  <c r="B48" i="10"/>
  <c r="A48" i="10"/>
  <c r="D48" i="10"/>
  <c r="E48" i="10"/>
  <c r="G48" i="10"/>
  <c r="B49" i="10"/>
  <c r="A49" i="10"/>
  <c r="D49" i="10"/>
  <c r="E49" i="10"/>
  <c r="G49" i="10"/>
  <c r="B50" i="10"/>
  <c r="A50" i="10"/>
  <c r="D50" i="10"/>
  <c r="E50" i="10"/>
  <c r="G50" i="10"/>
  <c r="B51" i="10"/>
  <c r="A51" i="10"/>
  <c r="D51" i="10"/>
  <c r="E51" i="10"/>
  <c r="G51" i="10"/>
  <c r="B52" i="10"/>
  <c r="A52" i="10"/>
  <c r="D52" i="10"/>
  <c r="E52" i="10"/>
  <c r="G52" i="10"/>
  <c r="B53" i="10"/>
  <c r="A53" i="10"/>
  <c r="D53" i="10"/>
  <c r="E53" i="10"/>
  <c r="G53" i="10"/>
  <c r="B54" i="10"/>
  <c r="A54" i="10"/>
  <c r="D54" i="10"/>
  <c r="E54" i="10"/>
  <c r="G54" i="10"/>
  <c r="B55" i="10"/>
  <c r="A55" i="10"/>
  <c r="D55" i="10"/>
  <c r="E55" i="10"/>
  <c r="G55" i="10"/>
  <c r="B56" i="10"/>
  <c r="A56" i="10"/>
  <c r="D56" i="10"/>
  <c r="E56" i="10"/>
  <c r="G56" i="10"/>
  <c r="B57" i="10"/>
  <c r="A57" i="10"/>
  <c r="D57" i="10"/>
  <c r="E57" i="10"/>
  <c r="G57" i="10"/>
  <c r="B58" i="10"/>
  <c r="A58" i="10"/>
  <c r="D58" i="10"/>
  <c r="E58" i="10"/>
  <c r="G58" i="10"/>
  <c r="B59" i="10"/>
  <c r="A59" i="10"/>
  <c r="D59" i="10"/>
  <c r="E59" i="10"/>
  <c r="G59" i="10"/>
  <c r="B60" i="10"/>
  <c r="A60" i="10"/>
  <c r="D60" i="10"/>
  <c r="E60" i="10"/>
  <c r="G60" i="10"/>
  <c r="B61" i="10"/>
  <c r="A61" i="10"/>
  <c r="D61" i="10"/>
  <c r="E61" i="10"/>
  <c r="G61" i="10"/>
  <c r="B62" i="10"/>
  <c r="A62" i="10"/>
  <c r="D62" i="10"/>
  <c r="E62" i="10"/>
  <c r="G62" i="10"/>
  <c r="B63" i="10"/>
  <c r="A63" i="10"/>
  <c r="D63" i="10"/>
  <c r="E63" i="10"/>
  <c r="G63" i="10"/>
  <c r="B64" i="10"/>
  <c r="A64" i="10"/>
  <c r="D64" i="10"/>
  <c r="E64" i="10"/>
  <c r="G64" i="10"/>
  <c r="B65" i="10"/>
  <c r="A65" i="10"/>
  <c r="D65" i="10"/>
  <c r="E65" i="10"/>
  <c r="G65" i="10"/>
  <c r="B66" i="10"/>
  <c r="A66" i="10"/>
  <c r="D66" i="10"/>
  <c r="E66" i="10"/>
  <c r="G66" i="10"/>
  <c r="B67" i="10"/>
  <c r="A67" i="10"/>
  <c r="D67" i="10"/>
  <c r="E67" i="10"/>
  <c r="G67" i="10"/>
  <c r="B68" i="10"/>
  <c r="A68" i="10"/>
  <c r="D68" i="10"/>
  <c r="E68" i="10"/>
  <c r="G68" i="10"/>
  <c r="B69" i="10"/>
  <c r="A69" i="10"/>
  <c r="D69" i="10"/>
  <c r="E69" i="10"/>
  <c r="G69" i="10"/>
  <c r="B70" i="10"/>
  <c r="A70" i="10"/>
  <c r="D70" i="10"/>
  <c r="E70" i="10"/>
  <c r="G70" i="10"/>
  <c r="B71" i="10"/>
  <c r="A71" i="10"/>
  <c r="D71" i="10"/>
  <c r="E71" i="10"/>
  <c r="G71" i="10"/>
  <c r="B72" i="10"/>
  <c r="A72" i="10"/>
  <c r="D72" i="10"/>
  <c r="E72" i="10"/>
  <c r="G72" i="10"/>
  <c r="B73" i="10"/>
  <c r="A73" i="10"/>
  <c r="D73" i="10"/>
  <c r="E73" i="10"/>
  <c r="G73" i="10"/>
  <c r="B74" i="10"/>
  <c r="A74" i="10"/>
  <c r="D74" i="10"/>
  <c r="E74" i="10"/>
  <c r="G74" i="10"/>
  <c r="B75" i="10"/>
  <c r="A75" i="10"/>
  <c r="D75" i="10"/>
  <c r="E75" i="10"/>
  <c r="G75" i="10"/>
  <c r="B76" i="10"/>
  <c r="A76" i="10"/>
  <c r="D76" i="10"/>
  <c r="E76" i="10"/>
  <c r="G76" i="10"/>
  <c r="B77" i="10"/>
  <c r="A77" i="10"/>
  <c r="D77" i="10"/>
  <c r="E77" i="10"/>
  <c r="G77" i="10"/>
  <c r="B78" i="10"/>
  <c r="A78" i="10"/>
  <c r="D78" i="10"/>
  <c r="E78" i="10"/>
  <c r="G78" i="10"/>
  <c r="B79" i="10"/>
  <c r="A79" i="10"/>
  <c r="D79" i="10"/>
  <c r="E79" i="10"/>
  <c r="G79" i="10"/>
  <c r="B80" i="10"/>
  <c r="A80" i="10"/>
  <c r="D80" i="10"/>
  <c r="E80" i="10"/>
  <c r="G80" i="10"/>
  <c r="B81" i="10"/>
  <c r="A81" i="10"/>
  <c r="D81" i="10"/>
  <c r="E81" i="10"/>
  <c r="G81" i="10"/>
  <c r="B82" i="10"/>
  <c r="A82" i="10"/>
  <c r="D82" i="10"/>
  <c r="E82" i="10"/>
  <c r="G82" i="10"/>
  <c r="B83" i="10"/>
  <c r="A83" i="10"/>
  <c r="D83" i="10"/>
  <c r="E83" i="10"/>
  <c r="G83" i="10"/>
  <c r="B84" i="10"/>
  <c r="A84" i="10"/>
  <c r="D84" i="10"/>
  <c r="E84" i="10"/>
  <c r="G84" i="10"/>
  <c r="B85" i="10"/>
  <c r="A85" i="10"/>
  <c r="D85" i="10"/>
  <c r="E85" i="10"/>
  <c r="G85" i="10"/>
  <c r="B86" i="10"/>
  <c r="A86" i="10"/>
  <c r="D86" i="10"/>
  <c r="E86" i="10"/>
  <c r="G86" i="10"/>
  <c r="B87" i="10"/>
  <c r="A87" i="10"/>
  <c r="D87" i="10"/>
  <c r="E87" i="10"/>
  <c r="G87" i="10"/>
  <c r="B88" i="10"/>
  <c r="A88" i="10"/>
  <c r="D88" i="10"/>
  <c r="E88" i="10"/>
  <c r="G88" i="10"/>
  <c r="B89" i="10"/>
  <c r="A89" i="10"/>
  <c r="D89" i="10"/>
  <c r="E89" i="10"/>
  <c r="G89" i="10"/>
  <c r="B90" i="10"/>
  <c r="A90" i="10"/>
  <c r="D90" i="10"/>
  <c r="E90" i="10"/>
  <c r="G90" i="10"/>
  <c r="B91" i="10"/>
  <c r="A91" i="10"/>
  <c r="D91" i="10"/>
  <c r="E91" i="10"/>
  <c r="G91" i="10"/>
  <c r="B92" i="10"/>
  <c r="A92" i="10"/>
  <c r="D92" i="10"/>
  <c r="E92" i="10"/>
  <c r="G92" i="10"/>
  <c r="B93" i="10"/>
  <c r="A93" i="10"/>
  <c r="D93" i="10"/>
  <c r="E93" i="10"/>
  <c r="G93" i="10"/>
  <c r="D2" i="10"/>
  <c r="H2" i="1"/>
  <c r="I2" i="33"/>
  <c r="I2" i="32"/>
  <c r="I2" i="31"/>
  <c r="E2" i="30"/>
  <c r="F3" i="30"/>
  <c r="G3" i="30"/>
  <c r="I2" i="30"/>
  <c r="I2" i="29"/>
  <c r="E2" i="28"/>
  <c r="F3" i="28"/>
  <c r="G3" i="28"/>
  <c r="H3" i="28"/>
  <c r="I2" i="28"/>
  <c r="I2" i="27"/>
  <c r="I2" i="26"/>
  <c r="E2" i="25"/>
  <c r="F3" i="25"/>
  <c r="G3" i="25"/>
  <c r="H3" i="25"/>
  <c r="I2" i="25"/>
  <c r="I2" i="24"/>
  <c r="I2" i="23"/>
  <c r="E2" i="22"/>
  <c r="F3" i="22"/>
  <c r="G3" i="22"/>
  <c r="H3" i="22"/>
  <c r="I2" i="22"/>
  <c r="I2" i="21"/>
  <c r="I2" i="20"/>
  <c r="G2" i="19"/>
  <c r="H2" i="19"/>
  <c r="I2" i="19"/>
  <c r="E2" i="18"/>
  <c r="F3" i="18"/>
  <c r="G3" i="18"/>
  <c r="I2" i="18"/>
  <c r="E2" i="17"/>
  <c r="F3" i="17"/>
  <c r="G3" i="17"/>
  <c r="H3" i="17"/>
  <c r="I2" i="17"/>
  <c r="E2" i="16"/>
  <c r="F3" i="16"/>
  <c r="G3" i="16"/>
  <c r="I2" i="16"/>
  <c r="I2" i="15"/>
  <c r="I2" i="14"/>
  <c r="I2" i="13"/>
  <c r="I2" i="12"/>
  <c r="E2" i="11"/>
  <c r="F3" i="11"/>
  <c r="G3" i="11"/>
  <c r="G2" i="11"/>
  <c r="E2" i="10"/>
  <c r="F3" i="10"/>
  <c r="G3" i="10"/>
  <c r="G2" i="10"/>
  <c r="E98" i="2"/>
  <c r="I3" i="1"/>
  <c r="H3" i="1"/>
  <c r="I4" i="1"/>
  <c r="H4" i="1"/>
  <c r="I5" i="1"/>
  <c r="H5" i="1"/>
  <c r="I6" i="1"/>
  <c r="H6" i="1"/>
  <c r="I7" i="1"/>
  <c r="H7" i="1"/>
  <c r="I8" i="1"/>
  <c r="H8" i="1"/>
  <c r="I9" i="1"/>
  <c r="H9" i="1"/>
  <c r="I10" i="1"/>
  <c r="H10" i="1"/>
  <c r="I11" i="1"/>
  <c r="H11" i="1"/>
  <c r="I12" i="1"/>
  <c r="H12" i="1"/>
  <c r="I13" i="1"/>
  <c r="H13" i="1"/>
  <c r="I14" i="1"/>
  <c r="H14" i="1"/>
  <c r="I15" i="1"/>
  <c r="H15" i="1"/>
  <c r="I16" i="1"/>
  <c r="H16" i="1"/>
  <c r="I17" i="1"/>
  <c r="H17" i="1"/>
  <c r="I18" i="1"/>
  <c r="H18" i="1"/>
  <c r="I19" i="1"/>
  <c r="H19" i="1"/>
  <c r="I20" i="1"/>
  <c r="H20" i="1"/>
  <c r="I21" i="1"/>
  <c r="H21" i="1"/>
  <c r="I22" i="1"/>
  <c r="H22" i="1"/>
  <c r="I23" i="1"/>
  <c r="H23" i="1"/>
  <c r="I24" i="1"/>
  <c r="H24" i="1"/>
  <c r="I25" i="1"/>
  <c r="H25" i="1"/>
  <c r="I26" i="1"/>
  <c r="H26" i="1"/>
</calcChain>
</file>

<file path=xl/sharedStrings.xml><?xml version="1.0" encoding="utf-8"?>
<sst xmlns="http://schemas.openxmlformats.org/spreadsheetml/2006/main" count="452" uniqueCount="89">
  <si>
    <t>T1</t>
  </si>
  <si>
    <t>000-00-0068</t>
  </si>
  <si>
    <t>T</t>
  </si>
  <si>
    <t>Y</t>
  </si>
  <si>
    <t>M</t>
  </si>
  <si>
    <t>T2</t>
  </si>
  <si>
    <t>000-00-0069</t>
  </si>
  <si>
    <t>F</t>
  </si>
  <si>
    <t>T3</t>
  </si>
  <si>
    <t>000-00-0070</t>
  </si>
  <si>
    <t>T4</t>
  </si>
  <si>
    <t>000-00-0071</t>
  </si>
  <si>
    <t>N</t>
  </si>
  <si>
    <t>T5</t>
  </si>
  <si>
    <t>000-00-0072</t>
  </si>
  <si>
    <t>T6</t>
  </si>
  <si>
    <t>000-00-0073</t>
  </si>
  <si>
    <t>T7</t>
  </si>
  <si>
    <t>000-00-0074</t>
  </si>
  <si>
    <t>T8</t>
  </si>
  <si>
    <t>000-00-0075</t>
  </si>
  <si>
    <t>T9</t>
  </si>
  <si>
    <t>000-00-0076</t>
  </si>
  <si>
    <t>T10</t>
  </si>
  <si>
    <t>000-00-0077</t>
  </si>
  <si>
    <t>T11</t>
  </si>
  <si>
    <t>000-00-0078</t>
  </si>
  <si>
    <t>T12</t>
  </si>
  <si>
    <t>000-00-0079</t>
  </si>
  <si>
    <t>T13</t>
  </si>
  <si>
    <t>000-00-0080</t>
  </si>
  <si>
    <t>T14</t>
  </si>
  <si>
    <t>000-00-0081</t>
  </si>
  <si>
    <t>T15</t>
  </si>
  <si>
    <t>000-00-0082</t>
  </si>
  <si>
    <t>T16</t>
  </si>
  <si>
    <t>000-00-0083</t>
  </si>
  <si>
    <t>T17</t>
  </si>
  <si>
    <t>000-00-0084</t>
  </si>
  <si>
    <t>T18</t>
  </si>
  <si>
    <t>000-00-0085</t>
  </si>
  <si>
    <t>T19</t>
  </si>
  <si>
    <t>000-00-0086</t>
  </si>
  <si>
    <t>T20</t>
  </si>
  <si>
    <t>000-00-0087</t>
  </si>
  <si>
    <t>T21</t>
  </si>
  <si>
    <t>000-00-0088</t>
  </si>
  <si>
    <t>T22</t>
  </si>
  <si>
    <t>000-00-0089</t>
  </si>
  <si>
    <t>T23</t>
  </si>
  <si>
    <t>000-00-0090</t>
  </si>
  <si>
    <t>T24</t>
  </si>
  <si>
    <t>000-00-0091</t>
  </si>
  <si>
    <t>T25</t>
  </si>
  <si>
    <t>000-00-0092</t>
  </si>
  <si>
    <t>Terminated Vested</t>
  </si>
  <si>
    <t>Test #</t>
  </si>
  <si>
    <t>Name</t>
  </si>
  <si>
    <t>S.S.#</t>
  </si>
  <si>
    <t>Status</t>
  </si>
  <si>
    <t>Married</t>
  </si>
  <si>
    <t>Gender</t>
  </si>
  <si>
    <t>Date of Birth</t>
  </si>
  <si>
    <t>Annual Pension Benefit</t>
  </si>
  <si>
    <t>Age</t>
  </si>
  <si>
    <t>Valuation Date</t>
  </si>
  <si>
    <t>interest rate</t>
  </si>
  <si>
    <t>Year</t>
  </si>
  <si>
    <t>t</t>
  </si>
  <si>
    <t>q, mortality rate</t>
  </si>
  <si>
    <t>1Px, survival rate</t>
  </si>
  <si>
    <t>tPx, Cumulative Survival rate</t>
  </si>
  <si>
    <t>v, discount factor</t>
  </si>
  <si>
    <t>PV(Pension Benefit)</t>
  </si>
  <si>
    <t xml:space="preserve"> </t>
  </si>
  <si>
    <t>RP-2014 Rates: Total Dataset</t>
  </si>
  <si>
    <t>Total Dataset; Males</t>
  </si>
  <si>
    <t>Total Dataset; Females</t>
  </si>
  <si>
    <t>Employee</t>
  </si>
  <si>
    <t>Healthy Annuitant</t>
  </si>
  <si>
    <t>Disabled Retiree</t>
  </si>
  <si>
    <t/>
  </si>
  <si>
    <t>≤ 20</t>
  </si>
  <si>
    <t>2034+</t>
  </si>
  <si>
    <t>Mortality Rate</t>
  </si>
  <si>
    <t>Total</t>
  </si>
  <si>
    <t>Total PV(Pension Benefit)</t>
    <phoneticPr fontId="12" type="noConversion"/>
  </si>
  <si>
    <t>SUM</t>
    <phoneticPr fontId="12" type="noConversion"/>
  </si>
  <si>
    <t>Total PV(Pension Benefit VBA)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</si>
</sst>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&quot;$&quot;#,##0"/>
    <numFmt numFmtId="166" formatCode="0.000000"/>
  </numFmts>
  <fonts count="16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b/>
      <sz val="10"/>
      <color indexed="8"/>
      <name val="American Typewriter"/>
      <family val="1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34"/>
      <scheme val="minor"/>
    </font>
    <font>
      <sz val="10"/>
      <color indexed="8"/>
      <name val="American Typewriter"/>
      <family val="1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2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4" fillId="0" borderId="0">
      <alignment vertical="center"/>
    </xf>
    <xf numFmtId="0" fontId="4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4" fillId="0" borderId="0"/>
    <xf numFmtId="0" fontId="1" fillId="0" borderId="0">
      <alignment vertical="center"/>
    </xf>
    <xf numFmtId="0" fontId="15" fillId="0" borderId="0" applyNumberFormat="0" applyFill="0" applyBorder="0" applyProtection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1" applyFont="1" applyAlignment="1"/>
    <xf numFmtId="0" fontId="4" fillId="0" borderId="0" xfId="1" applyAlignment="1"/>
    <xf numFmtId="0" fontId="4" fillId="0" borderId="0" xfId="1">
      <alignment vertical="center"/>
    </xf>
    <xf numFmtId="0" fontId="6" fillId="0" borderId="0" xfId="1" applyFont="1" applyBorder="1" applyAlignment="1"/>
    <xf numFmtId="0" fontId="6" fillId="0" borderId="0" xfId="1" applyFont="1" applyAlignment="1"/>
    <xf numFmtId="0" fontId="6" fillId="0" borderId="0" xfId="1" applyFont="1" applyBorder="1" applyAlignment="1">
      <alignment horizontal="center"/>
    </xf>
    <xf numFmtId="0" fontId="6" fillId="0" borderId="4" xfId="1" applyFont="1" applyBorder="1" applyAlignment="1">
      <alignment horizontal="center"/>
    </xf>
    <xf numFmtId="0" fontId="6" fillId="0" borderId="5" xfId="1" applyFont="1" applyBorder="1" applyAlignment="1">
      <alignment horizontal="center" wrapText="1"/>
    </xf>
    <xf numFmtId="0" fontId="6" fillId="0" borderId="4" xfId="1" applyFont="1" applyBorder="1" applyAlignment="1">
      <alignment horizontal="center" wrapText="1"/>
    </xf>
    <xf numFmtId="0" fontId="6" fillId="0" borderId="6" xfId="1" applyFont="1" applyBorder="1" applyAlignment="1">
      <alignment horizontal="center" wrapText="1"/>
    </xf>
    <xf numFmtId="0" fontId="6" fillId="0" borderId="0" xfId="1" applyFont="1" applyBorder="1" applyAlignment="1">
      <alignment horizontal="center" wrapText="1"/>
    </xf>
    <xf numFmtId="0" fontId="4" fillId="0" borderId="0" xfId="1" applyAlignment="1">
      <alignment horizontal="center"/>
    </xf>
    <xf numFmtId="166" fontId="4" fillId="0" borderId="7" xfId="1" applyNumberFormat="1" applyBorder="1" applyAlignment="1">
      <alignment horizontal="center"/>
    </xf>
    <xf numFmtId="166" fontId="4" fillId="0" borderId="0" xfId="1" applyNumberFormat="1" applyBorder="1" applyAlignment="1">
      <alignment horizontal="center"/>
    </xf>
    <xf numFmtId="166" fontId="4" fillId="0" borderId="8" xfId="1" applyNumberFormat="1" applyBorder="1" applyAlignment="1">
      <alignment horizontal="center"/>
    </xf>
    <xf numFmtId="166" fontId="4" fillId="0" borderId="5" xfId="1" applyNumberFormat="1" applyBorder="1" applyAlignment="1">
      <alignment horizontal="center"/>
    </xf>
    <xf numFmtId="166" fontId="4" fillId="0" borderId="4" xfId="1" applyNumberFormat="1" applyBorder="1" applyAlignment="1">
      <alignment horizontal="center"/>
    </xf>
    <xf numFmtId="166" fontId="4" fillId="0" borderId="6" xfId="1" applyNumberFormat="1" applyBorder="1" applyAlignment="1">
      <alignment horizontal="center"/>
    </xf>
    <xf numFmtId="0" fontId="5" fillId="0" borderId="0" xfId="2" applyFont="1" applyProtection="1">
      <protection locked="0"/>
    </xf>
    <xf numFmtId="0" fontId="3" fillId="0" borderId="0" xfId="2" applyFont="1" applyAlignment="1">
      <alignment horizontal="right"/>
    </xf>
    <xf numFmtId="0" fontId="3" fillId="5" borderId="0" xfId="2" applyFont="1" applyFill="1" applyAlignment="1">
      <alignment horizontal="right"/>
    </xf>
    <xf numFmtId="0" fontId="4" fillId="0" borderId="0" xfId="2"/>
    <xf numFmtId="0" fontId="6" fillId="0" borderId="0" xfId="2" applyFont="1" applyAlignment="1">
      <alignment horizontal="center"/>
    </xf>
    <xf numFmtId="166" fontId="4" fillId="0" borderId="0" xfId="2" applyNumberFormat="1"/>
    <xf numFmtId="166" fontId="4" fillId="5" borderId="0" xfId="2" applyNumberFormat="1" applyFill="1"/>
    <xf numFmtId="166" fontId="7" fillId="5" borderId="0" xfId="2" applyNumberFormat="1" applyFont="1" applyFill="1"/>
    <xf numFmtId="0" fontId="4" fillId="5" borderId="0" xfId="2" applyFill="1"/>
    <xf numFmtId="0" fontId="9" fillId="0" borderId="0" xfId="1" applyFont="1" applyAlignment="1"/>
    <xf numFmtId="166" fontId="9" fillId="0" borderId="0" xfId="1" applyNumberFormat="1" applyFont="1" applyAlignment="1">
      <alignment horizontal="center"/>
    </xf>
    <xf numFmtId="0" fontId="10" fillId="0" borderId="0" xfId="1" applyFont="1" applyAlignment="1">
      <alignment horizontal="center"/>
    </xf>
    <xf numFmtId="0" fontId="11" fillId="0" borderId="0" xfId="1" applyFont="1" applyAlignment="1">
      <alignment horizontal="right"/>
    </xf>
    <xf numFmtId="0" fontId="9" fillId="0" borderId="0" xfId="1" applyFont="1" applyAlignment="1" applyProtection="1">
      <protection locked="0"/>
    </xf>
    <xf numFmtId="0" fontId="0" fillId="0" borderId="9" xfId="0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 vertical="center"/>
    </xf>
    <xf numFmtId="49" fontId="0" fillId="2" borderId="9" xfId="0" applyNumberFormat="1" applyFont="1" applyFill="1" applyBorder="1" applyAlignment="1">
      <alignment horizontal="center" vertical="center"/>
    </xf>
    <xf numFmtId="14" fontId="0" fillId="2" borderId="9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2" fillId="2" borderId="11" xfId="0" applyNumberFormat="1" applyFont="1" applyFill="1" applyBorder="1" applyAlignment="1">
      <alignment horizontal="center"/>
    </xf>
    <xf numFmtId="165" fontId="0" fillId="2" borderId="1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3" fillId="6" borderId="10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3" fillId="7" borderId="10" xfId="0" applyFont="1" applyFill="1" applyBorder="1" applyAlignment="1">
      <alignment horizontal="center" vertical="center"/>
    </xf>
    <xf numFmtId="1" fontId="14" fillId="0" borderId="0" xfId="5" applyNumberFormat="1" applyBorder="1" applyAlignment="1">
      <alignment horizontal="center"/>
    </xf>
    <xf numFmtId="0" fontId="3" fillId="0" borderId="0" xfId="5" applyFont="1" applyBorder="1" applyAlignment="1">
      <alignment horizontal="center"/>
    </xf>
    <xf numFmtId="0" fontId="14" fillId="0" borderId="0" xfId="5" applyBorder="1" applyAlignment="1" applyProtection="1">
      <alignment horizontal="center"/>
      <protection locked="0"/>
    </xf>
    <xf numFmtId="0" fontId="1" fillId="0" borderId="0" xfId="6" applyAlignment="1">
      <alignment horizontal="center" vertical="center"/>
    </xf>
    <xf numFmtId="1" fontId="9" fillId="0" borderId="0" xfId="6" applyNumberFormat="1" applyFont="1" applyBorder="1" applyAlignment="1">
      <alignment horizontal="center"/>
    </xf>
    <xf numFmtId="0" fontId="14" fillId="0" borderId="0" xfId="5" applyBorder="1" applyAlignment="1">
      <alignment horizontal="center"/>
    </xf>
    <xf numFmtId="1" fontId="1" fillId="0" borderId="0" xfId="6" applyNumberFormat="1" applyAlignment="1">
      <alignment horizontal="center" vertical="center"/>
    </xf>
    <xf numFmtId="0" fontId="3" fillId="0" borderId="0" xfId="5" applyFont="1" applyBorder="1" applyAlignment="1">
      <alignment horizontal="center" vertical="center"/>
    </xf>
    <xf numFmtId="0" fontId="9" fillId="0" borderId="0" xfId="6" applyFont="1" applyAlignment="1" applyProtection="1">
      <alignment horizontal="center" vertical="center"/>
      <protection locked="0"/>
    </xf>
    <xf numFmtId="0" fontId="14" fillId="0" borderId="0" xfId="5" applyAlignment="1" applyProtection="1">
      <alignment horizontal="center" vertical="center"/>
      <protection locked="0"/>
    </xf>
    <xf numFmtId="0" fontId="14" fillId="0" borderId="0" xfId="5" applyBorder="1" applyAlignment="1">
      <alignment horizontal="center" vertical="center"/>
    </xf>
    <xf numFmtId="0" fontId="14" fillId="0" borderId="0" xfId="5" applyAlignment="1">
      <alignment horizontal="center" vertical="center"/>
    </xf>
    <xf numFmtId="0" fontId="3" fillId="0" borderId="0" xfId="5" applyFont="1" applyAlignment="1">
      <alignment horizontal="center" vertical="center"/>
    </xf>
    <xf numFmtId="0" fontId="6" fillId="3" borderId="1" xfId="1" applyFont="1" applyFill="1" applyBorder="1" applyAlignment="1">
      <alignment horizontal="center"/>
    </xf>
    <xf numFmtId="0" fontId="6" fillId="3" borderId="2" xfId="1" applyFont="1" applyFill="1" applyBorder="1" applyAlignment="1">
      <alignment horizontal="center"/>
    </xf>
    <xf numFmtId="0" fontId="6" fillId="3" borderId="3" xfId="1" applyFont="1" applyFill="1" applyBorder="1" applyAlignment="1">
      <alignment horizontal="center"/>
    </xf>
    <xf numFmtId="0" fontId="6" fillId="4" borderId="1" xfId="1" applyFont="1" applyFill="1" applyBorder="1" applyAlignment="1">
      <alignment horizontal="center"/>
    </xf>
    <xf numFmtId="0" fontId="6" fillId="4" borderId="2" xfId="1" applyFont="1" applyFill="1" applyBorder="1" applyAlignment="1">
      <alignment horizontal="center"/>
    </xf>
    <xf numFmtId="0" fontId="6" fillId="4" borderId="3" xfId="1" applyFont="1" applyFill="1" applyBorder="1" applyAlignment="1">
      <alignment horizontal="center"/>
    </xf>
  </cellXfs>
  <cellStyles count="8">
    <cellStyle name="Comma 2" xfId="3"/>
    <cellStyle name="Normal" xfId="0" builtinId="0"/>
    <cellStyle name="Normal 2" xfId="1"/>
    <cellStyle name="Normal 2 2" xfId="5"/>
    <cellStyle name="Normal 3" xfId="2"/>
    <cellStyle name="Normal 4" xfId="6"/>
    <cellStyle name="Percent 2" xfId="4"/>
    <cellStyle name="常规 2" xfId="7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8"/>
  <sheetViews>
    <sheetView tabSelected="1" topLeftCell="C1" workbookViewId="0">
      <selection activeCell="O11" sqref="O11"/>
    </sheetView>
  </sheetViews>
  <sheetFormatPr defaultColWidth="10.75" defaultRowHeight="15.75"/>
  <cols>
    <col min="1" max="1" width="16.625" style="1" customWidth="1"/>
    <col min="2" max="7" width="15" style="1" customWidth="1"/>
    <col min="8" max="8" width="17" style="1" customWidth="1"/>
    <col min="9" max="9" width="18.25" style="1" customWidth="1"/>
    <col min="10" max="10" width="22.375" style="1" customWidth="1"/>
    <col min="11" max="11" width="3.625" style="1" customWidth="1"/>
    <col min="12" max="12" width="27.125" style="1" customWidth="1"/>
    <col min="13" max="13" width="10.75" style="1"/>
    <col min="14" max="14" width="16.25" style="1" customWidth="1"/>
    <col min="15" max="16384" width="10.75" style="1"/>
  </cols>
  <sheetData>
    <row r="1" spans="1:15" ht="16.5" thickBot="1">
      <c r="A1" s="35" t="s">
        <v>55</v>
      </c>
      <c r="B1" s="36" t="s">
        <v>56</v>
      </c>
      <c r="C1" s="36" t="s">
        <v>57</v>
      </c>
      <c r="D1" s="36" t="s">
        <v>58</v>
      </c>
      <c r="E1" s="36" t="s">
        <v>59</v>
      </c>
      <c r="F1" s="36" t="s">
        <v>60</v>
      </c>
      <c r="G1" s="36" t="s">
        <v>61</v>
      </c>
      <c r="H1" s="36" t="s">
        <v>64</v>
      </c>
      <c r="I1" s="36" t="s">
        <v>62</v>
      </c>
      <c r="J1" s="42" t="s">
        <v>63</v>
      </c>
      <c r="K1" s="47" t="s">
        <v>86</v>
      </c>
      <c r="L1" s="49" t="s">
        <v>88</v>
      </c>
      <c r="N1" s="1" t="s">
        <v>65</v>
      </c>
      <c r="O1" s="2">
        <v>43647</v>
      </c>
    </row>
    <row r="2" spans="1:15">
      <c r="A2" s="35"/>
      <c r="B2" s="37">
        <v>1</v>
      </c>
      <c r="C2" s="37" t="s">
        <v>0</v>
      </c>
      <c r="D2" s="38" t="s">
        <v>1</v>
      </c>
      <c r="E2" s="38" t="s">
        <v>2</v>
      </c>
      <c r="F2" s="38" t="s">
        <v>3</v>
      </c>
      <c r="G2" s="38" t="s">
        <v>4</v>
      </c>
      <c r="H2" s="35">
        <f t="shared" ref="H2:H26" si="0">YEAR($O$1)-YEAR(I2)</f>
        <v>24</v>
      </c>
      <c r="I2" s="39">
        <v>34700</v>
      </c>
      <c r="J2" s="43">
        <v>8146.3865027897536</v>
      </c>
      <c r="K2" s="46">
        <f>'TV 1'!$I$2</f>
        <v>12800.001321559408</v>
      </c>
      <c r="L2" s="1">
        <f>tvPVB_g($G2, 'post retirement male'!$A$1:$CY$102, 'post retirement female'!$A$1:$CY$102, $H2, 2019, $J2, $O$2, 120-$H2)</f>
        <v>14086.984339360757</v>
      </c>
      <c r="N2" s="1" t="s">
        <v>66</v>
      </c>
      <c r="O2" s="1">
        <v>0.05</v>
      </c>
    </row>
    <row r="3" spans="1:15">
      <c r="A3" s="35"/>
      <c r="B3" s="37">
        <v>2</v>
      </c>
      <c r="C3" s="37" t="s">
        <v>5</v>
      </c>
      <c r="D3" s="38" t="s">
        <v>6</v>
      </c>
      <c r="E3" s="38" t="s">
        <v>2</v>
      </c>
      <c r="F3" s="38" t="s">
        <v>3</v>
      </c>
      <c r="G3" s="38" t="s">
        <v>7</v>
      </c>
      <c r="H3" s="35">
        <f t="shared" si="0"/>
        <v>29</v>
      </c>
      <c r="I3" s="39">
        <f>I2-(5*365)</f>
        <v>32875</v>
      </c>
      <c r="J3" s="43">
        <v>16292.773005579507</v>
      </c>
      <c r="K3" s="44">
        <f>'TV 2'!$I$2</f>
        <v>35753.877150332512</v>
      </c>
      <c r="L3" s="1">
        <f>tvPVB_g($G3, 'post retirement male'!$A$1:$CY$102, 'post retirement female'!$A$1:$CY$102, $H3, 2019, $J3, $O$2, 120-$H3)</f>
        <v>38387.205482615493</v>
      </c>
    </row>
    <row r="4" spans="1:15">
      <c r="A4" s="35"/>
      <c r="B4" s="37">
        <v>3</v>
      </c>
      <c r="C4" s="37" t="s">
        <v>8</v>
      </c>
      <c r="D4" s="38" t="s">
        <v>9</v>
      </c>
      <c r="E4" s="38" t="s">
        <v>2</v>
      </c>
      <c r="F4" s="38" t="s">
        <v>3</v>
      </c>
      <c r="G4" s="38" t="s">
        <v>7</v>
      </c>
      <c r="H4" s="35">
        <f t="shared" si="0"/>
        <v>29</v>
      </c>
      <c r="I4" s="39">
        <f>I3</f>
        <v>32875</v>
      </c>
      <c r="J4" s="43">
        <v>9194.0516234341194</v>
      </c>
      <c r="K4" s="44">
        <f>'TV 3'!$I$2</f>
        <v>20176.000251492267</v>
      </c>
      <c r="L4" s="1">
        <f>tvPVB_g($G4, 'post retirement male'!$A$1:$CY$102, 'post retirement female'!$A$1:$CY$102, $H4, 2019, $J4, $O$2, 120-$H4)</f>
        <v>21661.993864744625</v>
      </c>
    </row>
    <row r="5" spans="1:15">
      <c r="A5" s="35"/>
      <c r="B5" s="37">
        <v>4</v>
      </c>
      <c r="C5" s="37" t="s">
        <v>10</v>
      </c>
      <c r="D5" s="38" t="s">
        <v>11</v>
      </c>
      <c r="E5" s="38" t="s">
        <v>2</v>
      </c>
      <c r="F5" s="38" t="s">
        <v>12</v>
      </c>
      <c r="G5" s="38" t="s">
        <v>7</v>
      </c>
      <c r="H5" s="35">
        <f t="shared" si="0"/>
        <v>34</v>
      </c>
      <c r="I5" s="39">
        <f>I4-(5*365)</f>
        <v>31050</v>
      </c>
      <c r="J5" s="43">
        <v>15494.560704827933</v>
      </c>
      <c r="K5" s="44">
        <f>'TV 4'!$I$2</f>
        <v>61755.30411891664</v>
      </c>
      <c r="L5" s="1">
        <f>tvPVB_g($G5, 'post retirement male'!$A$1:$CY$102, 'post retirement female'!$A$1:$CY$102, $H5, 2019, $J5, $O$2, 120-$H5)</f>
        <v>46127.482409640215</v>
      </c>
    </row>
    <row r="6" spans="1:15">
      <c r="A6" s="35"/>
      <c r="B6" s="37">
        <v>5</v>
      </c>
      <c r="C6" s="37" t="s">
        <v>13</v>
      </c>
      <c r="D6" s="38" t="s">
        <v>14</v>
      </c>
      <c r="E6" s="38" t="s">
        <v>2</v>
      </c>
      <c r="F6" s="38" t="s">
        <v>12</v>
      </c>
      <c r="G6" s="38" t="s">
        <v>4</v>
      </c>
      <c r="H6" s="35">
        <f t="shared" si="0"/>
        <v>34</v>
      </c>
      <c r="I6" s="39">
        <f>I5</f>
        <v>31050</v>
      </c>
      <c r="J6" s="43">
        <v>12411.72812897555</v>
      </c>
      <c r="K6" s="44">
        <f>'TV 5'!$I$2</f>
        <v>48879.778693993481</v>
      </c>
      <c r="L6" s="1">
        <f>tvPVB_g($G6, 'post retirement male'!$A$1:$CY$102, 'post retirement female'!$A$1:$CY$102, $H6, 2019, $J6, $O$2, 120-$H6)</f>
        <v>34174.803662023071</v>
      </c>
    </row>
    <row r="7" spans="1:15">
      <c r="A7" s="35"/>
      <c r="B7" s="37">
        <v>6</v>
      </c>
      <c r="C7" s="37" t="s">
        <v>15</v>
      </c>
      <c r="D7" s="38" t="s">
        <v>16</v>
      </c>
      <c r="E7" s="38" t="s">
        <v>2</v>
      </c>
      <c r="F7" s="38" t="s">
        <v>12</v>
      </c>
      <c r="G7" s="38" t="s">
        <v>4</v>
      </c>
      <c r="H7" s="35">
        <f t="shared" si="0"/>
        <v>34</v>
      </c>
      <c r="I7" s="39">
        <f>I6</f>
        <v>31050</v>
      </c>
      <c r="J7" s="43">
        <v>8197.0912990191209</v>
      </c>
      <c r="K7" s="44">
        <f>'TV 6'!$I$2</f>
        <v>32281.726159883681</v>
      </c>
      <c r="L7" s="1">
        <f>tvPVB_g($G7, 'post retirement male'!$A$1:$CY$102, 'post retirement female'!$A$1:$CY$102, $H7, 2019, $J7, $O$2, 120-$H7)</f>
        <v>22570.103279145696</v>
      </c>
    </row>
    <row r="8" spans="1:15">
      <c r="A8" s="35"/>
      <c r="B8" s="37">
        <v>7</v>
      </c>
      <c r="C8" s="37" t="s">
        <v>17</v>
      </c>
      <c r="D8" s="38" t="s">
        <v>18</v>
      </c>
      <c r="E8" s="38" t="s">
        <v>2</v>
      </c>
      <c r="F8" s="38" t="s">
        <v>12</v>
      </c>
      <c r="G8" s="38" t="s">
        <v>4</v>
      </c>
      <c r="H8" s="35">
        <f t="shared" si="0"/>
        <v>39</v>
      </c>
      <c r="I8" s="39">
        <f>I7-(5*365)</f>
        <v>29225</v>
      </c>
      <c r="J8" s="43">
        <v>16394.182598038242</v>
      </c>
      <c r="K8" s="44">
        <f>'TV 7'!$I$2</f>
        <v>82401.14380706691</v>
      </c>
      <c r="L8" s="1">
        <f>tvPVB_g($G8, 'post retirement male'!$A$1:$CY$102, 'post retirement female'!$A$1:$CY$102, $H8, 2019, $J8, $O$2, 120-$H8)</f>
        <v>56976.151705682045</v>
      </c>
    </row>
    <row r="9" spans="1:15">
      <c r="A9" s="35"/>
      <c r="B9" s="37">
        <v>8</v>
      </c>
      <c r="C9" s="37" t="s">
        <v>19</v>
      </c>
      <c r="D9" s="38" t="s">
        <v>20</v>
      </c>
      <c r="E9" s="38" t="s">
        <v>2</v>
      </c>
      <c r="F9" s="38" t="s">
        <v>3</v>
      </c>
      <c r="G9" s="38" t="s">
        <v>4</v>
      </c>
      <c r="H9" s="35">
        <f t="shared" si="0"/>
        <v>39</v>
      </c>
      <c r="I9" s="39">
        <f>I8</f>
        <v>29225</v>
      </c>
      <c r="J9" s="43">
        <v>2783.0088530728935</v>
      </c>
      <c r="K9" s="44">
        <f>'TV 8'!$I$2</f>
        <v>13988.078475217244</v>
      </c>
      <c r="L9" s="1">
        <f>tvPVB_g($G9, 'post retirement male'!$A$1:$CY$102, 'post retirement female'!$A$1:$CY$102, $H9, 2019, $J9, $O$2, 120-$H9)</f>
        <v>9672.0366302319744</v>
      </c>
    </row>
    <row r="10" spans="1:15">
      <c r="A10" s="35"/>
      <c r="B10" s="37">
        <v>9</v>
      </c>
      <c r="C10" s="37" t="s">
        <v>21</v>
      </c>
      <c r="D10" s="38" t="s">
        <v>22</v>
      </c>
      <c r="E10" s="38" t="s">
        <v>2</v>
      </c>
      <c r="F10" s="38" t="s">
        <v>3</v>
      </c>
      <c r="G10" s="38" t="s">
        <v>7</v>
      </c>
      <c r="H10" s="35">
        <f t="shared" si="0"/>
        <v>39</v>
      </c>
      <c r="I10" s="39">
        <f>I9</f>
        <v>29225</v>
      </c>
      <c r="J10" s="43">
        <v>10561.70752271737</v>
      </c>
      <c r="K10" s="44">
        <f>'TV 9'!$I$2</f>
        <v>41438.73636249343</v>
      </c>
      <c r="L10" s="1">
        <f>tvPVB_g($G10, 'post retirement male'!$A$1:$CY$102, 'post retirement female'!$A$1:$CY$102, $H10, 2019, $J10, $O$2, 120-$H10)</f>
        <v>39737.21223105846</v>
      </c>
    </row>
    <row r="11" spans="1:15">
      <c r="A11" s="35"/>
      <c r="B11" s="37">
        <v>10</v>
      </c>
      <c r="C11" s="37" t="s">
        <v>23</v>
      </c>
      <c r="D11" s="38" t="s">
        <v>24</v>
      </c>
      <c r="E11" s="38" t="s">
        <v>2</v>
      </c>
      <c r="F11" s="38" t="s">
        <v>3</v>
      </c>
      <c r="G11" s="38" t="s">
        <v>7</v>
      </c>
      <c r="H11" s="35">
        <f t="shared" si="0"/>
        <v>39</v>
      </c>
      <c r="I11" s="39">
        <f>I10</f>
        <v>29225</v>
      </c>
      <c r="J11" s="43">
        <v>21123.41504543474</v>
      </c>
      <c r="K11" s="44">
        <f>'TV 10'!$I$2</f>
        <v>107449.80327701595</v>
      </c>
      <c r="L11" s="1">
        <f>tvPVB_g($G11, 'post retirement male'!$A$1:$CY$102, 'post retirement female'!$A$1:$CY$102, $H11, 2019, $J11, $O$2, 120-$H11)</f>
        <v>79474.42446211692</v>
      </c>
    </row>
    <row r="12" spans="1:15">
      <c r="A12" s="35"/>
      <c r="B12" s="37">
        <v>11</v>
      </c>
      <c r="C12" s="37" t="s">
        <v>25</v>
      </c>
      <c r="D12" s="38" t="s">
        <v>26</v>
      </c>
      <c r="E12" s="38" t="s">
        <v>2</v>
      </c>
      <c r="F12" s="38" t="s">
        <v>3</v>
      </c>
      <c r="G12" s="38" t="s">
        <v>4</v>
      </c>
      <c r="H12" s="35">
        <f t="shared" si="0"/>
        <v>44</v>
      </c>
      <c r="I12" s="39">
        <f>I11-(5*365)</f>
        <v>27400</v>
      </c>
      <c r="J12" s="43">
        <v>7809.1948975114992</v>
      </c>
      <c r="K12" s="44">
        <f>'TV 11'!$I$2</f>
        <v>50095.213218302873</v>
      </c>
      <c r="L12" s="1">
        <f>tvPVB_g($G12, 'post retirement male'!$A$1:$CY$102, 'post retirement female'!$A$1:$CY$102, $H12, 2019, $J12, $O$2, 120-$H12)</f>
        <v>34276.869519459578</v>
      </c>
      <c r="M12" s="1" t="s">
        <v>74</v>
      </c>
    </row>
    <row r="13" spans="1:15">
      <c r="A13" s="35"/>
      <c r="B13" s="37">
        <v>12</v>
      </c>
      <c r="C13" s="37" t="s">
        <v>27</v>
      </c>
      <c r="D13" s="38" t="s">
        <v>28</v>
      </c>
      <c r="E13" s="38" t="s">
        <v>2</v>
      </c>
      <c r="F13" s="38" t="s">
        <v>3</v>
      </c>
      <c r="G13" s="38" t="s">
        <v>4</v>
      </c>
      <c r="H13" s="35">
        <f t="shared" si="0"/>
        <v>44</v>
      </c>
      <c r="I13" s="39">
        <f>I12</f>
        <v>27400</v>
      </c>
      <c r="J13" s="43">
        <v>15618.389795022998</v>
      </c>
      <c r="K13" s="44">
        <f>'TV 12'!$I$2</f>
        <v>100190.42643660575</v>
      </c>
      <c r="L13" s="1">
        <f>tvPVB_g($G13, 'post retirement male'!$A$1:$CY$102, 'post retirement female'!$A$1:$CY$102, $H13, 2019, $J13, $O$2, 120-$H13)</f>
        <v>68553.739038919157</v>
      </c>
    </row>
    <row r="14" spans="1:15">
      <c r="A14" s="35"/>
      <c r="B14" s="37">
        <v>13</v>
      </c>
      <c r="C14" s="37" t="s">
        <v>29</v>
      </c>
      <c r="D14" s="38" t="s">
        <v>30</v>
      </c>
      <c r="E14" s="38" t="s">
        <v>2</v>
      </c>
      <c r="F14" s="38" t="s">
        <v>12</v>
      </c>
      <c r="G14" s="38" t="s">
        <v>4</v>
      </c>
      <c r="H14" s="35">
        <f t="shared" si="0"/>
        <v>44</v>
      </c>
      <c r="I14" s="39">
        <f>I13</f>
        <v>27400</v>
      </c>
      <c r="J14" s="43">
        <v>7469.789913676047</v>
      </c>
      <c r="K14" s="44">
        <f>'TV 13'!$I$2</f>
        <v>47917.963801975748</v>
      </c>
      <c r="L14" s="1">
        <f>tvPVB_g($G14, 'post retirement male'!$A$1:$CY$102, 'post retirement female'!$A$1:$CY$102, $H14, 2019, $J14, $O$2, 120-$H14)</f>
        <v>32787.120512312991</v>
      </c>
    </row>
    <row r="15" spans="1:15">
      <c r="A15" s="35"/>
      <c r="B15" s="37">
        <v>14</v>
      </c>
      <c r="C15" s="37" t="s">
        <v>31</v>
      </c>
      <c r="D15" s="38" t="s">
        <v>32</v>
      </c>
      <c r="E15" s="38" t="s">
        <v>2</v>
      </c>
      <c r="F15" s="38" t="s">
        <v>12</v>
      </c>
      <c r="G15" s="38" t="s">
        <v>4</v>
      </c>
      <c r="H15" s="35">
        <f t="shared" si="0"/>
        <v>44</v>
      </c>
      <c r="I15" s="39">
        <f>I14</f>
        <v>27400</v>
      </c>
      <c r="J15" s="43">
        <v>3648.9271090660704</v>
      </c>
      <c r="K15" s="44">
        <f>'TV 14'!$I$2</f>
        <v>52258.264030009297</v>
      </c>
      <c r="L15" s="1">
        <f>tvPVB_g($G15, 'post retirement male'!$A$1:$CY$102, 'post retirement female'!$A$1:$CY$102, $H15, 2019, $J15, $O$2, 120-$H15)</f>
        <v>16016.221908270323</v>
      </c>
    </row>
    <row r="16" spans="1:15">
      <c r="A16" s="35"/>
      <c r="B16" s="37">
        <v>15</v>
      </c>
      <c r="C16" s="37" t="s">
        <v>33</v>
      </c>
      <c r="D16" s="38" t="s">
        <v>34</v>
      </c>
      <c r="E16" s="38" t="s">
        <v>2</v>
      </c>
      <c r="F16" s="38" t="s">
        <v>12</v>
      </c>
      <c r="G16" s="38" t="s">
        <v>4</v>
      </c>
      <c r="H16" s="35">
        <f t="shared" si="0"/>
        <v>44</v>
      </c>
      <c r="I16" s="39">
        <f>I15</f>
        <v>27400</v>
      </c>
      <c r="J16" s="43">
        <v>7297.8542181321409</v>
      </c>
      <c r="K16" s="44">
        <f>'TV 15'!$I$2</f>
        <v>46815.013313333977</v>
      </c>
      <c r="L16" s="1">
        <f>tvPVB_g($G16, 'post retirement male'!$A$1:$CY$102, 'post retirement female'!$A$1:$CY$102, $H16, 2019, $J16, $O$2, 120-$H16)</f>
        <v>32032.443816540646</v>
      </c>
    </row>
    <row r="17" spans="1:12">
      <c r="A17" s="35"/>
      <c r="B17" s="37">
        <v>16</v>
      </c>
      <c r="C17" s="37" t="s">
        <v>35</v>
      </c>
      <c r="D17" s="38" t="s">
        <v>36</v>
      </c>
      <c r="E17" s="38" t="s">
        <v>2</v>
      </c>
      <c r="F17" s="38" t="s">
        <v>3</v>
      </c>
      <c r="G17" s="38" t="s">
        <v>7</v>
      </c>
      <c r="H17" s="35">
        <f t="shared" si="0"/>
        <v>49</v>
      </c>
      <c r="I17" s="39">
        <f>I16-(5*365)</f>
        <v>25575</v>
      </c>
      <c r="J17" s="43">
        <v>9345.8431930260795</v>
      </c>
      <c r="K17" s="44">
        <f>'TV 16'!$I$2</f>
        <v>77437.794086957583</v>
      </c>
      <c r="L17" s="1">
        <f>tvPVB_g($G17, 'post retirement male'!$A$1:$CY$102, 'post retirement female'!$A$1:$CY$102, $H17, 2019, $J17, $O$2, 120-$H17)</f>
        <v>56286.955349516364</v>
      </c>
    </row>
    <row r="18" spans="1:12">
      <c r="A18" s="35"/>
      <c r="B18" s="37">
        <v>17</v>
      </c>
      <c r="C18" s="37" t="s">
        <v>37</v>
      </c>
      <c r="D18" s="38" t="s">
        <v>38</v>
      </c>
      <c r="E18" s="38" t="s">
        <v>2</v>
      </c>
      <c r="F18" s="38" t="s">
        <v>12</v>
      </c>
      <c r="G18" s="38" t="s">
        <v>7</v>
      </c>
      <c r="H18" s="35">
        <f t="shared" si="0"/>
        <v>49</v>
      </c>
      <c r="I18" s="39">
        <f>I17</f>
        <v>25575</v>
      </c>
      <c r="J18" s="43">
        <v>7406.1707064310822</v>
      </c>
      <c r="K18" s="44">
        <f>'TV 17'!$I$2</f>
        <v>67499.335001312516</v>
      </c>
      <c r="L18" s="1">
        <f>tvPVB_g($G18, 'post retirement male'!$A$1:$CY$102, 'post retirement female'!$A$1:$CY$102, $H18, 2019, $J18, $O$2, 120-$H18)</f>
        <v>44604.942673856684</v>
      </c>
    </row>
    <row r="19" spans="1:12">
      <c r="A19" s="35"/>
      <c r="B19" s="37">
        <v>18</v>
      </c>
      <c r="C19" s="37" t="s">
        <v>39</v>
      </c>
      <c r="D19" s="38" t="s">
        <v>40</v>
      </c>
      <c r="E19" s="38" t="s">
        <v>2</v>
      </c>
      <c r="F19" s="38" t="s">
        <v>12</v>
      </c>
      <c r="G19" s="38" t="s">
        <v>7</v>
      </c>
      <c r="H19" s="35">
        <f t="shared" si="0"/>
        <v>49</v>
      </c>
      <c r="I19" s="39">
        <f>I18</f>
        <v>25575</v>
      </c>
      <c r="J19" s="43">
        <v>14812.341412862164</v>
      </c>
      <c r="K19" s="44">
        <f>'TV 18'!$I$2</f>
        <v>122732.10887283651</v>
      </c>
      <c r="L19" s="1">
        <f>tvPVB_g($G19, 'post retirement male'!$A$1:$CY$102, 'post retirement female'!$A$1:$CY$102, $H19, 2019, $J19, $O$2, 120-$H19)</f>
        <v>89209.885347713367</v>
      </c>
    </row>
    <row r="20" spans="1:12">
      <c r="A20" s="35"/>
      <c r="B20" s="37">
        <v>19</v>
      </c>
      <c r="C20" s="37" t="s">
        <v>41</v>
      </c>
      <c r="D20" s="38" t="s">
        <v>42</v>
      </c>
      <c r="E20" s="38" t="s">
        <v>2</v>
      </c>
      <c r="F20" s="38" t="s">
        <v>3</v>
      </c>
      <c r="G20" s="38" t="s">
        <v>7</v>
      </c>
      <c r="H20" s="35">
        <f t="shared" si="0"/>
        <v>49</v>
      </c>
      <c r="I20" s="39">
        <f>I19</f>
        <v>25575</v>
      </c>
      <c r="J20" s="43">
        <v>6708.6975499758428</v>
      </c>
      <c r="K20" s="44">
        <f>'TV 19'!$I$2</f>
        <v>55586.93086722929</v>
      </c>
      <c r="L20" s="1">
        <f>tvPVB_g($G20, 'post retirement male'!$A$1:$CY$102, 'post retirement female'!$A$1:$CY$102, $H20, 2019, $J20, $O$2, 120-$H20)</f>
        <v>40404.290083817839</v>
      </c>
    </row>
    <row r="21" spans="1:12">
      <c r="A21" s="35"/>
      <c r="B21" s="37">
        <v>20</v>
      </c>
      <c r="C21" s="37" t="s">
        <v>43</v>
      </c>
      <c r="D21" s="38" t="s">
        <v>44</v>
      </c>
      <c r="E21" s="38" t="s">
        <v>2</v>
      </c>
      <c r="F21" s="38" t="s">
        <v>3</v>
      </c>
      <c r="G21" s="38" t="s">
        <v>7</v>
      </c>
      <c r="H21" s="35">
        <f t="shared" si="0"/>
        <v>49</v>
      </c>
      <c r="I21" s="39">
        <f>I20</f>
        <v>25575</v>
      </c>
      <c r="J21" s="43">
        <v>13417.395099951686</v>
      </c>
      <c r="K21" s="44">
        <f>'TV 20'!$I$2</f>
        <v>67499.335001312516</v>
      </c>
      <c r="L21" s="1">
        <f>tvPVB_g($G21, 'post retirement male'!$A$1:$CY$102, 'post retirement female'!$A$1:$CY$102, $H21, 2019, $J21, $O$2, 120-$H21)</f>
        <v>80808.580167635679</v>
      </c>
    </row>
    <row r="22" spans="1:12">
      <c r="A22" s="35"/>
      <c r="B22" s="37">
        <v>21</v>
      </c>
      <c r="C22" s="37" t="s">
        <v>45</v>
      </c>
      <c r="D22" s="38" t="s">
        <v>46</v>
      </c>
      <c r="E22" s="38" t="s">
        <v>2</v>
      </c>
      <c r="F22" s="38" t="s">
        <v>3</v>
      </c>
      <c r="G22" s="38" t="s">
        <v>7</v>
      </c>
      <c r="H22" s="35">
        <f t="shared" si="0"/>
        <v>49</v>
      </c>
      <c r="I22" s="39">
        <f>I21</f>
        <v>25575</v>
      </c>
      <c r="J22" s="43">
        <v>7359.463167296276</v>
      </c>
      <c r="K22" s="44">
        <f>'TV 21'!$I$2</f>
        <v>60979.045075879403</v>
      </c>
      <c r="L22" s="1">
        <f>tvPVB_g($G22, 'post retirement male'!$A$1:$CY$102, 'post retirement female'!$A$1:$CY$102, $H22, 2019, $J22, $O$2, 120-$H22)</f>
        <v>44323.638449564954</v>
      </c>
    </row>
    <row r="23" spans="1:12">
      <c r="A23" s="35"/>
      <c r="B23" s="37">
        <v>22</v>
      </c>
      <c r="C23" s="37" t="s">
        <v>47</v>
      </c>
      <c r="D23" s="38" t="s">
        <v>48</v>
      </c>
      <c r="E23" s="38" t="s">
        <v>2</v>
      </c>
      <c r="F23" s="38" t="s">
        <v>3</v>
      </c>
      <c r="G23" s="38" t="s">
        <v>7</v>
      </c>
      <c r="H23" s="35">
        <f t="shared" si="0"/>
        <v>54</v>
      </c>
      <c r="I23" s="39">
        <f>I22-(5*365)</f>
        <v>23750</v>
      </c>
      <c r="J23" s="43">
        <v>14718.926334592552</v>
      </c>
      <c r="K23" s="44">
        <f>'TV 22'!$I$2</f>
        <v>155643.68384853777</v>
      </c>
      <c r="L23" s="1">
        <f>tvPVB_g($G23, 'post retirement male'!$A$1:$CY$102, 'post retirement female'!$A$1:$CY$102, $H23, 2019, $J23, $O$2, 120-$H23)</f>
        <v>113239.64992894427</v>
      </c>
    </row>
    <row r="24" spans="1:12">
      <c r="A24" s="35"/>
      <c r="B24" s="37">
        <v>23</v>
      </c>
      <c r="C24" s="37" t="s">
        <v>49</v>
      </c>
      <c r="D24" s="38" t="s">
        <v>50</v>
      </c>
      <c r="E24" s="38" t="s">
        <v>2</v>
      </c>
      <c r="F24" s="38" t="s">
        <v>3</v>
      </c>
      <c r="G24" s="38" t="s">
        <v>4</v>
      </c>
      <c r="H24" s="35">
        <f t="shared" si="0"/>
        <v>54</v>
      </c>
      <c r="I24" s="39">
        <f>I23</f>
        <v>23750</v>
      </c>
      <c r="J24" s="43">
        <v>16202.3383029612</v>
      </c>
      <c r="K24" s="44">
        <f>'TV 23'!$I$2</f>
        <v>169287.50626051414</v>
      </c>
      <c r="L24" s="1">
        <f>tvPVB_g($G24, 'post retirement male'!$A$1:$CY$102, 'post retirement female'!$A$1:$CY$102, $H24, 2019, $J24, $O$2, 120-$H24)</f>
        <v>115325.81899934175</v>
      </c>
    </row>
    <row r="25" spans="1:12">
      <c r="A25" s="35"/>
      <c r="B25" s="37">
        <v>24</v>
      </c>
      <c r="C25" s="37" t="s">
        <v>51</v>
      </c>
      <c r="D25" s="38" t="s">
        <v>52</v>
      </c>
      <c r="E25" s="38" t="s">
        <v>2</v>
      </c>
      <c r="F25" s="38" t="s">
        <v>3</v>
      </c>
      <c r="G25" s="38" t="s">
        <v>7</v>
      </c>
      <c r="H25" s="35">
        <f t="shared" si="0"/>
        <v>54</v>
      </c>
      <c r="I25" s="39">
        <f>I24</f>
        <v>23750</v>
      </c>
      <c r="J25" s="43">
        <v>17346.102877972971</v>
      </c>
      <c r="K25" s="44">
        <f>'TV 24'!$I$2</f>
        <v>183424.47614526856</v>
      </c>
      <c r="L25" s="1">
        <f>tvPVB_g($G25, 'post retirement male'!$A$1:$CY$102, 'post retirement female'!$A$1:$CY$102, $H25, 2019, $J25, $O$2, 120-$H25)</f>
        <v>133451.75951568395</v>
      </c>
    </row>
    <row r="26" spans="1:12" ht="16.5" thickBot="1">
      <c r="A26" s="35"/>
      <c r="B26" s="37">
        <v>25</v>
      </c>
      <c r="C26" s="37" t="s">
        <v>53</v>
      </c>
      <c r="D26" s="38" t="s">
        <v>54</v>
      </c>
      <c r="E26" s="38" t="s">
        <v>2</v>
      </c>
      <c r="F26" s="38" t="s">
        <v>3</v>
      </c>
      <c r="G26" s="38" t="s">
        <v>4</v>
      </c>
      <c r="H26" s="35">
        <f t="shared" si="0"/>
        <v>54</v>
      </c>
      <c r="I26" s="39">
        <f>I25</f>
        <v>23750</v>
      </c>
      <c r="J26" s="43">
        <v>18611.94439199008</v>
      </c>
      <c r="K26" s="45">
        <f>'TV 25'!$I$2</f>
        <v>194463.88501859127</v>
      </c>
      <c r="L26" s="1">
        <f>tvPVB_g($G26, 'post retirement male'!$A$1:$CY$102, 'post retirement female'!$A$1:$CY$102, $H26, 2019, $J26, $O$2, 120-$H26)</f>
        <v>132477.0344897793</v>
      </c>
    </row>
    <row r="27" spans="1:12" ht="16.5" thickBot="1"/>
    <row r="28" spans="1:12" ht="16.5" thickBot="1">
      <c r="J28" s="40" t="s">
        <v>87</v>
      </c>
      <c r="K28" s="41"/>
      <c r="L28" s="1">
        <f>SUM(L2:L26)</f>
        <v>1396667.3478679759</v>
      </c>
    </row>
  </sheetData>
  <phoneticPr fontId="1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7"/>
  <sheetViews>
    <sheetView zoomScale="113" zoomScaleNormal="120" workbookViewId="0">
      <selection activeCell="I51" sqref="I51"/>
    </sheetView>
  </sheetViews>
  <sheetFormatPr defaultColWidth="11.75" defaultRowHeight="15"/>
  <cols>
    <col min="1" max="16384" width="11.75" style="5"/>
  </cols>
  <sheetData>
    <row r="1" spans="1:10" ht="18.75">
      <c r="A1" s="3" t="s">
        <v>75</v>
      </c>
      <c r="B1" s="4"/>
      <c r="C1" s="4"/>
      <c r="D1" s="4"/>
      <c r="E1" s="4"/>
      <c r="F1" s="4"/>
      <c r="G1" s="4"/>
      <c r="H1" s="4"/>
      <c r="I1" s="4"/>
      <c r="J1" s="4"/>
    </row>
    <row r="2" spans="1:10" ht="15.75" thickBot="1">
      <c r="A2" s="4"/>
      <c r="B2" s="4"/>
      <c r="C2" s="4"/>
      <c r="D2" s="4"/>
      <c r="E2" s="4"/>
      <c r="F2" s="4"/>
      <c r="G2" s="4"/>
      <c r="H2" s="4"/>
      <c r="I2" s="4"/>
      <c r="J2" s="4"/>
    </row>
    <row r="3" spans="1:10" ht="15.75" thickBot="1">
      <c r="A3" s="4"/>
      <c r="B3" s="6"/>
      <c r="C3" s="7"/>
      <c r="D3" s="63" t="s">
        <v>76</v>
      </c>
      <c r="E3" s="64"/>
      <c r="F3" s="65"/>
      <c r="G3" s="8"/>
      <c r="H3" s="66" t="s">
        <v>77</v>
      </c>
      <c r="I3" s="67"/>
      <c r="J3" s="68"/>
    </row>
    <row r="4" spans="1:10" ht="30.75" thickBot="1">
      <c r="A4" s="4"/>
      <c r="B4" s="9" t="s">
        <v>64</v>
      </c>
      <c r="C4" s="7"/>
      <c r="D4" s="10" t="s">
        <v>78</v>
      </c>
      <c r="E4" s="11" t="s">
        <v>79</v>
      </c>
      <c r="F4" s="12" t="s">
        <v>80</v>
      </c>
      <c r="G4" s="13"/>
      <c r="H4" s="10" t="s">
        <v>78</v>
      </c>
      <c r="I4" s="11" t="s">
        <v>79</v>
      </c>
      <c r="J4" s="12" t="s">
        <v>80</v>
      </c>
    </row>
    <row r="5" spans="1:10">
      <c r="A5" s="4"/>
      <c r="B5" s="14">
        <v>18</v>
      </c>
      <c r="C5" s="4"/>
      <c r="D5" s="15">
        <v>3.28E-4</v>
      </c>
      <c r="E5" s="16" t="s">
        <v>81</v>
      </c>
      <c r="F5" s="17">
        <v>5.744E-3</v>
      </c>
      <c r="G5" s="14"/>
      <c r="H5" s="15">
        <v>1.5699999999999999E-4</v>
      </c>
      <c r="I5" s="16" t="s">
        <v>81</v>
      </c>
      <c r="J5" s="17">
        <v>2.1619999999999999E-3</v>
      </c>
    </row>
    <row r="6" spans="1:10">
      <c r="A6" s="4"/>
      <c r="B6" s="14">
        <v>19</v>
      </c>
      <c r="C6" s="4"/>
      <c r="D6" s="15">
        <v>3.6900000000000002E-4</v>
      </c>
      <c r="E6" s="16" t="s">
        <v>81</v>
      </c>
      <c r="F6" s="17">
        <v>6.4619999999999999E-3</v>
      </c>
      <c r="G6" s="14"/>
      <c r="H6" s="15">
        <v>1.6200000000000001E-4</v>
      </c>
      <c r="I6" s="16" t="s">
        <v>81</v>
      </c>
      <c r="J6" s="17">
        <v>2.2309999999999999E-3</v>
      </c>
    </row>
    <row r="7" spans="1:10">
      <c r="A7" s="4"/>
      <c r="B7" s="14">
        <v>20</v>
      </c>
      <c r="C7" s="4"/>
      <c r="D7" s="15">
        <v>4.06E-4</v>
      </c>
      <c r="E7" s="16" t="s">
        <v>81</v>
      </c>
      <c r="F7" s="17">
        <v>7.11E-3</v>
      </c>
      <c r="G7" s="14"/>
      <c r="H7" s="15">
        <v>1.6200000000000001E-4</v>
      </c>
      <c r="I7" s="16" t="s">
        <v>81</v>
      </c>
      <c r="J7" s="17">
        <v>2.2309999999999999E-3</v>
      </c>
    </row>
    <row r="8" spans="1:10">
      <c r="A8" s="4"/>
      <c r="B8" s="14">
        <v>21</v>
      </c>
      <c r="C8" s="4"/>
      <c r="D8" s="15">
        <v>4.4900000000000002E-4</v>
      </c>
      <c r="E8" s="16" t="s">
        <v>81</v>
      </c>
      <c r="F8" s="17">
        <v>7.8630000000000002E-3</v>
      </c>
      <c r="G8" s="14"/>
      <c r="H8" s="15">
        <v>1.6200000000000001E-4</v>
      </c>
      <c r="I8" s="16" t="s">
        <v>81</v>
      </c>
      <c r="J8" s="17">
        <v>2.2309999999999999E-3</v>
      </c>
    </row>
    <row r="9" spans="1:10">
      <c r="A9" s="4"/>
      <c r="B9" s="14">
        <v>22</v>
      </c>
      <c r="C9" s="4"/>
      <c r="D9" s="15">
        <v>4.8799999999999999E-4</v>
      </c>
      <c r="E9" s="16" t="s">
        <v>81</v>
      </c>
      <c r="F9" s="17">
        <v>8.5459999999999998E-3</v>
      </c>
      <c r="G9" s="14"/>
      <c r="H9" s="15">
        <v>1.6200000000000001E-4</v>
      </c>
      <c r="I9" s="16" t="s">
        <v>81</v>
      </c>
      <c r="J9" s="17">
        <v>2.2309999999999999E-3</v>
      </c>
    </row>
    <row r="10" spans="1:10">
      <c r="A10" s="4"/>
      <c r="B10" s="14">
        <v>23</v>
      </c>
      <c r="C10" s="4"/>
      <c r="D10" s="15">
        <v>5.0900000000000001E-4</v>
      </c>
      <c r="E10" s="16" t="s">
        <v>81</v>
      </c>
      <c r="F10" s="17">
        <v>8.914E-3</v>
      </c>
      <c r="G10" s="14"/>
      <c r="H10" s="15">
        <v>1.66E-4</v>
      </c>
      <c r="I10" s="16" t="s">
        <v>81</v>
      </c>
      <c r="J10" s="17">
        <v>2.2859999999999998E-3</v>
      </c>
    </row>
    <row r="11" spans="1:10">
      <c r="A11" s="4"/>
      <c r="B11" s="14">
        <v>24</v>
      </c>
      <c r="C11" s="4"/>
      <c r="D11" s="15">
        <v>5.1599999999999997E-4</v>
      </c>
      <c r="E11" s="16" t="s">
        <v>81</v>
      </c>
      <c r="F11" s="17">
        <v>9.0360000000000006E-3</v>
      </c>
      <c r="G11" s="14"/>
      <c r="H11" s="15">
        <v>1.6899999999999999E-4</v>
      </c>
      <c r="I11" s="16" t="s">
        <v>81</v>
      </c>
      <c r="J11" s="17">
        <v>2.3280000000000002E-3</v>
      </c>
    </row>
    <row r="12" spans="1:10">
      <c r="A12" s="4"/>
      <c r="B12" s="14">
        <v>25</v>
      </c>
      <c r="C12" s="4"/>
      <c r="D12" s="15">
        <v>4.84E-4</v>
      </c>
      <c r="E12" s="16" t="s">
        <v>81</v>
      </c>
      <c r="F12" s="17">
        <v>8.4759999999999992E-3</v>
      </c>
      <c r="G12" s="14"/>
      <c r="H12" s="15">
        <v>1.73E-4</v>
      </c>
      <c r="I12" s="16" t="s">
        <v>81</v>
      </c>
      <c r="J12" s="17">
        <v>2.3830000000000001E-3</v>
      </c>
    </row>
    <row r="13" spans="1:10">
      <c r="A13" s="4"/>
      <c r="B13" s="14">
        <v>26</v>
      </c>
      <c r="C13" s="4"/>
      <c r="D13" s="15">
        <v>4.6200000000000001E-4</v>
      </c>
      <c r="E13" s="16" t="s">
        <v>81</v>
      </c>
      <c r="F13" s="17">
        <v>8.09E-3</v>
      </c>
      <c r="G13" s="14"/>
      <c r="H13" s="15">
        <v>1.7899999999999999E-4</v>
      </c>
      <c r="I13" s="16" t="s">
        <v>81</v>
      </c>
      <c r="J13" s="17">
        <v>2.4650000000000002E-3</v>
      </c>
    </row>
    <row r="14" spans="1:10">
      <c r="A14" s="4"/>
      <c r="B14" s="14">
        <v>27</v>
      </c>
      <c r="C14" s="4"/>
      <c r="D14" s="15">
        <v>4.4900000000000002E-4</v>
      </c>
      <c r="E14" s="16" t="s">
        <v>81</v>
      </c>
      <c r="F14" s="17">
        <v>7.8630000000000002E-3</v>
      </c>
      <c r="G14" s="14"/>
      <c r="H14" s="15">
        <v>1.8699999999999999E-4</v>
      </c>
      <c r="I14" s="16" t="s">
        <v>81</v>
      </c>
      <c r="J14" s="17">
        <v>2.5760000000000002E-3</v>
      </c>
    </row>
    <row r="15" spans="1:10">
      <c r="A15" s="4"/>
      <c r="B15" s="14">
        <v>28</v>
      </c>
      <c r="C15" s="4"/>
      <c r="D15" s="15">
        <v>4.44E-4</v>
      </c>
      <c r="E15" s="16" t="s">
        <v>81</v>
      </c>
      <c r="F15" s="17">
        <v>7.7749999999999998E-3</v>
      </c>
      <c r="G15" s="14"/>
      <c r="H15" s="15">
        <v>1.9599999999999999E-4</v>
      </c>
      <c r="I15" s="16" t="s">
        <v>81</v>
      </c>
      <c r="J15" s="17">
        <v>2.7000000000000001E-3</v>
      </c>
    </row>
    <row r="16" spans="1:10">
      <c r="A16" s="4"/>
      <c r="B16" s="14">
        <v>29</v>
      </c>
      <c r="C16" s="4"/>
      <c r="D16" s="15">
        <v>4.46E-4</v>
      </c>
      <c r="E16" s="16" t="s">
        <v>81</v>
      </c>
      <c r="F16" s="17">
        <v>7.8100000000000001E-3</v>
      </c>
      <c r="G16" s="14"/>
      <c r="H16" s="15">
        <v>2.0599999999999999E-4</v>
      </c>
      <c r="I16" s="16" t="s">
        <v>81</v>
      </c>
      <c r="J16" s="17">
        <v>2.8370000000000001E-3</v>
      </c>
    </row>
    <row r="17" spans="1:10">
      <c r="A17" s="4"/>
      <c r="B17" s="14">
        <v>30</v>
      </c>
      <c r="C17" s="4"/>
      <c r="D17" s="15">
        <v>4.5199999999999998E-4</v>
      </c>
      <c r="E17" s="16" t="s">
        <v>81</v>
      </c>
      <c r="F17" s="17">
        <v>7.9150000000000002E-3</v>
      </c>
      <c r="G17" s="14"/>
      <c r="H17" s="15">
        <v>2.1800000000000001E-4</v>
      </c>
      <c r="I17" s="16" t="s">
        <v>81</v>
      </c>
      <c r="J17" s="17">
        <v>3.003E-3</v>
      </c>
    </row>
    <row r="18" spans="1:10">
      <c r="A18" s="4"/>
      <c r="B18" s="14">
        <v>31</v>
      </c>
      <c r="C18" s="4"/>
      <c r="D18" s="15">
        <v>4.6299999999999998E-4</v>
      </c>
      <c r="E18" s="16" t="s">
        <v>81</v>
      </c>
      <c r="F18" s="17">
        <v>8.1080000000000006E-3</v>
      </c>
      <c r="G18" s="14"/>
      <c r="H18" s="15">
        <v>2.31E-4</v>
      </c>
      <c r="I18" s="16" t="s">
        <v>81</v>
      </c>
      <c r="J18" s="17">
        <v>3.1819999999999999E-3</v>
      </c>
    </row>
    <row r="19" spans="1:10">
      <c r="A19" s="4"/>
      <c r="B19" s="14">
        <v>32</v>
      </c>
      <c r="C19" s="4"/>
      <c r="D19" s="15">
        <v>4.7699999999999999E-4</v>
      </c>
      <c r="E19" s="16" t="s">
        <v>81</v>
      </c>
      <c r="F19" s="17">
        <v>8.3529999999999993E-3</v>
      </c>
      <c r="G19" s="14"/>
      <c r="H19" s="15">
        <v>2.4399999999999999E-4</v>
      </c>
      <c r="I19" s="16" t="s">
        <v>81</v>
      </c>
      <c r="J19" s="17">
        <v>3.3609999999999998E-3</v>
      </c>
    </row>
    <row r="20" spans="1:10">
      <c r="A20" s="4"/>
      <c r="B20" s="14">
        <v>33</v>
      </c>
      <c r="C20" s="4"/>
      <c r="D20" s="15">
        <v>4.9200000000000003E-4</v>
      </c>
      <c r="E20" s="16" t="s">
        <v>81</v>
      </c>
      <c r="F20" s="17">
        <v>8.6160000000000004E-3</v>
      </c>
      <c r="G20" s="14"/>
      <c r="H20" s="15">
        <v>2.5799999999999998E-4</v>
      </c>
      <c r="I20" s="16" t="s">
        <v>81</v>
      </c>
      <c r="J20" s="17">
        <v>3.5530000000000002E-3</v>
      </c>
    </row>
    <row r="21" spans="1:10">
      <c r="A21" s="4"/>
      <c r="B21" s="14">
        <v>34</v>
      </c>
      <c r="C21" s="4"/>
      <c r="D21" s="15">
        <v>5.0799999999999999E-4</v>
      </c>
      <c r="E21" s="16" t="s">
        <v>81</v>
      </c>
      <c r="F21" s="17">
        <v>8.8959999999999994E-3</v>
      </c>
      <c r="G21" s="14"/>
      <c r="H21" s="15">
        <v>2.72E-4</v>
      </c>
      <c r="I21" s="16" t="s">
        <v>81</v>
      </c>
      <c r="J21" s="17">
        <v>3.7460000000000002E-3</v>
      </c>
    </row>
    <row r="22" spans="1:10">
      <c r="A22" s="4"/>
      <c r="B22" s="14">
        <v>35</v>
      </c>
      <c r="C22" s="4"/>
      <c r="D22" s="15">
        <v>5.2300000000000003E-4</v>
      </c>
      <c r="E22" s="16" t="s">
        <v>81</v>
      </c>
      <c r="F22" s="17">
        <v>9.1590000000000005E-3</v>
      </c>
      <c r="G22" s="14"/>
      <c r="H22" s="15">
        <v>2.8600000000000001E-4</v>
      </c>
      <c r="I22" s="16" t="s">
        <v>81</v>
      </c>
      <c r="J22" s="17">
        <v>3.9389999999999998E-3</v>
      </c>
    </row>
    <row r="23" spans="1:10">
      <c r="A23" s="4"/>
      <c r="B23" s="14">
        <v>36</v>
      </c>
      <c r="C23" s="4"/>
      <c r="D23" s="15">
        <v>5.3600000000000002E-4</v>
      </c>
      <c r="E23" s="16" t="s">
        <v>81</v>
      </c>
      <c r="F23" s="17">
        <v>9.3860000000000002E-3</v>
      </c>
      <c r="G23" s="14"/>
      <c r="H23" s="15">
        <v>2.9999999999999997E-4</v>
      </c>
      <c r="I23" s="16" t="s">
        <v>81</v>
      </c>
      <c r="J23" s="17">
        <v>4.1320000000000003E-3</v>
      </c>
    </row>
    <row r="24" spans="1:10">
      <c r="A24" s="4"/>
      <c r="B24" s="14">
        <v>37</v>
      </c>
      <c r="C24" s="4"/>
      <c r="D24" s="15">
        <v>5.5099999999999995E-4</v>
      </c>
      <c r="E24" s="16" t="s">
        <v>81</v>
      </c>
      <c r="F24" s="17">
        <v>9.6489999999999996E-3</v>
      </c>
      <c r="G24" s="14"/>
      <c r="H24" s="15">
        <v>3.1799999999999998E-4</v>
      </c>
      <c r="I24" s="16" t="s">
        <v>81</v>
      </c>
      <c r="J24" s="17">
        <v>4.3800000000000002E-3</v>
      </c>
    </row>
    <row r="25" spans="1:10">
      <c r="A25" s="4"/>
      <c r="B25" s="14">
        <v>38</v>
      </c>
      <c r="C25" s="4"/>
      <c r="D25" s="15">
        <v>5.6999999999999998E-4</v>
      </c>
      <c r="E25" s="16" t="s">
        <v>81</v>
      </c>
      <c r="F25" s="17">
        <v>9.9819999999999996E-3</v>
      </c>
      <c r="G25" s="14"/>
      <c r="H25" s="15">
        <v>3.39E-4</v>
      </c>
      <c r="I25" s="16" t="s">
        <v>81</v>
      </c>
      <c r="J25" s="17">
        <v>4.6690000000000004E-3</v>
      </c>
    </row>
    <row r="26" spans="1:10">
      <c r="A26" s="4"/>
      <c r="B26" s="14">
        <v>39</v>
      </c>
      <c r="C26" s="4"/>
      <c r="D26" s="15">
        <v>5.9500000000000004E-4</v>
      </c>
      <c r="E26" s="16" t="s">
        <v>81</v>
      </c>
      <c r="F26" s="17">
        <v>1.042E-2</v>
      </c>
      <c r="G26" s="14"/>
      <c r="H26" s="15">
        <v>3.6499999999999998E-4</v>
      </c>
      <c r="I26" s="16" t="s">
        <v>81</v>
      </c>
      <c r="J26" s="17">
        <v>5.0270000000000002E-3</v>
      </c>
    </row>
    <row r="27" spans="1:10">
      <c r="A27" s="4"/>
      <c r="B27" s="14">
        <v>40</v>
      </c>
      <c r="C27" s="4"/>
      <c r="D27" s="15">
        <v>6.2799999999999998E-4</v>
      </c>
      <c r="E27" s="16" t="s">
        <v>81</v>
      </c>
      <c r="F27" s="17">
        <v>1.0997E-2</v>
      </c>
      <c r="G27" s="14"/>
      <c r="H27" s="15">
        <v>3.9599999999999998E-4</v>
      </c>
      <c r="I27" s="16" t="s">
        <v>81</v>
      </c>
      <c r="J27" s="17">
        <v>5.4539999999999996E-3</v>
      </c>
    </row>
    <row r="28" spans="1:10">
      <c r="A28" s="4"/>
      <c r="B28" s="14">
        <v>41</v>
      </c>
      <c r="C28" s="4"/>
      <c r="D28" s="15">
        <v>6.7100000000000005E-4</v>
      </c>
      <c r="E28" s="16" t="s">
        <v>81</v>
      </c>
      <c r="F28" s="17">
        <v>1.175E-2</v>
      </c>
      <c r="G28" s="14"/>
      <c r="H28" s="15">
        <v>4.3300000000000001E-4</v>
      </c>
      <c r="I28" s="16" t="s">
        <v>81</v>
      </c>
      <c r="J28" s="17">
        <v>5.9639999999999997E-3</v>
      </c>
    </row>
    <row r="29" spans="1:10">
      <c r="A29" s="4"/>
      <c r="B29" s="14">
        <v>42</v>
      </c>
      <c r="C29" s="4"/>
      <c r="D29" s="15">
        <v>7.2499999999999995E-4</v>
      </c>
      <c r="E29" s="16" t="s">
        <v>81</v>
      </c>
      <c r="F29" s="17">
        <v>1.2696000000000001E-2</v>
      </c>
      <c r="G29" s="14"/>
      <c r="H29" s="15">
        <v>4.7699999999999999E-4</v>
      </c>
      <c r="I29" s="16" t="s">
        <v>81</v>
      </c>
      <c r="J29" s="17">
        <v>6.5700000000000003E-3</v>
      </c>
    </row>
    <row r="30" spans="1:10">
      <c r="A30" s="4"/>
      <c r="B30" s="14">
        <v>43</v>
      </c>
      <c r="C30" s="4"/>
      <c r="D30" s="15">
        <v>7.9299999999999998E-4</v>
      </c>
      <c r="E30" s="16" t="s">
        <v>81</v>
      </c>
      <c r="F30" s="17">
        <v>1.3887E-2</v>
      </c>
      <c r="G30" s="14"/>
      <c r="H30" s="15">
        <v>5.2899999999999996E-4</v>
      </c>
      <c r="I30" s="16" t="s">
        <v>81</v>
      </c>
      <c r="J30" s="17">
        <v>7.2859999999999999E-3</v>
      </c>
    </row>
    <row r="31" spans="1:10">
      <c r="A31" s="4"/>
      <c r="B31" s="14">
        <v>44</v>
      </c>
      <c r="C31" s="4"/>
      <c r="D31" s="15">
        <v>8.7600000000000004E-4</v>
      </c>
      <c r="E31" s="16" t="s">
        <v>81</v>
      </c>
      <c r="F31" s="17">
        <v>1.5339999999999999E-2</v>
      </c>
      <c r="G31" s="14"/>
      <c r="H31" s="15">
        <v>5.8900000000000001E-4</v>
      </c>
      <c r="I31" s="16" t="s">
        <v>81</v>
      </c>
      <c r="J31" s="17">
        <v>8.1119999999999994E-3</v>
      </c>
    </row>
    <row r="32" spans="1:10">
      <c r="A32" s="4"/>
      <c r="B32" s="14">
        <v>45</v>
      </c>
      <c r="C32" s="4"/>
      <c r="D32" s="15">
        <v>9.7300000000000002E-4</v>
      </c>
      <c r="E32" s="16" t="s">
        <v>81</v>
      </c>
      <c r="F32" s="17">
        <v>1.7038999999999999E-2</v>
      </c>
      <c r="G32" s="14"/>
      <c r="H32" s="15">
        <v>6.5700000000000003E-4</v>
      </c>
      <c r="I32" s="16" t="s">
        <v>81</v>
      </c>
      <c r="J32" s="17">
        <v>9.0489999999999998E-3</v>
      </c>
    </row>
    <row r="33" spans="1:10">
      <c r="A33" s="4"/>
      <c r="B33" s="14">
        <v>46</v>
      </c>
      <c r="C33" s="4"/>
      <c r="D33" s="15">
        <v>1.0870000000000001E-3</v>
      </c>
      <c r="E33" s="16" t="s">
        <v>81</v>
      </c>
      <c r="F33" s="17">
        <v>1.7741E-2</v>
      </c>
      <c r="G33" s="14"/>
      <c r="H33" s="15">
        <v>7.3300000000000004E-4</v>
      </c>
      <c r="I33" s="16" t="s">
        <v>81</v>
      </c>
      <c r="J33" s="17">
        <v>9.6349999999999995E-3</v>
      </c>
    </row>
    <row r="34" spans="1:10">
      <c r="A34" s="4"/>
      <c r="B34" s="14">
        <v>47</v>
      </c>
      <c r="C34" s="4"/>
      <c r="D34" s="15">
        <v>1.2149999999999999E-3</v>
      </c>
      <c r="E34" s="16" t="s">
        <v>81</v>
      </c>
      <c r="F34" s="17">
        <v>1.8428E-2</v>
      </c>
      <c r="G34" s="14"/>
      <c r="H34" s="15">
        <v>8.1599999999999999E-4</v>
      </c>
      <c r="I34" s="16" t="s">
        <v>81</v>
      </c>
      <c r="J34" s="17">
        <v>1.0215E-2</v>
      </c>
    </row>
    <row r="35" spans="1:10">
      <c r="A35" s="4"/>
      <c r="B35" s="14">
        <v>48</v>
      </c>
      <c r="C35" s="4"/>
      <c r="D35" s="15">
        <v>1.358E-3</v>
      </c>
      <c r="E35" s="16" t="s">
        <v>81</v>
      </c>
      <c r="F35" s="17">
        <v>1.9101E-2</v>
      </c>
      <c r="G35" s="14"/>
      <c r="H35" s="15">
        <v>9.0600000000000001E-4</v>
      </c>
      <c r="I35" s="16" t="s">
        <v>81</v>
      </c>
      <c r="J35" s="17">
        <v>1.0787E-2</v>
      </c>
    </row>
    <row r="36" spans="1:10">
      <c r="A36" s="4"/>
      <c r="B36" s="14">
        <v>49</v>
      </c>
      <c r="C36" s="4"/>
      <c r="D36" s="15">
        <v>1.5150000000000001E-3</v>
      </c>
      <c r="E36" s="16" t="s">
        <v>81</v>
      </c>
      <c r="F36" s="17">
        <v>1.9757E-2</v>
      </c>
      <c r="G36" s="14"/>
      <c r="H36" s="15">
        <v>1.0009999999999999E-3</v>
      </c>
      <c r="I36" s="16" t="s">
        <v>81</v>
      </c>
      <c r="J36" s="17">
        <v>1.1351999999999999E-2</v>
      </c>
    </row>
    <row r="37" spans="1:10">
      <c r="A37" s="4"/>
      <c r="B37" s="14">
        <v>50</v>
      </c>
      <c r="C37" s="4"/>
      <c r="D37" s="15">
        <v>1.686E-3</v>
      </c>
      <c r="E37" s="16">
        <v>4.0639999999999999E-3</v>
      </c>
      <c r="F37" s="17">
        <v>2.0395E-2</v>
      </c>
      <c r="G37" s="14"/>
      <c r="H37" s="15">
        <v>1.1019999999999999E-3</v>
      </c>
      <c r="I37" s="16">
        <v>2.7680000000000001E-3</v>
      </c>
      <c r="J37" s="17">
        <v>1.1906999999999999E-2</v>
      </c>
    </row>
    <row r="38" spans="1:10">
      <c r="A38" s="4"/>
      <c r="B38" s="14">
        <v>51</v>
      </c>
      <c r="C38" s="4"/>
      <c r="D38" s="15">
        <v>1.8710000000000001E-3</v>
      </c>
      <c r="E38" s="16">
        <v>4.3839999999999999E-3</v>
      </c>
      <c r="F38" s="17">
        <v>2.1016E-2</v>
      </c>
      <c r="G38" s="14"/>
      <c r="H38" s="15">
        <v>1.206E-3</v>
      </c>
      <c r="I38" s="16">
        <v>2.905E-3</v>
      </c>
      <c r="J38" s="17">
        <v>1.2449999999999999E-2</v>
      </c>
    </row>
    <row r="39" spans="1:10">
      <c r="A39" s="4"/>
      <c r="B39" s="14">
        <v>52</v>
      </c>
      <c r="C39" s="4"/>
      <c r="D39" s="15">
        <v>2.0720000000000001E-3</v>
      </c>
      <c r="E39" s="16">
        <v>4.7089999999999996E-3</v>
      </c>
      <c r="F39" s="17">
        <v>2.1621000000000001E-2</v>
      </c>
      <c r="G39" s="14"/>
      <c r="H39" s="15">
        <v>1.315E-3</v>
      </c>
      <c r="I39" s="16">
        <v>3.0569999999999998E-3</v>
      </c>
      <c r="J39" s="17">
        <v>1.2978999999999999E-2</v>
      </c>
    </row>
    <row r="40" spans="1:10">
      <c r="A40" s="4"/>
      <c r="B40" s="14">
        <v>53</v>
      </c>
      <c r="C40" s="4"/>
      <c r="D40" s="15">
        <v>2.2889999999999998E-3</v>
      </c>
      <c r="E40" s="16">
        <v>5.0419999999999996E-3</v>
      </c>
      <c r="F40" s="17">
        <v>2.2210000000000001E-2</v>
      </c>
      <c r="G40" s="14"/>
      <c r="H40" s="15">
        <v>1.4289999999999999E-3</v>
      </c>
      <c r="I40" s="16">
        <v>3.225E-3</v>
      </c>
      <c r="J40" s="17">
        <v>1.3494000000000001E-2</v>
      </c>
    </row>
    <row r="41" spans="1:10">
      <c r="A41" s="4"/>
      <c r="B41" s="14">
        <v>54</v>
      </c>
      <c r="C41" s="4"/>
      <c r="D41" s="15">
        <v>2.5270000000000002E-3</v>
      </c>
      <c r="E41" s="16">
        <v>5.3839999999999999E-3</v>
      </c>
      <c r="F41" s="17">
        <v>2.2790999999999999E-2</v>
      </c>
      <c r="G41" s="14"/>
      <c r="H41" s="15">
        <v>1.5479999999999999E-3</v>
      </c>
      <c r="I41" s="16">
        <v>3.4120000000000001E-3</v>
      </c>
      <c r="J41" s="17">
        <v>1.3991999999999999E-2</v>
      </c>
    </row>
    <row r="42" spans="1:10">
      <c r="A42" s="4"/>
      <c r="B42" s="14">
        <v>55</v>
      </c>
      <c r="C42" s="4"/>
      <c r="D42" s="15">
        <v>2.7880000000000001E-3</v>
      </c>
      <c r="E42" s="16">
        <v>5.7349999999999996E-3</v>
      </c>
      <c r="F42" s="17">
        <v>2.3369000000000001E-2</v>
      </c>
      <c r="G42" s="14"/>
      <c r="H42" s="15">
        <v>1.673E-3</v>
      </c>
      <c r="I42" s="16">
        <v>3.6219999999999998E-3</v>
      </c>
      <c r="J42" s="17">
        <v>1.4479000000000001E-2</v>
      </c>
    </row>
    <row r="43" spans="1:10">
      <c r="A43" s="4"/>
      <c r="B43" s="14">
        <v>56</v>
      </c>
      <c r="C43" s="4"/>
      <c r="D43" s="15">
        <v>3.0790000000000001E-3</v>
      </c>
      <c r="E43" s="16">
        <v>6.0990000000000003E-3</v>
      </c>
      <c r="F43" s="17">
        <v>2.3952999999999999E-2</v>
      </c>
      <c r="G43" s="14"/>
      <c r="H43" s="15">
        <v>1.805E-3</v>
      </c>
      <c r="I43" s="16">
        <v>3.8579999999999999E-3</v>
      </c>
      <c r="J43" s="17">
        <v>1.4958000000000001E-2</v>
      </c>
    </row>
    <row r="44" spans="1:10">
      <c r="A44" s="4"/>
      <c r="B44" s="14">
        <v>57</v>
      </c>
      <c r="C44" s="4"/>
      <c r="D44" s="15">
        <v>3.4069999999999999E-3</v>
      </c>
      <c r="E44" s="16">
        <v>6.4780000000000003E-3</v>
      </c>
      <c r="F44" s="17">
        <v>2.4556999999999999E-2</v>
      </c>
      <c r="G44" s="14"/>
      <c r="H44" s="15">
        <v>1.946E-3</v>
      </c>
      <c r="I44" s="16">
        <v>4.1279999999999997E-3</v>
      </c>
      <c r="J44" s="17">
        <v>1.5439E-2</v>
      </c>
    </row>
    <row r="45" spans="1:10">
      <c r="A45" s="4"/>
      <c r="B45" s="14">
        <v>58</v>
      </c>
      <c r="C45" s="4"/>
      <c r="D45" s="15">
        <v>3.7789999999999998E-3</v>
      </c>
      <c r="E45" s="16">
        <v>6.8770000000000003E-3</v>
      </c>
      <c r="F45" s="17">
        <v>2.5190000000000001E-2</v>
      </c>
      <c r="G45" s="14"/>
      <c r="H45" s="15">
        <v>2.0969999999999999E-3</v>
      </c>
      <c r="I45" s="16">
        <v>4.4359999999999998E-3</v>
      </c>
      <c r="J45" s="17">
        <v>1.5931000000000001E-2</v>
      </c>
    </row>
    <row r="46" spans="1:10">
      <c r="A46" s="4"/>
      <c r="B46" s="14">
        <v>59</v>
      </c>
      <c r="C46" s="4"/>
      <c r="D46" s="15">
        <v>4.2040000000000003E-3</v>
      </c>
      <c r="E46" s="16">
        <v>7.3049999999999999E-3</v>
      </c>
      <c r="F46" s="17">
        <v>2.5867999999999999E-2</v>
      </c>
      <c r="G46" s="14"/>
      <c r="H46" s="15">
        <v>2.261E-3</v>
      </c>
      <c r="I46" s="16">
        <v>4.7889999999999999E-3</v>
      </c>
      <c r="J46" s="17">
        <v>1.6447E-2</v>
      </c>
    </row>
    <row r="47" spans="1:10">
      <c r="A47" s="4"/>
      <c r="B47" s="14">
        <v>60</v>
      </c>
      <c r="C47" s="4"/>
      <c r="D47" s="15">
        <v>4.6880000000000003E-3</v>
      </c>
      <c r="E47" s="16">
        <v>7.7710000000000001E-3</v>
      </c>
      <c r="F47" s="17">
        <v>2.6603999999999999E-2</v>
      </c>
      <c r="G47" s="14"/>
      <c r="H47" s="15">
        <v>2.4420000000000002E-3</v>
      </c>
      <c r="I47" s="16">
        <v>5.1910000000000003E-3</v>
      </c>
      <c r="J47" s="17">
        <v>1.6999E-2</v>
      </c>
    </row>
    <row r="48" spans="1:10">
      <c r="A48" s="4"/>
      <c r="B48" s="14">
        <v>61</v>
      </c>
      <c r="C48" s="4"/>
      <c r="D48" s="15">
        <v>5.2399999999999999E-3</v>
      </c>
      <c r="E48" s="16">
        <v>8.2839999999999997E-3</v>
      </c>
      <c r="F48" s="17">
        <v>2.7414000000000001E-2</v>
      </c>
      <c r="G48" s="14"/>
      <c r="H48" s="15">
        <v>2.6419999999999998E-3</v>
      </c>
      <c r="I48" s="16">
        <v>5.646E-3</v>
      </c>
      <c r="J48" s="17">
        <v>1.7603000000000001E-2</v>
      </c>
    </row>
    <row r="49" spans="1:10">
      <c r="A49" s="4"/>
      <c r="B49" s="14">
        <v>62</v>
      </c>
      <c r="C49" s="4"/>
      <c r="D49" s="15">
        <v>5.8669999999999998E-3</v>
      </c>
      <c r="E49" s="16">
        <v>8.8540000000000008E-3</v>
      </c>
      <c r="F49" s="17">
        <v>2.8312E-2</v>
      </c>
      <c r="G49" s="14"/>
      <c r="H49" s="15">
        <v>2.8639999999999998E-3</v>
      </c>
      <c r="I49" s="16">
        <v>6.156E-3</v>
      </c>
      <c r="J49" s="17">
        <v>1.8273000000000001E-2</v>
      </c>
    </row>
    <row r="50" spans="1:10">
      <c r="A50" s="4"/>
      <c r="B50" s="14">
        <v>63</v>
      </c>
      <c r="C50" s="4"/>
      <c r="D50" s="15">
        <v>6.5770000000000004E-3</v>
      </c>
      <c r="E50" s="16">
        <v>9.4920000000000004E-3</v>
      </c>
      <c r="F50" s="17">
        <v>2.9314E-2</v>
      </c>
      <c r="G50" s="14"/>
      <c r="H50" s="15">
        <v>3.1129999999999999E-3</v>
      </c>
      <c r="I50" s="16">
        <v>6.7229999999999998E-3</v>
      </c>
      <c r="J50" s="17">
        <v>1.9028E-2</v>
      </c>
    </row>
    <row r="51" spans="1:10">
      <c r="A51" s="4"/>
      <c r="B51" s="14">
        <v>64</v>
      </c>
      <c r="C51" s="4"/>
      <c r="D51" s="15">
        <v>7.3769999999999999E-3</v>
      </c>
      <c r="E51" s="16">
        <v>1.0208999999999999E-2</v>
      </c>
      <c r="F51" s="17">
        <v>3.0433000000000002E-2</v>
      </c>
      <c r="G51" s="14"/>
      <c r="H51" s="15">
        <v>3.3890000000000001E-3</v>
      </c>
      <c r="I51" s="16">
        <v>7.352E-3</v>
      </c>
      <c r="J51" s="17">
        <v>1.9883999999999999E-2</v>
      </c>
    </row>
    <row r="52" spans="1:10">
      <c r="A52" s="4"/>
      <c r="B52" s="14">
        <v>65</v>
      </c>
      <c r="C52" s="4"/>
      <c r="D52" s="15">
        <v>8.2769999999999996E-3</v>
      </c>
      <c r="E52" s="16">
        <v>1.1013E-2</v>
      </c>
      <c r="F52" s="17">
        <v>3.1684999999999998E-2</v>
      </c>
      <c r="G52" s="14"/>
      <c r="H52" s="15">
        <v>3.6960000000000001E-3</v>
      </c>
      <c r="I52" s="16">
        <v>8.0479999999999996E-3</v>
      </c>
      <c r="J52" s="17">
        <v>2.086E-2</v>
      </c>
    </row>
    <row r="53" spans="1:10">
      <c r="A53" s="4"/>
      <c r="B53" s="14">
        <v>66</v>
      </c>
      <c r="C53" s="4"/>
      <c r="D53" s="15">
        <v>9.1750000000000009E-3</v>
      </c>
      <c r="E53" s="16">
        <v>1.1916E-2</v>
      </c>
      <c r="F53" s="17">
        <v>3.3080999999999999E-2</v>
      </c>
      <c r="G53" s="14"/>
      <c r="H53" s="15">
        <v>4.1130000000000003E-3</v>
      </c>
      <c r="I53" s="16">
        <v>8.8210000000000007E-3</v>
      </c>
      <c r="J53" s="17">
        <v>2.1975999999999999E-2</v>
      </c>
    </row>
    <row r="54" spans="1:10">
      <c r="A54" s="4"/>
      <c r="B54" s="14">
        <v>67</v>
      </c>
      <c r="C54" s="4"/>
      <c r="D54" s="15">
        <v>1.0170999999999999E-2</v>
      </c>
      <c r="E54" s="16">
        <v>1.2930000000000001E-2</v>
      </c>
      <c r="F54" s="17">
        <v>3.4632999999999997E-2</v>
      </c>
      <c r="G54" s="14"/>
      <c r="H54" s="15">
        <v>4.5770000000000003E-3</v>
      </c>
      <c r="I54" s="16">
        <v>9.6790000000000001E-3</v>
      </c>
      <c r="J54" s="17">
        <v>2.325E-2</v>
      </c>
    </row>
    <row r="55" spans="1:10">
      <c r="A55" s="4"/>
      <c r="B55" s="14">
        <v>68</v>
      </c>
      <c r="C55" s="4"/>
      <c r="D55" s="15">
        <v>1.1275E-2</v>
      </c>
      <c r="E55" s="16">
        <v>1.4067E-2</v>
      </c>
      <c r="F55" s="17">
        <v>3.6353000000000003E-2</v>
      </c>
      <c r="G55" s="14"/>
      <c r="H55" s="15">
        <v>5.0939999999999996E-3</v>
      </c>
      <c r="I55" s="16">
        <v>1.0633E-2</v>
      </c>
      <c r="J55" s="17">
        <v>2.4702000000000002E-2</v>
      </c>
    </row>
    <row r="56" spans="1:10">
      <c r="A56" s="4"/>
      <c r="B56" s="14">
        <v>69</v>
      </c>
      <c r="C56" s="4"/>
      <c r="D56" s="15">
        <v>1.2498E-2</v>
      </c>
      <c r="E56" s="16">
        <v>1.5342E-2</v>
      </c>
      <c r="F56" s="17">
        <v>3.8253000000000002E-2</v>
      </c>
      <c r="G56" s="14"/>
      <c r="H56" s="15">
        <v>5.6690000000000004E-3</v>
      </c>
      <c r="I56" s="16">
        <v>1.1691999999999999E-2</v>
      </c>
      <c r="J56" s="17">
        <v>2.6348E-2</v>
      </c>
    </row>
    <row r="57" spans="1:10">
      <c r="A57" s="4"/>
      <c r="B57" s="14">
        <v>70</v>
      </c>
      <c r="C57" s="4"/>
      <c r="D57" s="15">
        <v>1.3854E-2</v>
      </c>
      <c r="E57" s="16">
        <v>1.6768999999999999E-2</v>
      </c>
      <c r="F57" s="17">
        <v>4.0346E-2</v>
      </c>
      <c r="G57" s="14"/>
      <c r="H57" s="15">
        <v>6.3090000000000004E-3</v>
      </c>
      <c r="I57" s="16">
        <v>1.2867999999999999E-2</v>
      </c>
      <c r="J57" s="17">
        <v>2.8202999999999999E-2</v>
      </c>
    </row>
    <row r="58" spans="1:10">
      <c r="A58" s="4"/>
      <c r="B58" s="14">
        <v>71</v>
      </c>
      <c r="C58" s="4"/>
      <c r="D58" s="15">
        <v>1.5357000000000001E-2</v>
      </c>
      <c r="E58" s="16">
        <v>1.8363000000000001E-2</v>
      </c>
      <c r="F58" s="17">
        <v>4.2646999999999997E-2</v>
      </c>
      <c r="G58" s="14"/>
      <c r="H58" s="15">
        <v>7.0210000000000003E-3</v>
      </c>
      <c r="I58" s="16">
        <v>1.4171E-2</v>
      </c>
      <c r="J58" s="17">
        <v>3.0280000000000001E-2</v>
      </c>
    </row>
    <row r="59" spans="1:10">
      <c r="A59" s="4"/>
      <c r="B59" s="14">
        <v>72</v>
      </c>
      <c r="C59" s="4"/>
      <c r="D59" s="15">
        <v>1.7023E-2</v>
      </c>
      <c r="E59" s="16">
        <v>2.0140999999999999E-2</v>
      </c>
      <c r="F59" s="17">
        <v>4.5170000000000002E-2</v>
      </c>
      <c r="G59" s="14"/>
      <c r="H59" s="15">
        <v>7.8130000000000005E-3</v>
      </c>
      <c r="I59" s="16">
        <v>1.5613999999999999E-2</v>
      </c>
      <c r="J59" s="17">
        <v>3.2591000000000002E-2</v>
      </c>
    </row>
    <row r="60" spans="1:10">
      <c r="A60" s="4"/>
      <c r="B60" s="14">
        <v>73</v>
      </c>
      <c r="C60" s="4"/>
      <c r="D60" s="15">
        <v>1.8870000000000001E-2</v>
      </c>
      <c r="E60" s="16">
        <v>2.2127000000000001E-2</v>
      </c>
      <c r="F60" s="17">
        <v>4.7934999999999998E-2</v>
      </c>
      <c r="G60" s="14"/>
      <c r="H60" s="15">
        <v>8.6949999999999996E-3</v>
      </c>
      <c r="I60" s="16">
        <v>1.721E-2</v>
      </c>
      <c r="J60" s="17">
        <v>3.5147999999999999E-2</v>
      </c>
    </row>
    <row r="61" spans="1:10">
      <c r="A61" s="4"/>
      <c r="B61" s="14">
        <v>74</v>
      </c>
      <c r="C61" s="4"/>
      <c r="D61" s="15">
        <v>2.0917999999999999E-2</v>
      </c>
      <c r="E61" s="16">
        <v>2.4344999999999999E-2</v>
      </c>
      <c r="F61" s="17">
        <v>5.0965000000000003E-2</v>
      </c>
      <c r="G61" s="14"/>
      <c r="H61" s="15">
        <v>9.6760000000000006E-3</v>
      </c>
      <c r="I61" s="16">
        <v>1.8977000000000001E-2</v>
      </c>
      <c r="J61" s="17">
        <v>3.7962000000000003E-2</v>
      </c>
    </row>
    <row r="62" spans="1:10">
      <c r="A62" s="4"/>
      <c r="B62" s="14">
        <v>75</v>
      </c>
      <c r="C62" s="4"/>
      <c r="D62" s="15">
        <v>2.3188E-2</v>
      </c>
      <c r="E62" s="16">
        <v>2.6825999999999999E-2</v>
      </c>
      <c r="F62" s="17">
        <v>5.4287000000000002E-2</v>
      </c>
      <c r="G62" s="14"/>
      <c r="H62" s="15">
        <v>1.0768E-2</v>
      </c>
      <c r="I62" s="16">
        <v>2.0937999999999998E-2</v>
      </c>
      <c r="J62" s="17">
        <v>4.1044999999999998E-2</v>
      </c>
    </row>
    <row r="63" spans="1:10">
      <c r="A63" s="4"/>
      <c r="B63" s="14">
        <v>76</v>
      </c>
      <c r="C63" s="4"/>
      <c r="D63" s="15">
        <v>2.5704000000000001E-2</v>
      </c>
      <c r="E63" s="16">
        <v>2.9607999999999999E-2</v>
      </c>
      <c r="F63" s="17">
        <v>5.7933999999999999E-2</v>
      </c>
      <c r="G63" s="14"/>
      <c r="H63" s="15">
        <v>1.1983000000000001E-2</v>
      </c>
      <c r="I63" s="16">
        <v>2.3118E-2</v>
      </c>
      <c r="J63" s="17">
        <v>4.4413000000000001E-2</v>
      </c>
    </row>
    <row r="64" spans="1:10">
      <c r="A64" s="4"/>
      <c r="B64" s="14">
        <v>77</v>
      </c>
      <c r="C64" s="4"/>
      <c r="D64" s="15">
        <v>2.8493000000000001E-2</v>
      </c>
      <c r="E64" s="16">
        <v>3.2735E-2</v>
      </c>
      <c r="F64" s="17">
        <v>6.1945E-2</v>
      </c>
      <c r="G64" s="14"/>
      <c r="H64" s="15">
        <v>1.3336000000000001E-2</v>
      </c>
      <c r="I64" s="16">
        <v>2.5554E-2</v>
      </c>
      <c r="J64" s="17">
        <v>4.8078000000000003E-2</v>
      </c>
    </row>
    <row r="65" spans="1:10">
      <c r="A65" s="4"/>
      <c r="B65" s="14">
        <v>78</v>
      </c>
      <c r="C65" s="4"/>
      <c r="D65" s="15">
        <v>3.1585000000000002E-2</v>
      </c>
      <c r="E65" s="16">
        <v>3.6257999999999999E-2</v>
      </c>
      <c r="F65" s="17">
        <v>6.6363000000000005E-2</v>
      </c>
      <c r="G65" s="14"/>
      <c r="H65" s="15">
        <v>1.4841E-2</v>
      </c>
      <c r="I65" s="16">
        <v>2.8288000000000001E-2</v>
      </c>
      <c r="J65" s="17">
        <v>5.2059000000000001E-2</v>
      </c>
    </row>
    <row r="66" spans="1:10">
      <c r="A66" s="4"/>
      <c r="B66" s="14">
        <v>79</v>
      </c>
      <c r="C66" s="4"/>
      <c r="D66" s="15">
        <v>3.5012000000000001E-2</v>
      </c>
      <c r="E66" s="16">
        <v>4.0231999999999997E-2</v>
      </c>
      <c r="F66" s="17">
        <v>7.1235000000000007E-2</v>
      </c>
      <c r="G66" s="14"/>
      <c r="H66" s="15">
        <v>1.6515999999999999E-2</v>
      </c>
      <c r="I66" s="16">
        <v>3.1365999999999998E-2</v>
      </c>
      <c r="J66" s="17">
        <v>5.6371999999999998E-2</v>
      </c>
    </row>
    <row r="67" spans="1:10">
      <c r="A67" s="4"/>
      <c r="B67" s="14">
        <v>80</v>
      </c>
      <c r="C67" s="4"/>
      <c r="D67" s="15">
        <v>3.8810999999999998E-2</v>
      </c>
      <c r="E67" s="16">
        <v>4.4721999999999998E-2</v>
      </c>
      <c r="F67" s="17">
        <v>7.6616000000000004E-2</v>
      </c>
      <c r="G67" s="14"/>
      <c r="H67" s="15">
        <v>1.8380000000000001E-2</v>
      </c>
      <c r="I67" s="16">
        <v>3.4844E-2</v>
      </c>
      <c r="J67" s="17">
        <v>6.1036E-2</v>
      </c>
    </row>
    <row r="68" spans="1:10">
      <c r="A68" s="4"/>
      <c r="B68" s="14">
        <v>81</v>
      </c>
      <c r="C68" s="4"/>
      <c r="D68" s="15"/>
      <c r="E68" s="16">
        <v>4.9794999999999999E-2</v>
      </c>
      <c r="F68" s="17">
        <v>8.2561999999999997E-2</v>
      </c>
      <c r="G68" s="14"/>
      <c r="H68" s="15"/>
      <c r="I68" s="16">
        <v>3.8782999999999998E-2</v>
      </c>
      <c r="J68" s="17">
        <v>6.6073999999999994E-2</v>
      </c>
    </row>
    <row r="69" spans="1:10">
      <c r="A69" s="4"/>
      <c r="B69" s="14">
        <v>82</v>
      </c>
      <c r="C69" s="4"/>
      <c r="D69" s="15"/>
      <c r="E69" s="16">
        <v>5.5525999999999999E-2</v>
      </c>
      <c r="F69" s="17">
        <v>8.9136000000000007E-2</v>
      </c>
      <c r="G69" s="14"/>
      <c r="H69" s="15"/>
      <c r="I69" s="16">
        <v>4.3246E-2</v>
      </c>
      <c r="J69" s="17">
        <v>7.1506E-2</v>
      </c>
    </row>
    <row r="70" spans="1:10">
      <c r="A70" s="4"/>
      <c r="B70" s="14">
        <v>83</v>
      </c>
      <c r="C70" s="4"/>
      <c r="D70" s="15"/>
      <c r="E70" s="16">
        <v>6.1996000000000002E-2</v>
      </c>
      <c r="F70" s="17">
        <v>9.6405000000000005E-2</v>
      </c>
      <c r="G70" s="14"/>
      <c r="H70" s="15"/>
      <c r="I70" s="16">
        <v>4.8305000000000001E-2</v>
      </c>
      <c r="J70" s="17">
        <v>7.7356999999999995E-2</v>
      </c>
    </row>
    <row r="71" spans="1:10">
      <c r="A71" s="4"/>
      <c r="B71" s="14">
        <v>84</v>
      </c>
      <c r="C71" s="4"/>
      <c r="D71" s="15"/>
      <c r="E71" s="16">
        <v>6.9290000000000004E-2</v>
      </c>
      <c r="F71" s="17">
        <v>0.104436</v>
      </c>
      <c r="G71" s="14"/>
      <c r="H71" s="15"/>
      <c r="I71" s="16">
        <v>5.4031999999999997E-2</v>
      </c>
      <c r="J71" s="17">
        <v>8.3652000000000004E-2</v>
      </c>
    </row>
    <row r="72" spans="1:10">
      <c r="A72" s="4"/>
      <c r="B72" s="14">
        <v>85</v>
      </c>
      <c r="C72" s="4"/>
      <c r="D72" s="15"/>
      <c r="E72" s="16">
        <v>7.7496999999999996E-2</v>
      </c>
      <c r="F72" s="17">
        <v>0.113303</v>
      </c>
      <c r="G72" s="14"/>
      <c r="H72" s="15"/>
      <c r="I72" s="16">
        <v>6.0504000000000002E-2</v>
      </c>
      <c r="J72" s="17">
        <v>9.042E-2</v>
      </c>
    </row>
    <row r="73" spans="1:10">
      <c r="A73" s="4"/>
      <c r="B73" s="14">
        <v>86</v>
      </c>
      <c r="C73" s="4"/>
      <c r="D73" s="15"/>
      <c r="E73" s="16">
        <v>8.6711999999999997E-2</v>
      </c>
      <c r="F73" s="17">
        <v>0.123081</v>
      </c>
      <c r="G73" s="14"/>
      <c r="H73" s="15"/>
      <c r="I73" s="16">
        <v>6.7801E-2</v>
      </c>
      <c r="J73" s="17">
        <v>9.7694000000000003E-2</v>
      </c>
    </row>
    <row r="74" spans="1:10">
      <c r="A74" s="4"/>
      <c r="B74" s="14">
        <v>87</v>
      </c>
      <c r="C74" s="4"/>
      <c r="D74" s="15"/>
      <c r="E74" s="16">
        <v>9.7037999999999999E-2</v>
      </c>
      <c r="F74" s="17">
        <v>0.13385</v>
      </c>
      <c r="G74" s="14"/>
      <c r="H74" s="15"/>
      <c r="I74" s="16">
        <v>7.6011999999999996E-2</v>
      </c>
      <c r="J74" s="17">
        <v>0.10551000000000001</v>
      </c>
    </row>
    <row r="75" spans="1:10">
      <c r="A75" s="4"/>
      <c r="B75" s="14">
        <v>88</v>
      </c>
      <c r="C75" s="4"/>
      <c r="D75" s="15"/>
      <c r="E75" s="16">
        <v>0.10859099999999999</v>
      </c>
      <c r="F75" s="17">
        <v>0.14569699999999999</v>
      </c>
      <c r="G75" s="14"/>
      <c r="H75" s="15"/>
      <c r="I75" s="16">
        <v>8.523E-2</v>
      </c>
      <c r="J75" s="17">
        <v>0.113909</v>
      </c>
    </row>
    <row r="76" spans="1:10">
      <c r="A76" s="4"/>
      <c r="B76" s="14">
        <v>89</v>
      </c>
      <c r="C76" s="4"/>
      <c r="D76" s="15"/>
      <c r="E76" s="16">
        <v>0.121499</v>
      </c>
      <c r="F76" s="17">
        <v>0.15871399999999999</v>
      </c>
      <c r="G76" s="14"/>
      <c r="H76" s="15"/>
      <c r="I76" s="16">
        <v>9.5562999999999995E-2</v>
      </c>
      <c r="J76" s="17">
        <v>0.12293900000000001</v>
      </c>
    </row>
    <row r="77" spans="1:10">
      <c r="A77" s="4"/>
      <c r="B77" s="14">
        <v>90</v>
      </c>
      <c r="C77" s="4"/>
      <c r="D77" s="15"/>
      <c r="E77" s="16">
        <v>0.135908</v>
      </c>
      <c r="F77" s="17">
        <v>0.17300499999999999</v>
      </c>
      <c r="G77" s="14"/>
      <c r="H77" s="15"/>
      <c r="I77" s="16">
        <v>0.107126</v>
      </c>
      <c r="J77" s="17">
        <v>0.13265199999999999</v>
      </c>
    </row>
    <row r="78" spans="1:10">
      <c r="A78" s="4"/>
      <c r="B78" s="14">
        <v>91</v>
      </c>
      <c r="C78" s="4"/>
      <c r="D78" s="15"/>
      <c r="E78" s="16">
        <v>0.15132200000000001</v>
      </c>
      <c r="F78" s="17">
        <v>0.18746399999999999</v>
      </c>
      <c r="G78" s="14"/>
      <c r="H78" s="15"/>
      <c r="I78" s="16">
        <v>0.119744</v>
      </c>
      <c r="J78" s="17">
        <v>0.14341999999999999</v>
      </c>
    </row>
    <row r="79" spans="1:10">
      <c r="A79" s="4"/>
      <c r="B79" s="14">
        <v>92</v>
      </c>
      <c r="C79" s="4"/>
      <c r="D79" s="15"/>
      <c r="E79" s="16">
        <v>0.16742199999999999</v>
      </c>
      <c r="F79" s="17">
        <v>0.2021</v>
      </c>
      <c r="G79" s="14"/>
      <c r="H79" s="15"/>
      <c r="I79" s="16">
        <v>0.133299</v>
      </c>
      <c r="J79" s="17">
        <v>0.15518599999999999</v>
      </c>
    </row>
    <row r="80" spans="1:10">
      <c r="A80" s="4"/>
      <c r="B80" s="14">
        <v>93</v>
      </c>
      <c r="C80" s="4"/>
      <c r="D80" s="15"/>
      <c r="E80" s="16">
        <v>0.18403</v>
      </c>
      <c r="F80" s="17">
        <v>0.21692400000000001</v>
      </c>
      <c r="G80" s="14"/>
      <c r="H80" s="15"/>
      <c r="I80" s="16">
        <v>0.14771999999999999</v>
      </c>
      <c r="J80" s="17">
        <v>0.16789000000000001</v>
      </c>
    </row>
    <row r="81" spans="1:10">
      <c r="A81" s="4"/>
      <c r="B81" s="14">
        <v>94</v>
      </c>
      <c r="C81" s="4"/>
      <c r="D81" s="15"/>
      <c r="E81" s="16">
        <v>0.201074</v>
      </c>
      <c r="F81" s="17">
        <v>0.23194400000000001</v>
      </c>
      <c r="G81" s="14"/>
      <c r="H81" s="15"/>
      <c r="I81" s="16">
        <v>0.162971</v>
      </c>
      <c r="J81" s="17">
        <v>0.181474</v>
      </c>
    </row>
    <row r="82" spans="1:10">
      <c r="A82" s="4"/>
      <c r="B82" s="14">
        <v>95</v>
      </c>
      <c r="C82" s="4"/>
      <c r="D82" s="15"/>
      <c r="E82" s="16">
        <v>0.218559</v>
      </c>
      <c r="F82" s="17">
        <v>0.247169</v>
      </c>
      <c r="G82" s="14"/>
      <c r="H82" s="15"/>
      <c r="I82" s="16">
        <v>0.179034</v>
      </c>
      <c r="J82" s="17">
        <v>0.19588</v>
      </c>
    </row>
    <row r="83" spans="1:10">
      <c r="A83" s="4"/>
      <c r="B83" s="14">
        <v>96</v>
      </c>
      <c r="C83" s="4"/>
      <c r="D83" s="15"/>
      <c r="E83" s="16">
        <v>0.236535</v>
      </c>
      <c r="F83" s="17">
        <v>0.26261000000000001</v>
      </c>
      <c r="G83" s="14"/>
      <c r="H83" s="15"/>
      <c r="I83" s="16">
        <v>0.19590299999999999</v>
      </c>
      <c r="J83" s="17">
        <v>0.21104899999999999</v>
      </c>
    </row>
    <row r="84" spans="1:10">
      <c r="A84" s="4"/>
      <c r="B84" s="14">
        <v>97</v>
      </c>
      <c r="C84" s="4"/>
      <c r="D84" s="15"/>
      <c r="E84" s="16">
        <v>0.25505899999999998</v>
      </c>
      <c r="F84" s="17">
        <v>0.27827600000000002</v>
      </c>
      <c r="G84" s="14"/>
      <c r="H84" s="15"/>
      <c r="I84" s="16">
        <v>0.213565</v>
      </c>
      <c r="J84" s="17">
        <v>0.22692300000000001</v>
      </c>
    </row>
    <row r="85" spans="1:10">
      <c r="A85" s="4"/>
      <c r="B85" s="14">
        <v>98</v>
      </c>
      <c r="C85" s="4"/>
      <c r="D85" s="15"/>
      <c r="E85" s="16">
        <v>0.27417000000000002</v>
      </c>
      <c r="F85" s="17">
        <v>0.29417599999999999</v>
      </c>
      <c r="G85" s="14"/>
      <c r="H85" s="15"/>
      <c r="I85" s="16">
        <v>0.231991</v>
      </c>
      <c r="J85" s="17">
        <v>0.24344299999999999</v>
      </c>
    </row>
    <row r="86" spans="1:10">
      <c r="A86" s="4"/>
      <c r="B86" s="14">
        <v>99</v>
      </c>
      <c r="C86" s="4"/>
      <c r="D86" s="15"/>
      <c r="E86" s="16">
        <v>0.293848</v>
      </c>
      <c r="F86" s="17">
        <v>0.31031999999999998</v>
      </c>
      <c r="G86" s="14"/>
      <c r="H86" s="15"/>
      <c r="I86" s="16">
        <v>0.25112299999999999</v>
      </c>
      <c r="J86" s="17">
        <v>0.26055099999999998</v>
      </c>
    </row>
    <row r="87" spans="1:10">
      <c r="A87" s="4"/>
      <c r="B87" s="14">
        <v>100</v>
      </c>
      <c r="C87" s="4"/>
      <c r="D87" s="15"/>
      <c r="E87" s="16">
        <v>0.31398799999999999</v>
      </c>
      <c r="F87" s="17">
        <v>0.32671699999999998</v>
      </c>
      <c r="G87" s="14"/>
      <c r="H87" s="15"/>
      <c r="I87" s="16">
        <v>0.27085799999999999</v>
      </c>
      <c r="J87" s="17">
        <v>0.27818900000000002</v>
      </c>
    </row>
    <row r="88" spans="1:10">
      <c r="A88" s="4"/>
      <c r="B88" s="14">
        <v>101</v>
      </c>
      <c r="C88" s="4"/>
      <c r="D88" s="15"/>
      <c r="E88" s="16">
        <v>0.33436500000000002</v>
      </c>
      <c r="F88" s="17">
        <v>0.34337600000000001</v>
      </c>
      <c r="G88" s="14"/>
      <c r="H88" s="15"/>
      <c r="I88" s="16">
        <v>0.29104000000000002</v>
      </c>
      <c r="J88" s="17">
        <v>0.29629699999999998</v>
      </c>
    </row>
    <row r="89" spans="1:10">
      <c r="A89" s="4"/>
      <c r="B89" s="14">
        <v>102</v>
      </c>
      <c r="C89" s="4"/>
      <c r="D89" s="15"/>
      <c r="E89" s="16">
        <v>0.354599</v>
      </c>
      <c r="F89" s="17">
        <v>0.36030800000000002</v>
      </c>
      <c r="G89" s="14"/>
      <c r="H89" s="15"/>
      <c r="I89" s="16">
        <v>0.311444</v>
      </c>
      <c r="J89" s="17">
        <v>0.31481900000000002</v>
      </c>
    </row>
    <row r="90" spans="1:10">
      <c r="A90" s="4"/>
      <c r="B90" s="14">
        <v>103</v>
      </c>
      <c r="C90" s="4"/>
      <c r="D90" s="15"/>
      <c r="E90" s="16">
        <v>0.37452400000000002</v>
      </c>
      <c r="F90" s="17">
        <v>0.37752200000000002</v>
      </c>
      <c r="G90" s="14"/>
      <c r="H90" s="15"/>
      <c r="I90" s="16">
        <v>0.33189999999999997</v>
      </c>
      <c r="J90" s="17">
        <v>0.33369399999999999</v>
      </c>
    </row>
    <row r="91" spans="1:10">
      <c r="A91" s="4"/>
      <c r="B91" s="14">
        <v>104</v>
      </c>
      <c r="C91" s="4"/>
      <c r="D91" s="15"/>
      <c r="E91" s="16">
        <v>0.393982</v>
      </c>
      <c r="F91" s="17">
        <v>0.39502599999999999</v>
      </c>
      <c r="G91" s="14"/>
      <c r="H91" s="15"/>
      <c r="I91" s="16">
        <v>0.35223199999999999</v>
      </c>
      <c r="J91" s="17">
        <v>0.35286499999999998</v>
      </c>
    </row>
    <row r="92" spans="1:10">
      <c r="A92" s="4"/>
      <c r="B92" s="14">
        <v>105</v>
      </c>
      <c r="C92" s="4"/>
      <c r="D92" s="15"/>
      <c r="E92" s="16">
        <v>0.412831</v>
      </c>
      <c r="F92" s="17">
        <v>0.412831</v>
      </c>
      <c r="G92" s="14"/>
      <c r="H92" s="15"/>
      <c r="I92" s="16">
        <v>0.37227300000000002</v>
      </c>
      <c r="J92" s="17">
        <v>0.37227300000000002</v>
      </c>
    </row>
    <row r="93" spans="1:10">
      <c r="A93" s="4"/>
      <c r="B93" s="14">
        <v>106</v>
      </c>
      <c r="C93" s="4"/>
      <c r="D93" s="15"/>
      <c r="E93" s="16">
        <v>0.430946</v>
      </c>
      <c r="F93" s="17">
        <v>0.430946</v>
      </c>
      <c r="G93" s="14"/>
      <c r="H93" s="15"/>
      <c r="I93" s="16">
        <v>0.39185999999999999</v>
      </c>
      <c r="J93" s="17">
        <v>0.39185999999999999</v>
      </c>
    </row>
    <row r="94" spans="1:10">
      <c r="A94" s="4"/>
      <c r="B94" s="14">
        <v>107</v>
      </c>
      <c r="C94" s="4"/>
      <c r="D94" s="15"/>
      <c r="E94" s="16">
        <v>0.44822699999999999</v>
      </c>
      <c r="F94" s="17">
        <v>0.44822699999999999</v>
      </c>
      <c r="G94" s="14"/>
      <c r="H94" s="15"/>
      <c r="I94" s="16">
        <v>0.41084900000000002</v>
      </c>
      <c r="J94" s="17">
        <v>0.41084900000000002</v>
      </c>
    </row>
    <row r="95" spans="1:10">
      <c r="A95" s="4"/>
      <c r="B95" s="14">
        <v>108</v>
      </c>
      <c r="C95" s="4"/>
      <c r="D95" s="15"/>
      <c r="E95" s="16">
        <v>0.464592</v>
      </c>
      <c r="F95" s="17">
        <v>0.464592</v>
      </c>
      <c r="G95" s="14"/>
      <c r="H95" s="15"/>
      <c r="I95" s="16">
        <v>0.42911199999999999</v>
      </c>
      <c r="J95" s="17">
        <v>0.42911199999999999</v>
      </c>
    </row>
    <row r="96" spans="1:10">
      <c r="A96" s="4"/>
      <c r="B96" s="14">
        <v>109</v>
      </c>
      <c r="C96" s="4"/>
      <c r="D96" s="15"/>
      <c r="E96" s="16">
        <v>0.479987</v>
      </c>
      <c r="F96" s="17">
        <v>0.479987</v>
      </c>
      <c r="G96" s="14"/>
      <c r="H96" s="15"/>
      <c r="I96" s="16">
        <v>0.446544</v>
      </c>
      <c r="J96" s="17">
        <v>0.446544</v>
      </c>
    </row>
    <row r="97" spans="1:10">
      <c r="A97" s="4"/>
      <c r="B97" s="14">
        <v>110</v>
      </c>
      <c r="C97" s="4"/>
      <c r="D97" s="15"/>
      <c r="E97" s="16">
        <v>0.49437599999999998</v>
      </c>
      <c r="F97" s="17">
        <v>0.49437599999999998</v>
      </c>
      <c r="G97" s="14"/>
      <c r="H97" s="15"/>
      <c r="I97" s="16">
        <v>0.463061</v>
      </c>
      <c r="J97" s="17">
        <v>0.463061</v>
      </c>
    </row>
    <row r="98" spans="1:10">
      <c r="A98" s="4"/>
      <c r="B98" s="14">
        <v>111</v>
      </c>
      <c r="C98" s="4"/>
      <c r="D98" s="15"/>
      <c r="E98" s="16">
        <v>0.5</v>
      </c>
      <c r="F98" s="17">
        <v>0.5</v>
      </c>
      <c r="G98" s="14"/>
      <c r="H98" s="15"/>
      <c r="I98" s="16">
        <v>0.47860399999999997</v>
      </c>
      <c r="J98" s="17">
        <v>0.47860399999999997</v>
      </c>
    </row>
    <row r="99" spans="1:10">
      <c r="A99" s="4"/>
      <c r="B99" s="14">
        <v>112</v>
      </c>
      <c r="C99" s="4"/>
      <c r="D99" s="15"/>
      <c r="E99" s="16">
        <v>0.5</v>
      </c>
      <c r="F99" s="17">
        <v>0.5</v>
      </c>
      <c r="G99" s="14"/>
      <c r="H99" s="15"/>
      <c r="I99" s="16">
        <v>0.49313699999999999</v>
      </c>
      <c r="J99" s="17">
        <v>0.49313699999999999</v>
      </c>
    </row>
    <row r="100" spans="1:10">
      <c r="A100" s="4"/>
      <c r="B100" s="14">
        <v>113</v>
      </c>
      <c r="C100" s="4"/>
      <c r="D100" s="15"/>
      <c r="E100" s="16">
        <v>0.5</v>
      </c>
      <c r="F100" s="17">
        <v>0.5</v>
      </c>
      <c r="G100" s="14"/>
      <c r="H100" s="15"/>
      <c r="I100" s="16">
        <v>0.5</v>
      </c>
      <c r="J100" s="17">
        <v>0.5</v>
      </c>
    </row>
    <row r="101" spans="1:10">
      <c r="A101" s="4"/>
      <c r="B101" s="14">
        <v>114</v>
      </c>
      <c r="C101" s="4"/>
      <c r="D101" s="15"/>
      <c r="E101" s="16">
        <v>0.5</v>
      </c>
      <c r="F101" s="17">
        <v>0.5</v>
      </c>
      <c r="G101" s="14"/>
      <c r="H101" s="15"/>
      <c r="I101" s="16">
        <v>0.5</v>
      </c>
      <c r="J101" s="17">
        <v>0.5</v>
      </c>
    </row>
    <row r="102" spans="1:10">
      <c r="A102" s="4"/>
      <c r="B102" s="14">
        <v>115</v>
      </c>
      <c r="C102" s="4"/>
      <c r="D102" s="15"/>
      <c r="E102" s="16">
        <v>0.5</v>
      </c>
      <c r="F102" s="17">
        <v>0.5</v>
      </c>
      <c r="G102" s="14"/>
      <c r="H102" s="15"/>
      <c r="I102" s="16">
        <v>0.5</v>
      </c>
      <c r="J102" s="17">
        <v>0.5</v>
      </c>
    </row>
    <row r="103" spans="1:10">
      <c r="A103" s="4"/>
      <c r="B103" s="14">
        <v>116</v>
      </c>
      <c r="C103" s="4"/>
      <c r="D103" s="15"/>
      <c r="E103" s="16">
        <v>0.5</v>
      </c>
      <c r="F103" s="17">
        <v>0.5</v>
      </c>
      <c r="G103" s="14"/>
      <c r="H103" s="15"/>
      <c r="I103" s="16">
        <v>0.5</v>
      </c>
      <c r="J103" s="17">
        <v>0.5</v>
      </c>
    </row>
    <row r="104" spans="1:10">
      <c r="A104" s="4"/>
      <c r="B104" s="14">
        <v>117</v>
      </c>
      <c r="C104" s="4"/>
      <c r="D104" s="15"/>
      <c r="E104" s="16">
        <v>0.5</v>
      </c>
      <c r="F104" s="17">
        <v>0.5</v>
      </c>
      <c r="G104" s="14"/>
      <c r="H104" s="15"/>
      <c r="I104" s="16">
        <v>0.5</v>
      </c>
      <c r="J104" s="17">
        <v>0.5</v>
      </c>
    </row>
    <row r="105" spans="1:10">
      <c r="A105" s="4"/>
      <c r="B105" s="14">
        <v>118</v>
      </c>
      <c r="C105" s="4"/>
      <c r="D105" s="15"/>
      <c r="E105" s="16">
        <v>0.5</v>
      </c>
      <c r="F105" s="17">
        <v>0.5</v>
      </c>
      <c r="G105" s="14"/>
      <c r="H105" s="15"/>
      <c r="I105" s="16">
        <v>0.5</v>
      </c>
      <c r="J105" s="17">
        <v>0.5</v>
      </c>
    </row>
    <row r="106" spans="1:10">
      <c r="A106" s="4"/>
      <c r="B106" s="14">
        <v>119</v>
      </c>
      <c r="C106" s="4"/>
      <c r="D106" s="15"/>
      <c r="E106" s="16">
        <v>0.5</v>
      </c>
      <c r="F106" s="17">
        <v>0.5</v>
      </c>
      <c r="G106" s="14"/>
      <c r="H106" s="15"/>
      <c r="I106" s="16">
        <v>0.5</v>
      </c>
      <c r="J106" s="17">
        <v>0.5</v>
      </c>
    </row>
    <row r="107" spans="1:10" ht="15.75" thickBot="1">
      <c r="A107" s="4"/>
      <c r="B107" s="14">
        <v>120</v>
      </c>
      <c r="C107" s="4"/>
      <c r="D107" s="18"/>
      <c r="E107" s="19">
        <v>1</v>
      </c>
      <c r="F107" s="20">
        <v>1</v>
      </c>
      <c r="G107" s="14"/>
      <c r="H107" s="18"/>
      <c r="I107" s="19">
        <v>1</v>
      </c>
      <c r="J107" s="20">
        <v>1</v>
      </c>
    </row>
  </sheetData>
  <mergeCells count="2">
    <mergeCell ref="D3:F3"/>
    <mergeCell ref="H3:J3"/>
  </mergeCells>
  <phoneticPr fontId="1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CY102"/>
  <sheetViews>
    <sheetView topLeftCell="CG74" workbookViewId="0">
      <selection activeCell="H25" sqref="H25"/>
    </sheetView>
  </sheetViews>
  <sheetFormatPr defaultColWidth="9.75" defaultRowHeight="15"/>
  <cols>
    <col min="1" max="1" width="9.75" style="56"/>
    <col min="2" max="16384" width="9.75" style="53"/>
  </cols>
  <sheetData>
    <row r="1" spans="1:103" ht="15.75">
      <c r="A1" s="50" t="s">
        <v>84</v>
      </c>
      <c r="B1" s="51">
        <v>2014</v>
      </c>
      <c r="C1" s="51">
        <v>2015</v>
      </c>
      <c r="D1" s="51">
        <v>2016</v>
      </c>
      <c r="E1" s="51">
        <v>2017</v>
      </c>
      <c r="F1" s="51">
        <v>2018</v>
      </c>
      <c r="G1" s="51">
        <v>2019</v>
      </c>
      <c r="H1" s="51">
        <v>2020</v>
      </c>
      <c r="I1" s="51">
        <v>2021</v>
      </c>
      <c r="J1" s="51">
        <v>2022</v>
      </c>
      <c r="K1" s="51">
        <v>2023</v>
      </c>
      <c r="L1" s="51">
        <v>2024</v>
      </c>
      <c r="M1" s="51">
        <v>2025</v>
      </c>
      <c r="N1" s="51">
        <v>2026</v>
      </c>
      <c r="O1" s="51">
        <v>2027</v>
      </c>
      <c r="P1" s="51">
        <v>2028</v>
      </c>
      <c r="Q1" s="51">
        <v>2029</v>
      </c>
      <c r="R1" s="51">
        <v>2030</v>
      </c>
      <c r="S1" s="51">
        <v>2031</v>
      </c>
      <c r="T1" s="51">
        <v>2032</v>
      </c>
      <c r="U1" s="52">
        <v>2033</v>
      </c>
      <c r="V1" s="52">
        <v>2034</v>
      </c>
      <c r="W1" s="52">
        <v>2035</v>
      </c>
      <c r="X1" s="52">
        <v>2036</v>
      </c>
      <c r="Y1" s="52">
        <v>2037</v>
      </c>
      <c r="Z1" s="52">
        <v>2038</v>
      </c>
      <c r="AA1" s="52">
        <v>2039</v>
      </c>
      <c r="AB1" s="52">
        <v>2040</v>
      </c>
      <c r="AC1" s="52">
        <v>2041</v>
      </c>
      <c r="AD1" s="52">
        <v>2042</v>
      </c>
      <c r="AE1" s="52">
        <v>2043</v>
      </c>
      <c r="AF1" s="52">
        <v>2044</v>
      </c>
      <c r="AG1" s="52">
        <v>2045</v>
      </c>
      <c r="AH1" s="52">
        <v>2046</v>
      </c>
      <c r="AI1" s="52">
        <v>2047</v>
      </c>
      <c r="AJ1" s="52">
        <v>2048</v>
      </c>
      <c r="AK1" s="52">
        <v>2049</v>
      </c>
      <c r="AL1" s="52">
        <v>2050</v>
      </c>
      <c r="AM1" s="52">
        <v>2051</v>
      </c>
      <c r="AN1" s="52">
        <v>2052</v>
      </c>
      <c r="AO1" s="52">
        <v>2053</v>
      </c>
      <c r="AP1" s="52">
        <v>2054</v>
      </c>
      <c r="AQ1" s="52">
        <v>2055</v>
      </c>
      <c r="AR1" s="52">
        <v>2056</v>
      </c>
      <c r="AS1" s="52">
        <v>2057</v>
      </c>
      <c r="AT1" s="52">
        <v>2058</v>
      </c>
      <c r="AU1" s="52">
        <v>2059</v>
      </c>
      <c r="AV1" s="52">
        <v>2060</v>
      </c>
      <c r="AW1" s="52">
        <v>2061</v>
      </c>
      <c r="AX1" s="52">
        <v>2062</v>
      </c>
      <c r="AY1" s="52">
        <v>2063</v>
      </c>
      <c r="AZ1" s="52">
        <v>2064</v>
      </c>
      <c r="BA1" s="52">
        <v>2065</v>
      </c>
      <c r="BB1" s="52">
        <v>2066</v>
      </c>
      <c r="BC1" s="52">
        <v>2067</v>
      </c>
      <c r="BD1" s="52">
        <v>2068</v>
      </c>
      <c r="BE1" s="52">
        <v>2069</v>
      </c>
      <c r="BF1" s="52">
        <v>2070</v>
      </c>
      <c r="BG1" s="52">
        <v>2071</v>
      </c>
      <c r="BH1" s="52">
        <v>2072</v>
      </c>
      <c r="BI1" s="52">
        <v>2073</v>
      </c>
      <c r="BJ1" s="52">
        <v>2074</v>
      </c>
      <c r="BK1" s="52">
        <v>2075</v>
      </c>
      <c r="BL1" s="52">
        <v>2076</v>
      </c>
      <c r="BM1" s="52">
        <v>2077</v>
      </c>
      <c r="BN1" s="52">
        <v>2078</v>
      </c>
      <c r="BO1" s="52">
        <v>2079</v>
      </c>
      <c r="BP1" s="52">
        <v>2080</v>
      </c>
      <c r="BQ1" s="52">
        <v>2081</v>
      </c>
      <c r="BR1" s="52">
        <v>2082</v>
      </c>
      <c r="BS1" s="52">
        <v>2083</v>
      </c>
      <c r="BT1" s="52">
        <v>2084</v>
      </c>
      <c r="BU1" s="52">
        <v>2085</v>
      </c>
      <c r="BV1" s="52">
        <v>2086</v>
      </c>
      <c r="BW1" s="52">
        <v>2087</v>
      </c>
      <c r="BX1" s="52">
        <v>2088</v>
      </c>
      <c r="BY1" s="52">
        <v>2089</v>
      </c>
      <c r="BZ1" s="52">
        <v>2090</v>
      </c>
      <c r="CA1" s="52">
        <v>2091</v>
      </c>
      <c r="CB1" s="52">
        <v>2092</v>
      </c>
      <c r="CC1" s="52">
        <v>2093</v>
      </c>
      <c r="CD1" s="52">
        <v>2094</v>
      </c>
      <c r="CE1" s="52">
        <v>2095</v>
      </c>
      <c r="CF1" s="52">
        <v>2096</v>
      </c>
      <c r="CG1" s="52">
        <v>2097</v>
      </c>
      <c r="CH1" s="52">
        <v>2098</v>
      </c>
      <c r="CI1" s="52">
        <v>2099</v>
      </c>
      <c r="CJ1" s="52">
        <v>2100</v>
      </c>
      <c r="CK1" s="52">
        <v>2101</v>
      </c>
      <c r="CL1" s="52">
        <v>2102</v>
      </c>
      <c r="CM1" s="52">
        <v>2103</v>
      </c>
      <c r="CN1" s="52">
        <v>2104</v>
      </c>
      <c r="CO1" s="52">
        <v>2105</v>
      </c>
      <c r="CP1" s="52">
        <v>2106</v>
      </c>
      <c r="CQ1" s="52">
        <v>2107</v>
      </c>
      <c r="CR1" s="52">
        <v>2108</v>
      </c>
      <c r="CS1" s="52">
        <v>2109</v>
      </c>
      <c r="CT1" s="52">
        <v>2110</v>
      </c>
      <c r="CU1" s="52">
        <v>2111</v>
      </c>
      <c r="CV1" s="52">
        <v>2112</v>
      </c>
      <c r="CW1" s="52">
        <v>2113</v>
      </c>
      <c r="CX1" s="52">
        <v>2114</v>
      </c>
      <c r="CY1" s="53">
        <v>2115</v>
      </c>
    </row>
    <row r="2" spans="1:103" ht="15.75">
      <c r="A2" s="54" t="s">
        <v>82</v>
      </c>
      <c r="B2" s="55">
        <v>4.06E-4</v>
      </c>
      <c r="C2" s="55">
        <v>4.099382E-4</v>
      </c>
      <c r="D2" s="55">
        <v>4.1350466233999999E-4</v>
      </c>
      <c r="E2" s="55">
        <v>4.1652324637508203E-4</v>
      </c>
      <c r="F2" s="55">
        <v>4.1881412423014499E-4</v>
      </c>
      <c r="G2" s="55">
        <v>4.202799736649505E-4</v>
      </c>
      <c r="H2" s="55">
        <v>4.2086836562808144E-4</v>
      </c>
      <c r="I2" s="55">
        <v>4.2061584460870459E-4</v>
      </c>
      <c r="J2" s="55">
        <v>4.1956430499718287E-4</v>
      </c>
      <c r="K2" s="55">
        <v>4.1788604777719416E-4</v>
      </c>
      <c r="L2" s="55">
        <v>4.1579661753830821E-4</v>
      </c>
      <c r="M2" s="55">
        <v>4.1342657681833983E-4</v>
      </c>
      <c r="N2" s="55">
        <v>4.1073930406902064E-4</v>
      </c>
      <c r="O2" s="55">
        <v>4.0778198107972372E-4</v>
      </c>
      <c r="P2" s="55">
        <v>4.0460128162730187E-4</v>
      </c>
      <c r="Q2" s="55">
        <v>4.0120263086163254E-4</v>
      </c>
      <c r="R2" s="55">
        <v>3.9759180718387783E-4</v>
      </c>
      <c r="S2" s="55">
        <v>3.9385444419634937E-4</v>
      </c>
      <c r="T2" s="55">
        <v>3.9003405608764477E-4</v>
      </c>
      <c r="U2" s="51">
        <v>3.8617271893237707E-4</v>
      </c>
      <c r="V2" s="51">
        <v>3.8231099174305331E-4</v>
      </c>
      <c r="W2" s="51">
        <v>3.7848788182562277E-4</v>
      </c>
      <c r="X2" s="51">
        <v>3.7470300300736654E-4</v>
      </c>
      <c r="Y2" s="51">
        <v>3.7095597297729288E-4</v>
      </c>
      <c r="Z2" s="51">
        <v>3.6724641324751997E-4</v>
      </c>
      <c r="AA2" s="51">
        <v>3.6357394911504476E-4</v>
      </c>
      <c r="AB2" s="51">
        <v>3.5993820962389433E-4</v>
      </c>
      <c r="AC2" s="51">
        <v>3.5633882752765538E-4</v>
      </c>
      <c r="AD2" s="51">
        <v>3.5277543925237882E-4</v>
      </c>
      <c r="AE2" s="51">
        <v>3.4924768485985504E-4</v>
      </c>
      <c r="AF2" s="51">
        <v>3.4575520801125649E-4</v>
      </c>
      <c r="AG2" s="51">
        <v>3.4229765593114391E-4</v>
      </c>
      <c r="AH2" s="51">
        <v>3.3887467937183247E-4</v>
      </c>
      <c r="AI2" s="51">
        <v>3.3548593257811413E-4</v>
      </c>
      <c r="AJ2" s="51">
        <v>3.3213107325233296E-4</v>
      </c>
      <c r="AK2" s="51">
        <v>3.2880976251980961E-4</v>
      </c>
      <c r="AL2" s="51">
        <v>3.2552166489461154E-4</v>
      </c>
      <c r="AM2" s="51">
        <v>3.2226644824566545E-4</v>
      </c>
      <c r="AN2" s="51">
        <v>3.1904378376320877E-4</v>
      </c>
      <c r="AO2" s="51">
        <v>3.158533459255767E-4</v>
      </c>
      <c r="AP2" s="51">
        <v>3.1269481246632092E-4</v>
      </c>
      <c r="AQ2" s="51">
        <v>3.0956786434165772E-4</v>
      </c>
      <c r="AR2" s="51">
        <v>3.0647218569824114E-4</v>
      </c>
      <c r="AS2" s="51">
        <v>3.0340746384125875E-4</v>
      </c>
      <c r="AT2" s="51">
        <v>3.0037338920284616E-4</v>
      </c>
      <c r="AU2" s="51">
        <v>2.9736965531081767E-4</v>
      </c>
      <c r="AV2" s="51">
        <v>2.9439595875770948E-4</v>
      </c>
      <c r="AW2" s="51">
        <v>2.914519991701324E-4</v>
      </c>
      <c r="AX2" s="51">
        <v>2.885374791784311E-4</v>
      </c>
      <c r="AY2" s="51">
        <v>2.856521043866468E-4</v>
      </c>
      <c r="AZ2" s="51">
        <v>2.8279558334278035E-4</v>
      </c>
      <c r="BA2" s="51">
        <v>2.7996762750935253E-4</v>
      </c>
      <c r="BB2" s="51">
        <v>2.7716795123425899E-4</v>
      </c>
      <c r="BC2" s="51">
        <v>2.7439627172191639E-4</v>
      </c>
      <c r="BD2" s="51">
        <v>2.716523090046972E-4</v>
      </c>
      <c r="BE2" s="51">
        <v>2.6893578591465024E-4</v>
      </c>
      <c r="BF2" s="51">
        <v>2.6624642805550373E-4</v>
      </c>
      <c r="BG2" s="51">
        <v>2.635839637749487E-4</v>
      </c>
      <c r="BH2" s="51">
        <v>2.6094812413719921E-4</v>
      </c>
      <c r="BI2" s="51">
        <v>2.5833864289582722E-4</v>
      </c>
      <c r="BJ2" s="51">
        <v>2.5575525646686893E-4</v>
      </c>
      <c r="BK2" s="51">
        <v>2.5319770390220024E-4</v>
      </c>
      <c r="BL2" s="51">
        <v>2.5066572686317822E-4</v>
      </c>
      <c r="BM2" s="51">
        <v>2.4815906959454645E-4</v>
      </c>
      <c r="BN2" s="51">
        <v>2.4567747889860098E-4</v>
      </c>
      <c r="BO2" s="51">
        <v>2.4322070410961495E-4</v>
      </c>
      <c r="BP2" s="51">
        <v>2.407884970685188E-4</v>
      </c>
      <c r="BQ2" s="51">
        <v>2.3838061209783361E-4</v>
      </c>
      <c r="BR2" s="51">
        <v>2.3599680597685528E-4</v>
      </c>
      <c r="BS2" s="51">
        <v>2.3363683791708672E-4</v>
      </c>
      <c r="BT2" s="51">
        <v>2.3130046953791586E-4</v>
      </c>
      <c r="BU2" s="51">
        <v>2.2898746484253669E-4</v>
      </c>
      <c r="BV2" s="51">
        <v>2.2669759019411132E-4</v>
      </c>
      <c r="BW2" s="51">
        <v>2.2443061429217021E-4</v>
      </c>
      <c r="BX2" s="51">
        <v>2.221863081492485E-4</v>
      </c>
      <c r="BY2" s="51">
        <v>2.1996444506775602E-4</v>
      </c>
      <c r="BZ2" s="51">
        <v>2.1776480061707845E-4</v>
      </c>
      <c r="CA2" s="51">
        <v>2.1558715261090766E-4</v>
      </c>
      <c r="CB2" s="51">
        <v>2.1343128108479857E-4</v>
      </c>
      <c r="CC2" s="51">
        <v>2.1129696827395058E-4</v>
      </c>
      <c r="CD2" s="51">
        <v>2.0918399859121107E-4</v>
      </c>
      <c r="CE2" s="51">
        <v>2.0709215860529895E-4</v>
      </c>
      <c r="CF2" s="51">
        <v>2.0502123701924597E-4</v>
      </c>
      <c r="CG2" s="51">
        <v>2.029710246490535E-4</v>
      </c>
      <c r="CH2" s="51">
        <v>2.0094131440256296E-4</v>
      </c>
      <c r="CI2" s="51">
        <v>1.9893190125853732E-4</v>
      </c>
      <c r="CJ2" s="51">
        <v>1.9694258224595195E-4</v>
      </c>
      <c r="CK2" s="51">
        <v>1.9497315642349244E-4</v>
      </c>
      <c r="CL2" s="51">
        <v>1.9302342485925751E-4</v>
      </c>
      <c r="CM2" s="51">
        <v>1.9109319061066493E-4</v>
      </c>
      <c r="CN2" s="51">
        <v>1.8918225870455827E-4</v>
      </c>
      <c r="CO2" s="51">
        <v>1.8729043611751269E-4</v>
      </c>
      <c r="CP2" s="51">
        <v>1.8541753175633756E-4</v>
      </c>
      <c r="CQ2" s="51">
        <v>1.8356335643877417E-4</v>
      </c>
      <c r="CR2" s="51">
        <v>1.8172772287438642E-4</v>
      </c>
      <c r="CS2" s="51">
        <v>1.7991044564564257E-4</v>
      </c>
      <c r="CT2" s="51">
        <v>1.7811134118918615E-4</v>
      </c>
      <c r="CU2" s="51">
        <v>1.7633022777729427E-4</v>
      </c>
      <c r="CV2" s="51">
        <v>1.7456692549952134E-4</v>
      </c>
      <c r="CW2" s="51">
        <v>1.7282125624452612E-4</v>
      </c>
      <c r="CX2" s="51">
        <v>1.7109304368208086E-4</v>
      </c>
      <c r="CY2" s="53">
        <v>1.6938211324526005E-4</v>
      </c>
    </row>
    <row r="3" spans="1:103" ht="15.75">
      <c r="A3" s="54">
        <v>21</v>
      </c>
      <c r="B3" s="55">
        <v>4.4900000000000002E-4</v>
      </c>
      <c r="C3" s="55">
        <v>4.5398390000000007E-4</v>
      </c>
      <c r="D3" s="55">
        <v>4.585237390000001E-4</v>
      </c>
      <c r="E3" s="55">
        <v>4.6237533840760007E-4</v>
      </c>
      <c r="F3" s="55">
        <v>4.6533454057340871E-4</v>
      </c>
      <c r="G3" s="55">
        <v>4.67288945643817E-4</v>
      </c>
      <c r="H3" s="55">
        <v>4.6817679464054027E-4</v>
      </c>
      <c r="I3" s="55">
        <v>4.6803634160214811E-4</v>
      </c>
      <c r="J3" s="55">
        <v>4.6695985801646319E-4</v>
      </c>
      <c r="K3" s="55">
        <v>4.65138714570199E-4</v>
      </c>
      <c r="L3" s="55">
        <v>4.6281302099734797E-4</v>
      </c>
      <c r="M3" s="55">
        <v>4.601749867776631E-4</v>
      </c>
      <c r="N3" s="55">
        <v>4.5718384936360831E-4</v>
      </c>
      <c r="O3" s="55">
        <v>4.5389212564819032E-4</v>
      </c>
      <c r="P3" s="55">
        <v>4.5035176706813442E-4</v>
      </c>
      <c r="Q3" s="55">
        <v>4.4656881222476211E-4</v>
      </c>
      <c r="R3" s="55">
        <v>4.4254969291473924E-4</v>
      </c>
      <c r="S3" s="55">
        <v>4.3838972580134071E-4</v>
      </c>
      <c r="T3" s="55">
        <v>4.3413734546106771E-4</v>
      </c>
      <c r="U3" s="51">
        <v>4.2983938574100311E-4</v>
      </c>
      <c r="V3" s="51">
        <v>4.2554099188359308E-4</v>
      </c>
      <c r="W3" s="51">
        <v>4.2128558196475712E-4</v>
      </c>
      <c r="X3" s="51">
        <v>4.1707272614510953E-4</v>
      </c>
      <c r="Y3" s="51">
        <v>4.1290199888365843E-4</v>
      </c>
      <c r="Z3" s="51">
        <v>4.0877297889482182E-4</v>
      </c>
      <c r="AA3" s="51">
        <v>4.0468524910587358E-4</v>
      </c>
      <c r="AB3" s="51">
        <v>4.0063839661481481E-4</v>
      </c>
      <c r="AC3" s="51">
        <v>3.9663201264866668E-4</v>
      </c>
      <c r="AD3" s="51">
        <v>3.9266569252218E-4</v>
      </c>
      <c r="AE3" s="51">
        <v>3.8873903559695819E-4</v>
      </c>
      <c r="AF3" s="51">
        <v>3.8485164524098859E-4</v>
      </c>
      <c r="AG3" s="51">
        <v>3.8100312878857869E-4</v>
      </c>
      <c r="AH3" s="51">
        <v>3.7719309750069291E-4</v>
      </c>
      <c r="AI3" s="51">
        <v>3.7342116652568596E-4</v>
      </c>
      <c r="AJ3" s="51">
        <v>3.696869548604291E-4</v>
      </c>
      <c r="AK3" s="51">
        <v>3.6599008531182478E-4</v>
      </c>
      <c r="AL3" s="51">
        <v>3.6233018445870651E-4</v>
      </c>
      <c r="AM3" s="51">
        <v>3.5870688261411946E-4</v>
      </c>
      <c r="AN3" s="51">
        <v>3.5511981378797829E-4</v>
      </c>
      <c r="AO3" s="51">
        <v>3.5156861565009852E-4</v>
      </c>
      <c r="AP3" s="51">
        <v>3.4805292949359755E-4</v>
      </c>
      <c r="AQ3" s="51">
        <v>3.4457240019866156E-4</v>
      </c>
      <c r="AR3" s="51">
        <v>3.4112667619667496E-4</v>
      </c>
      <c r="AS3" s="51">
        <v>3.3771540943470818E-4</v>
      </c>
      <c r="AT3" s="51">
        <v>3.343382553403611E-4</v>
      </c>
      <c r="AU3" s="51">
        <v>3.3099487278695749E-4</v>
      </c>
      <c r="AV3" s="51">
        <v>3.2768492405908789E-4</v>
      </c>
      <c r="AW3" s="51">
        <v>3.2440807481849703E-4</v>
      </c>
      <c r="AX3" s="51">
        <v>3.2116399407031208E-4</v>
      </c>
      <c r="AY3" s="51">
        <v>3.1795235412960897E-4</v>
      </c>
      <c r="AZ3" s="51">
        <v>3.1477283058831286E-4</v>
      </c>
      <c r="BA3" s="51">
        <v>3.1162510228242976E-4</v>
      </c>
      <c r="BB3" s="51">
        <v>3.0850885125960548E-4</v>
      </c>
      <c r="BC3" s="51">
        <v>3.0542376274700941E-4</v>
      </c>
      <c r="BD3" s="51">
        <v>3.023695251195393E-4</v>
      </c>
      <c r="BE3" s="51">
        <v>2.9934582986834393E-4</v>
      </c>
      <c r="BF3" s="51">
        <v>2.9635237156966051E-4</v>
      </c>
      <c r="BG3" s="51">
        <v>2.9338884785396391E-4</v>
      </c>
      <c r="BH3" s="51">
        <v>2.9045495937542426E-4</v>
      </c>
      <c r="BI3" s="51">
        <v>2.8755040978166999E-4</v>
      </c>
      <c r="BJ3" s="51">
        <v>2.8467490568385328E-4</v>
      </c>
      <c r="BK3" s="51">
        <v>2.8182815662701472E-4</v>
      </c>
      <c r="BL3" s="51">
        <v>2.7900987506074455E-4</v>
      </c>
      <c r="BM3" s="51">
        <v>2.7621977631013712E-4</v>
      </c>
      <c r="BN3" s="51">
        <v>2.7345757854703575E-4</v>
      </c>
      <c r="BO3" s="51">
        <v>2.7072300276156539E-4</v>
      </c>
      <c r="BP3" s="51">
        <v>2.6801577273394972E-4</v>
      </c>
      <c r="BQ3" s="51">
        <v>2.6533561500661021E-4</v>
      </c>
      <c r="BR3" s="51">
        <v>2.6268225885654409E-4</v>
      </c>
      <c r="BS3" s="51">
        <v>2.6005543626797864E-4</v>
      </c>
      <c r="BT3" s="51">
        <v>2.5745488190529885E-4</v>
      </c>
      <c r="BU3" s="51">
        <v>2.5488033308624584E-4</v>
      </c>
      <c r="BV3" s="51">
        <v>2.5233152975538339E-4</v>
      </c>
      <c r="BW3" s="51">
        <v>2.4980821445782955E-4</v>
      </c>
      <c r="BX3" s="51">
        <v>2.4731013231325127E-4</v>
      </c>
      <c r="BY3" s="51">
        <v>2.4483703099011876E-4</v>
      </c>
      <c r="BZ3" s="51">
        <v>2.4238866068021758E-4</v>
      </c>
      <c r="CA3" s="51">
        <v>2.399647740734154E-4</v>
      </c>
      <c r="CB3" s="51">
        <v>2.3756512633268123E-4</v>
      </c>
      <c r="CC3" s="51">
        <v>2.3518947506935442E-4</v>
      </c>
      <c r="CD3" s="51">
        <v>2.3283758031866086E-4</v>
      </c>
      <c r="CE3" s="51">
        <v>2.3050920451547424E-4</v>
      </c>
      <c r="CF3" s="51">
        <v>2.2820411247031949E-4</v>
      </c>
      <c r="CG3" s="51">
        <v>2.259220713456163E-4</v>
      </c>
      <c r="CH3" s="51">
        <v>2.2366285063216013E-4</v>
      </c>
      <c r="CI3" s="51">
        <v>2.2142622212583852E-4</v>
      </c>
      <c r="CJ3" s="51">
        <v>2.1921195990458014E-4</v>
      </c>
      <c r="CK3" s="51">
        <v>2.1701984030553435E-4</v>
      </c>
      <c r="CL3" s="51">
        <v>2.1484964190247901E-4</v>
      </c>
      <c r="CM3" s="51">
        <v>2.127011454834542E-4</v>
      </c>
      <c r="CN3" s="51">
        <v>2.1057413402861966E-4</v>
      </c>
      <c r="CO3" s="51">
        <v>2.0846839268833347E-4</v>
      </c>
      <c r="CP3" s="51">
        <v>2.0638370876145014E-4</v>
      </c>
      <c r="CQ3" s="51">
        <v>2.0431987167383563E-4</v>
      </c>
      <c r="CR3" s="51">
        <v>2.0227667295709726E-4</v>
      </c>
      <c r="CS3" s="51">
        <v>2.002539062275263E-4</v>
      </c>
      <c r="CT3" s="51">
        <v>1.9825136716525104E-4</v>
      </c>
      <c r="CU3" s="51">
        <v>1.9626885349359853E-4</v>
      </c>
      <c r="CV3" s="51">
        <v>1.9430616495866255E-4</v>
      </c>
      <c r="CW3" s="51">
        <v>1.9236310330907592E-4</v>
      </c>
      <c r="CX3" s="55">
        <v>1.9043947227598515E-4</v>
      </c>
      <c r="CY3" s="53">
        <v>1.885350775532253E-4</v>
      </c>
    </row>
    <row r="4" spans="1:103" ht="15.75">
      <c r="A4" s="54">
        <v>22</v>
      </c>
      <c r="B4" s="55">
        <v>4.8799999999999999E-4</v>
      </c>
      <c r="C4" s="55">
        <v>4.9478320000000001E-4</v>
      </c>
      <c r="D4" s="55">
        <v>5.0037425016000007E-4</v>
      </c>
      <c r="E4" s="55">
        <v>5.0517784296153607E-4</v>
      </c>
      <c r="F4" s="55">
        <v>5.0891615899945151E-4</v>
      </c>
      <c r="G4" s="55">
        <v>5.1140984817854877E-4</v>
      </c>
      <c r="H4" s="55">
        <v>5.1263723181417726E-4</v>
      </c>
      <c r="I4" s="55">
        <v>5.1263723181417726E-4</v>
      </c>
      <c r="J4" s="55">
        <v>5.1150942990418609E-4</v>
      </c>
      <c r="K4" s="55">
        <v>5.0951454312755972E-4</v>
      </c>
      <c r="L4" s="55">
        <v>5.069669704119219E-4</v>
      </c>
      <c r="M4" s="55">
        <v>5.0407725868057394E-4</v>
      </c>
      <c r="N4" s="55">
        <v>5.0080075649915025E-4</v>
      </c>
      <c r="O4" s="55">
        <v>4.9719499105235635E-4</v>
      </c>
      <c r="P4" s="55">
        <v>4.9331687012214799E-4</v>
      </c>
      <c r="Q4" s="55">
        <v>4.8917300841312195E-4</v>
      </c>
      <c r="R4" s="55">
        <v>4.8477045133740385E-4</v>
      </c>
      <c r="S4" s="55">
        <v>4.8021360909483225E-4</v>
      </c>
      <c r="T4" s="55">
        <v>4.7555553708661234E-4</v>
      </c>
      <c r="U4" s="51">
        <v>4.7084753726945488E-4</v>
      </c>
      <c r="V4" s="51">
        <v>4.661390618967603E-4</v>
      </c>
      <c r="W4" s="51">
        <v>4.614776712777927E-4</v>
      </c>
      <c r="X4" s="51">
        <v>4.5686289456501477E-4</v>
      </c>
      <c r="Y4" s="51">
        <v>4.5229426561936461E-4</v>
      </c>
      <c r="Z4" s="51">
        <v>4.4777132296317098E-4</v>
      </c>
      <c r="AA4" s="51">
        <v>4.4329360973353925E-4</v>
      </c>
      <c r="AB4" s="51">
        <v>4.3886067363620385E-4</v>
      </c>
      <c r="AC4" s="51">
        <v>4.3447206689984182E-4</v>
      </c>
      <c r="AD4" s="51">
        <v>4.301273462308434E-4</v>
      </c>
      <c r="AE4" s="51">
        <v>4.2582607276853498E-4</v>
      </c>
      <c r="AF4" s="51">
        <v>4.2156781204084963E-4</v>
      </c>
      <c r="AG4" s="51">
        <v>4.173521339204411E-4</v>
      </c>
      <c r="AH4" s="51">
        <v>4.1317861258123671E-4</v>
      </c>
      <c r="AI4" s="51">
        <v>4.0904682645542432E-4</v>
      </c>
      <c r="AJ4" s="51">
        <v>4.0495635819087008E-4</v>
      </c>
      <c r="AK4" s="51">
        <v>4.0090679460896139E-4</v>
      </c>
      <c r="AL4" s="51">
        <v>3.9689772666287175E-4</v>
      </c>
      <c r="AM4" s="51">
        <v>3.9292874939624305E-4</v>
      </c>
      <c r="AN4" s="51">
        <v>3.8899946190228059E-4</v>
      </c>
      <c r="AO4" s="51">
        <v>3.8510946728325778E-4</v>
      </c>
      <c r="AP4" s="51">
        <v>3.812583726104252E-4</v>
      </c>
      <c r="AQ4" s="51">
        <v>3.7744578888432095E-4</v>
      </c>
      <c r="AR4" s="51">
        <v>3.7367133099547772E-4</v>
      </c>
      <c r="AS4" s="51">
        <v>3.6993461768552294E-4</v>
      </c>
      <c r="AT4" s="51">
        <v>3.6623527150866773E-4</v>
      </c>
      <c r="AU4" s="51">
        <v>3.6257291879358106E-4</v>
      </c>
      <c r="AV4" s="51">
        <v>3.5894718960564523E-4</v>
      </c>
      <c r="AW4" s="51">
        <v>3.553577177095888E-4</v>
      </c>
      <c r="AX4" s="51">
        <v>3.5180414053249292E-4</v>
      </c>
      <c r="AY4" s="51">
        <v>3.4828609912716796E-4</v>
      </c>
      <c r="AZ4" s="51">
        <v>3.4480323813589628E-4</v>
      </c>
      <c r="BA4" s="51">
        <v>3.4135520575453732E-4</v>
      </c>
      <c r="BB4" s="51">
        <v>3.3794165369699196E-4</v>
      </c>
      <c r="BC4" s="51">
        <v>3.3456223716002203E-4</v>
      </c>
      <c r="BD4" s="51">
        <v>3.3121661478842179E-4</v>
      </c>
      <c r="BE4" s="51">
        <v>3.2790444864053755E-4</v>
      </c>
      <c r="BF4" s="51">
        <v>3.2462540415413219E-4</v>
      </c>
      <c r="BG4" s="51">
        <v>3.2137915011259087E-4</v>
      </c>
      <c r="BH4" s="51">
        <v>3.1816535861146493E-4</v>
      </c>
      <c r="BI4" s="51">
        <v>3.1498370502535029E-4</v>
      </c>
      <c r="BJ4" s="51">
        <v>3.1183386797509677E-4</v>
      </c>
      <c r="BK4" s="51">
        <v>3.0871552929534582E-4</v>
      </c>
      <c r="BL4" s="51">
        <v>3.0562837400239238E-4</v>
      </c>
      <c r="BM4" s="51">
        <v>3.0257209026236846E-4</v>
      </c>
      <c r="BN4" s="51">
        <v>2.9954636935974476E-4</v>
      </c>
      <c r="BO4" s="51">
        <v>2.965509056661473E-4</v>
      </c>
      <c r="BP4" s="51">
        <v>2.9358539660948583E-4</v>
      </c>
      <c r="BQ4" s="51">
        <v>2.9064954264339097E-4</v>
      </c>
      <c r="BR4" s="51">
        <v>2.8774304721695704E-4</v>
      </c>
      <c r="BS4" s="51">
        <v>2.8486561674478749E-4</v>
      </c>
      <c r="BT4" s="51">
        <v>2.8201696057733963E-4</v>
      </c>
      <c r="BU4" s="51">
        <v>2.7919679097156624E-4</v>
      </c>
      <c r="BV4" s="51">
        <v>2.7640482306185056E-4</v>
      </c>
      <c r="BW4" s="51">
        <v>2.7364077483123207E-4</v>
      </c>
      <c r="BX4" s="51">
        <v>2.7090436708291976E-4</v>
      </c>
      <c r="BY4" s="51">
        <v>2.6819532341209055E-4</v>
      </c>
      <c r="BZ4" s="51">
        <v>2.6551337017796965E-4</v>
      </c>
      <c r="CA4" s="51">
        <v>2.6285823647618996E-4</v>
      </c>
      <c r="CB4" s="51">
        <v>2.6022965411142806E-4</v>
      </c>
      <c r="CC4" s="51">
        <v>2.5762735757031376E-4</v>
      </c>
      <c r="CD4" s="51">
        <v>2.5505108399461065E-4</v>
      </c>
      <c r="CE4" s="51">
        <v>2.5250057315466453E-4</v>
      </c>
      <c r="CF4" s="51">
        <v>2.4997556742311787E-4</v>
      </c>
      <c r="CG4" s="51">
        <v>2.4747581174888668E-4</v>
      </c>
      <c r="CH4" s="51">
        <v>2.4500105363139783E-4</v>
      </c>
      <c r="CI4" s="51">
        <v>2.4255104309508385E-4</v>
      </c>
      <c r="CJ4" s="51">
        <v>2.4012553266413301E-4</v>
      </c>
      <c r="CK4" s="51">
        <v>2.3772427733749168E-4</v>
      </c>
      <c r="CL4" s="51">
        <v>2.3534703456411677E-4</v>
      </c>
      <c r="CM4" s="51">
        <v>2.3299356421847559E-4</v>
      </c>
      <c r="CN4" s="51">
        <v>2.3066362857629083E-4</v>
      </c>
      <c r="CO4" s="51">
        <v>2.2835699229052791E-4</v>
      </c>
      <c r="CP4" s="51">
        <v>2.2607342236762262E-4</v>
      </c>
      <c r="CQ4" s="51">
        <v>2.2381268814394638E-4</v>
      </c>
      <c r="CR4" s="51">
        <v>2.2157456126250692E-4</v>
      </c>
      <c r="CS4" s="51">
        <v>2.1935881564988185E-4</v>
      </c>
      <c r="CT4" s="51">
        <v>2.1716522749338303E-4</v>
      </c>
      <c r="CU4" s="51">
        <v>2.149935752184492E-4</v>
      </c>
      <c r="CV4" s="51">
        <v>2.1284363946626471E-4</v>
      </c>
      <c r="CW4" s="51">
        <v>2.1071520307160206E-4</v>
      </c>
      <c r="CX4" s="55">
        <v>2.0860805104088603E-4</v>
      </c>
      <c r="CY4" s="53">
        <v>2.0652197053047718E-4</v>
      </c>
    </row>
    <row r="5" spans="1:103" ht="15.75">
      <c r="A5" s="54">
        <v>23</v>
      </c>
      <c r="B5" s="55">
        <v>5.0900000000000001E-4</v>
      </c>
      <c r="C5" s="55">
        <v>5.1765299999999997E-4</v>
      </c>
      <c r="D5" s="55">
        <v>5.2495190729999995E-4</v>
      </c>
      <c r="E5" s="55">
        <v>5.3062138789883989E-4</v>
      </c>
      <c r="F5" s="55">
        <v>5.3507860755719013E-4</v>
      </c>
      <c r="G5" s="55">
        <v>5.3812855562026618E-4</v>
      </c>
      <c r="H5" s="55">
        <v>5.3974294128712698E-4</v>
      </c>
      <c r="I5" s="55">
        <v>5.3990486416951309E-4</v>
      </c>
      <c r="J5" s="55">
        <v>5.3882505444117405E-4</v>
      </c>
      <c r="K5" s="55">
        <v>5.3677751923429759E-4</v>
      </c>
      <c r="L5" s="55">
        <v>5.3409363163812605E-4</v>
      </c>
      <c r="M5" s="55">
        <v>5.3104929793778872E-4</v>
      </c>
      <c r="N5" s="55">
        <v>5.2759747750119308E-4</v>
      </c>
      <c r="O5" s="55">
        <v>5.2379877566318452E-4</v>
      </c>
      <c r="P5" s="55">
        <v>5.1971314521301163E-4</v>
      </c>
      <c r="Q5" s="55">
        <v>5.1534755479322231E-4</v>
      </c>
      <c r="R5" s="55">
        <v>5.1070942680008326E-4</v>
      </c>
      <c r="S5" s="55">
        <v>5.0590875818816254E-4</v>
      </c>
      <c r="T5" s="55">
        <v>5.0100144323373731E-4</v>
      </c>
      <c r="U5" s="51">
        <v>4.9604152894572328E-4</v>
      </c>
      <c r="V5" s="51">
        <v>4.9108111365626602E-4</v>
      </c>
      <c r="W5" s="51">
        <v>4.8617030251970337E-4</v>
      </c>
      <c r="X5" s="51">
        <v>4.8130859949450634E-4</v>
      </c>
      <c r="Y5" s="51">
        <v>4.764955134995613E-4</v>
      </c>
      <c r="Z5" s="51">
        <v>4.717305583645657E-4</v>
      </c>
      <c r="AA5" s="51">
        <v>4.6701325278092001E-4</v>
      </c>
      <c r="AB5" s="51">
        <v>4.6234312025311079E-4</v>
      </c>
      <c r="AC5" s="51">
        <v>4.5771968905057966E-4</v>
      </c>
      <c r="AD5" s="51">
        <v>4.5314249216007384E-4</v>
      </c>
      <c r="AE5" s="51">
        <v>4.4861106723847311E-4</v>
      </c>
      <c r="AF5" s="51">
        <v>4.4412495656608839E-4</v>
      </c>
      <c r="AG5" s="51">
        <v>4.3968370700042751E-4</v>
      </c>
      <c r="AH5" s="51">
        <v>4.3528686993042322E-4</v>
      </c>
      <c r="AI5" s="51">
        <v>4.30934001231119E-4</v>
      </c>
      <c r="AJ5" s="51">
        <v>4.266246612188078E-4</v>
      </c>
      <c r="AK5" s="51">
        <v>4.2235841460661972E-4</v>
      </c>
      <c r="AL5" s="51">
        <v>4.1813483046055353E-4</v>
      </c>
      <c r="AM5" s="51">
        <v>4.1395348215594798E-4</v>
      </c>
      <c r="AN5" s="51">
        <v>4.0981394733438848E-4</v>
      </c>
      <c r="AO5" s="51">
        <v>4.0571580786104457E-4</v>
      </c>
      <c r="AP5" s="51">
        <v>4.0165864978243413E-4</v>
      </c>
      <c r="AQ5" s="51">
        <v>3.9764206328460978E-4</v>
      </c>
      <c r="AR5" s="51">
        <v>3.9366564265176369E-4</v>
      </c>
      <c r="AS5" s="51">
        <v>3.8972898622524605E-4</v>
      </c>
      <c r="AT5" s="51">
        <v>3.8583169636299358E-4</v>
      </c>
      <c r="AU5" s="51">
        <v>3.8197337939936362E-4</v>
      </c>
      <c r="AV5" s="51">
        <v>3.7815364560537E-4</v>
      </c>
      <c r="AW5" s="51">
        <v>3.7437210914931631E-4</v>
      </c>
      <c r="AX5" s="51">
        <v>3.7062838805782314E-4</v>
      </c>
      <c r="AY5" s="51">
        <v>3.669221041772449E-4</v>
      </c>
      <c r="AZ5" s="51">
        <v>3.6325288313547246E-4</v>
      </c>
      <c r="BA5" s="51">
        <v>3.5962035430411773E-4</v>
      </c>
      <c r="BB5" s="51">
        <v>3.5602415076107656E-4</v>
      </c>
      <c r="BC5" s="51">
        <v>3.5246390925346578E-4</v>
      </c>
      <c r="BD5" s="51">
        <v>3.489392701609311E-4</v>
      </c>
      <c r="BE5" s="51">
        <v>3.4544987745932179E-4</v>
      </c>
      <c r="BF5" s="51">
        <v>3.4199537868472859E-4</v>
      </c>
      <c r="BG5" s="51">
        <v>3.3857542489788129E-4</v>
      </c>
      <c r="BH5" s="51">
        <v>3.3518967064890247E-4</v>
      </c>
      <c r="BI5" s="51">
        <v>3.3183777394241344E-4</v>
      </c>
      <c r="BJ5" s="51">
        <v>3.285193962029893E-4</v>
      </c>
      <c r="BK5" s="51">
        <v>3.2523420224095942E-4</v>
      </c>
      <c r="BL5" s="51">
        <v>3.2198186021854981E-4</v>
      </c>
      <c r="BM5" s="51">
        <v>3.1876204161636432E-4</v>
      </c>
      <c r="BN5" s="51">
        <v>3.1557442120020069E-4</v>
      </c>
      <c r="BO5" s="51">
        <v>3.124186769881987E-4</v>
      </c>
      <c r="BP5" s="51">
        <v>3.0929449021831673E-4</v>
      </c>
      <c r="BQ5" s="51">
        <v>3.0620154531613354E-4</v>
      </c>
      <c r="BR5" s="51">
        <v>3.031395298629722E-4</v>
      </c>
      <c r="BS5" s="51">
        <v>3.0010813456434246E-4</v>
      </c>
      <c r="BT5" s="51">
        <v>2.9710705321869905E-4</v>
      </c>
      <c r="BU5" s="51">
        <v>2.9413598268651208E-4</v>
      </c>
      <c r="BV5" s="51">
        <v>2.9119462285964693E-4</v>
      </c>
      <c r="BW5" s="51">
        <v>2.8828267663105045E-4</v>
      </c>
      <c r="BX5" s="51">
        <v>2.8539984986473993E-4</v>
      </c>
      <c r="BY5" s="51">
        <v>2.8254585136609252E-4</v>
      </c>
      <c r="BZ5" s="51">
        <v>2.7972039285243159E-4</v>
      </c>
      <c r="CA5" s="51">
        <v>2.7692318892390727E-4</v>
      </c>
      <c r="CB5" s="51">
        <v>2.7415395703466822E-4</v>
      </c>
      <c r="CC5" s="51">
        <v>2.7141241746432153E-4</v>
      </c>
      <c r="CD5" s="51">
        <v>2.6869829328967829E-4</v>
      </c>
      <c r="CE5" s="51">
        <v>2.6601131035678153E-4</v>
      </c>
      <c r="CF5" s="51">
        <v>2.633511972532137E-4</v>
      </c>
      <c r="CG5" s="51">
        <v>2.6071768528068158E-4</v>
      </c>
      <c r="CH5" s="51">
        <v>2.5811050842787476E-4</v>
      </c>
      <c r="CI5" s="51">
        <v>2.5552940334359599E-4</v>
      </c>
      <c r="CJ5" s="51">
        <v>2.5297410931016004E-4</v>
      </c>
      <c r="CK5" s="51">
        <v>2.5044436821705841E-4</v>
      </c>
      <c r="CL5" s="51">
        <v>2.479399245348878E-4</v>
      </c>
      <c r="CM5" s="51">
        <v>2.4546052528953894E-4</v>
      </c>
      <c r="CN5" s="51">
        <v>2.4300592003664355E-4</v>
      </c>
      <c r="CO5" s="51">
        <v>2.405758608362771E-4</v>
      </c>
      <c r="CP5" s="51">
        <v>2.3817010222791434E-4</v>
      </c>
      <c r="CQ5" s="51">
        <v>2.3578840120563519E-4</v>
      </c>
      <c r="CR5" s="51">
        <v>2.3343051719357884E-4</v>
      </c>
      <c r="CS5" s="51">
        <v>2.3109621202164305E-4</v>
      </c>
      <c r="CT5" s="51">
        <v>2.2878524990142663E-4</v>
      </c>
      <c r="CU5" s="51">
        <v>2.2649739740241237E-4</v>
      </c>
      <c r="CV5" s="51">
        <v>2.2423242342838824E-4</v>
      </c>
      <c r="CW5" s="51">
        <v>2.2199009919410435E-4</v>
      </c>
      <c r="CX5" s="55">
        <v>2.197701982021633E-4</v>
      </c>
      <c r="CY5" s="53">
        <v>2.1757249622014166E-4</v>
      </c>
    </row>
    <row r="6" spans="1:103" ht="15.75">
      <c r="A6" s="54">
        <v>24</v>
      </c>
      <c r="B6" s="55">
        <v>5.1599999999999997E-4</v>
      </c>
      <c r="C6" s="55">
        <v>5.264232E-4</v>
      </c>
      <c r="D6" s="55">
        <v>5.3542503671999994E-4</v>
      </c>
      <c r="E6" s="55">
        <v>5.4259973221204799E-4</v>
      </c>
      <c r="F6" s="55">
        <v>5.4775442966806254E-4</v>
      </c>
      <c r="G6" s="55">
        <v>5.5136960890387167E-4</v>
      </c>
      <c r="H6" s="55">
        <v>5.5335453949592562E-4</v>
      </c>
      <c r="I6" s="55">
        <v>5.5374188767357273E-4</v>
      </c>
      <c r="J6" s="55">
        <v>5.5274515227576025E-4</v>
      </c>
      <c r="K6" s="55">
        <v>5.5064472069711232E-4</v>
      </c>
      <c r="L6" s="55">
        <v>5.4789149709362679E-4</v>
      </c>
      <c r="M6" s="55">
        <v>5.4476851556019312E-4</v>
      </c>
      <c r="N6" s="55">
        <v>5.4122752020905186E-4</v>
      </c>
      <c r="O6" s="55">
        <v>5.3733068206354674E-4</v>
      </c>
      <c r="P6" s="55">
        <v>5.33139502743451E-4</v>
      </c>
      <c r="Q6" s="55">
        <v>5.2866113092040607E-4</v>
      </c>
      <c r="R6" s="55">
        <v>5.2390318074212237E-4</v>
      </c>
      <c r="S6" s="55">
        <v>5.1897849084314642E-4</v>
      </c>
      <c r="T6" s="55">
        <v>5.1394439948196792E-4</v>
      </c>
      <c r="U6" s="51">
        <v>5.0885634992709644E-4</v>
      </c>
      <c r="V6" s="51">
        <v>5.0376778642782544E-4</v>
      </c>
      <c r="W6" s="51">
        <v>4.9873010856354722E-4</v>
      </c>
      <c r="X6" s="51">
        <v>4.9374280747791171E-4</v>
      </c>
      <c r="Y6" s="51">
        <v>4.8880537940313264E-4</v>
      </c>
      <c r="Z6" s="51">
        <v>4.8391732560910131E-4</v>
      </c>
      <c r="AA6" s="51">
        <v>4.7907815235301028E-4</v>
      </c>
      <c r="AB6" s="51">
        <v>4.7428737082948018E-4</v>
      </c>
      <c r="AC6" s="51">
        <v>4.6954449712118538E-4</v>
      </c>
      <c r="AD6" s="51">
        <v>4.648490521499735E-4</v>
      </c>
      <c r="AE6" s="51">
        <v>4.6020056162847378E-4</v>
      </c>
      <c r="AF6" s="51">
        <v>4.5559855601218902E-4</v>
      </c>
      <c r="AG6" s="51">
        <v>4.5104257045206712E-4</v>
      </c>
      <c r="AH6" s="51">
        <v>4.4653214474754644E-4</v>
      </c>
      <c r="AI6" s="51">
        <v>4.4206682330007099E-4</v>
      </c>
      <c r="AJ6" s="51">
        <v>4.3764615506707027E-4</v>
      </c>
      <c r="AK6" s="51">
        <v>4.3326969351639954E-4</v>
      </c>
      <c r="AL6" s="51">
        <v>4.2893699658123555E-4</v>
      </c>
      <c r="AM6" s="51">
        <v>4.2464762661542318E-4</v>
      </c>
      <c r="AN6" s="51">
        <v>4.2040115034926894E-4</v>
      </c>
      <c r="AO6" s="51">
        <v>4.1619713884577623E-4</v>
      </c>
      <c r="AP6" s="51">
        <v>4.1203516745731846E-4</v>
      </c>
      <c r="AQ6" s="51">
        <v>4.0791481578274528E-4</v>
      </c>
      <c r="AR6" s="51">
        <v>4.0383566762491782E-4</v>
      </c>
      <c r="AS6" s="51">
        <v>3.9979731094866864E-4</v>
      </c>
      <c r="AT6" s="51">
        <v>3.9579933783918193E-4</v>
      </c>
      <c r="AU6" s="51">
        <v>3.9184134446079011E-4</v>
      </c>
      <c r="AV6" s="51">
        <v>3.8792293101618219E-4</v>
      </c>
      <c r="AW6" s="51">
        <v>3.8404370170602037E-4</v>
      </c>
      <c r="AX6" s="51">
        <v>3.8020326468896017E-4</v>
      </c>
      <c r="AY6" s="51">
        <v>3.7640123204207057E-4</v>
      </c>
      <c r="AZ6" s="51">
        <v>3.7263721972164988E-4</v>
      </c>
      <c r="BA6" s="51">
        <v>3.6891084752443335E-4</v>
      </c>
      <c r="BB6" s="51">
        <v>3.6522173904918903E-4</v>
      </c>
      <c r="BC6" s="51">
        <v>3.6156952165869715E-4</v>
      </c>
      <c r="BD6" s="51">
        <v>3.5795382644211016E-4</v>
      </c>
      <c r="BE6" s="51">
        <v>3.5437428817768903E-4</v>
      </c>
      <c r="BF6" s="51">
        <v>3.5083054529591216E-4</v>
      </c>
      <c r="BG6" s="51">
        <v>3.4732223984295301E-4</v>
      </c>
      <c r="BH6" s="51">
        <v>3.4384901744452349E-4</v>
      </c>
      <c r="BI6" s="51">
        <v>3.4041052727007827E-4</v>
      </c>
      <c r="BJ6" s="51">
        <v>3.3700642199737746E-4</v>
      </c>
      <c r="BK6" s="51">
        <v>3.3363635777740368E-4</v>
      </c>
      <c r="BL6" s="51">
        <v>3.3029999419962962E-4</v>
      </c>
      <c r="BM6" s="51">
        <v>3.2699699425763333E-4</v>
      </c>
      <c r="BN6" s="51">
        <v>3.2372702431505702E-4</v>
      </c>
      <c r="BO6" s="51">
        <v>3.2048975407190645E-4</v>
      </c>
      <c r="BP6" s="51">
        <v>3.1728485653118737E-4</v>
      </c>
      <c r="BQ6" s="51">
        <v>3.1411200796587548E-4</v>
      </c>
      <c r="BR6" s="51">
        <v>3.1097088788621674E-4</v>
      </c>
      <c r="BS6" s="51">
        <v>3.0786117900735455E-4</v>
      </c>
      <c r="BT6" s="51">
        <v>3.0478256721728098E-4</v>
      </c>
      <c r="BU6" s="51">
        <v>3.0173474154510815E-4</v>
      </c>
      <c r="BV6" s="51">
        <v>2.9871739412965707E-4</v>
      </c>
      <c r="BW6" s="51">
        <v>2.9573022018836051E-4</v>
      </c>
      <c r="BX6" s="51">
        <v>2.9277291798647688E-4</v>
      </c>
      <c r="BY6" s="51">
        <v>2.8984518880661211E-4</v>
      </c>
      <c r="BZ6" s="51">
        <v>2.8694673691854599E-4</v>
      </c>
      <c r="CA6" s="51">
        <v>2.8407726954936052E-4</v>
      </c>
      <c r="CB6" s="51">
        <v>2.8123649685386689E-4</v>
      </c>
      <c r="CC6" s="51">
        <v>2.7842413188532822E-4</v>
      </c>
      <c r="CD6" s="51">
        <v>2.7563989056647494E-4</v>
      </c>
      <c r="CE6" s="51">
        <v>2.7288349166081018E-4</v>
      </c>
      <c r="CF6" s="51">
        <v>2.7015465674420209E-4</v>
      </c>
      <c r="CG6" s="51">
        <v>2.6745311017676004E-4</v>
      </c>
      <c r="CH6" s="51">
        <v>2.6477857907499246E-4</v>
      </c>
      <c r="CI6" s="51">
        <v>2.6213079328424251E-4</v>
      </c>
      <c r="CJ6" s="51">
        <v>2.5950948535140007E-4</v>
      </c>
      <c r="CK6" s="51">
        <v>2.5691439049788605E-4</v>
      </c>
      <c r="CL6" s="51">
        <v>2.5434524659290718E-4</v>
      </c>
      <c r="CM6" s="51">
        <v>2.5180179412697811E-4</v>
      </c>
      <c r="CN6" s="51">
        <v>2.4928377618570831E-4</v>
      </c>
      <c r="CO6" s="51">
        <v>2.467909384238512E-4</v>
      </c>
      <c r="CP6" s="51">
        <v>2.4432302903961269E-4</v>
      </c>
      <c r="CQ6" s="51">
        <v>2.4187979874921655E-4</v>
      </c>
      <c r="CR6" s="51">
        <v>2.394610007617244E-4</v>
      </c>
      <c r="CS6" s="51">
        <v>2.3706639075410715E-4</v>
      </c>
      <c r="CT6" s="51">
        <v>2.3469572684656608E-4</v>
      </c>
      <c r="CU6" s="51">
        <v>2.3234876957810042E-4</v>
      </c>
      <c r="CV6" s="51">
        <v>2.300252818823194E-4</v>
      </c>
      <c r="CW6" s="51">
        <v>2.277250290634962E-4</v>
      </c>
      <c r="CX6" s="55">
        <v>2.2544777877286123E-4</v>
      </c>
      <c r="CY6" s="53">
        <v>2.2319330098513263E-4</v>
      </c>
    </row>
    <row r="7" spans="1:103" ht="15.75">
      <c r="A7" s="54">
        <v>25</v>
      </c>
      <c r="B7" s="55">
        <v>4.84E-4</v>
      </c>
      <c r="C7" s="55">
        <v>4.9537400000000003E-4</v>
      </c>
      <c r="D7" s="55">
        <v>5.0538055480000004E-4</v>
      </c>
      <c r="E7" s="55">
        <v>5.1356771978776003E-4</v>
      </c>
      <c r="F7" s="55">
        <v>5.196278188812556E-4</v>
      </c>
      <c r="G7" s="55">
        <v>5.234730647409769E-4</v>
      </c>
      <c r="H7" s="55">
        <v>5.2567165161288899E-4</v>
      </c>
      <c r="I7" s="55">
        <v>5.2624989042966317E-4</v>
      </c>
      <c r="J7" s="55">
        <v>5.2540789060497571E-4</v>
      </c>
      <c r="K7" s="55">
        <v>5.2346388140973724E-4</v>
      </c>
      <c r="L7" s="55">
        <v>5.2084656200268857E-4</v>
      </c>
      <c r="M7" s="55">
        <v>5.1787773659927325E-4</v>
      </c>
      <c r="N7" s="55">
        <v>5.1451153131137797E-4</v>
      </c>
      <c r="O7" s="55">
        <v>5.1080704828593607E-4</v>
      </c>
      <c r="P7" s="55">
        <v>5.0682275330930576E-4</v>
      </c>
      <c r="Q7" s="55">
        <v>5.0256544218150762E-4</v>
      </c>
      <c r="R7" s="55">
        <v>4.9804235320187408E-4</v>
      </c>
      <c r="S7" s="55">
        <v>4.9336075508177649E-4</v>
      </c>
      <c r="T7" s="55">
        <v>4.8857515575748329E-4</v>
      </c>
      <c r="U7" s="51">
        <v>4.8373826171548419E-4</v>
      </c>
      <c r="V7" s="51">
        <v>4.7890087909832933E-4</v>
      </c>
      <c r="W7" s="51">
        <v>4.7411187030734603E-4</v>
      </c>
      <c r="X7" s="51">
        <v>4.6937075160427257E-4</v>
      </c>
      <c r="Y7" s="51">
        <v>4.6467704408822985E-4</v>
      </c>
      <c r="Z7" s="51">
        <v>4.6003027364734756E-4</v>
      </c>
      <c r="AA7" s="51">
        <v>4.5542997091087408E-4</v>
      </c>
      <c r="AB7" s="51">
        <v>4.5087567120176533E-4</v>
      </c>
      <c r="AC7" s="51">
        <v>4.4636691448974767E-4</v>
      </c>
      <c r="AD7" s="51">
        <v>4.4190324534485018E-4</v>
      </c>
      <c r="AE7" s="51">
        <v>4.3748421289140169E-4</v>
      </c>
      <c r="AF7" s="51">
        <v>4.3310937076248765E-4</v>
      </c>
      <c r="AG7" s="51">
        <v>4.2877827705486277E-4</v>
      </c>
      <c r="AH7" s="51">
        <v>4.2449049428431413E-4</v>
      </c>
      <c r="AI7" s="51">
        <v>4.20245589341471E-4</v>
      </c>
      <c r="AJ7" s="51">
        <v>4.1604313344805626E-4</v>
      </c>
      <c r="AK7" s="51">
        <v>4.1188270211357569E-4</v>
      </c>
      <c r="AL7" s="51">
        <v>4.0776387509243992E-4</v>
      </c>
      <c r="AM7" s="51">
        <v>4.0368623634151553E-4</v>
      </c>
      <c r="AN7" s="51">
        <v>3.9964937397810035E-4</v>
      </c>
      <c r="AO7" s="51">
        <v>3.9565288023831933E-4</v>
      </c>
      <c r="AP7" s="51">
        <v>3.9169635143593615E-4</v>
      </c>
      <c r="AQ7" s="51">
        <v>3.8777938792157679E-4</v>
      </c>
      <c r="AR7" s="51">
        <v>3.8390159404236101E-4</v>
      </c>
      <c r="AS7" s="51">
        <v>3.8006257810193738E-4</v>
      </c>
      <c r="AT7" s="51">
        <v>3.76261952320918E-4</v>
      </c>
      <c r="AU7" s="51">
        <v>3.7249933279770881E-4</v>
      </c>
      <c r="AV7" s="51">
        <v>3.6877433946973172E-4</v>
      </c>
      <c r="AW7" s="51">
        <v>3.6508659607503442E-4</v>
      </c>
      <c r="AX7" s="51">
        <v>3.6143573011428409E-4</v>
      </c>
      <c r="AY7" s="51">
        <v>3.5782137281314123E-4</v>
      </c>
      <c r="AZ7" s="51">
        <v>3.5424315908500983E-4</v>
      </c>
      <c r="BA7" s="51">
        <v>3.5070072749415971E-4</v>
      </c>
      <c r="BB7" s="51">
        <v>3.4719372021921812E-4</v>
      </c>
      <c r="BC7" s="51">
        <v>3.4372178301702596E-4</v>
      </c>
      <c r="BD7" s="51">
        <v>3.402845651868557E-4</v>
      </c>
      <c r="BE7" s="51">
        <v>3.3688171953498712E-4</v>
      </c>
      <c r="BF7" s="51">
        <v>3.3351290233963726E-4</v>
      </c>
      <c r="BG7" s="51">
        <v>3.3017777331624087E-4</v>
      </c>
      <c r="BH7" s="51">
        <v>3.2687599558307845E-4</v>
      </c>
      <c r="BI7" s="51">
        <v>3.2360723562724765E-4</v>
      </c>
      <c r="BJ7" s="51">
        <v>3.2037116327097515E-4</v>
      </c>
      <c r="BK7" s="51">
        <v>3.171674516382654E-4</v>
      </c>
      <c r="BL7" s="51">
        <v>3.1399577712188276E-4</v>
      </c>
      <c r="BM7" s="51">
        <v>3.1085581935066394E-4</v>
      </c>
      <c r="BN7" s="51">
        <v>3.0774726115715729E-4</v>
      </c>
      <c r="BO7" s="51">
        <v>3.0466978854558574E-4</v>
      </c>
      <c r="BP7" s="51">
        <v>3.016230906601299E-4</v>
      </c>
      <c r="BQ7" s="51">
        <v>2.986068597535286E-4</v>
      </c>
      <c r="BR7" s="51">
        <v>2.9562079115599333E-4</v>
      </c>
      <c r="BS7" s="51">
        <v>2.9266458324443337E-4</v>
      </c>
      <c r="BT7" s="51">
        <v>2.8973793741198905E-4</v>
      </c>
      <c r="BU7" s="51">
        <v>2.8684055803786918E-4</v>
      </c>
      <c r="BV7" s="51">
        <v>2.8397215245749049E-4</v>
      </c>
      <c r="BW7" s="51">
        <v>2.8113243093291556E-4</v>
      </c>
      <c r="BX7" s="51">
        <v>2.7832110662358642E-4</v>
      </c>
      <c r="BY7" s="51">
        <v>2.7553789555735057E-4</v>
      </c>
      <c r="BZ7" s="51">
        <v>2.7278251660177704E-4</v>
      </c>
      <c r="CA7" s="51">
        <v>2.7005469143575927E-4</v>
      </c>
      <c r="CB7" s="51">
        <v>2.6735414452140166E-4</v>
      </c>
      <c r="CC7" s="51">
        <v>2.6468060307618761E-4</v>
      </c>
      <c r="CD7" s="51">
        <v>2.6203379704542576E-4</v>
      </c>
      <c r="CE7" s="51">
        <v>2.5941345907497151E-4</v>
      </c>
      <c r="CF7" s="51">
        <v>2.5681932448422181E-4</v>
      </c>
      <c r="CG7" s="51">
        <v>2.542511312393796E-4</v>
      </c>
      <c r="CH7" s="51">
        <v>2.5170861992698579E-4</v>
      </c>
      <c r="CI7" s="51">
        <v>2.4919153372771595E-4</v>
      </c>
      <c r="CJ7" s="51">
        <v>2.4669961839043881E-4</v>
      </c>
      <c r="CK7" s="51">
        <v>2.4423262220653444E-4</v>
      </c>
      <c r="CL7" s="51">
        <v>2.4179029598446909E-4</v>
      </c>
      <c r="CM7" s="51">
        <v>2.3937239302462439E-4</v>
      </c>
      <c r="CN7" s="51">
        <v>2.3697866909437815E-4</v>
      </c>
      <c r="CO7" s="51">
        <v>2.3460888240343437E-4</v>
      </c>
      <c r="CP7" s="51">
        <v>2.3226279357940001E-4</v>
      </c>
      <c r="CQ7" s="51">
        <v>2.2994016564360599E-4</v>
      </c>
      <c r="CR7" s="51">
        <v>2.2764076398716992E-4</v>
      </c>
      <c r="CS7" s="51">
        <v>2.2536435634729822E-4</v>
      </c>
      <c r="CT7" s="51">
        <v>2.2311071278382523E-4</v>
      </c>
      <c r="CU7" s="51">
        <v>2.2087960565598698E-4</v>
      </c>
      <c r="CV7" s="51">
        <v>2.186708095994271E-4</v>
      </c>
      <c r="CW7" s="51">
        <v>2.1648410150343283E-4</v>
      </c>
      <c r="CX7" s="55">
        <v>2.1431926048839849E-4</v>
      </c>
      <c r="CY7" s="53">
        <v>2.1217606788351449E-4</v>
      </c>
    </row>
    <row r="8" spans="1:103" ht="15.75">
      <c r="A8" s="54">
        <v>26</v>
      </c>
      <c r="B8" s="55">
        <v>4.6200000000000001E-4</v>
      </c>
      <c r="C8" s="55">
        <v>4.743816E-4</v>
      </c>
      <c r="D8" s="55">
        <v>4.8543469128000007E-4</v>
      </c>
      <c r="E8" s="55">
        <v>4.9465795041432007E-4</v>
      </c>
      <c r="F8" s="55">
        <v>5.0173155910524479E-4</v>
      </c>
      <c r="G8" s="55">
        <v>5.0644783576083417E-4</v>
      </c>
      <c r="H8" s="55">
        <v>5.0887878537248616E-4</v>
      </c>
      <c r="I8" s="55">
        <v>5.095912156720077E-4</v>
      </c>
      <c r="J8" s="55">
        <v>5.0882682884849969E-4</v>
      </c>
      <c r="K8" s="55">
        <v>5.0694416958176026E-4</v>
      </c>
      <c r="L8" s="55">
        <v>5.0440944873385144E-4</v>
      </c>
      <c r="M8" s="55">
        <v>5.0153431487606846E-4</v>
      </c>
      <c r="N8" s="55">
        <v>4.9827434182937399E-4</v>
      </c>
      <c r="O8" s="55">
        <v>4.9468676656820251E-4</v>
      </c>
      <c r="P8" s="55">
        <v>4.9082820978897049E-4</v>
      </c>
      <c r="Q8" s="55">
        <v>4.8670525282674314E-4</v>
      </c>
      <c r="R8" s="55">
        <v>4.8232490555130247E-4</v>
      </c>
      <c r="S8" s="55">
        <v>4.7779105143912025E-4</v>
      </c>
      <c r="T8" s="55">
        <v>4.7315647824016076E-4</v>
      </c>
      <c r="U8" s="51">
        <v>4.6847222910558319E-4</v>
      </c>
      <c r="V8" s="51">
        <v>4.6378750681452737E-4</v>
      </c>
      <c r="W8" s="51">
        <v>4.591496317463821E-4</v>
      </c>
      <c r="X8" s="51">
        <v>4.5455813542891828E-4</v>
      </c>
      <c r="Y8" s="51">
        <v>4.5001255407462907E-4</v>
      </c>
      <c r="Z8" s="51">
        <v>4.4551242853388276E-4</v>
      </c>
      <c r="AA8" s="51">
        <v>4.4105730424854391E-4</v>
      </c>
      <c r="AB8" s="51">
        <v>4.3664673120605849E-4</v>
      </c>
      <c r="AC8" s="51">
        <v>4.3228026389399791E-4</v>
      </c>
      <c r="AD8" s="51">
        <v>4.2795746125505793E-4</v>
      </c>
      <c r="AE8" s="51">
        <v>4.2367788664250737E-4</v>
      </c>
      <c r="AF8" s="51">
        <v>4.1944110777608227E-4</v>
      </c>
      <c r="AG8" s="51">
        <v>4.1524669669832146E-4</v>
      </c>
      <c r="AH8" s="51">
        <v>4.1109422973133826E-4</v>
      </c>
      <c r="AI8" s="51">
        <v>4.0698328743402485E-4</v>
      </c>
      <c r="AJ8" s="51">
        <v>4.0291345455968462E-4</v>
      </c>
      <c r="AK8" s="51">
        <v>3.9888432001408778E-4</v>
      </c>
      <c r="AL8" s="51">
        <v>3.9489547681394692E-4</v>
      </c>
      <c r="AM8" s="51">
        <v>3.9094652204580744E-4</v>
      </c>
      <c r="AN8" s="51">
        <v>3.8703705682534935E-4</v>
      </c>
      <c r="AO8" s="51">
        <v>3.8316668625709585E-4</v>
      </c>
      <c r="AP8" s="51">
        <v>3.793350193945249E-4</v>
      </c>
      <c r="AQ8" s="51">
        <v>3.7554166920057962E-4</v>
      </c>
      <c r="AR8" s="51">
        <v>3.7178625250857382E-4</v>
      </c>
      <c r="AS8" s="51">
        <v>3.6806838998348809E-4</v>
      </c>
      <c r="AT8" s="51">
        <v>3.6438770608365322E-4</v>
      </c>
      <c r="AU8" s="51">
        <v>3.6074382902281666E-4</v>
      </c>
      <c r="AV8" s="51">
        <v>3.5713639073258851E-4</v>
      </c>
      <c r="AW8" s="51">
        <v>3.5356502682526263E-4</v>
      </c>
      <c r="AX8" s="51">
        <v>3.5002937655700999E-4</v>
      </c>
      <c r="AY8" s="51">
        <v>3.4652908279143987E-4</v>
      </c>
      <c r="AZ8" s="51">
        <v>3.4306379196352547E-4</v>
      </c>
      <c r="BA8" s="51">
        <v>3.3963315404389021E-4</v>
      </c>
      <c r="BB8" s="51">
        <v>3.3623682250345132E-4</v>
      </c>
      <c r="BC8" s="51">
        <v>3.3287445427841679E-4</v>
      </c>
      <c r="BD8" s="51">
        <v>3.2954570973563261E-4</v>
      </c>
      <c r="BE8" s="51">
        <v>3.2625025263827628E-4</v>
      </c>
      <c r="BF8" s="51">
        <v>3.229877501118935E-4</v>
      </c>
      <c r="BG8" s="51">
        <v>3.1975787261077454E-4</v>
      </c>
      <c r="BH8" s="51">
        <v>3.1656029388466678E-4</v>
      </c>
      <c r="BI8" s="51">
        <v>3.1339469094582013E-4</v>
      </c>
      <c r="BJ8" s="51">
        <v>3.1026074403636195E-4</v>
      </c>
      <c r="BK8" s="51">
        <v>3.0715813659599832E-4</v>
      </c>
      <c r="BL8" s="51">
        <v>3.0408655523003834E-4</v>
      </c>
      <c r="BM8" s="51">
        <v>3.0104568967773794E-4</v>
      </c>
      <c r="BN8" s="51">
        <v>2.9803523278096057E-4</v>
      </c>
      <c r="BO8" s="51">
        <v>2.9505488045315098E-4</v>
      </c>
      <c r="BP8" s="51">
        <v>2.9210433164861949E-4</v>
      </c>
      <c r="BQ8" s="51">
        <v>2.8918328833213327E-4</v>
      </c>
      <c r="BR8" s="51">
        <v>2.8629145544881195E-4</v>
      </c>
      <c r="BS8" s="51">
        <v>2.8342854089432381E-4</v>
      </c>
      <c r="BT8" s="51">
        <v>2.8059425548538058E-4</v>
      </c>
      <c r="BU8" s="51">
        <v>2.7778831293052676E-4</v>
      </c>
      <c r="BV8" s="51">
        <v>2.7501042980122148E-4</v>
      </c>
      <c r="BW8" s="51">
        <v>2.7226032550320926E-4</v>
      </c>
      <c r="BX8" s="51">
        <v>2.6953772224817715E-4</v>
      </c>
      <c r="BY8" s="51">
        <v>2.668423450256954E-4</v>
      </c>
      <c r="BZ8" s="51">
        <v>2.6417392157543845E-4</v>
      </c>
      <c r="CA8" s="51">
        <v>2.6153218235968408E-4</v>
      </c>
      <c r="CB8" s="51">
        <v>2.5891686053608725E-4</v>
      </c>
      <c r="CC8" s="51">
        <v>2.5632769193072635E-4</v>
      </c>
      <c r="CD8" s="51">
        <v>2.5376441501141908E-4</v>
      </c>
      <c r="CE8" s="51">
        <v>2.5122677086130487E-4</v>
      </c>
      <c r="CF8" s="51">
        <v>2.487145031526918E-4</v>
      </c>
      <c r="CG8" s="51">
        <v>2.462273581211649E-4</v>
      </c>
      <c r="CH8" s="51">
        <v>2.4376508453995325E-4</v>
      </c>
      <c r="CI8" s="51">
        <v>2.4132743369455371E-4</v>
      </c>
      <c r="CJ8" s="51">
        <v>2.3891415935760817E-4</v>
      </c>
      <c r="CK8" s="51">
        <v>2.365250177640321E-4</v>
      </c>
      <c r="CL8" s="51">
        <v>2.3415976758639178E-4</v>
      </c>
      <c r="CM8" s="51">
        <v>2.3181816991052785E-4</v>
      </c>
      <c r="CN8" s="51">
        <v>2.2949998821142256E-4</v>
      </c>
      <c r="CO8" s="51">
        <v>2.2720498832930834E-4</v>
      </c>
      <c r="CP8" s="51">
        <v>2.2493293844601527E-4</v>
      </c>
      <c r="CQ8" s="51">
        <v>2.2268360906155512E-4</v>
      </c>
      <c r="CR8" s="51">
        <v>2.2045677297093957E-4</v>
      </c>
      <c r="CS8" s="51">
        <v>2.1825220524123018E-4</v>
      </c>
      <c r="CT8" s="51">
        <v>2.1606968318881788E-4</v>
      </c>
      <c r="CU8" s="51">
        <v>2.1390898635692969E-4</v>
      </c>
      <c r="CV8" s="51">
        <v>2.1176989649336039E-4</v>
      </c>
      <c r="CW8" s="51">
        <v>2.0965219752842678E-4</v>
      </c>
      <c r="CX8" s="55">
        <v>2.0755567555314251E-4</v>
      </c>
      <c r="CY8" s="53">
        <v>2.0548011879761109E-4</v>
      </c>
    </row>
    <row r="9" spans="1:103" ht="15.75">
      <c r="A9" s="54">
        <v>27</v>
      </c>
      <c r="B9" s="55">
        <v>4.4900000000000002E-4</v>
      </c>
      <c r="C9" s="55">
        <v>4.6247000000000004E-4</v>
      </c>
      <c r="D9" s="55">
        <v>4.7467920800000002E-4</v>
      </c>
      <c r="E9" s="55">
        <v>4.8502721473440004E-4</v>
      </c>
      <c r="F9" s="55">
        <v>4.9312716922046446E-4</v>
      </c>
      <c r="G9" s="55">
        <v>4.9879813166649981E-4</v>
      </c>
      <c r="H9" s="55">
        <v>5.0199043970916536E-4</v>
      </c>
      <c r="I9" s="55">
        <v>5.0289402250064191E-4</v>
      </c>
      <c r="J9" s="55">
        <v>5.0224026027139107E-4</v>
      </c>
      <c r="K9" s="55">
        <v>5.0043219533441399E-4</v>
      </c>
      <c r="L9" s="55">
        <v>4.9793003435774196E-4</v>
      </c>
      <c r="M9" s="55">
        <v>4.9509183316190277E-4</v>
      </c>
      <c r="N9" s="55">
        <v>4.9187373624635044E-4</v>
      </c>
      <c r="O9" s="55">
        <v>4.8833224534537668E-4</v>
      </c>
      <c r="P9" s="55">
        <v>4.8452325383168272E-4</v>
      </c>
      <c r="Q9" s="55">
        <v>4.8045325849949659E-4</v>
      </c>
      <c r="R9" s="55">
        <v>4.7612917917300114E-4</v>
      </c>
      <c r="S9" s="55">
        <v>4.7165356488877496E-4</v>
      </c>
      <c r="T9" s="55">
        <v>4.6707852530935385E-4</v>
      </c>
      <c r="U9" s="51">
        <v>4.6245444790879122E-4</v>
      </c>
      <c r="V9" s="51">
        <v>4.5782990342970332E-4</v>
      </c>
      <c r="W9" s="51">
        <v>4.5325160439540628E-4</v>
      </c>
      <c r="X9" s="51">
        <v>4.4871908835145222E-4</v>
      </c>
      <c r="Y9" s="51">
        <v>4.442318974679377E-4</v>
      </c>
      <c r="Z9" s="51">
        <v>4.3978957849325834E-4</v>
      </c>
      <c r="AA9" s="51">
        <v>4.3539168270832578E-4</v>
      </c>
      <c r="AB9" s="51">
        <v>4.3103776588124254E-4</v>
      </c>
      <c r="AC9" s="51">
        <v>4.2672738822243012E-4</v>
      </c>
      <c r="AD9" s="51">
        <v>4.2246011434020581E-4</v>
      </c>
      <c r="AE9" s="51">
        <v>4.1823551319680372E-4</v>
      </c>
      <c r="AF9" s="51">
        <v>4.1405315806483569E-4</v>
      </c>
      <c r="AG9" s="51">
        <v>4.0991262648418735E-4</v>
      </c>
      <c r="AH9" s="51">
        <v>4.0581350021934548E-4</v>
      </c>
      <c r="AI9" s="51">
        <v>4.0175536521715204E-4</v>
      </c>
      <c r="AJ9" s="51">
        <v>3.9773781156498053E-4</v>
      </c>
      <c r="AK9" s="51">
        <v>3.9376043344933073E-4</v>
      </c>
      <c r="AL9" s="51">
        <v>3.898228291148374E-4</v>
      </c>
      <c r="AM9" s="51">
        <v>3.8592460082368903E-4</v>
      </c>
      <c r="AN9" s="51">
        <v>3.8206535481545215E-4</v>
      </c>
      <c r="AO9" s="51">
        <v>3.7824470126729761E-4</v>
      </c>
      <c r="AP9" s="51">
        <v>3.7446225425462462E-4</v>
      </c>
      <c r="AQ9" s="51">
        <v>3.7071763171207838E-4</v>
      </c>
      <c r="AR9" s="51">
        <v>3.6701045539495761E-4</v>
      </c>
      <c r="AS9" s="51">
        <v>3.6334035084100802E-4</v>
      </c>
      <c r="AT9" s="51">
        <v>3.5970694733259795E-4</v>
      </c>
      <c r="AU9" s="51">
        <v>3.5610987785927194E-4</v>
      </c>
      <c r="AV9" s="51">
        <v>3.525487790806792E-4</v>
      </c>
      <c r="AW9" s="51">
        <v>3.4902329128987239E-4</v>
      </c>
      <c r="AX9" s="51">
        <v>3.4553305837697364E-4</v>
      </c>
      <c r="AY9" s="51">
        <v>3.4207772779320389E-4</v>
      </c>
      <c r="AZ9" s="51">
        <v>3.3865695051527186E-4</v>
      </c>
      <c r="BA9" s="51">
        <v>3.3527038101011916E-4</v>
      </c>
      <c r="BB9" s="51">
        <v>3.3191767720001795E-4</v>
      </c>
      <c r="BC9" s="51">
        <v>3.2859850042801775E-4</v>
      </c>
      <c r="BD9" s="51">
        <v>3.2531251542373756E-4</v>
      </c>
      <c r="BE9" s="51">
        <v>3.2205939026950018E-4</v>
      </c>
      <c r="BF9" s="51">
        <v>3.1883879636680518E-4</v>
      </c>
      <c r="BG9" s="51">
        <v>3.156504084031371E-4</v>
      </c>
      <c r="BH9" s="51">
        <v>3.1249390431910571E-4</v>
      </c>
      <c r="BI9" s="51">
        <v>3.0936896527591467E-4</v>
      </c>
      <c r="BJ9" s="51">
        <v>3.0627527562315554E-4</v>
      </c>
      <c r="BK9" s="51">
        <v>3.0321252286692399E-4</v>
      </c>
      <c r="BL9" s="51">
        <v>3.0018039763825472E-4</v>
      </c>
      <c r="BM9" s="51">
        <v>2.9717859366187215E-4</v>
      </c>
      <c r="BN9" s="51">
        <v>2.9420680772525342E-4</v>
      </c>
      <c r="BO9" s="51">
        <v>2.912647396480009E-4</v>
      </c>
      <c r="BP9" s="51">
        <v>2.883520922515209E-4</v>
      </c>
      <c r="BQ9" s="51">
        <v>2.8546857132900568E-4</v>
      </c>
      <c r="BR9" s="51">
        <v>2.8261388561571561E-4</v>
      </c>
      <c r="BS9" s="51">
        <v>2.7978774675955847E-4</v>
      </c>
      <c r="BT9" s="51">
        <v>2.769898692919629E-4</v>
      </c>
      <c r="BU9" s="51">
        <v>2.7421997059904327E-4</v>
      </c>
      <c r="BV9" s="51">
        <v>2.7147777089305285E-4</v>
      </c>
      <c r="BW9" s="51">
        <v>2.6876299318412232E-4</v>
      </c>
      <c r="BX9" s="51">
        <v>2.6607536325228107E-4</v>
      </c>
      <c r="BY9" s="51">
        <v>2.6341460961975827E-4</v>
      </c>
      <c r="BZ9" s="51">
        <v>2.6078046352356069E-4</v>
      </c>
      <c r="CA9" s="51">
        <v>2.5817265888832507E-4</v>
      </c>
      <c r="CB9" s="51">
        <v>2.5559093229944179E-4</v>
      </c>
      <c r="CC9" s="51">
        <v>2.5303502297644738E-4</v>
      </c>
      <c r="CD9" s="51">
        <v>2.5050467274668293E-4</v>
      </c>
      <c r="CE9" s="51">
        <v>2.4799962601921612E-4</v>
      </c>
      <c r="CF9" s="51">
        <v>2.4551962975902393E-4</v>
      </c>
      <c r="CG9" s="51">
        <v>2.4306443346143369E-4</v>
      </c>
      <c r="CH9" s="51">
        <v>2.4063378912681933E-4</v>
      </c>
      <c r="CI9" s="51">
        <v>2.3822745123555113E-4</v>
      </c>
      <c r="CJ9" s="51">
        <v>2.3584517672319561E-4</v>
      </c>
      <c r="CK9" s="51">
        <v>2.3348672495596365E-4</v>
      </c>
      <c r="CL9" s="51">
        <v>2.31151857706404E-4</v>
      </c>
      <c r="CM9" s="51">
        <v>2.2884033912933996E-4</v>
      </c>
      <c r="CN9" s="51">
        <v>2.2655193573804656E-4</v>
      </c>
      <c r="CO9" s="51">
        <v>2.2428641638066608E-4</v>
      </c>
      <c r="CP9" s="51">
        <v>2.2204355221685943E-4</v>
      </c>
      <c r="CQ9" s="51">
        <v>2.1982311669469084E-4</v>
      </c>
      <c r="CR9" s="51">
        <v>2.1762488552774394E-4</v>
      </c>
      <c r="CS9" s="51">
        <v>2.1544863667246648E-4</v>
      </c>
      <c r="CT9" s="51">
        <v>2.1329415030574181E-4</v>
      </c>
      <c r="CU9" s="51">
        <v>2.1116120880268439E-4</v>
      </c>
      <c r="CV9" s="51">
        <v>2.0904959671465755E-4</v>
      </c>
      <c r="CW9" s="51">
        <v>2.0695910074751097E-4</v>
      </c>
      <c r="CX9" s="55">
        <v>2.0488950974003586E-4</v>
      </c>
      <c r="CY9" s="53">
        <v>2.0284061464263551E-4</v>
      </c>
    </row>
    <row r="10" spans="1:103" ht="15.75">
      <c r="A10" s="54">
        <v>28</v>
      </c>
      <c r="B10" s="55">
        <v>4.44E-4</v>
      </c>
      <c r="C10" s="55">
        <v>4.5865199999999999E-4</v>
      </c>
      <c r="D10" s="55">
        <v>4.7209050360000001E-4</v>
      </c>
      <c r="E10" s="55">
        <v>4.8370392998856E-4</v>
      </c>
      <c r="F10" s="55">
        <v>4.9299104544434037E-4</v>
      </c>
      <c r="G10" s="55">
        <v>4.9969572366238347E-4</v>
      </c>
      <c r="H10" s="55">
        <v>5.0374325902404881E-4</v>
      </c>
      <c r="I10" s="55">
        <v>5.0530486312702345E-4</v>
      </c>
      <c r="J10" s="55">
        <v>5.047490277775837E-4</v>
      </c>
      <c r="K10" s="55">
        <v>5.0293193127758443E-4</v>
      </c>
      <c r="L10" s="55">
        <v>5.0041727162119653E-4</v>
      </c>
      <c r="M10" s="55">
        <v>4.9756489317295566E-4</v>
      </c>
      <c r="N10" s="55">
        <v>4.943307213673315E-4</v>
      </c>
      <c r="O10" s="55">
        <v>4.9077154017348676E-4</v>
      </c>
      <c r="P10" s="55">
        <v>4.8694352216013353E-4</v>
      </c>
      <c r="Q10" s="55">
        <v>4.8285319657398842E-4</v>
      </c>
      <c r="R10" s="55">
        <v>4.7850751780482254E-4</v>
      </c>
      <c r="S10" s="55">
        <v>4.740095471374572E-4</v>
      </c>
      <c r="T10" s="55">
        <v>4.6941165453022384E-4</v>
      </c>
      <c r="U10" s="51">
        <v>4.6476447915037459E-4</v>
      </c>
      <c r="V10" s="51">
        <v>4.6011683435887084E-4</v>
      </c>
      <c r="W10" s="51">
        <v>4.5551566601528213E-4</v>
      </c>
      <c r="X10" s="51">
        <v>4.5096050935512929E-4</v>
      </c>
      <c r="Y10" s="51">
        <v>4.4645090426157798E-4</v>
      </c>
      <c r="Z10" s="51">
        <v>4.4198639521896222E-4</v>
      </c>
      <c r="AA10" s="51">
        <v>4.3756653126677262E-4</v>
      </c>
      <c r="AB10" s="51">
        <v>4.3319086595410488E-4</v>
      </c>
      <c r="AC10" s="51">
        <v>4.2885895729456383E-4</v>
      </c>
      <c r="AD10" s="51">
        <v>4.2457036772161817E-4</v>
      </c>
      <c r="AE10" s="51">
        <v>4.2032466404440195E-4</v>
      </c>
      <c r="AF10" s="51">
        <v>4.1612141740395795E-4</v>
      </c>
      <c r="AG10" s="51">
        <v>4.1196020322991836E-4</v>
      </c>
      <c r="AH10" s="51">
        <v>4.0784060119761917E-4</v>
      </c>
      <c r="AI10" s="51">
        <v>4.0376219518564299E-4</v>
      </c>
      <c r="AJ10" s="51">
        <v>3.9972457323378657E-4</v>
      </c>
      <c r="AK10" s="51">
        <v>3.9572732750144872E-4</v>
      </c>
      <c r="AL10" s="51">
        <v>3.9177005422643421E-4</v>
      </c>
      <c r="AM10" s="51">
        <v>3.8785235368416984E-4</v>
      </c>
      <c r="AN10" s="51">
        <v>3.8397383014732812E-4</v>
      </c>
      <c r="AO10" s="51">
        <v>3.8013409184585483E-4</v>
      </c>
      <c r="AP10" s="51">
        <v>3.7633275092739627E-4</v>
      </c>
      <c r="AQ10" s="51">
        <v>3.7256942341812229E-4</v>
      </c>
      <c r="AR10" s="51">
        <v>3.6884372918394108E-4</v>
      </c>
      <c r="AS10" s="51">
        <v>3.6515529189210167E-4</v>
      </c>
      <c r="AT10" s="51">
        <v>3.6150373897318066E-4</v>
      </c>
      <c r="AU10" s="51">
        <v>3.5788870158344883E-4</v>
      </c>
      <c r="AV10" s="51">
        <v>3.5430981456761434E-4</v>
      </c>
      <c r="AW10" s="51">
        <v>3.5076671642193818E-4</v>
      </c>
      <c r="AX10" s="51">
        <v>3.4725904925771877E-4</v>
      </c>
      <c r="AY10" s="51">
        <v>3.437864587651416E-4</v>
      </c>
      <c r="AZ10" s="51">
        <v>3.4034859417749017E-4</v>
      </c>
      <c r="BA10" s="51">
        <v>3.3694510823571527E-4</v>
      </c>
      <c r="BB10" s="51">
        <v>3.3357565715335811E-4</v>
      </c>
      <c r="BC10" s="51">
        <v>3.3023990058182452E-4</v>
      </c>
      <c r="BD10" s="51">
        <v>3.2693750157600628E-4</v>
      </c>
      <c r="BE10" s="51">
        <v>3.2366812656024622E-4</v>
      </c>
      <c r="BF10" s="51">
        <v>3.2043144529464375E-4</v>
      </c>
      <c r="BG10" s="51">
        <v>3.1722713084169729E-4</v>
      </c>
      <c r="BH10" s="51">
        <v>3.140548595332803E-4</v>
      </c>
      <c r="BI10" s="51">
        <v>3.1091431093794751E-4</v>
      </c>
      <c r="BJ10" s="51">
        <v>3.0780516782856802E-4</v>
      </c>
      <c r="BK10" s="51">
        <v>3.0472711615028234E-4</v>
      </c>
      <c r="BL10" s="51">
        <v>3.0167984498877953E-4</v>
      </c>
      <c r="BM10" s="51">
        <v>2.9866304653889173E-4</v>
      </c>
      <c r="BN10" s="51">
        <v>2.9567641607350283E-4</v>
      </c>
      <c r="BO10" s="51">
        <v>2.9271965191276779E-4</v>
      </c>
      <c r="BP10" s="51">
        <v>2.8979245539364009E-4</v>
      </c>
      <c r="BQ10" s="51">
        <v>2.8689453083970368E-4</v>
      </c>
      <c r="BR10" s="51">
        <v>2.8402558553130663E-4</v>
      </c>
      <c r="BS10" s="51">
        <v>2.8118532967599358E-4</v>
      </c>
      <c r="BT10" s="51">
        <v>2.7837347637923364E-4</v>
      </c>
      <c r="BU10" s="51">
        <v>2.7558974161544128E-4</v>
      </c>
      <c r="BV10" s="51">
        <v>2.7283384419928686E-4</v>
      </c>
      <c r="BW10" s="51">
        <v>2.7010550575729399E-4</v>
      </c>
      <c r="BX10" s="51">
        <v>2.6740445069972104E-4</v>
      </c>
      <c r="BY10" s="51">
        <v>2.6473040619272385E-4</v>
      </c>
      <c r="BZ10" s="51">
        <v>2.6208310213079658E-4</v>
      </c>
      <c r="CA10" s="51">
        <v>2.5946227110948861E-4</v>
      </c>
      <c r="CB10" s="51">
        <v>2.5686764839839371E-4</v>
      </c>
      <c r="CC10" s="51">
        <v>2.5429897191440976E-4</v>
      </c>
      <c r="CD10" s="51">
        <v>2.5175598219526565E-4</v>
      </c>
      <c r="CE10" s="51">
        <v>2.4923842237331302E-4</v>
      </c>
      <c r="CF10" s="51">
        <v>2.467460381495799E-4</v>
      </c>
      <c r="CG10" s="51">
        <v>2.4427857776808409E-4</v>
      </c>
      <c r="CH10" s="51">
        <v>2.4183579199040325E-4</v>
      </c>
      <c r="CI10" s="51">
        <v>2.394174340704992E-4</v>
      </c>
      <c r="CJ10" s="51">
        <v>2.370232597297942E-4</v>
      </c>
      <c r="CK10" s="51">
        <v>2.3465302713249626E-4</v>
      </c>
      <c r="CL10" s="51">
        <v>2.3230649686117129E-4</v>
      </c>
      <c r="CM10" s="51">
        <v>2.2998343189255957E-4</v>
      </c>
      <c r="CN10" s="51">
        <v>2.2768359757363398E-4</v>
      </c>
      <c r="CO10" s="51">
        <v>2.2540676159789764E-4</v>
      </c>
      <c r="CP10" s="51">
        <v>2.2315269398191865E-4</v>
      </c>
      <c r="CQ10" s="51">
        <v>2.2092116704209945E-4</v>
      </c>
      <c r="CR10" s="51">
        <v>2.1871195537167846E-4</v>
      </c>
      <c r="CS10" s="51">
        <v>2.1652483581796167E-4</v>
      </c>
      <c r="CT10" s="51">
        <v>2.1435958745978206E-4</v>
      </c>
      <c r="CU10" s="51">
        <v>2.1221599158518424E-4</v>
      </c>
      <c r="CV10" s="51">
        <v>2.100938316693324E-4</v>
      </c>
      <c r="CW10" s="51">
        <v>2.0799289335263907E-4</v>
      </c>
      <c r="CX10" s="55">
        <v>2.0591296441911267E-4</v>
      </c>
      <c r="CY10" s="53">
        <v>2.0385383477492154E-4</v>
      </c>
    </row>
    <row r="11" spans="1:103" ht="15.75">
      <c r="A11" s="54">
        <v>29</v>
      </c>
      <c r="B11" s="55">
        <v>4.46E-4</v>
      </c>
      <c r="C11" s="55">
        <v>4.6192220000000004E-4</v>
      </c>
      <c r="D11" s="55">
        <v>4.7670371040000004E-4</v>
      </c>
      <c r="E11" s="55">
        <v>4.8962238095183995E-4</v>
      </c>
      <c r="F11" s="55">
        <v>5.0014926214230458E-4</v>
      </c>
      <c r="G11" s="55">
        <v>5.079515906317246E-4</v>
      </c>
      <c r="H11" s="55">
        <v>5.1292951621991552E-4</v>
      </c>
      <c r="I11" s="55">
        <v>5.1523769904290515E-4</v>
      </c>
      <c r="J11" s="55">
        <v>5.1518617527300081E-4</v>
      </c>
      <c r="K11" s="55">
        <v>5.1333150504201798E-4</v>
      </c>
      <c r="L11" s="55">
        <v>5.1076484751680785E-4</v>
      </c>
      <c r="M11" s="55">
        <v>5.0785348788596205E-4</v>
      </c>
      <c r="N11" s="55">
        <v>5.0455244021470336E-4</v>
      </c>
      <c r="O11" s="55">
        <v>5.0091966264515745E-4</v>
      </c>
      <c r="P11" s="55">
        <v>4.9701248927652524E-4</v>
      </c>
      <c r="Q11" s="55">
        <v>4.928375843666024E-4</v>
      </c>
      <c r="R11" s="55">
        <v>4.8840204610730296E-4</v>
      </c>
      <c r="S11" s="55">
        <v>4.8381106687389434E-4</v>
      </c>
      <c r="T11" s="55">
        <v>4.7911809952521755E-4</v>
      </c>
      <c r="U11" s="51">
        <v>4.7437483033991787E-4</v>
      </c>
      <c r="V11" s="51">
        <v>4.6963108203651867E-4</v>
      </c>
      <c r="W11" s="51">
        <v>4.6493477121615346E-4</v>
      </c>
      <c r="X11" s="51">
        <v>4.6028542350399191E-4</v>
      </c>
      <c r="Y11" s="51">
        <v>4.5568256926895197E-4</v>
      </c>
      <c r="Z11" s="51">
        <v>4.5112574357626244E-4</v>
      </c>
      <c r="AA11" s="51">
        <v>4.4661448614049983E-4</v>
      </c>
      <c r="AB11" s="51">
        <v>4.4214834127909484E-4</v>
      </c>
      <c r="AC11" s="51">
        <v>4.3772685786630386E-4</v>
      </c>
      <c r="AD11" s="51">
        <v>4.3334958928764079E-4</v>
      </c>
      <c r="AE11" s="51">
        <v>4.2901609339476436E-4</v>
      </c>
      <c r="AF11" s="51">
        <v>4.2472593246081671E-4</v>
      </c>
      <c r="AG11" s="51">
        <v>4.2047867313620857E-4</v>
      </c>
      <c r="AH11" s="51">
        <v>4.1627388640484649E-4</v>
      </c>
      <c r="AI11" s="51">
        <v>4.1211114754079799E-4</v>
      </c>
      <c r="AJ11" s="51">
        <v>4.0799003606538999E-4</v>
      </c>
      <c r="AK11" s="51">
        <v>4.0391013570473608E-4</v>
      </c>
      <c r="AL11" s="51">
        <v>3.998710343476887E-4</v>
      </c>
      <c r="AM11" s="51">
        <v>3.9587232400421183E-4</v>
      </c>
      <c r="AN11" s="51">
        <v>3.9191360076416972E-4</v>
      </c>
      <c r="AO11" s="51">
        <v>3.8799446475652803E-4</v>
      </c>
      <c r="AP11" s="51">
        <v>3.8411452010896275E-4</v>
      </c>
      <c r="AQ11" s="51">
        <v>3.8027337490787312E-4</v>
      </c>
      <c r="AR11" s="51">
        <v>3.7647064115879441E-4</v>
      </c>
      <c r="AS11" s="51">
        <v>3.7270593474720648E-4</v>
      </c>
      <c r="AT11" s="51">
        <v>3.6897887539973442E-4</v>
      </c>
      <c r="AU11" s="51">
        <v>3.6528908664573706E-4</v>
      </c>
      <c r="AV11" s="51">
        <v>3.616361957792797E-4</v>
      </c>
      <c r="AW11" s="51">
        <v>3.580198338214869E-4</v>
      </c>
      <c r="AX11" s="51">
        <v>3.5443963548327203E-4</v>
      </c>
      <c r="AY11" s="51">
        <v>3.5089523912843932E-4</v>
      </c>
      <c r="AZ11" s="51">
        <v>3.4738628673715495E-4</v>
      </c>
      <c r="BA11" s="51">
        <v>3.4391242386978339E-4</v>
      </c>
      <c r="BB11" s="51">
        <v>3.4047329963108556E-4</v>
      </c>
      <c r="BC11" s="51">
        <v>3.3706856663477468E-4</v>
      </c>
      <c r="BD11" s="51">
        <v>3.3369788096842694E-4</v>
      </c>
      <c r="BE11" s="51">
        <v>3.3036090215874265E-4</v>
      </c>
      <c r="BF11" s="51">
        <v>3.2705729313715524E-4</v>
      </c>
      <c r="BG11" s="51">
        <v>3.2378672020578369E-4</v>
      </c>
      <c r="BH11" s="51">
        <v>3.2054885300372585E-4</v>
      </c>
      <c r="BI11" s="51">
        <v>3.1734336447368858E-4</v>
      </c>
      <c r="BJ11" s="51">
        <v>3.1416993082895167E-4</v>
      </c>
      <c r="BK11" s="51">
        <v>3.1102823152066216E-4</v>
      </c>
      <c r="BL11" s="51">
        <v>3.0791794920545556E-4</v>
      </c>
      <c r="BM11" s="51">
        <v>3.0483876971340102E-4</v>
      </c>
      <c r="BN11" s="51">
        <v>3.01790382016267E-4</v>
      </c>
      <c r="BO11" s="51">
        <v>2.9877247819610434E-4</v>
      </c>
      <c r="BP11" s="51">
        <v>2.957847534141433E-4</v>
      </c>
      <c r="BQ11" s="51">
        <v>2.9282690588000186E-4</v>
      </c>
      <c r="BR11" s="51">
        <v>2.8989863682120186E-4</v>
      </c>
      <c r="BS11" s="51">
        <v>2.8699965045298983E-4</v>
      </c>
      <c r="BT11" s="51">
        <v>2.8412965394845993E-4</v>
      </c>
      <c r="BU11" s="51">
        <v>2.8128835740897533E-4</v>
      </c>
      <c r="BV11" s="51">
        <v>2.7847547383488559E-4</v>
      </c>
      <c r="BW11" s="51">
        <v>2.7569071909653675E-4</v>
      </c>
      <c r="BX11" s="51">
        <v>2.7293381190557136E-4</v>
      </c>
      <c r="BY11" s="51">
        <v>2.7020447378651563E-4</v>
      </c>
      <c r="BZ11" s="51">
        <v>2.6750242904865048E-4</v>
      </c>
      <c r="CA11" s="51">
        <v>2.6482740475816397E-4</v>
      </c>
      <c r="CB11" s="51">
        <v>2.6217913071058236E-4</v>
      </c>
      <c r="CC11" s="51">
        <v>2.5955733940347651E-4</v>
      </c>
      <c r="CD11" s="51">
        <v>2.5696176600944174E-4</v>
      </c>
      <c r="CE11" s="51">
        <v>2.5439214834934733E-4</v>
      </c>
      <c r="CF11" s="51">
        <v>2.5184822686585384E-4</v>
      </c>
      <c r="CG11" s="51">
        <v>2.4932974459719527E-4</v>
      </c>
      <c r="CH11" s="51">
        <v>2.4683644715122334E-4</v>
      </c>
      <c r="CI11" s="51">
        <v>2.4436808267971108E-4</v>
      </c>
      <c r="CJ11" s="51">
        <v>2.4192440185291395E-4</v>
      </c>
      <c r="CK11" s="51">
        <v>2.3950515783438482E-4</v>
      </c>
      <c r="CL11" s="51">
        <v>2.3711010625604098E-4</v>
      </c>
      <c r="CM11" s="51">
        <v>2.3473900519348058E-4</v>
      </c>
      <c r="CN11" s="51">
        <v>2.3239161514154578E-4</v>
      </c>
      <c r="CO11" s="51">
        <v>2.3006769899013032E-4</v>
      </c>
      <c r="CP11" s="51">
        <v>2.2776702200022901E-4</v>
      </c>
      <c r="CQ11" s="51">
        <v>2.2548935178022672E-4</v>
      </c>
      <c r="CR11" s="51">
        <v>2.2323445826242445E-4</v>
      </c>
      <c r="CS11" s="51">
        <v>2.210021136798002E-4</v>
      </c>
      <c r="CT11" s="51">
        <v>2.1879209254300219E-4</v>
      </c>
      <c r="CU11" s="51">
        <v>2.1660417161757217E-4</v>
      </c>
      <c r="CV11" s="51">
        <v>2.1443812990139645E-4</v>
      </c>
      <c r="CW11" s="51">
        <v>2.1229374860238248E-4</v>
      </c>
      <c r="CX11" s="55">
        <v>2.1017081111635865E-4</v>
      </c>
      <c r="CY11" s="53">
        <v>2.0806910300519507E-4</v>
      </c>
    </row>
    <row r="12" spans="1:103" ht="15.75">
      <c r="A12" s="54">
        <v>30</v>
      </c>
      <c r="B12" s="55">
        <v>4.5199999999999998E-4</v>
      </c>
      <c r="C12" s="55">
        <v>4.6917600000000002E-4</v>
      </c>
      <c r="D12" s="55">
        <v>4.8531565440000001E-4</v>
      </c>
      <c r="E12" s="55">
        <v>4.996324662048001E-4</v>
      </c>
      <c r="F12" s="55">
        <v>5.1147375565385386E-4</v>
      </c>
      <c r="G12" s="55">
        <v>5.2047569375336168E-4</v>
      </c>
      <c r="H12" s="55">
        <v>5.2646116423152539E-4</v>
      </c>
      <c r="I12" s="55">
        <v>5.2951463898406827E-4</v>
      </c>
      <c r="J12" s="55">
        <v>5.3004415362305224E-4</v>
      </c>
      <c r="K12" s="55">
        <v>5.2861303440827E-4</v>
      </c>
      <c r="L12" s="55">
        <v>5.2596996923622865E-4</v>
      </c>
      <c r="M12" s="55">
        <v>5.2297194041158216E-4</v>
      </c>
      <c r="N12" s="55">
        <v>5.1957262279890689E-4</v>
      </c>
      <c r="O12" s="55">
        <v>5.1583169991475475E-4</v>
      </c>
      <c r="P12" s="55">
        <v>5.1180821265541963E-4</v>
      </c>
      <c r="Q12" s="55">
        <v>5.0750902366911415E-4</v>
      </c>
      <c r="R12" s="55">
        <v>5.0294144245609208E-4</v>
      </c>
      <c r="S12" s="55">
        <v>4.9821379289700484E-4</v>
      </c>
      <c r="T12" s="55">
        <v>4.9338111910590384E-4</v>
      </c>
      <c r="U12" s="51">
        <v>4.8849664602675536E-4</v>
      </c>
      <c r="V12" s="51">
        <v>4.8361167956648777E-4</v>
      </c>
      <c r="W12" s="51">
        <v>4.7877556277082291E-4</v>
      </c>
      <c r="X12" s="51">
        <v>4.739878071431147E-4</v>
      </c>
      <c r="Y12" s="51">
        <v>4.6924792907168357E-4</v>
      </c>
      <c r="Z12" s="51">
        <v>4.6455544978096672E-4</v>
      </c>
      <c r="AA12" s="51">
        <v>4.5990989528315706E-4</v>
      </c>
      <c r="AB12" s="51">
        <v>4.5531079633032547E-4</v>
      </c>
      <c r="AC12" s="51">
        <v>4.5075768836702222E-4</v>
      </c>
      <c r="AD12" s="51">
        <v>4.4625011148335199E-4</v>
      </c>
      <c r="AE12" s="51">
        <v>4.4178761036851844E-4</v>
      </c>
      <c r="AF12" s="51">
        <v>4.3736973426483324E-4</v>
      </c>
      <c r="AG12" s="51">
        <v>4.3299603692218493E-4</v>
      </c>
      <c r="AH12" s="51">
        <v>4.286660765529631E-4</v>
      </c>
      <c r="AI12" s="51">
        <v>4.2437941578743347E-4</v>
      </c>
      <c r="AJ12" s="51">
        <v>4.2013562162955911E-4</v>
      </c>
      <c r="AK12" s="51">
        <v>4.1593426541326349E-4</v>
      </c>
      <c r="AL12" s="51">
        <v>4.1177492275913083E-4</v>
      </c>
      <c r="AM12" s="51">
        <v>4.0765717353153952E-4</v>
      </c>
      <c r="AN12" s="51">
        <v>4.0358060179622414E-4</v>
      </c>
      <c r="AO12" s="51">
        <v>3.9954479577826191E-4</v>
      </c>
      <c r="AP12" s="51">
        <v>3.9554934782047926E-4</v>
      </c>
      <c r="AQ12" s="51">
        <v>3.9159385434227447E-4</v>
      </c>
      <c r="AR12" s="51">
        <v>3.8767791579885175E-4</v>
      </c>
      <c r="AS12" s="51">
        <v>3.8380113664086325E-4</v>
      </c>
      <c r="AT12" s="51">
        <v>3.7996312527445464E-4</v>
      </c>
      <c r="AU12" s="51">
        <v>3.7616349402171009E-4</v>
      </c>
      <c r="AV12" s="51">
        <v>3.7240185908149297E-4</v>
      </c>
      <c r="AW12" s="51">
        <v>3.6867784049067801E-4</v>
      </c>
      <c r="AX12" s="51">
        <v>3.6499106208577121E-4</v>
      </c>
      <c r="AY12" s="51">
        <v>3.6134115146491347E-4</v>
      </c>
      <c r="AZ12" s="51">
        <v>3.5772773995026432E-4</v>
      </c>
      <c r="BA12" s="51">
        <v>3.5415046255076165E-4</v>
      </c>
      <c r="BB12" s="51">
        <v>3.5060895792525401E-4</v>
      </c>
      <c r="BC12" s="51">
        <v>3.4710286834600145E-4</v>
      </c>
      <c r="BD12" s="51">
        <v>3.4363183966254143E-4</v>
      </c>
      <c r="BE12" s="51">
        <v>3.4019552126591602E-4</v>
      </c>
      <c r="BF12" s="51">
        <v>3.3679356605325684E-4</v>
      </c>
      <c r="BG12" s="51">
        <v>3.3342563039272428E-4</v>
      </c>
      <c r="BH12" s="51">
        <v>3.3009137408879702E-4</v>
      </c>
      <c r="BI12" s="51">
        <v>3.2679046034790902E-4</v>
      </c>
      <c r="BJ12" s="51">
        <v>3.2352255574442994E-4</v>
      </c>
      <c r="BK12" s="51">
        <v>3.2028733018698565E-4</v>
      </c>
      <c r="BL12" s="51">
        <v>3.1708445688511582E-4</v>
      </c>
      <c r="BM12" s="51">
        <v>3.1391361231626467E-4</v>
      </c>
      <c r="BN12" s="51">
        <v>3.1077447619310203E-4</v>
      </c>
      <c r="BO12" s="51">
        <v>3.0766673143117101E-4</v>
      </c>
      <c r="BP12" s="51">
        <v>3.0459006411685932E-4</v>
      </c>
      <c r="BQ12" s="51">
        <v>3.0154416347569072E-4</v>
      </c>
      <c r="BR12" s="51">
        <v>2.9852872184093381E-4</v>
      </c>
      <c r="BS12" s="51">
        <v>2.9554343462252449E-4</v>
      </c>
      <c r="BT12" s="51">
        <v>2.9258800027629926E-4</v>
      </c>
      <c r="BU12" s="51">
        <v>2.8966212027353624E-4</v>
      </c>
      <c r="BV12" s="51">
        <v>2.8676549907080088E-4</v>
      </c>
      <c r="BW12" s="51">
        <v>2.8389784408009285E-4</v>
      </c>
      <c r="BX12" s="51">
        <v>2.810588656392919E-4</v>
      </c>
      <c r="BY12" s="51">
        <v>2.78248276982899E-4</v>
      </c>
      <c r="BZ12" s="51">
        <v>2.7546579421307E-4</v>
      </c>
      <c r="CA12" s="51">
        <v>2.7271113627093933E-4</v>
      </c>
      <c r="CB12" s="51">
        <v>2.6998402490822991E-4</v>
      </c>
      <c r="CC12" s="51">
        <v>2.6728418465914763E-4</v>
      </c>
      <c r="CD12" s="51">
        <v>2.6461134281255617E-4</v>
      </c>
      <c r="CE12" s="51">
        <v>2.6196522938443058E-4</v>
      </c>
      <c r="CF12" s="51">
        <v>2.5934557709058627E-4</v>
      </c>
      <c r="CG12" s="51">
        <v>2.5675212131968039E-4</v>
      </c>
      <c r="CH12" s="51">
        <v>2.5418460010648357E-4</v>
      </c>
      <c r="CI12" s="51">
        <v>2.5164275410541874E-4</v>
      </c>
      <c r="CJ12" s="51">
        <v>2.4912632656436454E-4</v>
      </c>
      <c r="CK12" s="51">
        <v>2.4663506329872091E-4</v>
      </c>
      <c r="CL12" s="51">
        <v>2.4416871266573367E-4</v>
      </c>
      <c r="CM12" s="51">
        <v>2.4172702553907635E-4</v>
      </c>
      <c r="CN12" s="51">
        <v>2.3930975528368558E-4</v>
      </c>
      <c r="CO12" s="51">
        <v>2.3691665773084873E-4</v>
      </c>
      <c r="CP12" s="51">
        <v>2.3454749115354025E-4</v>
      </c>
      <c r="CQ12" s="51">
        <v>2.3220201624200485E-4</v>
      </c>
      <c r="CR12" s="51">
        <v>2.2987999607958481E-4</v>
      </c>
      <c r="CS12" s="51">
        <v>2.2758119611878896E-4</v>
      </c>
      <c r="CT12" s="51">
        <v>2.2530538415760107E-4</v>
      </c>
      <c r="CU12" s="51">
        <v>2.2305233031602505E-4</v>
      </c>
      <c r="CV12" s="51">
        <v>2.208218070128648E-4</v>
      </c>
      <c r="CW12" s="51">
        <v>2.1861358894273615E-4</v>
      </c>
      <c r="CX12" s="55">
        <v>2.1642745305330878E-4</v>
      </c>
      <c r="CY12" s="53">
        <v>2.1426317852277568E-4</v>
      </c>
    </row>
    <row r="13" spans="1:103" ht="15.75">
      <c r="A13" s="54">
        <v>31</v>
      </c>
      <c r="B13" s="55">
        <v>4.6299999999999998E-4</v>
      </c>
      <c r="C13" s="55">
        <v>4.8147370000000002E-4</v>
      </c>
      <c r="D13" s="55">
        <v>4.9899934268000001E-4</v>
      </c>
      <c r="E13" s="55">
        <v>5.147178219744201E-4</v>
      </c>
      <c r="F13" s="55">
        <v>5.2794606999916277E-4</v>
      </c>
      <c r="G13" s="55">
        <v>5.3818822375714659E-4</v>
      </c>
      <c r="H13" s="55">
        <v>5.4523848948836529E-4</v>
      </c>
      <c r="I13" s="55">
        <v>5.491642066126816E-4</v>
      </c>
      <c r="J13" s="55">
        <v>5.5031745144656821E-4</v>
      </c>
      <c r="K13" s="55">
        <v>5.4932688003396437E-4</v>
      </c>
      <c r="L13" s="55">
        <v>5.4696477444981834E-4</v>
      </c>
      <c r="M13" s="55">
        <v>5.4384707523545434E-4</v>
      </c>
      <c r="N13" s="55">
        <v>5.4031206924642396E-4</v>
      </c>
      <c r="O13" s="55">
        <v>5.3642182234784968E-4</v>
      </c>
      <c r="P13" s="55">
        <v>5.3223773213353649E-4</v>
      </c>
      <c r="Q13" s="55">
        <v>5.2776693518361483E-4</v>
      </c>
      <c r="R13" s="55">
        <v>5.2301703276696229E-4</v>
      </c>
      <c r="S13" s="55">
        <v>5.1810067265895291E-4</v>
      </c>
      <c r="T13" s="55">
        <v>5.1307509613416106E-4</v>
      </c>
      <c r="U13" s="51">
        <v>5.0799565268243286E-4</v>
      </c>
      <c r="V13" s="51">
        <v>5.0291569615560857E-4</v>
      </c>
      <c r="W13" s="51">
        <v>4.9788653919405248E-4</v>
      </c>
      <c r="X13" s="51">
        <v>4.9290767380211198E-4</v>
      </c>
      <c r="Y13" s="51">
        <v>4.8797859706409085E-4</v>
      </c>
      <c r="Z13" s="51">
        <v>4.8309881109344995E-4</v>
      </c>
      <c r="AA13" s="51">
        <v>4.7826782298251546E-4</v>
      </c>
      <c r="AB13" s="51">
        <v>4.734851447526903E-4</v>
      </c>
      <c r="AC13" s="51">
        <v>4.687502933051634E-4</v>
      </c>
      <c r="AD13" s="51">
        <v>4.6406279037211178E-4</v>
      </c>
      <c r="AE13" s="51">
        <v>4.5942216246839065E-4</v>
      </c>
      <c r="AF13" s="51">
        <v>4.5482794084370675E-4</v>
      </c>
      <c r="AG13" s="51">
        <v>4.5027966143526966E-4</v>
      </c>
      <c r="AH13" s="51">
        <v>4.4577686482091697E-4</v>
      </c>
      <c r="AI13" s="51">
        <v>4.4131909617270779E-4</v>
      </c>
      <c r="AJ13" s="51">
        <v>4.3690590521098068E-4</v>
      </c>
      <c r="AK13" s="51">
        <v>4.3253684615887086E-4</v>
      </c>
      <c r="AL13" s="51">
        <v>4.2821147769728213E-4</v>
      </c>
      <c r="AM13" s="51">
        <v>4.2392936292030928E-4</v>
      </c>
      <c r="AN13" s="51">
        <v>4.1969006929110618E-4</v>
      </c>
      <c r="AO13" s="51">
        <v>4.154931685981951E-4</v>
      </c>
      <c r="AP13" s="51">
        <v>4.1133823691221313E-4</v>
      </c>
      <c r="AQ13" s="51">
        <v>4.07224854543091E-4</v>
      </c>
      <c r="AR13" s="51">
        <v>4.0315260599766008E-4</v>
      </c>
      <c r="AS13" s="51">
        <v>3.9912107993768348E-4</v>
      </c>
      <c r="AT13" s="51">
        <v>3.9512986913830666E-4</v>
      </c>
      <c r="AU13" s="51">
        <v>3.9117857044692359E-4</v>
      </c>
      <c r="AV13" s="51">
        <v>3.8726678474245433E-4</v>
      </c>
      <c r="AW13" s="51">
        <v>3.833941168950298E-4</v>
      </c>
      <c r="AX13" s="51">
        <v>3.795601757260795E-4</v>
      </c>
      <c r="AY13" s="51">
        <v>3.7576457396881871E-4</v>
      </c>
      <c r="AZ13" s="51">
        <v>3.7200692822913052E-4</v>
      </c>
      <c r="BA13" s="51">
        <v>3.6828685894683922E-4</v>
      </c>
      <c r="BB13" s="51">
        <v>3.6460399035737084E-4</v>
      </c>
      <c r="BC13" s="51">
        <v>3.6095795045379712E-4</v>
      </c>
      <c r="BD13" s="51">
        <v>3.5734837094925917E-4</v>
      </c>
      <c r="BE13" s="51">
        <v>3.5377488723976658E-4</v>
      </c>
      <c r="BF13" s="51">
        <v>3.5023713836736893E-4</v>
      </c>
      <c r="BG13" s="51">
        <v>3.4673476698369521E-4</v>
      </c>
      <c r="BH13" s="51">
        <v>3.4326741931385829E-4</v>
      </c>
      <c r="BI13" s="51">
        <v>3.398347451207197E-4</v>
      </c>
      <c r="BJ13" s="51">
        <v>3.3643639766951252E-4</v>
      </c>
      <c r="BK13" s="51">
        <v>3.3307203369281737E-4</v>
      </c>
      <c r="BL13" s="51">
        <v>3.2974131335588918E-4</v>
      </c>
      <c r="BM13" s="51">
        <v>3.2644390022233027E-4</v>
      </c>
      <c r="BN13" s="51">
        <v>3.2317946122010696E-4</v>
      </c>
      <c r="BO13" s="51">
        <v>3.1994766660790587E-4</v>
      </c>
      <c r="BP13" s="51">
        <v>3.167481899418268E-4</v>
      </c>
      <c r="BQ13" s="51">
        <v>3.1358070804240855E-4</v>
      </c>
      <c r="BR13" s="51">
        <v>3.1044490096198443E-4</v>
      </c>
      <c r="BS13" s="51">
        <v>3.0734045195236461E-4</v>
      </c>
      <c r="BT13" s="51">
        <v>3.0426704743284096E-4</v>
      </c>
      <c r="BU13" s="51">
        <v>3.0122437695851253E-4</v>
      </c>
      <c r="BV13" s="51">
        <v>2.982121331889274E-4</v>
      </c>
      <c r="BW13" s="51">
        <v>2.9523001185703814E-4</v>
      </c>
      <c r="BX13" s="51">
        <v>2.9227771173846777E-4</v>
      </c>
      <c r="BY13" s="51">
        <v>2.8935493462108308E-4</v>
      </c>
      <c r="BZ13" s="51">
        <v>2.8646138527487223E-4</v>
      </c>
      <c r="CA13" s="51">
        <v>2.835967714221235E-4</v>
      </c>
      <c r="CB13" s="51">
        <v>2.8076080370790228E-4</v>
      </c>
      <c r="CC13" s="51">
        <v>2.7795319567082324E-4</v>
      </c>
      <c r="CD13" s="51">
        <v>2.75173663714115E-4</v>
      </c>
      <c r="CE13" s="51">
        <v>2.7242192707697385E-4</v>
      </c>
      <c r="CF13" s="51">
        <v>2.6969770780620411E-4</v>
      </c>
      <c r="CG13" s="51">
        <v>2.6700073072814204E-4</v>
      </c>
      <c r="CH13" s="51">
        <v>2.6433072342086061E-4</v>
      </c>
      <c r="CI13" s="51">
        <v>2.6168741618665201E-4</v>
      </c>
      <c r="CJ13" s="51">
        <v>2.5907054202478549E-4</v>
      </c>
      <c r="CK13" s="51">
        <v>2.5647983660453765E-4</v>
      </c>
      <c r="CL13" s="51">
        <v>2.5391503823849224E-4</v>
      </c>
      <c r="CM13" s="51">
        <v>2.5137588785610734E-4</v>
      </c>
      <c r="CN13" s="51">
        <v>2.4886212897754628E-4</v>
      </c>
      <c r="CO13" s="51">
        <v>2.4637350768777082E-4</v>
      </c>
      <c r="CP13" s="51">
        <v>2.4390977261089309E-4</v>
      </c>
      <c r="CQ13" s="51">
        <v>2.4147067488478416E-4</v>
      </c>
      <c r="CR13" s="51">
        <v>2.3905596813593631E-4</v>
      </c>
      <c r="CS13" s="51">
        <v>2.3666540845457694E-4</v>
      </c>
      <c r="CT13" s="51">
        <v>2.3429875437003118E-4</v>
      </c>
      <c r="CU13" s="51">
        <v>2.3195576682633087E-4</v>
      </c>
      <c r="CV13" s="51">
        <v>2.2963620915806754E-4</v>
      </c>
      <c r="CW13" s="51">
        <v>2.2733984706648687E-4</v>
      </c>
      <c r="CX13" s="55">
        <v>2.25066448595822E-4</v>
      </c>
      <c r="CY13" s="53">
        <v>2.2281578410986378E-4</v>
      </c>
    </row>
    <row r="14" spans="1:103" ht="15.75">
      <c r="A14" s="54">
        <v>32</v>
      </c>
      <c r="B14" s="55">
        <v>4.7699999999999999E-4</v>
      </c>
      <c r="C14" s="55">
        <v>4.9670010000000002E-4</v>
      </c>
      <c r="D14" s="55">
        <v>5.1552503379000006E-4</v>
      </c>
      <c r="E14" s="55">
        <v>5.32588912408449E-4</v>
      </c>
      <c r="F14" s="55">
        <v>5.4718184860844056E-4</v>
      </c>
      <c r="G14" s="55">
        <v>5.5867266742921776E-4</v>
      </c>
      <c r="H14" s="55">
        <v>5.6682928837368434E-4</v>
      </c>
      <c r="I14" s="55">
        <v>5.7170402025369794E-4</v>
      </c>
      <c r="J14" s="55">
        <v>5.7359064352053516E-4</v>
      </c>
      <c r="K14" s="55">
        <v>5.7307441194136667E-4</v>
      </c>
      <c r="L14" s="55">
        <v>5.7106865149957194E-4</v>
      </c>
      <c r="M14" s="55">
        <v>5.6815620137692414E-4</v>
      </c>
      <c r="N14" s="55">
        <v>5.6446318606797414E-4</v>
      </c>
      <c r="O14" s="55">
        <v>5.6039905112828471E-4</v>
      </c>
      <c r="P14" s="55">
        <v>5.5602793852948412E-4</v>
      </c>
      <c r="Q14" s="55">
        <v>5.5135730384583644E-4</v>
      </c>
      <c r="R14" s="55">
        <v>5.4639508811122391E-4</v>
      </c>
      <c r="S14" s="55">
        <v>5.4125897428297838E-4</v>
      </c>
      <c r="T14" s="55">
        <v>5.3600876223243346E-4</v>
      </c>
      <c r="U14" s="51">
        <v>5.307022754863324E-4</v>
      </c>
      <c r="V14" s="51">
        <v>5.2539525273146911E-4</v>
      </c>
      <c r="W14" s="51">
        <v>5.201413002041544E-4</v>
      </c>
      <c r="X14" s="51">
        <v>5.1493988720211284E-4</v>
      </c>
      <c r="Y14" s="51">
        <v>5.0979048833009173E-4</v>
      </c>
      <c r="Z14" s="51">
        <v>5.0469258344679082E-4</v>
      </c>
      <c r="AA14" s="51">
        <v>4.9964565761232294E-4</v>
      </c>
      <c r="AB14" s="51">
        <v>4.9464920103619973E-4</v>
      </c>
      <c r="AC14" s="51">
        <v>4.8970270902583778E-4</v>
      </c>
      <c r="AD14" s="51">
        <v>4.8480568193557939E-4</v>
      </c>
      <c r="AE14" s="51">
        <v>4.7995762511622358E-4</v>
      </c>
      <c r="AF14" s="51">
        <v>4.7515804886506135E-4</v>
      </c>
      <c r="AG14" s="51">
        <v>4.7040646837641072E-4</v>
      </c>
      <c r="AH14" s="51">
        <v>4.6570240369264661E-4</v>
      </c>
      <c r="AI14" s="51">
        <v>4.6104537965572015E-4</v>
      </c>
      <c r="AJ14" s="51">
        <v>4.5643492585916297E-4</v>
      </c>
      <c r="AK14" s="51">
        <v>4.5187057660057132E-4</v>
      </c>
      <c r="AL14" s="51">
        <v>4.4735187083456561E-4</v>
      </c>
      <c r="AM14" s="51">
        <v>4.4287835212621996E-4</v>
      </c>
      <c r="AN14" s="51">
        <v>4.3844956860495776E-4</v>
      </c>
      <c r="AO14" s="51">
        <v>4.3406507291890819E-4</v>
      </c>
      <c r="AP14" s="51">
        <v>4.2972442218971909E-4</v>
      </c>
      <c r="AQ14" s="51">
        <v>4.2542717796782188E-4</v>
      </c>
      <c r="AR14" s="51">
        <v>4.2117290618814366E-4</v>
      </c>
      <c r="AS14" s="51">
        <v>4.1696117712626221E-4</v>
      </c>
      <c r="AT14" s="51">
        <v>4.127915653549996E-4</v>
      </c>
      <c r="AU14" s="51">
        <v>4.0866364970144962E-4</v>
      </c>
      <c r="AV14" s="51">
        <v>4.0457701320443514E-4</v>
      </c>
      <c r="AW14" s="51">
        <v>4.0053124307239081E-4</v>
      </c>
      <c r="AX14" s="51">
        <v>3.9652593064166687E-4</v>
      </c>
      <c r="AY14" s="51">
        <v>3.9256067133525022E-4</v>
      </c>
      <c r="AZ14" s="51">
        <v>3.886350646218977E-4</v>
      </c>
      <c r="BA14" s="51">
        <v>3.8474871397567873E-4</v>
      </c>
      <c r="BB14" s="51">
        <v>3.8090122683592196E-4</v>
      </c>
      <c r="BC14" s="51">
        <v>3.7709221456756276E-4</v>
      </c>
      <c r="BD14" s="51">
        <v>3.7332129242188713E-4</v>
      </c>
      <c r="BE14" s="51">
        <v>3.6958807949766828E-4</v>
      </c>
      <c r="BF14" s="51">
        <v>3.658921987026916E-4</v>
      </c>
      <c r="BG14" s="51">
        <v>3.622332767156647E-4</v>
      </c>
      <c r="BH14" s="51">
        <v>3.5861094394850805E-4</v>
      </c>
      <c r="BI14" s="51">
        <v>3.5502483450902298E-4</v>
      </c>
      <c r="BJ14" s="51">
        <v>3.5147458616393277E-4</v>
      </c>
      <c r="BK14" s="51">
        <v>3.4795984030229347E-4</v>
      </c>
      <c r="BL14" s="51">
        <v>3.4448024189927051E-4</v>
      </c>
      <c r="BM14" s="51">
        <v>3.410354394802778E-4</v>
      </c>
      <c r="BN14" s="51">
        <v>3.37625085085475E-4</v>
      </c>
      <c r="BO14" s="51">
        <v>3.3424883423462023E-4</v>
      </c>
      <c r="BP14" s="51">
        <v>3.3090634589227403E-4</v>
      </c>
      <c r="BQ14" s="51">
        <v>3.2759728243335128E-4</v>
      </c>
      <c r="BR14" s="51">
        <v>3.2432130960901776E-4</v>
      </c>
      <c r="BS14" s="51">
        <v>3.2107809651292756E-4</v>
      </c>
      <c r="BT14" s="51">
        <v>3.1786731554779828E-4</v>
      </c>
      <c r="BU14" s="51">
        <v>3.1468864239232031E-4</v>
      </c>
      <c r="BV14" s="51">
        <v>3.1154175596839713E-4</v>
      </c>
      <c r="BW14" s="51">
        <v>3.0842633840871315E-4</v>
      </c>
      <c r="BX14" s="51">
        <v>3.05342075024626E-4</v>
      </c>
      <c r="BY14" s="51">
        <v>3.0228865427437974E-4</v>
      </c>
      <c r="BZ14" s="51">
        <v>2.9926576773163592E-4</v>
      </c>
      <c r="CA14" s="51">
        <v>2.9627311005431955E-4</v>
      </c>
      <c r="CB14" s="51">
        <v>2.9331037895377637E-4</v>
      </c>
      <c r="CC14" s="51">
        <v>2.9037727516423859E-4</v>
      </c>
      <c r="CD14" s="51">
        <v>2.8747350241259618E-4</v>
      </c>
      <c r="CE14" s="51">
        <v>2.8459876738847021E-4</v>
      </c>
      <c r="CF14" s="51">
        <v>2.8175277971458551E-4</v>
      </c>
      <c r="CG14" s="51">
        <v>2.7893525191743967E-4</v>
      </c>
      <c r="CH14" s="51">
        <v>2.7614589939826528E-4</v>
      </c>
      <c r="CI14" s="51">
        <v>2.7338444040428265E-4</v>
      </c>
      <c r="CJ14" s="51">
        <v>2.7065059600023982E-4</v>
      </c>
      <c r="CK14" s="51">
        <v>2.6794409004023741E-4</v>
      </c>
      <c r="CL14" s="51">
        <v>2.6526464913983501E-4</v>
      </c>
      <c r="CM14" s="51">
        <v>2.6261200264843666E-4</v>
      </c>
      <c r="CN14" s="51">
        <v>2.5998588262195226E-4</v>
      </c>
      <c r="CO14" s="51">
        <v>2.5738602379573276E-4</v>
      </c>
      <c r="CP14" s="51">
        <v>2.5481216355777544E-4</v>
      </c>
      <c r="CQ14" s="51">
        <v>2.5226404192219768E-4</v>
      </c>
      <c r="CR14" s="51">
        <v>2.4974140150297572E-4</v>
      </c>
      <c r="CS14" s="51">
        <v>2.4724398748794598E-4</v>
      </c>
      <c r="CT14" s="51">
        <v>2.4477154761306651E-4</v>
      </c>
      <c r="CU14" s="51">
        <v>2.4232383213693585E-4</v>
      </c>
      <c r="CV14" s="51">
        <v>2.3990059381556649E-4</v>
      </c>
      <c r="CW14" s="51">
        <v>2.3750158787741083E-4</v>
      </c>
      <c r="CX14" s="55">
        <v>2.3512657199863671E-4</v>
      </c>
      <c r="CY14" s="53">
        <v>2.3277530627865034E-4</v>
      </c>
    </row>
    <row r="15" spans="1:103" ht="15.75">
      <c r="A15" s="54">
        <v>33</v>
      </c>
      <c r="B15" s="55">
        <v>4.9200000000000003E-4</v>
      </c>
      <c r="C15" s="55">
        <v>5.127132E-4</v>
      </c>
      <c r="D15" s="55">
        <v>5.3270901480000001E-4</v>
      </c>
      <c r="E15" s="55">
        <v>5.5098093400763996E-4</v>
      </c>
      <c r="F15" s="55">
        <v>5.6679408681365915E-4</v>
      </c>
      <c r="G15" s="55">
        <v>5.7949027435828511E-4</v>
      </c>
      <c r="H15" s="55">
        <v>5.8876211874801766E-4</v>
      </c>
      <c r="I15" s="55">
        <v>5.9453198751174829E-4</v>
      </c>
      <c r="J15" s="55">
        <v>5.9714792825680001E-4</v>
      </c>
      <c r="K15" s="55">
        <v>5.9720764304962569E-4</v>
      </c>
      <c r="L15" s="55">
        <v>5.9559518241339166E-4</v>
      </c>
      <c r="M15" s="55">
        <v>5.9291500409253139E-4</v>
      </c>
      <c r="N15" s="55">
        <v>5.8935751406797622E-4</v>
      </c>
      <c r="O15" s="55">
        <v>5.8511413996668676E-4</v>
      </c>
      <c r="P15" s="55">
        <v>5.8055024967494661E-4</v>
      </c>
      <c r="Q15" s="55">
        <v>5.7567362757767707E-4</v>
      </c>
      <c r="R15" s="55">
        <v>5.7049256492947801E-4</v>
      </c>
      <c r="S15" s="55">
        <v>5.6512993481914098E-4</v>
      </c>
      <c r="T15" s="55">
        <v>5.5964817445139532E-4</v>
      </c>
      <c r="U15" s="51">
        <v>5.5410765752432652E-4</v>
      </c>
      <c r="V15" s="51">
        <v>5.4856658094908323E-4</v>
      </c>
      <c r="W15" s="51">
        <v>5.430809151395924E-4</v>
      </c>
      <c r="X15" s="51">
        <v>5.3765010598819649E-4</v>
      </c>
      <c r="Y15" s="51">
        <v>5.3227360492831457E-4</v>
      </c>
      <c r="Z15" s="51">
        <v>5.2695086887903143E-4</v>
      </c>
      <c r="AA15" s="51">
        <v>5.216813601902411E-4</v>
      </c>
      <c r="AB15" s="51">
        <v>5.1646454658833873E-4</v>
      </c>
      <c r="AC15" s="51">
        <v>5.112999011224553E-4</v>
      </c>
      <c r="AD15" s="51">
        <v>5.0618690211123071E-4</v>
      </c>
      <c r="AE15" s="51">
        <v>5.0112503309011837E-4</v>
      </c>
      <c r="AF15" s="51">
        <v>4.9611378275921721E-4</v>
      </c>
      <c r="AG15" s="51">
        <v>4.9115264493162505E-4</v>
      </c>
      <c r="AH15" s="51">
        <v>4.8624111848230881E-4</v>
      </c>
      <c r="AI15" s="51">
        <v>4.8137870729748574E-4</v>
      </c>
      <c r="AJ15" s="51">
        <v>4.7656492022451086E-4</v>
      </c>
      <c r="AK15" s="51">
        <v>4.7179927102226573E-4</v>
      </c>
      <c r="AL15" s="51">
        <v>4.6708127831204306E-4</v>
      </c>
      <c r="AM15" s="51">
        <v>4.6241046552892261E-4</v>
      </c>
      <c r="AN15" s="51">
        <v>4.577863608736334E-4</v>
      </c>
      <c r="AO15" s="51">
        <v>4.5320849726489704E-4</v>
      </c>
      <c r="AP15" s="51">
        <v>4.4867641229224804E-4</v>
      </c>
      <c r="AQ15" s="51">
        <v>4.4418964816932556E-4</v>
      </c>
      <c r="AR15" s="51">
        <v>4.3974775168763232E-4</v>
      </c>
      <c r="AS15" s="51">
        <v>4.3535027417075601E-4</v>
      </c>
      <c r="AT15" s="51">
        <v>4.3099677142904847E-4</v>
      </c>
      <c r="AU15" s="51">
        <v>4.2668680371475795E-4</v>
      </c>
      <c r="AV15" s="51">
        <v>4.2241993567761037E-4</v>
      </c>
      <c r="AW15" s="51">
        <v>4.1819573632083428E-4</v>
      </c>
      <c r="AX15" s="51">
        <v>4.1401377895762591E-4</v>
      </c>
      <c r="AY15" s="51">
        <v>4.0987364116804964E-4</v>
      </c>
      <c r="AZ15" s="51">
        <v>4.0577490475636913E-4</v>
      </c>
      <c r="BA15" s="51">
        <v>4.0171715570880544E-4</v>
      </c>
      <c r="BB15" s="51">
        <v>3.9769998415171737E-4</v>
      </c>
      <c r="BC15" s="51">
        <v>3.9372298431020018E-4</v>
      </c>
      <c r="BD15" s="51">
        <v>3.8978575446709819E-4</v>
      </c>
      <c r="BE15" s="51">
        <v>3.8588789692242719E-4</v>
      </c>
      <c r="BF15" s="51">
        <v>3.8202901795320293E-4</v>
      </c>
      <c r="BG15" s="51">
        <v>3.7820872777367091E-4</v>
      </c>
      <c r="BH15" s="51">
        <v>3.744266404959342E-4</v>
      </c>
      <c r="BI15" s="51">
        <v>3.7068237409097483E-4</v>
      </c>
      <c r="BJ15" s="51">
        <v>3.6697555035006507E-4</v>
      </c>
      <c r="BK15" s="51">
        <v>3.633057948465644E-4</v>
      </c>
      <c r="BL15" s="51">
        <v>3.5967273689809876E-4</v>
      </c>
      <c r="BM15" s="51">
        <v>3.5607600952911777E-4</v>
      </c>
      <c r="BN15" s="51">
        <v>3.5251524943382659E-4</v>
      </c>
      <c r="BO15" s="51">
        <v>3.4899009693948831E-4</v>
      </c>
      <c r="BP15" s="51">
        <v>3.4550019597009345E-4</v>
      </c>
      <c r="BQ15" s="51">
        <v>3.4204519401039252E-4</v>
      </c>
      <c r="BR15" s="51">
        <v>3.3862474207028862E-4</v>
      </c>
      <c r="BS15" s="51">
        <v>3.3523849464958574E-4</v>
      </c>
      <c r="BT15" s="51">
        <v>3.3188610970308986E-4</v>
      </c>
      <c r="BU15" s="51">
        <v>3.2856724860605896E-4</v>
      </c>
      <c r="BV15" s="51">
        <v>3.2528157611999835E-4</v>
      </c>
      <c r="BW15" s="51">
        <v>3.2202876035879836E-4</v>
      </c>
      <c r="BX15" s="51">
        <v>3.1880847275521037E-4</v>
      </c>
      <c r="BY15" s="51">
        <v>3.1562038802765825E-4</v>
      </c>
      <c r="BZ15" s="51">
        <v>3.1246418414738168E-4</v>
      </c>
      <c r="CA15" s="51">
        <v>3.0933954230590786E-4</v>
      </c>
      <c r="CB15" s="51">
        <v>3.062461468828488E-4</v>
      </c>
      <c r="CC15" s="51">
        <v>3.031836854140203E-4</v>
      </c>
      <c r="CD15" s="51">
        <v>3.001518485598801E-4</v>
      </c>
      <c r="CE15" s="51">
        <v>2.9715033007428132E-4</v>
      </c>
      <c r="CF15" s="51">
        <v>2.9417882677353849E-4</v>
      </c>
      <c r="CG15" s="51">
        <v>2.9123703850580311E-4</v>
      </c>
      <c r="CH15" s="51">
        <v>2.883246681207451E-4</v>
      </c>
      <c r="CI15" s="51">
        <v>2.8544142143953767E-4</v>
      </c>
      <c r="CJ15" s="51">
        <v>2.825870072251423E-4</v>
      </c>
      <c r="CK15" s="51">
        <v>2.7976113715289089E-4</v>
      </c>
      <c r="CL15" s="51">
        <v>2.76963525781362E-4</v>
      </c>
      <c r="CM15" s="51">
        <v>2.741938905235484E-4</v>
      </c>
      <c r="CN15" s="51">
        <v>2.7145195161831293E-4</v>
      </c>
      <c r="CO15" s="51">
        <v>2.6873743210212981E-4</v>
      </c>
      <c r="CP15" s="51">
        <v>2.660500577811085E-4</v>
      </c>
      <c r="CQ15" s="51">
        <v>2.6338955720329739E-4</v>
      </c>
      <c r="CR15" s="51">
        <v>2.6075566163126442E-4</v>
      </c>
      <c r="CS15" s="51">
        <v>2.5814810501495179E-4</v>
      </c>
      <c r="CT15" s="51">
        <v>2.5556662396480228E-4</v>
      </c>
      <c r="CU15" s="51">
        <v>2.5301095772515425E-4</v>
      </c>
      <c r="CV15" s="51">
        <v>2.5048084814790269E-4</v>
      </c>
      <c r="CW15" s="51">
        <v>2.4797603966642364E-4</v>
      </c>
      <c r="CX15" s="55">
        <v>2.4549627926975939E-4</v>
      </c>
      <c r="CY15" s="53">
        <v>2.4304131647706178E-4</v>
      </c>
    </row>
    <row r="16" spans="1:103" ht="15.75">
      <c r="A16" s="54">
        <v>34</v>
      </c>
      <c r="B16" s="55">
        <v>5.0799999999999999E-4</v>
      </c>
      <c r="C16" s="55">
        <v>5.2938680000000002E-4</v>
      </c>
      <c r="D16" s="55">
        <v>5.5019170123999999E-4</v>
      </c>
      <c r="E16" s="55">
        <v>5.6944841078339998E-4</v>
      </c>
      <c r="F16" s="55">
        <v>5.8624713890151033E-4</v>
      </c>
      <c r="G16" s="55">
        <v>5.9996532195180576E-4</v>
      </c>
      <c r="H16" s="55">
        <v>6.1016473242498639E-4</v>
      </c>
      <c r="I16" s="55">
        <v>6.1681552800841872E-4</v>
      </c>
      <c r="J16" s="55">
        <v>6.2014633185966423E-4</v>
      </c>
      <c r="K16" s="55">
        <v>6.2076647819152384E-4</v>
      </c>
      <c r="L16" s="55">
        <v>6.1958702188295996E-4</v>
      </c>
      <c r="M16" s="55">
        <v>6.1723259119980472E-4</v>
      </c>
      <c r="N16" s="55">
        <v>6.1389953520732583E-4</v>
      </c>
      <c r="O16" s="55">
        <v>6.09725018367916E-4</v>
      </c>
      <c r="P16" s="55">
        <v>6.0496916322464627E-4</v>
      </c>
      <c r="Q16" s="55">
        <v>5.9988742225355928E-4</v>
      </c>
      <c r="R16" s="55">
        <v>5.9448843545327728E-4</v>
      </c>
      <c r="S16" s="55">
        <v>5.8890024416001648E-4</v>
      </c>
      <c r="T16" s="55">
        <v>5.8318791179166429E-4</v>
      </c>
      <c r="U16" s="51">
        <v>5.7741435146492677E-4</v>
      </c>
      <c r="V16" s="51">
        <v>5.7164020795027754E-4</v>
      </c>
      <c r="W16" s="51">
        <v>5.6592380587077481E-4</v>
      </c>
      <c r="X16" s="51">
        <v>5.602645678120671E-4</v>
      </c>
      <c r="Y16" s="51">
        <v>5.5466192213394637E-4</v>
      </c>
      <c r="Z16" s="51">
        <v>5.4911530291260687E-4</v>
      </c>
      <c r="AA16" s="51">
        <v>5.4362414988348077E-4</v>
      </c>
      <c r="AB16" s="51">
        <v>5.3818790838464591E-4</v>
      </c>
      <c r="AC16" s="51">
        <v>5.3280602930079945E-4</v>
      </c>
      <c r="AD16" s="51">
        <v>5.2747796900779148E-4</v>
      </c>
      <c r="AE16" s="51">
        <v>5.2220318931771358E-4</v>
      </c>
      <c r="AF16" s="51">
        <v>5.1698115742453642E-4</v>
      </c>
      <c r="AG16" s="51">
        <v>5.1181134585029104E-4</v>
      </c>
      <c r="AH16" s="51">
        <v>5.0669323239178811E-4</v>
      </c>
      <c r="AI16" s="51">
        <v>5.0162630006787021E-4</v>
      </c>
      <c r="AJ16" s="51">
        <v>4.9661003706719152E-4</v>
      </c>
      <c r="AK16" s="51">
        <v>4.9164393669651955E-4</v>
      </c>
      <c r="AL16" s="51">
        <v>4.8672749732955433E-4</v>
      </c>
      <c r="AM16" s="51">
        <v>4.8186022235625881E-4</v>
      </c>
      <c r="AN16" s="51">
        <v>4.7704162013269621E-4</v>
      </c>
      <c r="AO16" s="51">
        <v>4.7227120393136926E-4</v>
      </c>
      <c r="AP16" s="51">
        <v>4.6754849189205555E-4</v>
      </c>
      <c r="AQ16" s="51">
        <v>4.62873006973135E-4</v>
      </c>
      <c r="AR16" s="51">
        <v>4.5824427690340365E-4</v>
      </c>
      <c r="AS16" s="51">
        <v>4.536618341343696E-4</v>
      </c>
      <c r="AT16" s="51">
        <v>4.491252157930259E-4</v>
      </c>
      <c r="AU16" s="51">
        <v>4.4463396363509565E-4</v>
      </c>
      <c r="AV16" s="51">
        <v>4.4018762399874469E-4</v>
      </c>
      <c r="AW16" s="51">
        <v>4.3578574775875726E-4</v>
      </c>
      <c r="AX16" s="51">
        <v>4.3142789028116971E-4</v>
      </c>
      <c r="AY16" s="51">
        <v>4.27113611378358E-4</v>
      </c>
      <c r="AZ16" s="51">
        <v>4.2284247526457443E-4</v>
      </c>
      <c r="BA16" s="51">
        <v>4.1861405051192867E-4</v>
      </c>
      <c r="BB16" s="51">
        <v>4.1442791000680936E-4</v>
      </c>
      <c r="BC16" s="51">
        <v>4.1028363090674124E-4</v>
      </c>
      <c r="BD16" s="51">
        <v>4.0618079459767381E-4</v>
      </c>
      <c r="BE16" s="51">
        <v>4.0211898665169706E-4</v>
      </c>
      <c r="BF16" s="51">
        <v>3.9809779678518008E-4</v>
      </c>
      <c r="BG16" s="51">
        <v>3.9411681881732825E-4</v>
      </c>
      <c r="BH16" s="51">
        <v>3.9017565062915497E-4</v>
      </c>
      <c r="BI16" s="51">
        <v>3.8627389412286344E-4</v>
      </c>
      <c r="BJ16" s="51">
        <v>3.8241115518163483E-4</v>
      </c>
      <c r="BK16" s="51">
        <v>3.7858704362981845E-4</v>
      </c>
      <c r="BL16" s="51">
        <v>3.7480117319352025E-4</v>
      </c>
      <c r="BM16" s="51">
        <v>3.7105316146158503E-4</v>
      </c>
      <c r="BN16" s="51">
        <v>3.6734262984696917E-4</v>
      </c>
      <c r="BO16" s="51">
        <v>3.6366920354849946E-4</v>
      </c>
      <c r="BP16" s="51">
        <v>3.6003251151301444E-4</v>
      </c>
      <c r="BQ16" s="51">
        <v>3.5643218639788427E-4</v>
      </c>
      <c r="BR16" s="51">
        <v>3.5286786453390544E-4</v>
      </c>
      <c r="BS16" s="51">
        <v>3.4933918588856636E-4</v>
      </c>
      <c r="BT16" s="51">
        <v>3.4584579402968072E-4</v>
      </c>
      <c r="BU16" s="51">
        <v>3.423873360893839E-4</v>
      </c>
      <c r="BV16" s="51">
        <v>3.3896346272849009E-4</v>
      </c>
      <c r="BW16" s="51">
        <v>3.3557382810120521E-4</v>
      </c>
      <c r="BX16" s="51">
        <v>3.3221808982019318E-4</v>
      </c>
      <c r="BY16" s="51">
        <v>3.2889590892199122E-4</v>
      </c>
      <c r="BZ16" s="51">
        <v>3.2560694983277129E-4</v>
      </c>
      <c r="CA16" s="51">
        <v>3.2235088033444358E-4</v>
      </c>
      <c r="CB16" s="51">
        <v>3.1912737153109912E-4</v>
      </c>
      <c r="CC16" s="51">
        <v>3.1593609781578814E-4</v>
      </c>
      <c r="CD16" s="51">
        <v>3.1277673683763026E-4</v>
      </c>
      <c r="CE16" s="51">
        <v>3.0964896946925394E-4</v>
      </c>
      <c r="CF16" s="51">
        <v>3.0655247977456142E-4</v>
      </c>
      <c r="CG16" s="51">
        <v>3.0348695497681578E-4</v>
      </c>
      <c r="CH16" s="51">
        <v>3.0045208542704764E-4</v>
      </c>
      <c r="CI16" s="51">
        <v>2.9744756457277715E-4</v>
      </c>
      <c r="CJ16" s="51">
        <v>2.9447308892704938E-4</v>
      </c>
      <c r="CK16" s="51">
        <v>2.9152835803777889E-4</v>
      </c>
      <c r="CL16" s="51">
        <v>2.8861307445740108E-4</v>
      </c>
      <c r="CM16" s="51">
        <v>2.8572694371282705E-4</v>
      </c>
      <c r="CN16" s="51">
        <v>2.828696742756988E-4</v>
      </c>
      <c r="CO16" s="51">
        <v>2.8004097753294181E-4</v>
      </c>
      <c r="CP16" s="51">
        <v>2.772405677576124E-4</v>
      </c>
      <c r="CQ16" s="51">
        <v>2.7446816208003628E-4</v>
      </c>
      <c r="CR16" s="51">
        <v>2.717234804592359E-4</v>
      </c>
      <c r="CS16" s="51">
        <v>2.6900624565464356E-4</v>
      </c>
      <c r="CT16" s="51">
        <v>2.663161831980971E-4</v>
      </c>
      <c r="CU16" s="51">
        <v>2.6365302136611616E-4</v>
      </c>
      <c r="CV16" s="51">
        <v>2.6101649115245501E-4</v>
      </c>
      <c r="CW16" s="51">
        <v>2.5840632624093046E-4</v>
      </c>
      <c r="CX16" s="55">
        <v>2.5582226297852118E-4</v>
      </c>
      <c r="CY16" s="53">
        <v>2.5326404034873597E-4</v>
      </c>
    </row>
    <row r="17" spans="1:103" ht="15.75">
      <c r="A17" s="54">
        <v>35</v>
      </c>
      <c r="B17" s="55">
        <v>5.2300000000000003E-4</v>
      </c>
      <c r="C17" s="55">
        <v>5.4465220000000003E-4</v>
      </c>
      <c r="D17" s="55">
        <v>5.6589363580000003E-4</v>
      </c>
      <c r="E17" s="55">
        <v>5.8575650241658001E-4</v>
      </c>
      <c r="F17" s="55">
        <v>6.0327062183883578E-4</v>
      </c>
      <c r="G17" s="55">
        <v>6.177491167629679E-4</v>
      </c>
      <c r="H17" s="55">
        <v>6.2880682595302503E-4</v>
      </c>
      <c r="I17" s="55">
        <v>6.3622674649927075E-4</v>
      </c>
      <c r="J17" s="55">
        <v>6.4029859767686609E-4</v>
      </c>
      <c r="K17" s="55">
        <v>6.4157919487221979E-4</v>
      </c>
      <c r="L17" s="55">
        <v>6.409376156773476E-4</v>
      </c>
      <c r="M17" s="55">
        <v>6.3895070906874784E-4</v>
      </c>
      <c r="N17" s="55">
        <v>6.3581985059431095E-4</v>
      </c>
      <c r="O17" s="55">
        <v>6.3175060355050736E-4</v>
      </c>
      <c r="P17" s="55">
        <v>6.2701247402387856E-4</v>
      </c>
      <c r="Q17" s="55">
        <v>6.21745569242078E-4</v>
      </c>
      <c r="R17" s="55">
        <v>6.1614985911889926E-4</v>
      </c>
      <c r="S17" s="55">
        <v>6.1035805044318161E-4</v>
      </c>
      <c r="T17" s="55">
        <v>6.0443757735388268E-4</v>
      </c>
      <c r="U17" s="51">
        <v>5.9845364533807918E-4</v>
      </c>
      <c r="V17" s="51">
        <v>5.9246910888469844E-4</v>
      </c>
      <c r="W17" s="51">
        <v>5.8654441779585145E-4</v>
      </c>
      <c r="X17" s="51">
        <v>5.8067897361789296E-4</v>
      </c>
      <c r="Y17" s="51">
        <v>5.7487218388171404E-4</v>
      </c>
      <c r="Z17" s="51">
        <v>5.6912346204289694E-4</v>
      </c>
      <c r="AA17" s="51">
        <v>5.6343222742246801E-4</v>
      </c>
      <c r="AB17" s="51">
        <v>5.5779790514824332E-4</v>
      </c>
      <c r="AC17" s="51">
        <v>5.5221992609676086E-4</v>
      </c>
      <c r="AD17" s="51">
        <v>5.4669772683579323E-4</v>
      </c>
      <c r="AE17" s="51">
        <v>5.4123074956743532E-4</v>
      </c>
      <c r="AF17" s="51">
        <v>5.35818442071761E-4</v>
      </c>
      <c r="AG17" s="51">
        <v>5.3046025765104336E-4</v>
      </c>
      <c r="AH17" s="51">
        <v>5.2515565507453294E-4</v>
      </c>
      <c r="AI17" s="51">
        <v>5.1990409852378761E-4</v>
      </c>
      <c r="AJ17" s="51">
        <v>5.1470505753854973E-4</v>
      </c>
      <c r="AK17" s="51">
        <v>5.0955800696316422E-4</v>
      </c>
      <c r="AL17" s="51">
        <v>5.0446242689353258E-4</v>
      </c>
      <c r="AM17" s="51">
        <v>4.9941780262459726E-4</v>
      </c>
      <c r="AN17" s="51">
        <v>4.9442362459835125E-4</v>
      </c>
      <c r="AO17" s="51">
        <v>4.8947938835236775E-4</v>
      </c>
      <c r="AP17" s="51">
        <v>4.8458459446884409E-4</v>
      </c>
      <c r="AQ17" s="51">
        <v>4.7973874852415564E-4</v>
      </c>
      <c r="AR17" s="51">
        <v>4.7494136103891409E-4</v>
      </c>
      <c r="AS17" s="51">
        <v>4.7019194742852497E-4</v>
      </c>
      <c r="AT17" s="51">
        <v>4.6549002795423972E-4</v>
      </c>
      <c r="AU17" s="51">
        <v>4.608351276746973E-4</v>
      </c>
      <c r="AV17" s="51">
        <v>4.5622677639795033E-4</v>
      </c>
      <c r="AW17" s="51">
        <v>4.5166450863397083E-4</v>
      </c>
      <c r="AX17" s="51">
        <v>4.4714786354763114E-4</v>
      </c>
      <c r="AY17" s="51">
        <v>4.426763849121548E-4</v>
      </c>
      <c r="AZ17" s="51">
        <v>4.3824962106303323E-4</v>
      </c>
      <c r="BA17" s="51">
        <v>4.3386712485240288E-4</v>
      </c>
      <c r="BB17" s="51">
        <v>4.2952845360387884E-4</v>
      </c>
      <c r="BC17" s="51">
        <v>4.2523316906784004E-4</v>
      </c>
      <c r="BD17" s="51">
        <v>4.2098083737716164E-4</v>
      </c>
      <c r="BE17" s="51">
        <v>4.1677102900339005E-4</v>
      </c>
      <c r="BF17" s="51">
        <v>4.1260331871335616E-4</v>
      </c>
      <c r="BG17" s="51">
        <v>4.0847728552622259E-4</v>
      </c>
      <c r="BH17" s="51">
        <v>4.0439251267096037E-4</v>
      </c>
      <c r="BI17" s="51">
        <v>4.0034858754425074E-4</v>
      </c>
      <c r="BJ17" s="51">
        <v>3.9634510166880823E-4</v>
      </c>
      <c r="BK17" s="51">
        <v>3.9238165065212015E-4</v>
      </c>
      <c r="BL17" s="51">
        <v>3.8845783414559893E-4</v>
      </c>
      <c r="BM17" s="51">
        <v>3.8457325580414293E-4</v>
      </c>
      <c r="BN17" s="51">
        <v>3.8072752324610148E-4</v>
      </c>
      <c r="BO17" s="51">
        <v>3.7692024801364048E-4</v>
      </c>
      <c r="BP17" s="51">
        <v>3.7315104553350406E-4</v>
      </c>
      <c r="BQ17" s="51">
        <v>3.6941953507816901E-4</v>
      </c>
      <c r="BR17" s="51">
        <v>3.6572533972738729E-4</v>
      </c>
      <c r="BS17" s="51">
        <v>3.6206808633011342E-4</v>
      </c>
      <c r="BT17" s="51">
        <v>3.5844740546681227E-4</v>
      </c>
      <c r="BU17" s="51">
        <v>3.5486293141214414E-4</v>
      </c>
      <c r="BV17" s="51">
        <v>3.5131430209802268E-4</v>
      </c>
      <c r="BW17" s="51">
        <v>3.4780115907704246E-4</v>
      </c>
      <c r="BX17" s="51">
        <v>3.44323147486272E-4</v>
      </c>
      <c r="BY17" s="51">
        <v>3.4087991601140929E-4</v>
      </c>
      <c r="BZ17" s="51">
        <v>3.3747111685129518E-4</v>
      </c>
      <c r="CA17" s="51">
        <v>3.3409640568278222E-4</v>
      </c>
      <c r="CB17" s="51">
        <v>3.3075544162595441E-4</v>
      </c>
      <c r="CC17" s="51">
        <v>3.2744788720969484E-4</v>
      </c>
      <c r="CD17" s="51">
        <v>3.2417340833759787E-4</v>
      </c>
      <c r="CE17" s="51">
        <v>3.2093167425422189E-4</v>
      </c>
      <c r="CF17" s="51">
        <v>3.1772235751167965E-4</v>
      </c>
      <c r="CG17" s="51">
        <v>3.1454513393656285E-4</v>
      </c>
      <c r="CH17" s="51">
        <v>3.1139968259719721E-4</v>
      </c>
      <c r="CI17" s="51">
        <v>3.0828568577122523E-4</v>
      </c>
      <c r="CJ17" s="51">
        <v>3.0520282891351299E-4</v>
      </c>
      <c r="CK17" s="51">
        <v>3.0215080062437788E-4</v>
      </c>
      <c r="CL17" s="51">
        <v>2.9912929261813413E-4</v>
      </c>
      <c r="CM17" s="51">
        <v>2.9613799969195278E-4</v>
      </c>
      <c r="CN17" s="51">
        <v>2.9317661969503327E-4</v>
      </c>
      <c r="CO17" s="51">
        <v>2.9024485349808291E-4</v>
      </c>
      <c r="CP17" s="51">
        <v>2.8734240496310206E-4</v>
      </c>
      <c r="CQ17" s="51">
        <v>2.8446898091347102E-4</v>
      </c>
      <c r="CR17" s="51">
        <v>2.8162429110433629E-4</v>
      </c>
      <c r="CS17" s="51">
        <v>2.7880804819329291E-4</v>
      </c>
      <c r="CT17" s="51">
        <v>2.7601996771135995E-4</v>
      </c>
      <c r="CU17" s="51">
        <v>2.7325976803424637E-4</v>
      </c>
      <c r="CV17" s="51">
        <v>2.705271703539039E-4</v>
      </c>
      <c r="CW17" s="51">
        <v>2.6782189865036485E-4</v>
      </c>
      <c r="CX17" s="55">
        <v>2.6514367966386118E-4</v>
      </c>
      <c r="CY17" s="53">
        <v>2.6249224286722256E-4</v>
      </c>
    </row>
    <row r="18" spans="1:103" ht="15.75">
      <c r="A18" s="54">
        <v>36</v>
      </c>
      <c r="B18" s="55">
        <v>5.3600000000000002E-4</v>
      </c>
      <c r="C18" s="55">
        <v>5.5733280000000007E-4</v>
      </c>
      <c r="D18" s="55">
        <v>5.7851144640000006E-4</v>
      </c>
      <c r="E18" s="55">
        <v>5.9847009130080007E-4</v>
      </c>
      <c r="F18" s="55">
        <v>6.162446530124339E-4</v>
      </c>
      <c r="G18" s="55">
        <v>6.311577736153348E-4</v>
      </c>
      <c r="H18" s="55">
        <v>6.4270796087249546E-4</v>
      </c>
      <c r="I18" s="55">
        <v>6.5074181038340159E-4</v>
      </c>
      <c r="J18" s="55">
        <v>6.5542715141816217E-4</v>
      </c>
      <c r="K18" s="55">
        <v>6.573278901572748E-4</v>
      </c>
      <c r="L18" s="55">
        <v>6.5719642457924337E-4</v>
      </c>
      <c r="M18" s="55">
        <v>6.5561915316025322E-4</v>
      </c>
      <c r="N18" s="55">
        <v>6.5279999080166415E-4</v>
      </c>
      <c r="O18" s="55">
        <v>6.4894847085593432E-4</v>
      </c>
      <c r="P18" s="55">
        <v>6.4427604186577164E-4</v>
      </c>
      <c r="Q18" s="55">
        <v>6.3899297832247231E-4</v>
      </c>
      <c r="R18" s="55">
        <v>6.332420415175701E-4</v>
      </c>
      <c r="S18" s="55">
        <v>6.2728956632730499E-4</v>
      </c>
      <c r="T18" s="55">
        <v>6.2120485753393013E-4</v>
      </c>
      <c r="U18" s="51">
        <v>6.1505492944434427E-4</v>
      </c>
      <c r="V18" s="51">
        <v>6.0890438014990077E-4</v>
      </c>
      <c r="W18" s="51">
        <v>6.0281533634840175E-4</v>
      </c>
      <c r="X18" s="51">
        <v>5.9678718298491768E-4</v>
      </c>
      <c r="Y18" s="51">
        <v>5.9081931115506853E-4</v>
      </c>
      <c r="Z18" s="51">
        <v>5.849111180435178E-4</v>
      </c>
      <c r="AA18" s="51">
        <v>5.7906200686308267E-4</v>
      </c>
      <c r="AB18" s="51">
        <v>5.7327138679445181E-4</v>
      </c>
      <c r="AC18" s="51">
        <v>5.675386729265073E-4</v>
      </c>
      <c r="AD18" s="51">
        <v>5.6186328619724224E-4</v>
      </c>
      <c r="AE18" s="51">
        <v>5.5624465333526979E-4</v>
      </c>
      <c r="AF18" s="51">
        <v>5.506822068019171E-4</v>
      </c>
      <c r="AG18" s="51">
        <v>5.4517538473389791E-4</v>
      </c>
      <c r="AH18" s="51">
        <v>5.3972363088655891E-4</v>
      </c>
      <c r="AI18" s="51">
        <v>5.3432639457769333E-4</v>
      </c>
      <c r="AJ18" s="51">
        <v>5.2898313063191643E-4</v>
      </c>
      <c r="AK18" s="51">
        <v>5.2369329932559728E-4</v>
      </c>
      <c r="AL18" s="51">
        <v>5.1845636633234134E-4</v>
      </c>
      <c r="AM18" s="51">
        <v>5.1327180266901788E-4</v>
      </c>
      <c r="AN18" s="51">
        <v>5.0813908464232766E-4</v>
      </c>
      <c r="AO18" s="51">
        <v>5.0305769379590441E-4</v>
      </c>
      <c r="AP18" s="51">
        <v>4.9802711685794537E-4</v>
      </c>
      <c r="AQ18" s="51">
        <v>4.9304684568936589E-4</v>
      </c>
      <c r="AR18" s="51">
        <v>4.8811637723247223E-4</v>
      </c>
      <c r="AS18" s="51">
        <v>4.832352134601475E-4</v>
      </c>
      <c r="AT18" s="51">
        <v>4.7840286132554599E-4</v>
      </c>
      <c r="AU18" s="51">
        <v>4.7361883271229054E-4</v>
      </c>
      <c r="AV18" s="51">
        <v>4.6888264438516762E-4</v>
      </c>
      <c r="AW18" s="51">
        <v>4.6419381794131592E-4</v>
      </c>
      <c r="AX18" s="51">
        <v>4.5955187976190275E-4</v>
      </c>
      <c r="AY18" s="51">
        <v>4.549563609642837E-4</v>
      </c>
      <c r="AZ18" s="51">
        <v>4.5040679735464085E-4</v>
      </c>
      <c r="BA18" s="51">
        <v>4.4590272938109445E-4</v>
      </c>
      <c r="BB18" s="51">
        <v>4.4144370208728351E-4</v>
      </c>
      <c r="BC18" s="51">
        <v>4.3702926506641068E-4</v>
      </c>
      <c r="BD18" s="51">
        <v>4.3265897241574655E-4</v>
      </c>
      <c r="BE18" s="51">
        <v>4.283323826915891E-4</v>
      </c>
      <c r="BF18" s="51">
        <v>4.2404905886467319E-4</v>
      </c>
      <c r="BG18" s="51">
        <v>4.1980856827602647E-4</v>
      </c>
      <c r="BH18" s="51">
        <v>4.156104825932662E-4</v>
      </c>
      <c r="BI18" s="51">
        <v>4.1145437776733354E-4</v>
      </c>
      <c r="BJ18" s="51">
        <v>4.0733983398966021E-4</v>
      </c>
      <c r="BK18" s="51">
        <v>4.032664356497636E-4</v>
      </c>
      <c r="BL18" s="51">
        <v>3.9923377129326594E-4</v>
      </c>
      <c r="BM18" s="51">
        <v>3.9524143358033326E-4</v>
      </c>
      <c r="BN18" s="51">
        <v>3.9128901924452992E-4</v>
      </c>
      <c r="BO18" s="51">
        <v>3.873761290520846E-4</v>
      </c>
      <c r="BP18" s="51">
        <v>3.8350236776156374E-4</v>
      </c>
      <c r="BQ18" s="51">
        <v>3.7966734408394811E-4</v>
      </c>
      <c r="BR18" s="51">
        <v>3.7587067064310864E-4</v>
      </c>
      <c r="BS18" s="51">
        <v>3.7211196393667755E-4</v>
      </c>
      <c r="BT18" s="51">
        <v>3.6839084429731079E-4</v>
      </c>
      <c r="BU18" s="51">
        <v>3.6470693585433767E-4</v>
      </c>
      <c r="BV18" s="51">
        <v>3.6105986649579428E-4</v>
      </c>
      <c r="BW18" s="51">
        <v>3.5744926783083631E-4</v>
      </c>
      <c r="BX18" s="51">
        <v>3.5387477515252795E-4</v>
      </c>
      <c r="BY18" s="51">
        <v>3.5033602740100267E-4</v>
      </c>
      <c r="BZ18" s="51">
        <v>3.4683266712699263E-4</v>
      </c>
      <c r="CA18" s="51">
        <v>3.4336434045572272E-4</v>
      </c>
      <c r="CB18" s="51">
        <v>3.3993069705116549E-4</v>
      </c>
      <c r="CC18" s="51">
        <v>3.3653139008065386E-4</v>
      </c>
      <c r="CD18" s="51">
        <v>3.3316607617984734E-4</v>
      </c>
      <c r="CE18" s="51">
        <v>3.2983441541804885E-4</v>
      </c>
      <c r="CF18" s="51">
        <v>3.2653607126386833E-4</v>
      </c>
      <c r="CG18" s="51">
        <v>3.2327071055122963E-4</v>
      </c>
      <c r="CH18" s="51">
        <v>3.2003800344571732E-4</v>
      </c>
      <c r="CI18" s="51">
        <v>3.1683762341126016E-4</v>
      </c>
      <c r="CJ18" s="51">
        <v>3.1366924717714755E-4</v>
      </c>
      <c r="CK18" s="51">
        <v>3.1053255470537606E-4</v>
      </c>
      <c r="CL18" s="51">
        <v>3.0742722915832229E-4</v>
      </c>
      <c r="CM18" s="51">
        <v>3.0435295686673909E-4</v>
      </c>
      <c r="CN18" s="51">
        <v>3.0130942729807169E-4</v>
      </c>
      <c r="CO18" s="51">
        <v>2.9829633302509099E-4</v>
      </c>
      <c r="CP18" s="51">
        <v>2.9531336969484007E-4</v>
      </c>
      <c r="CQ18" s="51">
        <v>2.9236023599789167E-4</v>
      </c>
      <c r="CR18" s="51">
        <v>2.8943663363791277E-4</v>
      </c>
      <c r="CS18" s="51">
        <v>2.8654226730153365E-4</v>
      </c>
      <c r="CT18" s="51">
        <v>2.8367684462851829E-4</v>
      </c>
      <c r="CU18" s="51">
        <v>2.8084007618223313E-4</v>
      </c>
      <c r="CV18" s="51">
        <v>2.7803167542041077E-4</v>
      </c>
      <c r="CW18" s="51">
        <v>2.7525135866620666E-4</v>
      </c>
      <c r="CX18" s="55">
        <v>2.7249884507954457E-4</v>
      </c>
      <c r="CY18" s="53">
        <v>2.6977385662874912E-4</v>
      </c>
    </row>
    <row r="19" spans="1:103" ht="15.75">
      <c r="A19" s="54">
        <v>37</v>
      </c>
      <c r="B19" s="55">
        <v>5.5099999999999995E-4</v>
      </c>
      <c r="C19" s="55">
        <v>5.7160740000000005E-4</v>
      </c>
      <c r="D19" s="55">
        <v>5.9224242714000011E-4</v>
      </c>
      <c r="E19" s="55">
        <v>6.1190487572104801E-4</v>
      </c>
      <c r="F19" s="55">
        <v>6.2965011711695832E-4</v>
      </c>
      <c r="G19" s="55">
        <v>6.4469875491605369E-4</v>
      </c>
      <c r="H19" s="55">
        <v>6.5662568188200061E-4</v>
      </c>
      <c r="I19" s="55">
        <v>6.6516181574646652E-4</v>
      </c>
      <c r="J19" s="55">
        <v>6.7041659409086359E-4</v>
      </c>
      <c r="K19" s="55">
        <v>6.7289713548899979E-4</v>
      </c>
      <c r="L19" s="55">
        <v>6.7330087377029315E-4</v>
      </c>
      <c r="M19" s="55">
        <v>6.7215626228488362E-4</v>
      </c>
      <c r="N19" s="55">
        <v>6.6966928411442948E-4</v>
      </c>
      <c r="O19" s="55">
        <v>6.6605306998021162E-4</v>
      </c>
      <c r="P19" s="55">
        <v>6.6145730379734812E-4</v>
      </c>
      <c r="Q19" s="55">
        <v>6.5616564536696929E-4</v>
      </c>
      <c r="R19" s="55">
        <v>6.5039138768773993E-4</v>
      </c>
      <c r="S19" s="55">
        <v>6.4427770864347524E-4</v>
      </c>
      <c r="T19" s="55">
        <v>6.3802821486963349E-4</v>
      </c>
      <c r="U19" s="51">
        <v>6.3171173554242414E-4</v>
      </c>
      <c r="V19" s="51">
        <v>6.2539461818699989E-4</v>
      </c>
      <c r="W19" s="51">
        <v>6.1914067200512994E-4</v>
      </c>
      <c r="X19" s="51">
        <v>6.1294926528507863E-4</v>
      </c>
      <c r="Y19" s="51">
        <v>6.0681977263222781E-4</v>
      </c>
      <c r="Z19" s="51">
        <v>6.007515749059055E-4</v>
      </c>
      <c r="AA19" s="51">
        <v>5.9474405915684644E-4</v>
      </c>
      <c r="AB19" s="51">
        <v>5.8879661856527793E-4</v>
      </c>
      <c r="AC19" s="51">
        <v>5.8290865237962518E-4</v>
      </c>
      <c r="AD19" s="51">
        <v>5.7707956585582897E-4</v>
      </c>
      <c r="AE19" s="51">
        <v>5.7130877019727062E-4</v>
      </c>
      <c r="AF19" s="51">
        <v>5.6559568249529792E-4</v>
      </c>
      <c r="AG19" s="51">
        <v>5.5993972567034496E-4</v>
      </c>
      <c r="AH19" s="51">
        <v>5.543403284136415E-4</v>
      </c>
      <c r="AI19" s="51">
        <v>5.4879692512950506E-4</v>
      </c>
      <c r="AJ19" s="51">
        <v>5.4330895587820997E-4</v>
      </c>
      <c r="AK19" s="51">
        <v>5.3787586631942781E-4</v>
      </c>
      <c r="AL19" s="51">
        <v>5.3249710765623348E-4</v>
      </c>
      <c r="AM19" s="51">
        <v>5.2717213657967109E-4</v>
      </c>
      <c r="AN19" s="51">
        <v>5.2190041521387441E-4</v>
      </c>
      <c r="AO19" s="51">
        <v>5.166814110617356E-4</v>
      </c>
      <c r="AP19" s="51">
        <v>5.1151459695111823E-4</v>
      </c>
      <c r="AQ19" s="51">
        <v>5.0639945098160703E-4</v>
      </c>
      <c r="AR19" s="51">
        <v>5.0133545647179092E-4</v>
      </c>
      <c r="AS19" s="51">
        <v>4.9632210190707305E-4</v>
      </c>
      <c r="AT19" s="51">
        <v>4.9135888088800231E-4</v>
      </c>
      <c r="AU19" s="51">
        <v>4.8644529207912229E-4</v>
      </c>
      <c r="AV19" s="51">
        <v>4.8158083915833105E-4</v>
      </c>
      <c r="AW19" s="51">
        <v>4.7676503076674774E-4</v>
      </c>
      <c r="AX19" s="51">
        <v>4.7199738045908024E-4</v>
      </c>
      <c r="AY19" s="51">
        <v>4.6727740665448943E-4</v>
      </c>
      <c r="AZ19" s="51">
        <v>4.6260463258794452E-4</v>
      </c>
      <c r="BA19" s="51">
        <v>4.5797858626206504E-4</v>
      </c>
      <c r="BB19" s="51">
        <v>4.5339880039944441E-4</v>
      </c>
      <c r="BC19" s="51">
        <v>4.4886481239544995E-4</v>
      </c>
      <c r="BD19" s="51">
        <v>4.4437616427149546E-4</v>
      </c>
      <c r="BE19" s="51">
        <v>4.399324026287805E-4</v>
      </c>
      <c r="BF19" s="51">
        <v>4.3553307860249267E-4</v>
      </c>
      <c r="BG19" s="51">
        <v>4.3117774781646775E-4</v>
      </c>
      <c r="BH19" s="51">
        <v>4.2686597033830305E-4</v>
      </c>
      <c r="BI19" s="51">
        <v>4.2259731063492E-4</v>
      </c>
      <c r="BJ19" s="51">
        <v>4.183713375285708E-4</v>
      </c>
      <c r="BK19" s="51">
        <v>4.141876241532851E-4</v>
      </c>
      <c r="BL19" s="51">
        <v>4.1004574791175222E-4</v>
      </c>
      <c r="BM19" s="51">
        <v>4.0594529043263471E-4</v>
      </c>
      <c r="BN19" s="51">
        <v>4.0188583752830836E-4</v>
      </c>
      <c r="BO19" s="51">
        <v>3.9786697915302529E-4</v>
      </c>
      <c r="BP19" s="51">
        <v>3.9388830936149503E-4</v>
      </c>
      <c r="BQ19" s="51">
        <v>3.899494262678801E-4</v>
      </c>
      <c r="BR19" s="51">
        <v>3.8604993200520128E-4</v>
      </c>
      <c r="BS19" s="51">
        <v>3.8218943268514928E-4</v>
      </c>
      <c r="BT19" s="51">
        <v>3.7836753835829778E-4</v>
      </c>
      <c r="BU19" s="51">
        <v>3.745838629747148E-4</v>
      </c>
      <c r="BV19" s="51">
        <v>3.7083802434496763E-4</v>
      </c>
      <c r="BW19" s="51">
        <v>3.6712964410151795E-4</v>
      </c>
      <c r="BX19" s="51">
        <v>3.6345834766050275E-4</v>
      </c>
      <c r="BY19" s="51">
        <v>3.5982376418389769E-4</v>
      </c>
      <c r="BZ19" s="51">
        <v>3.5622552654205871E-4</v>
      </c>
      <c r="CA19" s="51">
        <v>3.5266327127663811E-4</v>
      </c>
      <c r="CB19" s="51">
        <v>3.491366385638717E-4</v>
      </c>
      <c r="CC19" s="51">
        <v>3.4564527217823297E-4</v>
      </c>
      <c r="CD19" s="51">
        <v>3.4218881945645066E-4</v>
      </c>
      <c r="CE19" s="51">
        <v>3.3876693126188613E-4</v>
      </c>
      <c r="CF19" s="51">
        <v>3.3537926194926725E-4</v>
      </c>
      <c r="CG19" s="51">
        <v>3.3202546932977459E-4</v>
      </c>
      <c r="CH19" s="51">
        <v>3.2870521463647682E-4</v>
      </c>
      <c r="CI19" s="51">
        <v>3.2541816249011203E-4</v>
      </c>
      <c r="CJ19" s="51">
        <v>3.2216398086521092E-4</v>
      </c>
      <c r="CK19" s="51">
        <v>3.1894234105655882E-4</v>
      </c>
      <c r="CL19" s="51">
        <v>3.1575291764599325E-4</v>
      </c>
      <c r="CM19" s="51">
        <v>3.1259538846953333E-4</v>
      </c>
      <c r="CN19" s="51">
        <v>3.0946943458483799E-4</v>
      </c>
      <c r="CO19" s="51">
        <v>3.0637474023898962E-4</v>
      </c>
      <c r="CP19" s="51">
        <v>3.0331099283659971E-4</v>
      </c>
      <c r="CQ19" s="51">
        <v>3.0027788290823372E-4</v>
      </c>
      <c r="CR19" s="51">
        <v>2.9727510407915139E-4</v>
      </c>
      <c r="CS19" s="51">
        <v>2.9430235303835986E-4</v>
      </c>
      <c r="CT19" s="51">
        <v>2.9135932950797628E-4</v>
      </c>
      <c r="CU19" s="51">
        <v>2.8844573621289649E-4</v>
      </c>
      <c r="CV19" s="51">
        <v>2.8556127885076755E-4</v>
      </c>
      <c r="CW19" s="51">
        <v>2.8270566606225988E-4</v>
      </c>
      <c r="CX19" s="55">
        <v>2.7987860940163729E-4</v>
      </c>
      <c r="CY19" s="53">
        <v>2.7707982330762093E-4</v>
      </c>
    </row>
    <row r="20" spans="1:103" ht="15.75">
      <c r="A20" s="54">
        <v>38</v>
      </c>
      <c r="B20" s="55">
        <v>5.6999999999999998E-4</v>
      </c>
      <c r="C20" s="55">
        <v>5.8938000000000003E-4</v>
      </c>
      <c r="D20" s="55">
        <v>6.0906529200000013E-4</v>
      </c>
      <c r="E20" s="55">
        <v>6.2800722258120009E-4</v>
      </c>
      <c r="F20" s="55">
        <v>6.4534022192444128E-4</v>
      </c>
      <c r="G20" s="55">
        <v>6.6031211507308835E-4</v>
      </c>
      <c r="H20" s="55">
        <v>6.7232979556741852E-4</v>
      </c>
      <c r="I20" s="55">
        <v>6.8120454886890847E-4</v>
      </c>
      <c r="J20" s="55">
        <v>6.8692666707940726E-4</v>
      </c>
      <c r="K20" s="55">
        <v>6.8988045174784868E-4</v>
      </c>
      <c r="L20" s="55">
        <v>6.90777296335121E-4</v>
      </c>
      <c r="M20" s="55">
        <v>6.9008651903878582E-4</v>
      </c>
      <c r="N20" s="55">
        <v>6.8794725082976555E-4</v>
      </c>
      <c r="O20" s="55">
        <v>6.8450751457561671E-4</v>
      </c>
      <c r="P20" s="55">
        <v>6.8005821573087521E-4</v>
      </c>
      <c r="Q20" s="55">
        <v>6.748217674697474E-4</v>
      </c>
      <c r="R20" s="55">
        <v>6.6895081809276061E-4</v>
      </c>
      <c r="S20" s="55">
        <v>6.6272957548449798E-4</v>
      </c>
      <c r="T20" s="55">
        <v>6.5630109860229829E-4</v>
      </c>
      <c r="U20" s="51">
        <v>6.4980371772613548E-4</v>
      </c>
      <c r="V20" s="51">
        <v>6.4330568054887414E-4</v>
      </c>
      <c r="W20" s="51">
        <v>6.3687262374338542E-4</v>
      </c>
      <c r="X20" s="51">
        <v>6.3050389750595153E-4</v>
      </c>
      <c r="Y20" s="51">
        <v>6.2419885853089207E-4</v>
      </c>
      <c r="Z20" s="51">
        <v>6.1795686994558314E-4</v>
      </c>
      <c r="AA20" s="51">
        <v>6.1177730124612731E-4</v>
      </c>
      <c r="AB20" s="51">
        <v>6.0565952823366605E-4</v>
      </c>
      <c r="AC20" s="51">
        <v>5.9960293295132933E-4</v>
      </c>
      <c r="AD20" s="51">
        <v>5.9360690362181604E-4</v>
      </c>
      <c r="AE20" s="51">
        <v>5.8767083458559789E-4</v>
      </c>
      <c r="AF20" s="51">
        <v>5.8179412623974192E-4</v>
      </c>
      <c r="AG20" s="51">
        <v>5.7597618497734449E-4</v>
      </c>
      <c r="AH20" s="51">
        <v>5.7021642312757108E-4</v>
      </c>
      <c r="AI20" s="51">
        <v>5.6451425889629536E-4</v>
      </c>
      <c r="AJ20" s="51">
        <v>5.588691163073324E-4</v>
      </c>
      <c r="AK20" s="51">
        <v>5.5328042514425906E-4</v>
      </c>
      <c r="AL20" s="51">
        <v>5.4774762089281645E-4</v>
      </c>
      <c r="AM20" s="51">
        <v>5.4227014468388832E-4</v>
      </c>
      <c r="AN20" s="51">
        <v>5.368474432370494E-4</v>
      </c>
      <c r="AO20" s="51">
        <v>5.3147896880467889E-4</v>
      </c>
      <c r="AP20" s="51">
        <v>5.2616417911663209E-4</v>
      </c>
      <c r="AQ20" s="51">
        <v>5.2090253732546576E-4</v>
      </c>
      <c r="AR20" s="51">
        <v>5.156935119522111E-4</v>
      </c>
      <c r="AS20" s="51">
        <v>5.1053657683268895E-4</v>
      </c>
      <c r="AT20" s="51">
        <v>5.0543121106436204E-4</v>
      </c>
      <c r="AU20" s="51">
        <v>5.003768989537184E-4</v>
      </c>
      <c r="AV20" s="51">
        <v>4.9537312996418125E-4</v>
      </c>
      <c r="AW20" s="51">
        <v>4.9041939866453939E-4</v>
      </c>
      <c r="AX20" s="51">
        <v>4.8551520467789399E-4</v>
      </c>
      <c r="AY20" s="51">
        <v>4.8066005263111507E-4</v>
      </c>
      <c r="AZ20" s="51">
        <v>4.7585345210480388E-4</v>
      </c>
      <c r="BA20" s="51">
        <v>4.7109491758375586E-4</v>
      </c>
      <c r="BB20" s="51">
        <v>4.6638396840791832E-4</v>
      </c>
      <c r="BC20" s="51">
        <v>4.6172012872383914E-4</v>
      </c>
      <c r="BD20" s="51">
        <v>4.5710292743660075E-4</v>
      </c>
      <c r="BE20" s="51">
        <v>4.5253189816223474E-4</v>
      </c>
      <c r="BF20" s="51">
        <v>4.4800657918061241E-4</v>
      </c>
      <c r="BG20" s="51">
        <v>4.4352651338880626E-4</v>
      </c>
      <c r="BH20" s="51">
        <v>4.3909124825491821E-4</v>
      </c>
      <c r="BI20" s="51">
        <v>4.3470033577236905E-4</v>
      </c>
      <c r="BJ20" s="51">
        <v>4.3035333241464536E-4</v>
      </c>
      <c r="BK20" s="51">
        <v>4.2604979909049892E-4</v>
      </c>
      <c r="BL20" s="51">
        <v>4.2178930109959393E-4</v>
      </c>
      <c r="BM20" s="51">
        <v>4.1757140808859801E-4</v>
      </c>
      <c r="BN20" s="51">
        <v>4.1339569400771203E-4</v>
      </c>
      <c r="BO20" s="51">
        <v>4.0926173706763491E-4</v>
      </c>
      <c r="BP20" s="51">
        <v>4.0516911969695855E-4</v>
      </c>
      <c r="BQ20" s="51">
        <v>4.0111742849998895E-4</v>
      </c>
      <c r="BR20" s="51">
        <v>3.9710625421498905E-4</v>
      </c>
      <c r="BS20" s="51">
        <v>3.9313519167283914E-4</v>
      </c>
      <c r="BT20" s="51">
        <v>3.8920383975611075E-4</v>
      </c>
      <c r="BU20" s="51">
        <v>3.8531180135854967E-4</v>
      </c>
      <c r="BV20" s="51">
        <v>3.8145868334496416E-4</v>
      </c>
      <c r="BW20" s="51">
        <v>3.776440965115145E-4</v>
      </c>
      <c r="BX20" s="51">
        <v>3.7386765554639934E-4</v>
      </c>
      <c r="BY20" s="51">
        <v>3.7012897899093536E-4</v>
      </c>
      <c r="BZ20" s="51">
        <v>3.6642768920102601E-4</v>
      </c>
      <c r="CA20" s="51">
        <v>3.6276341230901576E-4</v>
      </c>
      <c r="CB20" s="51">
        <v>3.5913577818592559E-4</v>
      </c>
      <c r="CC20" s="51">
        <v>3.5554442040406633E-4</v>
      </c>
      <c r="CD20" s="51">
        <v>3.5198897620002567E-4</v>
      </c>
      <c r="CE20" s="51">
        <v>3.4846908643802543E-4</v>
      </c>
      <c r="CF20" s="51">
        <v>3.4498439557364519E-4</v>
      </c>
      <c r="CG20" s="51">
        <v>3.4153455161790874E-4</v>
      </c>
      <c r="CH20" s="51">
        <v>3.3811920610172966E-4</v>
      </c>
      <c r="CI20" s="51">
        <v>3.3473801404071234E-4</v>
      </c>
      <c r="CJ20" s="51">
        <v>3.3139063390030522E-4</v>
      </c>
      <c r="CK20" s="51">
        <v>3.2807672756130217E-4</v>
      </c>
      <c r="CL20" s="51">
        <v>3.2479596028568914E-4</v>
      </c>
      <c r="CM20" s="51">
        <v>3.2154800068283227E-4</v>
      </c>
      <c r="CN20" s="51">
        <v>3.1833252067600394E-4</v>
      </c>
      <c r="CO20" s="51">
        <v>3.151491954692439E-4</v>
      </c>
      <c r="CP20" s="51">
        <v>3.1199770351455147E-4</v>
      </c>
      <c r="CQ20" s="51">
        <v>3.0887772647940597E-4</v>
      </c>
      <c r="CR20" s="51">
        <v>3.0578894921461189E-4</v>
      </c>
      <c r="CS20" s="51">
        <v>3.0273105972246578E-4</v>
      </c>
      <c r="CT20" s="51">
        <v>2.9970374912524113E-4</v>
      </c>
      <c r="CU20" s="51">
        <v>2.967067116339887E-4</v>
      </c>
      <c r="CV20" s="51">
        <v>2.9373964451764883E-4</v>
      </c>
      <c r="CW20" s="51">
        <v>2.9080224807247234E-4</v>
      </c>
      <c r="CX20" s="55">
        <v>2.8789422559174761E-4</v>
      </c>
      <c r="CY20" s="53">
        <v>2.8501528333583012E-4</v>
      </c>
    </row>
    <row r="21" spans="1:103" ht="15.75">
      <c r="A21" s="54">
        <v>39</v>
      </c>
      <c r="B21" s="55">
        <v>5.9500000000000004E-4</v>
      </c>
      <c r="C21" s="55">
        <v>6.1279050000000005E-4</v>
      </c>
      <c r="D21" s="55">
        <v>6.3111293595000009E-4</v>
      </c>
      <c r="E21" s="55">
        <v>6.489734320373851E-4</v>
      </c>
      <c r="F21" s="55">
        <v>6.6558715189754222E-4</v>
      </c>
      <c r="G21" s="55">
        <v>6.8016351052409838E-4</v>
      </c>
      <c r="H21" s="55">
        <v>6.9213438830932259E-4</v>
      </c>
      <c r="I21" s="55">
        <v>7.0120134879617481E-4</v>
      </c>
      <c r="J21" s="55">
        <v>7.0730180053070154E-4</v>
      </c>
      <c r="K21" s="55">
        <v>7.1076757935330194E-4</v>
      </c>
      <c r="L21" s="55">
        <v>7.121891145120085E-4</v>
      </c>
      <c r="M21" s="55">
        <v>7.1190423886620369E-4</v>
      </c>
      <c r="N21" s="55">
        <v>7.1005328784515156E-4</v>
      </c>
      <c r="O21" s="55">
        <v>7.0685804804984838E-4</v>
      </c>
      <c r="P21" s="55">
        <v>7.0254621395674432E-4</v>
      </c>
      <c r="Q21" s="55">
        <v>6.9727711735206876E-4</v>
      </c>
      <c r="R21" s="55">
        <v>6.9135026185457619E-4</v>
      </c>
      <c r="S21" s="55">
        <v>6.8498983944551407E-4</v>
      </c>
      <c r="T21" s="55">
        <v>6.7834543800289254E-4</v>
      </c>
      <c r="U21" s="51">
        <v>6.7162981816666384E-4</v>
      </c>
      <c r="V21" s="51">
        <v>6.6491351998499717E-4</v>
      </c>
      <c r="W21" s="51">
        <v>6.582643847851472E-4</v>
      </c>
      <c r="X21" s="51">
        <v>6.5168174093729577E-4</v>
      </c>
      <c r="Y21" s="51">
        <v>6.451649235279228E-4</v>
      </c>
      <c r="Z21" s="51">
        <v>6.3871327429264357E-4</v>
      </c>
      <c r="AA21" s="51">
        <v>6.3232614154971716E-4</v>
      </c>
      <c r="AB21" s="51">
        <v>6.2600288013422002E-4</v>
      </c>
      <c r="AC21" s="51">
        <v>6.1974285133287784E-4</v>
      </c>
      <c r="AD21" s="51">
        <v>6.1354542281954908E-4</v>
      </c>
      <c r="AE21" s="51">
        <v>6.0740996859135355E-4</v>
      </c>
      <c r="AF21" s="51">
        <v>6.0133586890544005E-4</v>
      </c>
      <c r="AG21" s="51">
        <v>5.9532251021638565E-4</v>
      </c>
      <c r="AH21" s="51">
        <v>5.893692851142218E-4</v>
      </c>
      <c r="AI21" s="51">
        <v>5.8347559226307958E-4</v>
      </c>
      <c r="AJ21" s="51">
        <v>5.7764083634044875E-4</v>
      </c>
      <c r="AK21" s="51">
        <v>5.7186442797704426E-4</v>
      </c>
      <c r="AL21" s="51">
        <v>5.6614578369727385E-4</v>
      </c>
      <c r="AM21" s="51">
        <v>5.6048432586030107E-4</v>
      </c>
      <c r="AN21" s="51">
        <v>5.5487948260169806E-4</v>
      </c>
      <c r="AO21" s="51">
        <v>5.4933068777568103E-4</v>
      </c>
      <c r="AP21" s="51">
        <v>5.4383738089792424E-4</v>
      </c>
      <c r="AQ21" s="51">
        <v>5.3839900708894494E-4</v>
      </c>
      <c r="AR21" s="51">
        <v>5.3301501701805544E-4</v>
      </c>
      <c r="AS21" s="51">
        <v>5.2768486684787489E-4</v>
      </c>
      <c r="AT21" s="51">
        <v>5.2240801817939617E-4</v>
      </c>
      <c r="AU21" s="51">
        <v>5.1718393799760217E-4</v>
      </c>
      <c r="AV21" s="51">
        <v>5.1201209861762617E-4</v>
      </c>
      <c r="AW21" s="51">
        <v>5.0689197763144995E-4</v>
      </c>
      <c r="AX21" s="51">
        <v>5.0182305785513549E-4</v>
      </c>
      <c r="AY21" s="51">
        <v>4.9680482727658415E-4</v>
      </c>
      <c r="AZ21" s="51">
        <v>4.9183677900381832E-4</v>
      </c>
      <c r="BA21" s="51">
        <v>4.8691841121378012E-4</v>
      </c>
      <c r="BB21" s="51">
        <v>4.8204922710164231E-4</v>
      </c>
      <c r="BC21" s="51">
        <v>4.7722873483062588E-4</v>
      </c>
      <c r="BD21" s="51">
        <v>4.724564474823196E-4</v>
      </c>
      <c r="BE21" s="51">
        <v>4.6773188300749637E-4</v>
      </c>
      <c r="BF21" s="51">
        <v>4.6305456417742138E-4</v>
      </c>
      <c r="BG21" s="51">
        <v>4.5842401853564717E-4</v>
      </c>
      <c r="BH21" s="51">
        <v>4.5383977835029068E-4</v>
      </c>
      <c r="BI21" s="51">
        <v>4.4930138056678776E-4</v>
      </c>
      <c r="BJ21" s="51">
        <v>4.4480836676111989E-4</v>
      </c>
      <c r="BK21" s="51">
        <v>4.403602830935087E-4</v>
      </c>
      <c r="BL21" s="51">
        <v>4.3595668026257363E-4</v>
      </c>
      <c r="BM21" s="51">
        <v>4.3159711345994791E-4</v>
      </c>
      <c r="BN21" s="51">
        <v>4.272811423253484E-4</v>
      </c>
      <c r="BO21" s="51">
        <v>4.230083309020949E-4</v>
      </c>
      <c r="BP21" s="51">
        <v>4.1877824759307394E-4</v>
      </c>
      <c r="BQ21" s="51">
        <v>4.145904651171432E-4</v>
      </c>
      <c r="BR21" s="51">
        <v>4.1044456046597174E-4</v>
      </c>
      <c r="BS21" s="51">
        <v>4.0634011486131202E-4</v>
      </c>
      <c r="BT21" s="51">
        <v>4.0227671371269888E-4</v>
      </c>
      <c r="BU21" s="51">
        <v>3.9825394657557188E-4</v>
      </c>
      <c r="BV21" s="51">
        <v>3.9427140710981615E-4</v>
      </c>
      <c r="BW21" s="51">
        <v>3.90328693038718E-4</v>
      </c>
      <c r="BX21" s="51">
        <v>3.864254061083308E-4</v>
      </c>
      <c r="BY21" s="51">
        <v>3.8256115204724747E-4</v>
      </c>
      <c r="BZ21" s="51">
        <v>3.7873554052677498E-4</v>
      </c>
      <c r="CA21" s="51">
        <v>3.7494818512150721E-4</v>
      </c>
      <c r="CB21" s="51">
        <v>3.7119870327029215E-4</v>
      </c>
      <c r="CC21" s="51">
        <v>3.6748671623758924E-4</v>
      </c>
      <c r="CD21" s="51">
        <v>3.6381184907521337E-4</v>
      </c>
      <c r="CE21" s="51">
        <v>3.6017373058446124E-4</v>
      </c>
      <c r="CF21" s="51">
        <v>3.5657199327861661E-4</v>
      </c>
      <c r="CG21" s="51">
        <v>3.5300627334583046E-4</v>
      </c>
      <c r="CH21" s="51">
        <v>3.4947621061237215E-4</v>
      </c>
      <c r="CI21" s="51">
        <v>3.459814485062484E-4</v>
      </c>
      <c r="CJ21" s="51">
        <v>3.425216340211859E-4</v>
      </c>
      <c r="CK21" s="51">
        <v>3.3909641768097406E-4</v>
      </c>
      <c r="CL21" s="51">
        <v>3.3570545350416429E-4</v>
      </c>
      <c r="CM21" s="51">
        <v>3.3234839896912266E-4</v>
      </c>
      <c r="CN21" s="51">
        <v>3.2902491497943144E-4</v>
      </c>
      <c r="CO21" s="51">
        <v>3.2573466582963713E-4</v>
      </c>
      <c r="CP21" s="51">
        <v>3.2247731917134077E-4</v>
      </c>
      <c r="CQ21" s="51">
        <v>3.1925254597962735E-4</v>
      </c>
      <c r="CR21" s="51">
        <v>3.1606002051983107E-4</v>
      </c>
      <c r="CS21" s="51">
        <v>3.1289942031463276E-4</v>
      </c>
      <c r="CT21" s="51">
        <v>3.0977042611148644E-4</v>
      </c>
      <c r="CU21" s="51">
        <v>3.0667272185037154E-4</v>
      </c>
      <c r="CV21" s="51">
        <v>3.0360599463186784E-4</v>
      </c>
      <c r="CW21" s="51">
        <v>3.0056993468554916E-4</v>
      </c>
      <c r="CX21" s="55">
        <v>2.9756423533869368E-4</v>
      </c>
      <c r="CY21" s="53">
        <v>2.9458859298530672E-4</v>
      </c>
    </row>
    <row r="22" spans="1:103" ht="15.75">
      <c r="A22" s="54">
        <v>40</v>
      </c>
      <c r="B22" s="55">
        <v>6.2799999999999998E-4</v>
      </c>
      <c r="C22" s="55">
        <v>6.4376279999999993E-4</v>
      </c>
      <c r="D22" s="55">
        <v>6.6030750395999998E-4</v>
      </c>
      <c r="E22" s="55">
        <v>6.7674916080860388E-4</v>
      </c>
      <c r="F22" s="55">
        <v>6.9231439150720174E-4</v>
      </c>
      <c r="G22" s="55">
        <v>7.0622991077649649E-4</v>
      </c>
      <c r="H22" s="55">
        <v>7.1795332729538634E-4</v>
      </c>
      <c r="I22" s="55">
        <v>7.2707133455203769E-4</v>
      </c>
      <c r="J22" s="55">
        <v>7.3346956229609558E-4</v>
      </c>
      <c r="K22" s="55">
        <v>7.3735695097626496E-4</v>
      </c>
      <c r="L22" s="55">
        <v>7.3920034335370557E-4</v>
      </c>
      <c r="M22" s="55">
        <v>7.3934818342237627E-4</v>
      </c>
      <c r="N22" s="55">
        <v>7.3786948705553148E-4</v>
      </c>
      <c r="O22" s="55">
        <v>7.349180091073094E-4</v>
      </c>
      <c r="P22" s="55">
        <v>7.3065548465448698E-4</v>
      </c>
      <c r="Q22" s="55">
        <v>7.2539476516497465E-4</v>
      </c>
      <c r="R22" s="55">
        <v>7.1937398861410533E-4</v>
      </c>
      <c r="S22" s="55">
        <v>7.1282768531771693E-4</v>
      </c>
      <c r="T22" s="55">
        <v>7.0598453953866678E-4</v>
      </c>
      <c r="U22" s="51">
        <v>6.9899529259723398E-4</v>
      </c>
      <c r="V22" s="51">
        <v>6.9200533967126159E-4</v>
      </c>
      <c r="W22" s="51">
        <v>6.8508528627454898E-4</v>
      </c>
      <c r="X22" s="51">
        <v>6.7823443341180352E-4</v>
      </c>
      <c r="Y22" s="51">
        <v>6.7145208907768545E-4</v>
      </c>
      <c r="Z22" s="51">
        <v>6.6473756818690854E-4</v>
      </c>
      <c r="AA22" s="51">
        <v>6.5809019250503943E-4</v>
      </c>
      <c r="AB22" s="51">
        <v>6.5150929057998898E-4</v>
      </c>
      <c r="AC22" s="51">
        <v>6.4499419767418905E-4</v>
      </c>
      <c r="AD22" s="51">
        <v>6.3854425569744716E-4</v>
      </c>
      <c r="AE22" s="51">
        <v>6.3215881314047267E-4</v>
      </c>
      <c r="AF22" s="51">
        <v>6.2583722500906798E-4</v>
      </c>
      <c r="AG22" s="51">
        <v>6.1957885275897733E-4</v>
      </c>
      <c r="AH22" s="51">
        <v>6.1338306423138758E-4</v>
      </c>
      <c r="AI22" s="51">
        <v>6.0724923358907367E-4</v>
      </c>
      <c r="AJ22" s="51">
        <v>6.0117674125318289E-4</v>
      </c>
      <c r="AK22" s="51">
        <v>5.9516497384065105E-4</v>
      </c>
      <c r="AL22" s="51">
        <v>5.892133241022445E-4</v>
      </c>
      <c r="AM22" s="51">
        <v>5.8332119086122204E-4</v>
      </c>
      <c r="AN22" s="51">
        <v>5.7748797895260985E-4</v>
      </c>
      <c r="AO22" s="51">
        <v>5.7171309916308373E-4</v>
      </c>
      <c r="AP22" s="51">
        <v>5.6599596817145286E-4</v>
      </c>
      <c r="AQ22" s="51">
        <v>5.6033600848973835E-4</v>
      </c>
      <c r="AR22" s="51">
        <v>5.5473264840484094E-4</v>
      </c>
      <c r="AS22" s="51">
        <v>5.4918532192079253E-4</v>
      </c>
      <c r="AT22" s="51">
        <v>5.4369346870158464E-4</v>
      </c>
      <c r="AU22" s="51">
        <v>5.3825653401456876E-4</v>
      </c>
      <c r="AV22" s="51">
        <v>5.3287396867442312E-4</v>
      </c>
      <c r="AW22" s="51">
        <v>5.2754522898767889E-4</v>
      </c>
      <c r="AX22" s="51">
        <v>5.2226977669780211E-4</v>
      </c>
      <c r="AY22" s="51">
        <v>5.1704707893082409E-4</v>
      </c>
      <c r="AZ22" s="51">
        <v>5.1187660814151585E-4</v>
      </c>
      <c r="BA22" s="51">
        <v>5.0675784206010072E-4</v>
      </c>
      <c r="BB22" s="51">
        <v>5.0169026363949972E-4</v>
      </c>
      <c r="BC22" s="51">
        <v>4.9667336100310468E-4</v>
      </c>
      <c r="BD22" s="51">
        <v>4.9170662739307365E-4</v>
      </c>
      <c r="BE22" s="51">
        <v>4.8678956111914291E-4</v>
      </c>
      <c r="BF22" s="51">
        <v>4.8192166550795149E-4</v>
      </c>
      <c r="BG22" s="51">
        <v>4.77102448852872E-4</v>
      </c>
      <c r="BH22" s="51">
        <v>4.723314243643433E-4</v>
      </c>
      <c r="BI22" s="51">
        <v>4.6760811012069988E-4</v>
      </c>
      <c r="BJ22" s="51">
        <v>4.6293202901949286E-4</v>
      </c>
      <c r="BK22" s="51">
        <v>4.5830270872929791E-4</v>
      </c>
      <c r="BL22" s="51">
        <v>4.5371968164200494E-4</v>
      </c>
      <c r="BM22" s="51">
        <v>4.4918248482558491E-4</v>
      </c>
      <c r="BN22" s="51">
        <v>4.4469065997732905E-4</v>
      </c>
      <c r="BO22" s="51">
        <v>4.4024375337755575E-4</v>
      </c>
      <c r="BP22" s="51">
        <v>4.3584131584378018E-4</v>
      </c>
      <c r="BQ22" s="51">
        <v>4.314829026853424E-4</v>
      </c>
      <c r="BR22" s="51">
        <v>4.2716807365848899E-4</v>
      </c>
      <c r="BS22" s="51">
        <v>4.2289639292190408E-4</v>
      </c>
      <c r="BT22" s="51">
        <v>4.1866742899268503E-4</v>
      </c>
      <c r="BU22" s="51">
        <v>4.1448075470275819E-4</v>
      </c>
      <c r="BV22" s="51">
        <v>4.1033594715573059E-4</v>
      </c>
      <c r="BW22" s="51">
        <v>4.0623258768417327E-4</v>
      </c>
      <c r="BX22" s="51">
        <v>4.0217026180733154E-4</v>
      </c>
      <c r="BY22" s="51">
        <v>3.9814855918925824E-4</v>
      </c>
      <c r="BZ22" s="51">
        <v>3.9416707359736562E-4</v>
      </c>
      <c r="CA22" s="51">
        <v>3.9022540286139199E-4</v>
      </c>
      <c r="CB22" s="51">
        <v>3.8632314883277807E-4</v>
      </c>
      <c r="CC22" s="51">
        <v>3.8245991734445027E-4</v>
      </c>
      <c r="CD22" s="51">
        <v>3.7863531817100576E-4</v>
      </c>
      <c r="CE22" s="51">
        <v>3.7484896498929572E-4</v>
      </c>
      <c r="CF22" s="51">
        <v>3.7110047533940273E-4</v>
      </c>
      <c r="CG22" s="51">
        <v>3.6738947058600872E-4</v>
      </c>
      <c r="CH22" s="51">
        <v>3.637155758801486E-4</v>
      </c>
      <c r="CI22" s="51">
        <v>3.6007842012134711E-4</v>
      </c>
      <c r="CJ22" s="51">
        <v>3.5647763592013362E-4</v>
      </c>
      <c r="CK22" s="51">
        <v>3.5291285956093229E-4</v>
      </c>
      <c r="CL22" s="51">
        <v>3.4938373096532298E-4</v>
      </c>
      <c r="CM22" s="51">
        <v>3.4588989365566975E-4</v>
      </c>
      <c r="CN22" s="51">
        <v>3.4243099471911303E-4</v>
      </c>
      <c r="CO22" s="51">
        <v>3.3900668477192188E-4</v>
      </c>
      <c r="CP22" s="51">
        <v>3.3561661792420264E-4</v>
      </c>
      <c r="CQ22" s="51">
        <v>3.3226045174496063E-4</v>
      </c>
      <c r="CR22" s="51">
        <v>3.2893784722751103E-4</v>
      </c>
      <c r="CS22" s="51">
        <v>3.256484687552359E-4</v>
      </c>
      <c r="CT22" s="51">
        <v>3.2239198406768357E-4</v>
      </c>
      <c r="CU22" s="51">
        <v>3.1916806422700673E-4</v>
      </c>
      <c r="CV22" s="51">
        <v>3.1597638358473666E-4</v>
      </c>
      <c r="CW22" s="51">
        <v>3.128166197488893E-4</v>
      </c>
      <c r="CX22" s="55">
        <v>3.096884535514004E-4</v>
      </c>
      <c r="CY22" s="53">
        <v>3.0659156901588638E-4</v>
      </c>
    </row>
    <row r="23" spans="1:103" ht="15.75">
      <c r="A23" s="54">
        <v>41</v>
      </c>
      <c r="B23" s="55">
        <v>6.7100000000000005E-4</v>
      </c>
      <c r="C23" s="55">
        <v>6.8435290000000003E-4</v>
      </c>
      <c r="D23" s="55">
        <v>6.9872431089999993E-4</v>
      </c>
      <c r="E23" s="55">
        <v>7.133975214288999E-4</v>
      </c>
      <c r="F23" s="55">
        <v>7.2759413210533505E-4</v>
      </c>
      <c r="G23" s="55">
        <v>7.4061806707002061E-4</v>
      </c>
      <c r="H23" s="55">
        <v>7.5187546168948498E-4</v>
      </c>
      <c r="I23" s="55">
        <v>7.6089796722975881E-4</v>
      </c>
      <c r="J23" s="55">
        <v>7.6751777954465767E-4</v>
      </c>
      <c r="K23" s="55">
        <v>7.7181587911010776E-4</v>
      </c>
      <c r="L23" s="55">
        <v>7.7405414515952702E-4</v>
      </c>
      <c r="M23" s="55">
        <v>7.7451857764662267E-4</v>
      </c>
      <c r="N23" s="55">
        <v>7.7327934792238804E-4</v>
      </c>
      <c r="O23" s="55">
        <v>7.7049554226986741E-4</v>
      </c>
      <c r="P23" s="55">
        <v>7.6633486634161013E-4</v>
      </c>
      <c r="Q23" s="55">
        <v>7.6104715576385303E-4</v>
      </c>
      <c r="R23" s="55">
        <v>7.5488267380216588E-4</v>
      </c>
      <c r="S23" s="55">
        <v>7.4808872973794634E-4</v>
      </c>
      <c r="T23" s="55">
        <v>7.4090707793246198E-4</v>
      </c>
      <c r="U23" s="51">
        <v>7.3357209786093056E-4</v>
      </c>
      <c r="V23" s="51">
        <v>7.2623637688232125E-4</v>
      </c>
      <c r="W23" s="51">
        <v>7.1897401311349807E-4</v>
      </c>
      <c r="X23" s="51">
        <v>7.1178427298236309E-4</v>
      </c>
      <c r="Y23" s="51">
        <v>7.0466643025253949E-4</v>
      </c>
      <c r="Z23" s="51">
        <v>6.9761976595001404E-4</v>
      </c>
      <c r="AA23" s="51">
        <v>6.9064356829051394E-4</v>
      </c>
      <c r="AB23" s="51">
        <v>6.8373713260760883E-4</v>
      </c>
      <c r="AC23" s="51">
        <v>6.7689976128153273E-4</v>
      </c>
      <c r="AD23" s="51">
        <v>6.7013076366871736E-4</v>
      </c>
      <c r="AE23" s="51">
        <v>6.6342945603203017E-4</v>
      </c>
      <c r="AF23" s="51">
        <v>6.5679516147170987E-4</v>
      </c>
      <c r="AG23" s="51">
        <v>6.5022720985699275E-4</v>
      </c>
      <c r="AH23" s="51">
        <v>6.4372493775842281E-4</v>
      </c>
      <c r="AI23" s="51">
        <v>6.372876883808386E-4</v>
      </c>
      <c r="AJ23" s="51">
        <v>6.3091481149703016E-4</v>
      </c>
      <c r="AK23" s="51">
        <v>6.2460566338205987E-4</v>
      </c>
      <c r="AL23" s="51">
        <v>6.1835960674823929E-4</v>
      </c>
      <c r="AM23" s="51">
        <v>6.1217601068075693E-4</v>
      </c>
      <c r="AN23" s="51">
        <v>6.0605425057394936E-4</v>
      </c>
      <c r="AO23" s="51">
        <v>5.9999370806820991E-4</v>
      </c>
      <c r="AP23" s="51">
        <v>5.9399377098752785E-4</v>
      </c>
      <c r="AQ23" s="51">
        <v>5.8805383327765256E-4</v>
      </c>
      <c r="AR23" s="51">
        <v>5.8217329494487599E-4</v>
      </c>
      <c r="AS23" s="51">
        <v>5.763515619954272E-4</v>
      </c>
      <c r="AT23" s="51">
        <v>5.7058804637547293E-4</v>
      </c>
      <c r="AU23" s="51">
        <v>5.6488216591171823E-4</v>
      </c>
      <c r="AV23" s="51">
        <v>5.5923334425260105E-4</v>
      </c>
      <c r="AW23" s="51">
        <v>5.5364101081007506E-4</v>
      </c>
      <c r="AX23" s="51">
        <v>5.4810460070197427E-4</v>
      </c>
      <c r="AY23" s="51">
        <v>5.4262355469495457E-4</v>
      </c>
      <c r="AZ23" s="51">
        <v>5.3719731914800501E-4</v>
      </c>
      <c r="BA23" s="51">
        <v>5.3182534595652491E-4</v>
      </c>
      <c r="BB23" s="51">
        <v>5.265070924969597E-4</v>
      </c>
      <c r="BC23" s="51">
        <v>5.2124202157199007E-4</v>
      </c>
      <c r="BD23" s="51">
        <v>5.1602960135627011E-4</v>
      </c>
      <c r="BE23" s="51">
        <v>5.1086930534270745E-4</v>
      </c>
      <c r="BF23" s="51">
        <v>5.0576061228928032E-4</v>
      </c>
      <c r="BG23" s="51">
        <v>5.0070300616638752E-4</v>
      </c>
      <c r="BH23" s="51">
        <v>4.9569597610472362E-4</v>
      </c>
      <c r="BI23" s="51">
        <v>4.9073901634367643E-4</v>
      </c>
      <c r="BJ23" s="51">
        <v>4.8583162618023965E-4</v>
      </c>
      <c r="BK23" s="51">
        <v>4.8097330991843726E-4</v>
      </c>
      <c r="BL23" s="51">
        <v>4.7616357681925289E-4</v>
      </c>
      <c r="BM23" s="51">
        <v>4.7140194105106035E-4</v>
      </c>
      <c r="BN23" s="51">
        <v>4.6668792164054977E-4</v>
      </c>
      <c r="BO23" s="51">
        <v>4.6202104242414429E-4</v>
      </c>
      <c r="BP23" s="51">
        <v>4.5740083199990284E-4</v>
      </c>
      <c r="BQ23" s="51">
        <v>4.5282682367990383E-4</v>
      </c>
      <c r="BR23" s="51">
        <v>4.4829855544310478E-4</v>
      </c>
      <c r="BS23" s="51">
        <v>4.4381556988867371E-4</v>
      </c>
      <c r="BT23" s="51">
        <v>4.3937741418978698E-4</v>
      </c>
      <c r="BU23" s="51">
        <v>4.349836400478891E-4</v>
      </c>
      <c r="BV23" s="51">
        <v>4.3063380364741021E-4</v>
      </c>
      <c r="BW23" s="51">
        <v>4.2632746561093609E-4</v>
      </c>
      <c r="BX23" s="51">
        <v>4.220641909548267E-4</v>
      </c>
      <c r="BY23" s="51">
        <v>4.1784354904527842E-4</v>
      </c>
      <c r="BZ23" s="51">
        <v>4.1366511355482561E-4</v>
      </c>
      <c r="CA23" s="51">
        <v>4.0952846241927733E-4</v>
      </c>
      <c r="CB23" s="51">
        <v>4.0543317779508456E-4</v>
      </c>
      <c r="CC23" s="51">
        <v>4.0137884601713371E-4</v>
      </c>
      <c r="CD23" s="51">
        <v>3.973650575569624E-4</v>
      </c>
      <c r="CE23" s="51">
        <v>3.9339140698139275E-4</v>
      </c>
      <c r="CF23" s="51">
        <v>3.894574929115788E-4</v>
      </c>
      <c r="CG23" s="51">
        <v>3.8556291798246299E-4</v>
      </c>
      <c r="CH23" s="51">
        <v>3.8170728880263834E-4</v>
      </c>
      <c r="CI23" s="51">
        <v>3.7789021591461196E-4</v>
      </c>
      <c r="CJ23" s="51">
        <v>3.7411131375546583E-4</v>
      </c>
      <c r="CK23" s="51">
        <v>3.7037020061791119E-4</v>
      </c>
      <c r="CL23" s="51">
        <v>3.6666649861173206E-4</v>
      </c>
      <c r="CM23" s="51">
        <v>3.6299983362561474E-4</v>
      </c>
      <c r="CN23" s="51">
        <v>3.5936983528935858E-4</v>
      </c>
      <c r="CO23" s="51">
        <v>3.5577613693646496E-4</v>
      </c>
      <c r="CP23" s="51">
        <v>3.5221837556710032E-4</v>
      </c>
      <c r="CQ23" s="51">
        <v>3.4869619181142933E-4</v>
      </c>
      <c r="CR23" s="51">
        <v>3.4520922989331502E-4</v>
      </c>
      <c r="CS23" s="51">
        <v>3.4175713759438184E-4</v>
      </c>
      <c r="CT23" s="51">
        <v>3.3833956621843802E-4</v>
      </c>
      <c r="CU23" s="51">
        <v>3.3495617055625366E-4</v>
      </c>
      <c r="CV23" s="51">
        <v>3.3160660885069113E-4</v>
      </c>
      <c r="CW23" s="51">
        <v>3.2829054276218423E-4</v>
      </c>
      <c r="CX23" s="55">
        <v>3.2500763733456239E-4</v>
      </c>
      <c r="CY23" s="53">
        <v>3.2175756096121676E-4</v>
      </c>
    </row>
    <row r="24" spans="1:103" ht="15.75">
      <c r="A24" s="54">
        <v>42</v>
      </c>
      <c r="B24" s="55">
        <v>7.2499999999999995E-4</v>
      </c>
      <c r="C24" s="55">
        <v>7.3558499999999986E-4</v>
      </c>
      <c r="D24" s="55">
        <v>7.4742791849999985E-4</v>
      </c>
      <c r="E24" s="55">
        <v>7.5990996473894977E-4</v>
      </c>
      <c r="F24" s="55">
        <v>7.7237248816066847E-4</v>
      </c>
      <c r="G24" s="55">
        <v>7.8418978722952682E-4</v>
      </c>
      <c r="H24" s="55">
        <v>7.9469793037840249E-4</v>
      </c>
      <c r="I24" s="55">
        <v>8.0343960761256484E-4</v>
      </c>
      <c r="J24" s="55">
        <v>8.1010815635574912E-4</v>
      </c>
      <c r="K24" s="55">
        <v>8.1464476203134135E-4</v>
      </c>
      <c r="L24" s="55">
        <v>8.1725162526984172E-4</v>
      </c>
      <c r="M24" s="55">
        <v>8.1806887689511146E-4</v>
      </c>
      <c r="N24" s="55">
        <v>8.1708719424283729E-4</v>
      </c>
      <c r="O24" s="55">
        <v>8.1439080650183592E-4</v>
      </c>
      <c r="P24" s="55">
        <v>8.1023741338867659E-4</v>
      </c>
      <c r="Q24" s="55">
        <v>8.0480882271897244E-4</v>
      </c>
      <c r="R24" s="55">
        <v>7.983703521372206E-4</v>
      </c>
      <c r="S24" s="55">
        <v>7.9126485600319928E-4</v>
      </c>
      <c r="T24" s="55">
        <v>7.8374783987116893E-4</v>
      </c>
      <c r="U24" s="51">
        <v>7.7598873625644429E-4</v>
      </c>
      <c r="V24" s="51">
        <v>7.6822884889387981E-4</v>
      </c>
      <c r="W24" s="51">
        <v>7.6054656040494095E-4</v>
      </c>
      <c r="X24" s="51">
        <v>7.5294109480089156E-4</v>
      </c>
      <c r="Y24" s="51">
        <v>7.454116838528826E-4</v>
      </c>
      <c r="Z24" s="51">
        <v>7.3795756701435379E-4</v>
      </c>
      <c r="AA24" s="51">
        <v>7.3057799134421022E-4</v>
      </c>
      <c r="AB24" s="51">
        <v>7.2327221143076814E-4</v>
      </c>
      <c r="AC24" s="51">
        <v>7.1603948931646042E-4</v>
      </c>
      <c r="AD24" s="51">
        <v>7.0887909442329583E-4</v>
      </c>
      <c r="AE24" s="51">
        <v>7.0179030347906283E-4</v>
      </c>
      <c r="AF24" s="51">
        <v>6.9477240044427222E-4</v>
      </c>
      <c r="AG24" s="51">
        <v>6.8782467643982946E-4</v>
      </c>
      <c r="AH24" s="51">
        <v>6.8094642967543118E-4</v>
      </c>
      <c r="AI24" s="51">
        <v>6.7413696537867683E-4</v>
      </c>
      <c r="AJ24" s="51">
        <v>6.6739559572489009E-4</v>
      </c>
      <c r="AK24" s="51">
        <v>6.6072163976764117E-4</v>
      </c>
      <c r="AL24" s="51">
        <v>6.5411442336996476E-4</v>
      </c>
      <c r="AM24" s="51">
        <v>6.4757327913626513E-4</v>
      </c>
      <c r="AN24" s="51">
        <v>6.4109754634490246E-4</v>
      </c>
      <c r="AO24" s="51">
        <v>6.3468657088145341E-4</v>
      </c>
      <c r="AP24" s="51">
        <v>6.2833970517263893E-4</v>
      </c>
      <c r="AQ24" s="51">
        <v>6.2205630812091253E-4</v>
      </c>
      <c r="AR24" s="51">
        <v>6.1583574503970345E-4</v>
      </c>
      <c r="AS24" s="51">
        <v>6.0967738758930645E-4</v>
      </c>
      <c r="AT24" s="51">
        <v>6.0358061371341336E-4</v>
      </c>
      <c r="AU24" s="51">
        <v>5.9754480757627927E-4</v>
      </c>
      <c r="AV24" s="51">
        <v>5.915693595005165E-4</v>
      </c>
      <c r="AW24" s="51">
        <v>5.8565366590551129E-4</v>
      </c>
      <c r="AX24" s="51">
        <v>5.7979712924645615E-4</v>
      </c>
      <c r="AY24" s="51">
        <v>5.7399915795399163E-4</v>
      </c>
      <c r="AZ24" s="51">
        <v>5.6825916637445175E-4</v>
      </c>
      <c r="BA24" s="51">
        <v>5.6257657471070726E-4</v>
      </c>
      <c r="BB24" s="51">
        <v>5.5695080896360017E-4</v>
      </c>
      <c r="BC24" s="51">
        <v>5.5138130087396418E-4</v>
      </c>
      <c r="BD24" s="51">
        <v>5.4586748786522457E-4</v>
      </c>
      <c r="BE24" s="51">
        <v>5.404088129865723E-4</v>
      </c>
      <c r="BF24" s="51">
        <v>5.3500472485670662E-4</v>
      </c>
      <c r="BG24" s="51">
        <v>5.2965467760813958E-4</v>
      </c>
      <c r="BH24" s="51">
        <v>5.2435813083205813E-4</v>
      </c>
      <c r="BI24" s="51">
        <v>5.1911454952373759E-4</v>
      </c>
      <c r="BJ24" s="51">
        <v>5.1392340402850022E-4</v>
      </c>
      <c r="BK24" s="51">
        <v>5.0878416998821521E-4</v>
      </c>
      <c r="BL24" s="51">
        <v>5.0369632828833302E-4</v>
      </c>
      <c r="BM24" s="51">
        <v>4.9865936500544973E-4</v>
      </c>
      <c r="BN24" s="51">
        <v>4.9367277135539526E-4</v>
      </c>
      <c r="BO24" s="51">
        <v>4.8873604364184126E-4</v>
      </c>
      <c r="BP24" s="51">
        <v>4.8384868320542284E-4</v>
      </c>
      <c r="BQ24" s="51">
        <v>4.7901019637336861E-4</v>
      </c>
      <c r="BR24" s="51">
        <v>4.7422009440963492E-4</v>
      </c>
      <c r="BS24" s="51">
        <v>4.6947789346553858E-4</v>
      </c>
      <c r="BT24" s="51">
        <v>4.6478311453088318E-4</v>
      </c>
      <c r="BU24" s="51">
        <v>4.6013528338557436E-4</v>
      </c>
      <c r="BV24" s="51">
        <v>4.5553393055171862E-4</v>
      </c>
      <c r="BW24" s="51">
        <v>4.5097859124620146E-4</v>
      </c>
      <c r="BX24" s="51">
        <v>4.4646880533373941E-4</v>
      </c>
      <c r="BY24" s="51">
        <v>4.4200411728040204E-4</v>
      </c>
      <c r="BZ24" s="51">
        <v>4.3758407610759801E-4</v>
      </c>
      <c r="CA24" s="51">
        <v>4.3320823534652203E-4</v>
      </c>
      <c r="CB24" s="51">
        <v>4.2887615299305683E-4</v>
      </c>
      <c r="CC24" s="51">
        <v>4.2458739146312627E-4</v>
      </c>
      <c r="CD24" s="51">
        <v>4.2034151754849502E-4</v>
      </c>
      <c r="CE24" s="51">
        <v>4.1613810237301006E-4</v>
      </c>
      <c r="CF24" s="51">
        <v>4.1197672134927994E-4</v>
      </c>
      <c r="CG24" s="51">
        <v>4.0785695413578715E-4</v>
      </c>
      <c r="CH24" s="51">
        <v>4.0377838459442926E-4</v>
      </c>
      <c r="CI24" s="51">
        <v>3.9974060074848497E-4</v>
      </c>
      <c r="CJ24" s="51">
        <v>3.9574319474100012E-4</v>
      </c>
      <c r="CK24" s="51">
        <v>3.9178576279359014E-4</v>
      </c>
      <c r="CL24" s="51">
        <v>3.8786790516565425E-4</v>
      </c>
      <c r="CM24" s="51">
        <v>3.839892261139977E-4</v>
      </c>
      <c r="CN24" s="51">
        <v>3.8014933385285772E-4</v>
      </c>
      <c r="CO24" s="51">
        <v>3.7634784051432916E-4</v>
      </c>
      <c r="CP24" s="51">
        <v>3.7258436210918587E-4</v>
      </c>
      <c r="CQ24" s="51">
        <v>3.68858518488094E-4</v>
      </c>
      <c r="CR24" s="51">
        <v>3.6516993330321307E-4</v>
      </c>
      <c r="CS24" s="51">
        <v>3.6151823397018092E-4</v>
      </c>
      <c r="CT24" s="51">
        <v>3.579030516304791E-4</v>
      </c>
      <c r="CU24" s="51">
        <v>3.5432402111417431E-4</v>
      </c>
      <c r="CV24" s="51">
        <v>3.5078078090303259E-4</v>
      </c>
      <c r="CW24" s="51">
        <v>3.4727297309400227E-4</v>
      </c>
      <c r="CX24" s="55">
        <v>3.4380024336306224E-4</v>
      </c>
      <c r="CY24" s="53">
        <v>3.403622409294316E-4</v>
      </c>
    </row>
    <row r="25" spans="1:103" ht="15.75">
      <c r="A25" s="54">
        <v>43</v>
      </c>
      <c r="B25" s="55">
        <v>7.9299999999999998E-4</v>
      </c>
      <c r="C25" s="55">
        <v>8.0037490000000005E-4</v>
      </c>
      <c r="D25" s="55">
        <v>8.0925906139000018E-4</v>
      </c>
      <c r="E25" s="55">
        <v>8.1913202193895822E-4</v>
      </c>
      <c r="F25" s="55">
        <v>8.2953499861758298E-4</v>
      </c>
      <c r="G25" s="55">
        <v>8.3973827910057927E-4</v>
      </c>
      <c r="H25" s="55">
        <v>8.4922732165441592E-4</v>
      </c>
      <c r="I25" s="55">
        <v>8.5746482667446375E-4</v>
      </c>
      <c r="J25" s="55">
        <v>8.6406730583985718E-4</v>
      </c>
      <c r="K25" s="55">
        <v>8.6873326929139247E-4</v>
      </c>
      <c r="L25" s="55">
        <v>8.7160008908005414E-4</v>
      </c>
      <c r="M25" s="55">
        <v>8.7264600918695028E-4</v>
      </c>
      <c r="N25" s="55">
        <v>8.7186062777868203E-4</v>
      </c>
      <c r="O25" s="55">
        <v>8.6924504589534594E-4</v>
      </c>
      <c r="P25" s="55">
        <v>8.6507266967504831E-4</v>
      </c>
      <c r="Q25" s="55">
        <v>8.5944969732216049E-4</v>
      </c>
      <c r="R25" s="55">
        <v>8.5274598968304767E-4</v>
      </c>
      <c r="S25" s="55">
        <v>8.452418249738368E-4</v>
      </c>
      <c r="T25" s="55">
        <v>8.3721202763658534E-4</v>
      </c>
      <c r="U25" s="51">
        <v>8.2892362856298309E-4</v>
      </c>
      <c r="V25" s="51">
        <v>8.2063439227735328E-4</v>
      </c>
      <c r="W25" s="51">
        <v>8.1242804835457969E-4</v>
      </c>
      <c r="X25" s="51">
        <v>8.0430376787103393E-4</v>
      </c>
      <c r="Y25" s="51">
        <v>7.9626073019232362E-4</v>
      </c>
      <c r="Z25" s="51">
        <v>7.8829812289040043E-4</v>
      </c>
      <c r="AA25" s="51">
        <v>7.8041514166149646E-4</v>
      </c>
      <c r="AB25" s="51">
        <v>7.726109902448815E-4</v>
      </c>
      <c r="AC25" s="51">
        <v>7.648848803424327E-4</v>
      </c>
      <c r="AD25" s="51">
        <v>7.5723603153900838E-4</v>
      </c>
      <c r="AE25" s="51">
        <v>7.4966367122361827E-4</v>
      </c>
      <c r="AF25" s="51">
        <v>7.421670345113821E-4</v>
      </c>
      <c r="AG25" s="51">
        <v>7.3474536416626829E-4</v>
      </c>
      <c r="AH25" s="51">
        <v>7.2739791052460565E-4</v>
      </c>
      <c r="AI25" s="51">
        <v>7.2012393141935964E-4</v>
      </c>
      <c r="AJ25" s="51">
        <v>7.1292269210516599E-4</v>
      </c>
      <c r="AK25" s="51">
        <v>7.0579346518411434E-4</v>
      </c>
      <c r="AL25" s="51">
        <v>6.9873553053227319E-4</v>
      </c>
      <c r="AM25" s="51">
        <v>6.9174817522695041E-4</v>
      </c>
      <c r="AN25" s="51">
        <v>6.8483069347468088E-4</v>
      </c>
      <c r="AO25" s="51">
        <v>6.7798238653993411E-4</v>
      </c>
      <c r="AP25" s="51">
        <v>6.7120256267453476E-4</v>
      </c>
      <c r="AQ25" s="51">
        <v>6.6449053704778938E-4</v>
      </c>
      <c r="AR25" s="51">
        <v>6.5784563167731148E-4</v>
      </c>
      <c r="AS25" s="51">
        <v>6.5126717536053834E-4</v>
      </c>
      <c r="AT25" s="51">
        <v>6.4475450360693294E-4</v>
      </c>
      <c r="AU25" s="51">
        <v>6.3830695857086358E-4</v>
      </c>
      <c r="AV25" s="51">
        <v>6.3192388898515497E-4</v>
      </c>
      <c r="AW25" s="51">
        <v>6.2560465009530342E-4</v>
      </c>
      <c r="AX25" s="51">
        <v>6.1934860359435042E-4</v>
      </c>
      <c r="AY25" s="51">
        <v>6.131551175584069E-4</v>
      </c>
      <c r="AZ25" s="51">
        <v>6.0702356638282285E-4</v>
      </c>
      <c r="BA25" s="51">
        <v>6.0095333071899461E-4</v>
      </c>
      <c r="BB25" s="51">
        <v>5.9494379741180468E-4</v>
      </c>
      <c r="BC25" s="51">
        <v>5.8899435943768667E-4</v>
      </c>
      <c r="BD25" s="51">
        <v>5.8310441584330974E-4</v>
      </c>
      <c r="BE25" s="51">
        <v>5.7727337168487667E-4</v>
      </c>
      <c r="BF25" s="51">
        <v>5.7150063796802787E-4</v>
      </c>
      <c r="BG25" s="51">
        <v>5.6578563158834756E-4</v>
      </c>
      <c r="BH25" s="51">
        <v>5.6012777527246406E-4</v>
      </c>
      <c r="BI25" s="51">
        <v>5.5452649751973945E-4</v>
      </c>
      <c r="BJ25" s="51">
        <v>5.4898123254454203E-4</v>
      </c>
      <c r="BK25" s="51">
        <v>5.4349142021909661E-4</v>
      </c>
      <c r="BL25" s="51">
        <v>5.3805650601690565E-4</v>
      </c>
      <c r="BM25" s="51">
        <v>5.3267594095673661E-4</v>
      </c>
      <c r="BN25" s="51">
        <v>5.2734918154716921E-4</v>
      </c>
      <c r="BO25" s="51">
        <v>5.2207568973169753E-4</v>
      </c>
      <c r="BP25" s="51">
        <v>5.1685493283438056E-4</v>
      </c>
      <c r="BQ25" s="51">
        <v>5.1168638350603673E-4</v>
      </c>
      <c r="BR25" s="51">
        <v>5.065695196709764E-4</v>
      </c>
      <c r="BS25" s="51">
        <v>5.0150382447426668E-4</v>
      </c>
      <c r="BT25" s="51">
        <v>4.9648878622952398E-4</v>
      </c>
      <c r="BU25" s="51">
        <v>4.915238983672287E-4</v>
      </c>
      <c r="BV25" s="51">
        <v>4.8660865938355641E-4</v>
      </c>
      <c r="BW25" s="51">
        <v>4.8174257278972083E-4</v>
      </c>
      <c r="BX25" s="51">
        <v>4.7692514706182361E-4</v>
      </c>
      <c r="BY25" s="51">
        <v>4.7215589559120534E-4</v>
      </c>
      <c r="BZ25" s="51">
        <v>4.6743433663529329E-4</v>
      </c>
      <c r="CA25" s="51">
        <v>4.6275999326894033E-4</v>
      </c>
      <c r="CB25" s="51">
        <v>4.5813239333625092E-4</v>
      </c>
      <c r="CC25" s="51">
        <v>4.5355106940288839E-4</v>
      </c>
      <c r="CD25" s="51">
        <v>4.4901555870885949E-4</v>
      </c>
      <c r="CE25" s="51">
        <v>4.4452540312177091E-4</v>
      </c>
      <c r="CF25" s="51">
        <v>4.4008014909055319E-4</v>
      </c>
      <c r="CG25" s="51">
        <v>4.3567934759964765E-4</v>
      </c>
      <c r="CH25" s="51">
        <v>4.3132255412365114E-4</v>
      </c>
      <c r="CI25" s="51">
        <v>4.2700932858241464E-4</v>
      </c>
      <c r="CJ25" s="51">
        <v>4.2273923529659047E-4</v>
      </c>
      <c r="CK25" s="51">
        <v>4.1851184294362456E-4</v>
      </c>
      <c r="CL25" s="51">
        <v>4.143267245141883E-4</v>
      </c>
      <c r="CM25" s="51">
        <v>4.1018345726904641E-4</v>
      </c>
      <c r="CN25" s="51">
        <v>4.0608162269635594E-4</v>
      </c>
      <c r="CO25" s="51">
        <v>4.0202080646939236E-4</v>
      </c>
      <c r="CP25" s="51">
        <v>3.9800059840469843E-4</v>
      </c>
      <c r="CQ25" s="51">
        <v>3.9402059242065146E-4</v>
      </c>
      <c r="CR25" s="51">
        <v>3.9008038649644493E-4</v>
      </c>
      <c r="CS25" s="51">
        <v>3.861795826314805E-4</v>
      </c>
      <c r="CT25" s="51">
        <v>3.8231778680516569E-4</v>
      </c>
      <c r="CU25" s="51">
        <v>3.7849460893711406E-4</v>
      </c>
      <c r="CV25" s="51">
        <v>3.7470966284774293E-4</v>
      </c>
      <c r="CW25" s="51">
        <v>3.709625662192655E-4</v>
      </c>
      <c r="CX25" s="55">
        <v>3.6725294055707286E-4</v>
      </c>
      <c r="CY25" s="53">
        <v>3.6358041115150213E-4</v>
      </c>
    </row>
    <row r="26" spans="1:103" ht="15.75">
      <c r="A26" s="54">
        <v>44</v>
      </c>
      <c r="B26" s="55">
        <v>8.7600000000000004E-4</v>
      </c>
      <c r="C26" s="55">
        <v>8.7985440000000004E-4</v>
      </c>
      <c r="D26" s="55">
        <v>8.8539748272000005E-4</v>
      </c>
      <c r="E26" s="55">
        <v>8.9230358308521607E-4</v>
      </c>
      <c r="F26" s="55">
        <v>9.0015585461636588E-4</v>
      </c>
      <c r="G26" s="55">
        <v>9.0843728847883653E-4</v>
      </c>
      <c r="H26" s="55">
        <v>9.1661322407514596E-4</v>
      </c>
      <c r="I26" s="55">
        <v>9.2403779119015468E-4</v>
      </c>
      <c r="J26" s="55">
        <v>9.302288443911287E-4</v>
      </c>
      <c r="K26" s="55">
        <v>9.348799886130842E-4</v>
      </c>
      <c r="L26" s="55">
        <v>9.3787160457664619E-4</v>
      </c>
      <c r="M26" s="55">
        <v>9.3909083766259593E-4</v>
      </c>
      <c r="N26" s="55">
        <v>9.3843347407623207E-4</v>
      </c>
      <c r="O26" s="55">
        <v>9.358997036962262E-4</v>
      </c>
      <c r="P26" s="55">
        <v>9.3159456505922348E-4</v>
      </c>
      <c r="Q26" s="55">
        <v>9.2572551929935045E-4</v>
      </c>
      <c r="R26" s="55">
        <v>9.1869000535267534E-4</v>
      </c>
      <c r="S26" s="55">
        <v>9.1069740230610707E-4</v>
      </c>
      <c r="T26" s="55">
        <v>9.0204577698419907E-4</v>
      </c>
      <c r="U26" s="51">
        <v>8.9311552379205551E-4</v>
      </c>
      <c r="V26" s="51">
        <v>8.841843685541349E-4</v>
      </c>
      <c r="W26" s="51">
        <v>8.7534252486859356E-4</v>
      </c>
      <c r="X26" s="51">
        <v>8.6658909961990767E-4</v>
      </c>
      <c r="Y26" s="51">
        <v>8.5792320862370861E-4</v>
      </c>
      <c r="Z26" s="51">
        <v>8.4934397653747156E-4</v>
      </c>
      <c r="AA26" s="51">
        <v>8.408505367720968E-4</v>
      </c>
      <c r="AB26" s="51">
        <v>8.3244203140437581E-4</v>
      </c>
      <c r="AC26" s="51">
        <v>8.2411761109033206E-4</v>
      </c>
      <c r="AD26" s="51">
        <v>8.1587643497942877E-4</v>
      </c>
      <c r="AE26" s="51">
        <v>8.0771767062963451E-4</v>
      </c>
      <c r="AF26" s="51">
        <v>7.9964049392333811E-4</v>
      </c>
      <c r="AG26" s="51">
        <v>7.9164408898410468E-4</v>
      </c>
      <c r="AH26" s="51">
        <v>7.837276480942636E-4</v>
      </c>
      <c r="AI26" s="51">
        <v>7.7589037161332095E-4</v>
      </c>
      <c r="AJ26" s="51">
        <v>7.6813146789718771E-4</v>
      </c>
      <c r="AK26" s="51">
        <v>7.6045015321821586E-4</v>
      </c>
      <c r="AL26" s="51">
        <v>7.5284565168603373E-4</v>
      </c>
      <c r="AM26" s="51">
        <v>7.4531719516917336E-4</v>
      </c>
      <c r="AN26" s="51">
        <v>7.3786402321748162E-4</v>
      </c>
      <c r="AO26" s="51">
        <v>7.3048538298530678E-4</v>
      </c>
      <c r="AP26" s="51">
        <v>7.2318052915545375E-4</v>
      </c>
      <c r="AQ26" s="51">
        <v>7.1594872386389916E-4</v>
      </c>
      <c r="AR26" s="51">
        <v>7.0878923662526011E-4</v>
      </c>
      <c r="AS26" s="51">
        <v>7.0170134425900747E-4</v>
      </c>
      <c r="AT26" s="51">
        <v>6.9468433081641744E-4</v>
      </c>
      <c r="AU26" s="51">
        <v>6.8773748750825328E-4</v>
      </c>
      <c r="AV26" s="51">
        <v>6.8086011263317073E-4</v>
      </c>
      <c r="AW26" s="51">
        <v>6.74051511506839E-4</v>
      </c>
      <c r="AX26" s="51">
        <v>6.6731099639177058E-4</v>
      </c>
      <c r="AY26" s="51">
        <v>6.6063788642785283E-4</v>
      </c>
      <c r="AZ26" s="51">
        <v>6.540315075635743E-4</v>
      </c>
      <c r="BA26" s="51">
        <v>6.474911924879386E-4</v>
      </c>
      <c r="BB26" s="51">
        <v>6.4101628056305923E-4</v>
      </c>
      <c r="BC26" s="51">
        <v>6.3460611775742861E-4</v>
      </c>
      <c r="BD26" s="51">
        <v>6.2826005657985436E-4</v>
      </c>
      <c r="BE26" s="51">
        <v>6.2197745601405585E-4</v>
      </c>
      <c r="BF26" s="51">
        <v>6.157576814539153E-4</v>
      </c>
      <c r="BG26" s="51">
        <v>6.0960010463937612E-4</v>
      </c>
      <c r="BH26" s="51">
        <v>6.0350410359298232E-4</v>
      </c>
      <c r="BI26" s="51">
        <v>5.9746906255705252E-4</v>
      </c>
      <c r="BJ26" s="51">
        <v>5.9149437193148195E-4</v>
      </c>
      <c r="BK26" s="51">
        <v>5.8557942821216714E-4</v>
      </c>
      <c r="BL26" s="51">
        <v>5.7972363393004548E-4</v>
      </c>
      <c r="BM26" s="51">
        <v>5.7392639759074504E-4</v>
      </c>
      <c r="BN26" s="51">
        <v>5.6818713361483756E-4</v>
      </c>
      <c r="BO26" s="51">
        <v>5.6250526227868915E-4</v>
      </c>
      <c r="BP26" s="51">
        <v>5.5688020965590228E-4</v>
      </c>
      <c r="BQ26" s="51">
        <v>5.5131140755934323E-4</v>
      </c>
      <c r="BR26" s="51">
        <v>5.4579829348374979E-4</v>
      </c>
      <c r="BS26" s="51">
        <v>5.4034031054891226E-4</v>
      </c>
      <c r="BT26" s="51">
        <v>5.349369074434231E-4</v>
      </c>
      <c r="BU26" s="51">
        <v>5.2958753836898891E-4</v>
      </c>
      <c r="BV26" s="51">
        <v>5.2429166298529901E-4</v>
      </c>
      <c r="BW26" s="51">
        <v>5.1904874635544601E-4</v>
      </c>
      <c r="BX26" s="51">
        <v>5.138582588918915E-4</v>
      </c>
      <c r="BY26" s="51">
        <v>5.0871967630297253E-4</v>
      </c>
      <c r="BZ26" s="51">
        <v>5.0363247953994275E-4</v>
      </c>
      <c r="CA26" s="51">
        <v>4.9859615474454337E-4</v>
      </c>
      <c r="CB26" s="51">
        <v>4.9361019319709798E-4</v>
      </c>
      <c r="CC26" s="51">
        <v>4.88674091265127E-4</v>
      </c>
      <c r="CD26" s="51">
        <v>4.8378735035247572E-4</v>
      </c>
      <c r="CE26" s="51">
        <v>4.7894947684895095E-4</v>
      </c>
      <c r="CF26" s="51">
        <v>4.7415998208046143E-4</v>
      </c>
      <c r="CG26" s="51">
        <v>4.694183822596568E-4</v>
      </c>
      <c r="CH26" s="51">
        <v>4.647241984370602E-4</v>
      </c>
      <c r="CI26" s="51">
        <v>4.6007695645268958E-4</v>
      </c>
      <c r="CJ26" s="51">
        <v>4.5547618688816267E-4</v>
      </c>
      <c r="CK26" s="51">
        <v>4.5092142501928107E-4</v>
      </c>
      <c r="CL26" s="51">
        <v>4.4641221076908825E-4</v>
      </c>
      <c r="CM26" s="51">
        <v>4.4194808866139735E-4</v>
      </c>
      <c r="CN26" s="51">
        <v>4.3752860777478337E-4</v>
      </c>
      <c r="CO26" s="51">
        <v>4.3315332169703552E-4</v>
      </c>
      <c r="CP26" s="51">
        <v>4.2882178848006517E-4</v>
      </c>
      <c r="CQ26" s="51">
        <v>4.245335705952645E-4</v>
      </c>
      <c r="CR26" s="51">
        <v>4.2028823488931183E-4</v>
      </c>
      <c r="CS26" s="51">
        <v>4.1608535254041869E-4</v>
      </c>
      <c r="CT26" s="51">
        <v>4.1192449901501451E-4</v>
      </c>
      <c r="CU26" s="51">
        <v>4.0780525402486437E-4</v>
      </c>
      <c r="CV26" s="51">
        <v>4.0372720148461571E-4</v>
      </c>
      <c r="CW26" s="51">
        <v>3.9968992946976954E-4</v>
      </c>
      <c r="CX26" s="55">
        <v>3.9569303017507183E-4</v>
      </c>
      <c r="CY26" s="53">
        <v>3.917360998733211E-4</v>
      </c>
    </row>
    <row r="27" spans="1:103" ht="15.75">
      <c r="A27" s="54">
        <v>45</v>
      </c>
      <c r="B27" s="55">
        <v>9.7300000000000002E-4</v>
      </c>
      <c r="C27" s="55">
        <v>9.7309730000000002E-4</v>
      </c>
      <c r="D27" s="55">
        <v>9.7504349460000004E-4</v>
      </c>
      <c r="E27" s="55">
        <v>9.7865115553002016E-4</v>
      </c>
      <c r="F27" s="55">
        <v>9.8364227642322335E-4</v>
      </c>
      <c r="G27" s="55">
        <v>9.8964249430940504E-4</v>
      </c>
      <c r="H27" s="55">
        <v>9.9607517052241619E-4</v>
      </c>
      <c r="I27" s="55">
        <v>1.0023504440967075E-3</v>
      </c>
      <c r="J27" s="55">
        <v>1.0079636065836492E-3</v>
      </c>
      <c r="K27" s="55">
        <v>1.0123986464526172E-3</v>
      </c>
      <c r="L27" s="55">
        <v>1.0153346025273298E-3</v>
      </c>
      <c r="M27" s="55">
        <v>1.0165530040503626E-3</v>
      </c>
      <c r="N27" s="55">
        <v>1.0159430722479323E-3</v>
      </c>
      <c r="O27" s="55">
        <v>1.0133016202600875E-3</v>
      </c>
      <c r="P27" s="55">
        <v>1.0088430931309432E-3</v>
      </c>
      <c r="Q27" s="55">
        <v>1.0026891502628445E-3</v>
      </c>
      <c r="R27" s="55">
        <v>9.9516898163587312E-4</v>
      </c>
      <c r="S27" s="55">
        <v>9.8661052839380458E-4</v>
      </c>
      <c r="T27" s="55">
        <v>9.7733638942690292E-4</v>
      </c>
      <c r="U27" s="51">
        <v>9.6766075917157658E-4</v>
      </c>
      <c r="V27" s="51">
        <v>9.579841515798608E-4</v>
      </c>
      <c r="W27" s="51">
        <v>9.4840431006406223E-4</v>
      </c>
      <c r="X27" s="51">
        <v>9.3892026696342163E-4</v>
      </c>
      <c r="Y27" s="51">
        <v>9.2953106429378735E-4</v>
      </c>
      <c r="Z27" s="51">
        <v>9.2023575365084945E-4</v>
      </c>
      <c r="AA27" s="51">
        <v>9.1103339611434098E-4</v>
      </c>
      <c r="AB27" s="51">
        <v>9.0192306215319752E-4</v>
      </c>
      <c r="AC27" s="51">
        <v>8.9290383153166559E-4</v>
      </c>
      <c r="AD27" s="51">
        <v>8.8397479321634888E-4</v>
      </c>
      <c r="AE27" s="51">
        <v>8.7513504528418534E-4</v>
      </c>
      <c r="AF27" s="51">
        <v>8.6638369483134348E-4</v>
      </c>
      <c r="AG27" s="51">
        <v>8.5771985788303008E-4</v>
      </c>
      <c r="AH27" s="51">
        <v>8.4914265930419977E-4</v>
      </c>
      <c r="AI27" s="51">
        <v>8.4065123271115773E-4</v>
      </c>
      <c r="AJ27" s="51">
        <v>8.3224472038404614E-4</v>
      </c>
      <c r="AK27" s="51">
        <v>8.2392227318020571E-4</v>
      </c>
      <c r="AL27" s="51">
        <v>8.1568305044840369E-4</v>
      </c>
      <c r="AM27" s="51">
        <v>8.0752621994391966E-4</v>
      </c>
      <c r="AN27" s="51">
        <v>7.9945095774448045E-4</v>
      </c>
      <c r="AO27" s="51">
        <v>7.9145644816703566E-4</v>
      </c>
      <c r="AP27" s="51">
        <v>7.8354188368536535E-4</v>
      </c>
      <c r="AQ27" s="51">
        <v>7.7570646484851171E-4</v>
      </c>
      <c r="AR27" s="51">
        <v>7.6794940020002663E-4</v>
      </c>
      <c r="AS27" s="51">
        <v>7.6026990619802639E-4</v>
      </c>
      <c r="AT27" s="51">
        <v>7.526672071360461E-4</v>
      </c>
      <c r="AU27" s="51">
        <v>7.4514053506468563E-4</v>
      </c>
      <c r="AV27" s="51">
        <v>7.376891297140388E-4</v>
      </c>
      <c r="AW27" s="51">
        <v>7.3031223841689842E-4</v>
      </c>
      <c r="AX27" s="51">
        <v>7.2300911603272947E-4</v>
      </c>
      <c r="AY27" s="51">
        <v>7.1577902487240214E-4</v>
      </c>
      <c r="AZ27" s="51">
        <v>7.0862123462367812E-4</v>
      </c>
      <c r="BA27" s="51">
        <v>7.0153502227744138E-4</v>
      </c>
      <c r="BB27" s="51">
        <v>6.945196720546669E-4</v>
      </c>
      <c r="BC27" s="51">
        <v>6.875744753341202E-4</v>
      </c>
      <c r="BD27" s="51">
        <v>6.8069873058077901E-4</v>
      </c>
      <c r="BE27" s="51">
        <v>6.7389174327497122E-4</v>
      </c>
      <c r="BF27" s="51">
        <v>6.671528258422215E-4</v>
      </c>
      <c r="BG27" s="51">
        <v>6.6048129758379927E-4</v>
      </c>
      <c r="BH27" s="51">
        <v>6.5387648460796125E-4</v>
      </c>
      <c r="BI27" s="51">
        <v>6.4733771976188161E-4</v>
      </c>
      <c r="BJ27" s="51">
        <v>6.4086434256426276E-4</v>
      </c>
      <c r="BK27" s="51">
        <v>6.3445569913862018E-4</v>
      </c>
      <c r="BL27" s="51">
        <v>6.2811114214723397E-4</v>
      </c>
      <c r="BM27" s="51">
        <v>6.2183003072576164E-4</v>
      </c>
      <c r="BN27" s="51">
        <v>6.1561173041850407E-4</v>
      </c>
      <c r="BO27" s="51">
        <v>6.0945561311431904E-4</v>
      </c>
      <c r="BP27" s="51">
        <v>6.0336105698317584E-4</v>
      </c>
      <c r="BQ27" s="51">
        <v>5.9732744641334404E-4</v>
      </c>
      <c r="BR27" s="51">
        <v>5.9135417194921061E-4</v>
      </c>
      <c r="BS27" s="51">
        <v>5.8544063022971846E-4</v>
      </c>
      <c r="BT27" s="51">
        <v>5.795862239274213E-4</v>
      </c>
      <c r="BU27" s="51">
        <v>5.7379036168814712E-4</v>
      </c>
      <c r="BV27" s="51">
        <v>5.6805245807126569E-4</v>
      </c>
      <c r="BW27" s="51">
        <v>5.6237193349055307E-4</v>
      </c>
      <c r="BX27" s="51">
        <v>5.5674821415564756E-4</v>
      </c>
      <c r="BY27" s="51">
        <v>5.5118073201409113E-4</v>
      </c>
      <c r="BZ27" s="51">
        <v>5.4566892469395023E-4</v>
      </c>
      <c r="CA27" s="51">
        <v>5.4021223544701072E-4</v>
      </c>
      <c r="CB27" s="51">
        <v>5.3481011309254058E-4</v>
      </c>
      <c r="CC27" s="51">
        <v>5.2946201196161515E-4</v>
      </c>
      <c r="CD27" s="51">
        <v>5.2416739184199903E-4</v>
      </c>
      <c r="CE27" s="51">
        <v>5.1892571792357903E-4</v>
      </c>
      <c r="CF27" s="51">
        <v>5.1373646074434327E-4</v>
      </c>
      <c r="CG27" s="51">
        <v>5.0859909613689986E-4</v>
      </c>
      <c r="CH27" s="51">
        <v>5.0351310517553086E-4</v>
      </c>
      <c r="CI27" s="51">
        <v>4.9847797412377556E-4</v>
      </c>
      <c r="CJ27" s="51">
        <v>4.9349319438253775E-4</v>
      </c>
      <c r="CK27" s="51">
        <v>4.8855826243871241E-4</v>
      </c>
      <c r="CL27" s="51">
        <v>4.8367267981432526E-4</v>
      </c>
      <c r="CM27" s="51">
        <v>4.7883595301618202E-4</v>
      </c>
      <c r="CN27" s="51">
        <v>4.7404759348602021E-4</v>
      </c>
      <c r="CO27" s="51">
        <v>4.6930711755116002E-4</v>
      </c>
      <c r="CP27" s="51">
        <v>4.6461404637564841E-4</v>
      </c>
      <c r="CQ27" s="51">
        <v>4.5996790591189193E-4</v>
      </c>
      <c r="CR27" s="51">
        <v>4.55368226852773E-4</v>
      </c>
      <c r="CS27" s="51">
        <v>4.5081454458424528E-4</v>
      </c>
      <c r="CT27" s="51">
        <v>4.4630639913840282E-4</v>
      </c>
      <c r="CU27" s="51">
        <v>4.4184333514701878E-4</v>
      </c>
      <c r="CV27" s="51">
        <v>4.3742490179554861E-4</v>
      </c>
      <c r="CW27" s="51">
        <v>4.3305065277759314E-4</v>
      </c>
      <c r="CX27" s="55">
        <v>4.2872014624981722E-4</v>
      </c>
      <c r="CY27" s="53">
        <v>4.2443294478731905E-4</v>
      </c>
    </row>
    <row r="28" spans="1:103" ht="15.75">
      <c r="A28" s="54">
        <v>46</v>
      </c>
      <c r="B28" s="55">
        <v>1.0870000000000001E-3</v>
      </c>
      <c r="C28" s="55">
        <v>1.0833042000000001E-3</v>
      </c>
      <c r="D28" s="55">
        <v>1.0814625828600001E-3</v>
      </c>
      <c r="E28" s="55">
        <v>1.0814625828600001E-3</v>
      </c>
      <c r="F28" s="55">
        <v>1.0831929229925762E-3</v>
      </c>
      <c r="G28" s="55">
        <v>1.0864425017615539E-3</v>
      </c>
      <c r="H28" s="55">
        <v>1.0906796275184239E-3</v>
      </c>
      <c r="I28" s="55">
        <v>1.0953695499167531E-3</v>
      </c>
      <c r="J28" s="55">
        <v>1.0999701020264034E-3</v>
      </c>
      <c r="K28" s="55">
        <v>1.1038199973834959E-3</v>
      </c>
      <c r="L28" s="55">
        <v>1.1064691653772162E-3</v>
      </c>
      <c r="M28" s="55">
        <v>1.1075756345425933E-3</v>
      </c>
      <c r="N28" s="55">
        <v>1.1068003315984135E-3</v>
      </c>
      <c r="O28" s="55">
        <v>1.1040333307694174E-3</v>
      </c>
      <c r="P28" s="55">
        <v>1.0992859874471089E-3</v>
      </c>
      <c r="Q28" s="55">
        <v>1.0926902715224262E-3</v>
      </c>
      <c r="R28" s="55">
        <v>1.0846043635131602E-3</v>
      </c>
      <c r="S28" s="55">
        <v>1.0753852264232984E-3</v>
      </c>
      <c r="T28" s="55">
        <v>1.0652766052949194E-3</v>
      </c>
      <c r="U28" s="51">
        <v>1.0548368945630291E-3</v>
      </c>
      <c r="V28" s="51">
        <v>1.0442885256173988E-3</v>
      </c>
      <c r="W28" s="51">
        <v>1.0338456403612248E-3</v>
      </c>
      <c r="X28" s="51">
        <v>1.0235071839576125E-3</v>
      </c>
      <c r="Y28" s="51">
        <v>1.0132721121180364E-3</v>
      </c>
      <c r="Z28" s="51">
        <v>1.0031393909968561E-3</v>
      </c>
      <c r="AA28" s="51">
        <v>9.9310799708688747E-4</v>
      </c>
      <c r="AB28" s="51">
        <v>9.8317691711601865E-4</v>
      </c>
      <c r="AC28" s="51">
        <v>9.7334514794485843E-4</v>
      </c>
      <c r="AD28" s="51">
        <v>9.6361169646540983E-4</v>
      </c>
      <c r="AE28" s="51">
        <v>9.5397557950075568E-4</v>
      </c>
      <c r="AF28" s="51">
        <v>9.4443582370574812E-4</v>
      </c>
      <c r="AG28" s="51">
        <v>9.3499146546869064E-4</v>
      </c>
      <c r="AH28" s="51">
        <v>9.2564155081400373E-4</v>
      </c>
      <c r="AI28" s="51">
        <v>9.1638513530586366E-4</v>
      </c>
      <c r="AJ28" s="51">
        <v>9.07221283952805E-4</v>
      </c>
      <c r="AK28" s="51">
        <v>8.9814907111327694E-4</v>
      </c>
      <c r="AL28" s="51">
        <v>8.8916758040214416E-4</v>
      </c>
      <c r="AM28" s="51">
        <v>8.8027590459812267E-4</v>
      </c>
      <c r="AN28" s="51">
        <v>8.7147314555214141E-4</v>
      </c>
      <c r="AO28" s="51">
        <v>8.6275841409661999E-4</v>
      </c>
      <c r="AP28" s="51">
        <v>8.5413082995565383E-4</v>
      </c>
      <c r="AQ28" s="51">
        <v>8.4558952165609733E-4</v>
      </c>
      <c r="AR28" s="51">
        <v>8.3713362643953631E-4</v>
      </c>
      <c r="AS28" s="51">
        <v>8.2876229017514089E-4</v>
      </c>
      <c r="AT28" s="51">
        <v>8.204746672733895E-4</v>
      </c>
      <c r="AU28" s="51">
        <v>8.1226992060065561E-4</v>
      </c>
      <c r="AV28" s="51">
        <v>8.041472213946491E-4</v>
      </c>
      <c r="AW28" s="51">
        <v>7.9610574918070258E-4</v>
      </c>
      <c r="AX28" s="51">
        <v>7.8814469168889557E-4</v>
      </c>
      <c r="AY28" s="51">
        <v>7.802632447720066E-4</v>
      </c>
      <c r="AZ28" s="51">
        <v>7.7246061232428653E-4</v>
      </c>
      <c r="BA28" s="51">
        <v>7.6473600620104371E-4</v>
      </c>
      <c r="BB28" s="51">
        <v>7.5708864613903328E-4</v>
      </c>
      <c r="BC28" s="51">
        <v>7.4951775967764295E-4</v>
      </c>
      <c r="BD28" s="51">
        <v>7.4202258208086653E-4</v>
      </c>
      <c r="BE28" s="51">
        <v>7.3460235626005791E-4</v>
      </c>
      <c r="BF28" s="51">
        <v>7.2725633269745728E-4</v>
      </c>
      <c r="BG28" s="51">
        <v>7.1998376937048268E-4</v>
      </c>
      <c r="BH28" s="51">
        <v>7.1278393167677786E-4</v>
      </c>
      <c r="BI28" s="51">
        <v>7.0565609236001008E-4</v>
      </c>
      <c r="BJ28" s="51">
        <v>6.9859953143641001E-4</v>
      </c>
      <c r="BK28" s="51">
        <v>6.9161353612204595E-4</v>
      </c>
      <c r="BL28" s="51">
        <v>6.8469740076082552E-4</v>
      </c>
      <c r="BM28" s="51">
        <v>6.7785042675321721E-4</v>
      </c>
      <c r="BN28" s="51">
        <v>6.7107192248568503E-4</v>
      </c>
      <c r="BO28" s="51">
        <v>6.6436120326082823E-4</v>
      </c>
      <c r="BP28" s="51">
        <v>6.5771759122821996E-4</v>
      </c>
      <c r="BQ28" s="51">
        <v>6.5114041531593781E-4</v>
      </c>
      <c r="BR28" s="51">
        <v>6.4462901116277846E-4</v>
      </c>
      <c r="BS28" s="51">
        <v>6.381827210511507E-4</v>
      </c>
      <c r="BT28" s="51">
        <v>6.3180089384063916E-4</v>
      </c>
      <c r="BU28" s="51">
        <v>6.2548288490223277E-4</v>
      </c>
      <c r="BV28" s="51">
        <v>6.1922805605321045E-4</v>
      </c>
      <c r="BW28" s="51">
        <v>6.1303577549267838E-4</v>
      </c>
      <c r="BX28" s="51">
        <v>6.0690541773775154E-4</v>
      </c>
      <c r="BY28" s="51">
        <v>6.0083636356037407E-4</v>
      </c>
      <c r="BZ28" s="51">
        <v>5.9482799992477029E-4</v>
      </c>
      <c r="CA28" s="51">
        <v>5.8887971992552257E-4</v>
      </c>
      <c r="CB28" s="51">
        <v>5.8299092272626738E-4</v>
      </c>
      <c r="CC28" s="51">
        <v>5.7716101349900473E-4</v>
      </c>
      <c r="CD28" s="51">
        <v>5.7138940336401466E-4</v>
      </c>
      <c r="CE28" s="51">
        <v>5.656755093303745E-4</v>
      </c>
      <c r="CF28" s="51">
        <v>5.6001875423707071E-4</v>
      </c>
      <c r="CG28" s="51">
        <v>5.5441856669470005E-4</v>
      </c>
      <c r="CH28" s="51">
        <v>5.4887438102775305E-4</v>
      </c>
      <c r="CI28" s="51">
        <v>5.4338563721747547E-4</v>
      </c>
      <c r="CJ28" s="51">
        <v>5.3795178084530069E-4</v>
      </c>
      <c r="CK28" s="51">
        <v>5.3257226303684766E-4</v>
      </c>
      <c r="CL28" s="51">
        <v>5.2724654040647921E-4</v>
      </c>
      <c r="CM28" s="51">
        <v>5.2197407500241446E-4</v>
      </c>
      <c r="CN28" s="51">
        <v>5.1675433425239033E-4</v>
      </c>
      <c r="CO28" s="51">
        <v>5.1158679090986643E-4</v>
      </c>
      <c r="CP28" s="51">
        <v>5.064709230007678E-4</v>
      </c>
      <c r="CQ28" s="51">
        <v>5.0140621377076013E-4</v>
      </c>
      <c r="CR28" s="51">
        <v>4.9639215163305248E-4</v>
      </c>
      <c r="CS28" s="51">
        <v>4.9142823011672193E-4</v>
      </c>
      <c r="CT28" s="51">
        <v>4.8651394781555472E-4</v>
      </c>
      <c r="CU28" s="51">
        <v>4.8164880833739918E-4</v>
      </c>
      <c r="CV28" s="51">
        <v>4.7683232025402518E-4</v>
      </c>
      <c r="CW28" s="51">
        <v>4.7206399705148494E-4</v>
      </c>
      <c r="CX28" s="55">
        <v>4.673433570809701E-4</v>
      </c>
      <c r="CY28" s="53">
        <v>4.6266992351016041E-4</v>
      </c>
    </row>
    <row r="29" spans="1:103" ht="15.75">
      <c r="A29" s="54">
        <v>47</v>
      </c>
      <c r="B29" s="55">
        <v>1.2149999999999999E-3</v>
      </c>
      <c r="C29" s="55">
        <v>1.2077099999999999E-3</v>
      </c>
      <c r="D29" s="55">
        <v>1.2021545339999998E-3</v>
      </c>
      <c r="E29" s="55">
        <v>1.1984278549445999E-3</v>
      </c>
      <c r="F29" s="55">
        <v>1.1967500559476776E-3</v>
      </c>
      <c r="G29" s="55">
        <v>1.1968697309532724E-3</v>
      </c>
      <c r="H29" s="55">
        <v>1.1985453485766071E-3</v>
      </c>
      <c r="I29" s="55">
        <v>1.2011821483434756E-3</v>
      </c>
      <c r="J29" s="55">
        <v>1.2043052219291685E-3</v>
      </c>
      <c r="K29" s="55">
        <v>1.2071955544617984E-3</v>
      </c>
      <c r="L29" s="55">
        <v>1.2092477869043836E-3</v>
      </c>
      <c r="M29" s="55">
        <v>1.209973335576526E-3</v>
      </c>
      <c r="N29" s="55">
        <v>1.2088843595745072E-3</v>
      </c>
      <c r="O29" s="55">
        <v>1.205862148675571E-3</v>
      </c>
      <c r="P29" s="55">
        <v>1.2006769414362661E-3</v>
      </c>
      <c r="Q29" s="55">
        <v>1.1935929474817921E-3</v>
      </c>
      <c r="R29" s="55">
        <v>1.1848797189651749E-3</v>
      </c>
      <c r="S29" s="55">
        <v>1.1748082413539709E-3</v>
      </c>
      <c r="T29" s="55">
        <v>1.163882524709379E-3</v>
      </c>
      <c r="U29" s="51">
        <v>1.1524764759672272E-3</v>
      </c>
      <c r="V29" s="51">
        <v>1.1409517112075549E-3</v>
      </c>
      <c r="W29" s="51">
        <v>1.1295421940954794E-3</v>
      </c>
      <c r="X29" s="51">
        <v>1.1182467721545246E-3</v>
      </c>
      <c r="Y29" s="51">
        <v>1.1070643044329793E-3</v>
      </c>
      <c r="Z29" s="51">
        <v>1.0959936613886495E-3</v>
      </c>
      <c r="AA29" s="51">
        <v>1.085033724774763E-3</v>
      </c>
      <c r="AB29" s="51">
        <v>1.0741833875270153E-3</v>
      </c>
      <c r="AC29" s="51">
        <v>1.0634415536517451E-3</v>
      </c>
      <c r="AD29" s="51">
        <v>1.0528071381152276E-3</v>
      </c>
      <c r="AE29" s="51">
        <v>1.0422790667340752E-3</v>
      </c>
      <c r="AF29" s="51">
        <v>1.0318562760667344E-3</v>
      </c>
      <c r="AG29" s="51">
        <v>1.0215377133060671E-3</v>
      </c>
      <c r="AH29" s="51">
        <v>1.0113223361730064E-3</v>
      </c>
      <c r="AI29" s="51">
        <v>1.0012091128112762E-3</v>
      </c>
      <c r="AJ29" s="51">
        <v>9.9119702168316338E-4</v>
      </c>
      <c r="AK29" s="51">
        <v>9.8128505146633177E-4</v>
      </c>
      <c r="AL29" s="51">
        <v>9.7147220095166842E-4</v>
      </c>
      <c r="AM29" s="51">
        <v>9.6175747894215171E-4</v>
      </c>
      <c r="AN29" s="51">
        <v>9.5213990415273018E-4</v>
      </c>
      <c r="AO29" s="51">
        <v>9.4261850511120286E-4</v>
      </c>
      <c r="AP29" s="51">
        <v>9.3319232006009085E-4</v>
      </c>
      <c r="AQ29" s="51">
        <v>9.2386039685948991E-4</v>
      </c>
      <c r="AR29" s="51">
        <v>9.1462179289089499E-4</v>
      </c>
      <c r="AS29" s="51">
        <v>9.0547557496198599E-4</v>
      </c>
      <c r="AT29" s="51">
        <v>8.9642081921236611E-4</v>
      </c>
      <c r="AU29" s="51">
        <v>8.8745661102024244E-4</v>
      </c>
      <c r="AV29" s="51">
        <v>8.7858204491004003E-4</v>
      </c>
      <c r="AW29" s="51">
        <v>8.6979622446093957E-4</v>
      </c>
      <c r="AX29" s="51">
        <v>8.6109826221633017E-4</v>
      </c>
      <c r="AY29" s="51">
        <v>8.5248727959416691E-4</v>
      </c>
      <c r="AZ29" s="51">
        <v>8.4396240679822528E-4</v>
      </c>
      <c r="BA29" s="51">
        <v>8.3552278273024303E-4</v>
      </c>
      <c r="BB29" s="51">
        <v>8.2716755490294062E-4</v>
      </c>
      <c r="BC29" s="51">
        <v>8.1889587935391123E-4</v>
      </c>
      <c r="BD29" s="51">
        <v>8.1070692056037208E-4</v>
      </c>
      <c r="BE29" s="51">
        <v>8.0259985135476834E-4</v>
      </c>
      <c r="BF29" s="51">
        <v>7.9457385284122063E-4</v>
      </c>
      <c r="BG29" s="51">
        <v>7.866281143128084E-4</v>
      </c>
      <c r="BH29" s="51">
        <v>7.7876183316968027E-4</v>
      </c>
      <c r="BI29" s="51">
        <v>7.7097421483798346E-4</v>
      </c>
      <c r="BJ29" s="51">
        <v>7.6326447268960365E-4</v>
      </c>
      <c r="BK29" s="51">
        <v>7.5563182796270761E-4</v>
      </c>
      <c r="BL29" s="51">
        <v>7.4807550968308053E-4</v>
      </c>
      <c r="BM29" s="51">
        <v>7.4059475458624973E-4</v>
      </c>
      <c r="BN29" s="51">
        <v>7.3318880704038728E-4</v>
      </c>
      <c r="BO29" s="51">
        <v>7.2585691896998343E-4</v>
      </c>
      <c r="BP29" s="51">
        <v>7.185983497802836E-4</v>
      </c>
      <c r="BQ29" s="51">
        <v>7.1141236628248072E-4</v>
      </c>
      <c r="BR29" s="51">
        <v>7.0429824261965593E-4</v>
      </c>
      <c r="BS29" s="51">
        <v>6.9725526019345937E-4</v>
      </c>
      <c r="BT29" s="51">
        <v>6.9028270759152472E-4</v>
      </c>
      <c r="BU29" s="51">
        <v>6.8337988051560944E-4</v>
      </c>
      <c r="BV29" s="51">
        <v>6.7654608171045338E-4</v>
      </c>
      <c r="BW29" s="51">
        <v>6.6978062089334881E-4</v>
      </c>
      <c r="BX29" s="51">
        <v>6.6308281468441537E-4</v>
      </c>
      <c r="BY29" s="51">
        <v>6.5645198653757121E-4</v>
      </c>
      <c r="BZ29" s="51">
        <v>6.498874666721955E-4</v>
      </c>
      <c r="CA29" s="51">
        <v>6.4338859200547356E-4</v>
      </c>
      <c r="CB29" s="51">
        <v>6.3695470608541877E-4</v>
      </c>
      <c r="CC29" s="51">
        <v>6.3058515902456459E-4</v>
      </c>
      <c r="CD29" s="51">
        <v>6.2427930743431893E-4</v>
      </c>
      <c r="CE29" s="51">
        <v>6.180365143599757E-4</v>
      </c>
      <c r="CF29" s="51">
        <v>6.1185614921637594E-4</v>
      </c>
      <c r="CG29" s="51">
        <v>6.0573758772421214E-4</v>
      </c>
      <c r="CH29" s="51">
        <v>5.9968021184696998E-4</v>
      </c>
      <c r="CI29" s="51">
        <v>5.9368340972850027E-4</v>
      </c>
      <c r="CJ29" s="51">
        <v>5.8774657563121521E-4</v>
      </c>
      <c r="CK29" s="51">
        <v>5.8186910987490306E-4</v>
      </c>
      <c r="CL29" s="51">
        <v>5.7605041877615399E-4</v>
      </c>
      <c r="CM29" s="51">
        <v>5.7028991458839241E-4</v>
      </c>
      <c r="CN29" s="51">
        <v>5.6458701544250846E-4</v>
      </c>
      <c r="CO29" s="51">
        <v>5.589411452880834E-4</v>
      </c>
      <c r="CP29" s="51">
        <v>5.5335173383520256E-4</v>
      </c>
      <c r="CQ29" s="51">
        <v>5.4781821649685055E-4</v>
      </c>
      <c r="CR29" s="51">
        <v>5.4234003433188205E-4</v>
      </c>
      <c r="CS29" s="51">
        <v>5.3691663398856327E-4</v>
      </c>
      <c r="CT29" s="51">
        <v>5.3154746764867765E-4</v>
      </c>
      <c r="CU29" s="51">
        <v>5.2623199297219085E-4</v>
      </c>
      <c r="CV29" s="51">
        <v>5.209696730424689E-4</v>
      </c>
      <c r="CW29" s="51">
        <v>5.157599763120442E-4</v>
      </c>
      <c r="CX29" s="55">
        <v>5.1060237654892374E-4</v>
      </c>
      <c r="CY29" s="53">
        <v>5.0549635278343455E-4</v>
      </c>
    </row>
    <row r="30" spans="1:103" ht="15.75">
      <c r="A30" s="54">
        <v>48</v>
      </c>
      <c r="B30" s="55">
        <v>1.358E-3</v>
      </c>
      <c r="C30" s="55">
        <v>1.3476791999999999E-3</v>
      </c>
      <c r="D30" s="55">
        <v>1.33864974936E-3</v>
      </c>
      <c r="E30" s="55">
        <v>1.331421040713456E-3</v>
      </c>
      <c r="F30" s="55">
        <v>1.3262284986546736E-3</v>
      </c>
      <c r="G30" s="55">
        <v>1.3230455502579025E-3</v>
      </c>
      <c r="H30" s="55">
        <v>1.3217225047076446E-3</v>
      </c>
      <c r="I30" s="55">
        <v>1.3219868492085861E-3</v>
      </c>
      <c r="J30" s="55">
        <v>1.3230444386879529E-3</v>
      </c>
      <c r="K30" s="55">
        <v>1.3243674831266408E-3</v>
      </c>
      <c r="L30" s="55">
        <v>1.3252945403648294E-3</v>
      </c>
      <c r="M30" s="55">
        <v>1.3251620109107928E-3</v>
      </c>
      <c r="N30" s="55">
        <v>1.3234393002966088E-3</v>
      </c>
      <c r="O30" s="55">
        <v>1.319866014185808E-3</v>
      </c>
      <c r="P30" s="55">
        <v>1.314190590324809E-3</v>
      </c>
      <c r="Q30" s="55">
        <v>1.306568284900925E-3</v>
      </c>
      <c r="R30" s="55">
        <v>1.2970303364211483E-3</v>
      </c>
      <c r="S30" s="55">
        <v>1.2861352815952108E-3</v>
      </c>
      <c r="T30" s="55">
        <v>1.2741742234763753E-3</v>
      </c>
      <c r="U30" s="51">
        <v>1.2616873160863067E-3</v>
      </c>
      <c r="V30" s="51">
        <v>1.2490704429254436E-3</v>
      </c>
      <c r="W30" s="51">
        <v>1.2365797384961891E-3</v>
      </c>
      <c r="X30" s="51">
        <v>1.2242139411112272E-3</v>
      </c>
      <c r="Y30" s="51">
        <v>1.211971801700115E-3</v>
      </c>
      <c r="Z30" s="51">
        <v>1.1998520836831138E-3</v>
      </c>
      <c r="AA30" s="51">
        <v>1.1878535628462826E-3</v>
      </c>
      <c r="AB30" s="51">
        <v>1.1759750272178197E-3</v>
      </c>
      <c r="AC30" s="51">
        <v>1.1642152769456415E-3</v>
      </c>
      <c r="AD30" s="51">
        <v>1.152573124176185E-3</v>
      </c>
      <c r="AE30" s="51">
        <v>1.1410473929344231E-3</v>
      </c>
      <c r="AF30" s="51">
        <v>1.1296369190050789E-3</v>
      </c>
      <c r="AG30" s="51">
        <v>1.1183405498150281E-3</v>
      </c>
      <c r="AH30" s="51">
        <v>1.1071571443168778E-3</v>
      </c>
      <c r="AI30" s="51">
        <v>1.0960855728737091E-3</v>
      </c>
      <c r="AJ30" s="51">
        <v>1.0851247171449719E-3</v>
      </c>
      <c r="AK30" s="51">
        <v>1.0742734699735223E-3</v>
      </c>
      <c r="AL30" s="51">
        <v>1.063530735273787E-3</v>
      </c>
      <c r="AM30" s="51">
        <v>1.0528954279210492E-3</v>
      </c>
      <c r="AN30" s="51">
        <v>1.0423664736418387E-3</v>
      </c>
      <c r="AO30" s="51">
        <v>1.0319428089054204E-3</v>
      </c>
      <c r="AP30" s="51">
        <v>1.0216233808163662E-3</v>
      </c>
      <c r="AQ30" s="51">
        <v>1.0114071470082025E-3</v>
      </c>
      <c r="AR30" s="51">
        <v>1.0012930755381204E-3</v>
      </c>
      <c r="AS30" s="51">
        <v>9.9128014478273917E-4</v>
      </c>
      <c r="AT30" s="51">
        <v>9.8136734333491185E-4</v>
      </c>
      <c r="AU30" s="51">
        <v>9.7155366990156272E-4</v>
      </c>
      <c r="AV30" s="51">
        <v>9.618381332025471E-4</v>
      </c>
      <c r="AW30" s="51">
        <v>9.522197518705216E-4</v>
      </c>
      <c r="AX30" s="51">
        <v>9.4269755435181634E-4</v>
      </c>
      <c r="AY30" s="51">
        <v>9.3327057880829821E-4</v>
      </c>
      <c r="AZ30" s="51">
        <v>9.2393787302021526E-4</v>
      </c>
      <c r="BA30" s="51">
        <v>9.1469849429001314E-4</v>
      </c>
      <c r="BB30" s="51">
        <v>9.0555150934711298E-4</v>
      </c>
      <c r="BC30" s="51">
        <v>8.9649599425364185E-4</v>
      </c>
      <c r="BD30" s="51">
        <v>8.8753103431110539E-4</v>
      </c>
      <c r="BE30" s="51">
        <v>8.7865572396799427E-4</v>
      </c>
      <c r="BF30" s="51">
        <v>8.6986916672831432E-4</v>
      </c>
      <c r="BG30" s="51">
        <v>8.6117047506103117E-4</v>
      </c>
      <c r="BH30" s="51">
        <v>8.5255877031042082E-4</v>
      </c>
      <c r="BI30" s="51">
        <v>8.4403318260731664E-4</v>
      </c>
      <c r="BJ30" s="51">
        <v>8.3559285078124343E-4</v>
      </c>
      <c r="BK30" s="51">
        <v>8.2723692227343098E-4</v>
      </c>
      <c r="BL30" s="51">
        <v>8.1896455305069664E-4</v>
      </c>
      <c r="BM30" s="51">
        <v>8.1077490752018964E-4</v>
      </c>
      <c r="BN30" s="51">
        <v>8.0266715844498778E-4</v>
      </c>
      <c r="BO30" s="51">
        <v>7.9464048686053788E-4</v>
      </c>
      <c r="BP30" s="51">
        <v>7.8669408199193245E-4</v>
      </c>
      <c r="BQ30" s="51">
        <v>7.7882714117201316E-4</v>
      </c>
      <c r="BR30" s="51">
        <v>7.7103886976029302E-4</v>
      </c>
      <c r="BS30" s="51">
        <v>7.6332848106269008E-4</v>
      </c>
      <c r="BT30" s="51">
        <v>7.5569519625206312E-4</v>
      </c>
      <c r="BU30" s="51">
        <v>7.4813824428954245E-4</v>
      </c>
      <c r="BV30" s="51">
        <v>7.4065686184664702E-4</v>
      </c>
      <c r="BW30" s="51">
        <v>7.3325029322818052E-4</v>
      </c>
      <c r="BX30" s="51">
        <v>7.2591779029589868E-4</v>
      </c>
      <c r="BY30" s="51">
        <v>7.1865861239293969E-4</v>
      </c>
      <c r="BZ30" s="51">
        <v>7.1147202626901029E-4</v>
      </c>
      <c r="CA30" s="51">
        <v>7.0435730600632018E-4</v>
      </c>
      <c r="CB30" s="51">
        <v>6.9731373294625693E-4</v>
      </c>
      <c r="CC30" s="51">
        <v>6.9034059561679439E-4</v>
      </c>
      <c r="CD30" s="51">
        <v>6.8343718966062646E-4</v>
      </c>
      <c r="CE30" s="51">
        <v>6.7660281776402023E-4</v>
      </c>
      <c r="CF30" s="51">
        <v>6.6983678958638005E-4</v>
      </c>
      <c r="CG30" s="51">
        <v>6.6313842169051624E-4</v>
      </c>
      <c r="CH30" s="51">
        <v>6.565070374736111E-4</v>
      </c>
      <c r="CI30" s="51">
        <v>6.4994196709887496E-4</v>
      </c>
      <c r="CJ30" s="51">
        <v>6.4344254742788615E-4</v>
      </c>
      <c r="CK30" s="51">
        <v>6.3700812195360726E-4</v>
      </c>
      <c r="CL30" s="51">
        <v>6.3063804073407116E-4</v>
      </c>
      <c r="CM30" s="51">
        <v>6.2433166032673047E-4</v>
      </c>
      <c r="CN30" s="51">
        <v>6.1808834372346314E-4</v>
      </c>
      <c r="CO30" s="51">
        <v>6.1190746028622848E-4</v>
      </c>
      <c r="CP30" s="51">
        <v>6.0578838568336622E-4</v>
      </c>
      <c r="CQ30" s="51">
        <v>5.9973050182653251E-4</v>
      </c>
      <c r="CR30" s="51">
        <v>5.9373319680826721E-4</v>
      </c>
      <c r="CS30" s="51">
        <v>5.877958648401845E-4</v>
      </c>
      <c r="CT30" s="51">
        <v>5.8191790619178268E-4</v>
      </c>
      <c r="CU30" s="51">
        <v>5.7609872712986482E-4</v>
      </c>
      <c r="CV30" s="51">
        <v>5.703377398585662E-4</v>
      </c>
      <c r="CW30" s="51">
        <v>5.6463436245998049E-4</v>
      </c>
      <c r="CX30" s="55">
        <v>5.5898801883538069E-4</v>
      </c>
      <c r="CY30" s="53">
        <v>5.5339813864702689E-4</v>
      </c>
    </row>
    <row r="31" spans="1:103" ht="15.75">
      <c r="A31" s="54">
        <v>49</v>
      </c>
      <c r="B31" s="55">
        <v>1.5150000000000001E-3</v>
      </c>
      <c r="C31" s="55">
        <v>1.5024255000000001E-3</v>
      </c>
      <c r="D31" s="55">
        <v>1.4907065811E-3</v>
      </c>
      <c r="E31" s="55">
        <v>1.4802716350323E-3</v>
      </c>
      <c r="F31" s="55">
        <v>1.4716860595491126E-3</v>
      </c>
      <c r="G31" s="55">
        <v>1.4652106408870966E-3</v>
      </c>
      <c r="H31" s="55">
        <v>1.4606684879003467E-3</v>
      </c>
      <c r="I31" s="55">
        <v>1.4580392846221259E-3</v>
      </c>
      <c r="J31" s="55">
        <v>1.456727049265966E-3</v>
      </c>
      <c r="K31" s="55">
        <v>1.4561443584462596E-3</v>
      </c>
      <c r="L31" s="55">
        <v>1.4555619007028812E-3</v>
      </c>
      <c r="M31" s="55">
        <v>1.4542518949922487E-3</v>
      </c>
      <c r="N31" s="55">
        <v>1.4516342415812626E-3</v>
      </c>
      <c r="O31" s="55">
        <v>1.4472793388565189E-3</v>
      </c>
      <c r="P31" s="55">
        <v>1.4409113097655502E-3</v>
      </c>
      <c r="Q31" s="55">
        <v>1.4324099330379335E-3</v>
      </c>
      <c r="R31" s="55">
        <v>1.4220965815200605E-3</v>
      </c>
      <c r="S31" s="55">
        <v>1.4101509702352921E-3</v>
      </c>
      <c r="T31" s="55">
        <v>1.3970365662121038E-3</v>
      </c>
      <c r="U31" s="51">
        <v>1.3833456078632253E-3</v>
      </c>
      <c r="V31" s="51">
        <v>1.369512151784593E-3</v>
      </c>
      <c r="W31" s="51">
        <v>1.3558170302667471E-3</v>
      </c>
      <c r="X31" s="51">
        <v>1.3422588599640796E-3</v>
      </c>
      <c r="Y31" s="51">
        <v>1.3288362713644389E-3</v>
      </c>
      <c r="Z31" s="51">
        <v>1.3155479086507944E-3</v>
      </c>
      <c r="AA31" s="51">
        <v>1.3023924295642864E-3</v>
      </c>
      <c r="AB31" s="51">
        <v>1.2893685052686435E-3</v>
      </c>
      <c r="AC31" s="51">
        <v>1.2764748202159571E-3</v>
      </c>
      <c r="AD31" s="51">
        <v>1.2637100720137976E-3</v>
      </c>
      <c r="AE31" s="51">
        <v>1.2510729712936596E-3</v>
      </c>
      <c r="AF31" s="51">
        <v>1.238562241580723E-3</v>
      </c>
      <c r="AG31" s="51">
        <v>1.2261766191649158E-3</v>
      </c>
      <c r="AH31" s="51">
        <v>1.2139148529732666E-3</v>
      </c>
      <c r="AI31" s="51">
        <v>1.2017757044435339E-3</v>
      </c>
      <c r="AJ31" s="51">
        <v>1.1897579473990985E-3</v>
      </c>
      <c r="AK31" s="51">
        <v>1.1778603679251075E-3</v>
      </c>
      <c r="AL31" s="51">
        <v>1.1660817642458563E-3</v>
      </c>
      <c r="AM31" s="51">
        <v>1.1544209466033976E-3</v>
      </c>
      <c r="AN31" s="51">
        <v>1.1428767371373637E-3</v>
      </c>
      <c r="AO31" s="51">
        <v>1.13144796976599E-3</v>
      </c>
      <c r="AP31" s="51">
        <v>1.12013349006833E-3</v>
      </c>
      <c r="AQ31" s="51">
        <v>1.1089321551676467E-3</v>
      </c>
      <c r="AR31" s="51">
        <v>1.0978428336159702E-3</v>
      </c>
      <c r="AS31" s="51">
        <v>1.0868644052798105E-3</v>
      </c>
      <c r="AT31" s="51">
        <v>1.0759957612270124E-3</v>
      </c>
      <c r="AU31" s="51">
        <v>1.0652358036147421E-3</v>
      </c>
      <c r="AV31" s="51">
        <v>1.0545834455785946E-3</v>
      </c>
      <c r="AW31" s="51">
        <v>1.0440376111228087E-3</v>
      </c>
      <c r="AX31" s="51">
        <v>1.0335972350115805E-3</v>
      </c>
      <c r="AY31" s="51">
        <v>1.0232612626614648E-3</v>
      </c>
      <c r="AZ31" s="51">
        <v>1.0130286500348502E-3</v>
      </c>
      <c r="BA31" s="51">
        <v>1.0028983635345017E-3</v>
      </c>
      <c r="BB31" s="51">
        <v>9.9286937989915658E-4</v>
      </c>
      <c r="BC31" s="51">
        <v>9.8294068610016504E-4</v>
      </c>
      <c r="BD31" s="51">
        <v>9.731112792391634E-4</v>
      </c>
      <c r="BE31" s="51">
        <v>9.6338016644677174E-4</v>
      </c>
      <c r="BF31" s="51">
        <v>9.5374636478230397E-4</v>
      </c>
      <c r="BG31" s="51">
        <v>9.4420890113448093E-4</v>
      </c>
      <c r="BH31" s="51">
        <v>9.3476681212313606E-4</v>
      </c>
      <c r="BI31" s="51">
        <v>9.2541914400190472E-4</v>
      </c>
      <c r="BJ31" s="51">
        <v>9.1616495256188562E-4</v>
      </c>
      <c r="BK31" s="51">
        <v>9.0700330303626674E-4</v>
      </c>
      <c r="BL31" s="51">
        <v>8.9793327000590409E-4</v>
      </c>
      <c r="BM31" s="51">
        <v>8.8895393730584508E-4</v>
      </c>
      <c r="BN31" s="51">
        <v>8.8006439793278661E-4</v>
      </c>
      <c r="BO31" s="51">
        <v>8.7126375395345874E-4</v>
      </c>
      <c r="BP31" s="51">
        <v>8.625511164139241E-4</v>
      </c>
      <c r="BQ31" s="51">
        <v>8.5392560524978481E-4</v>
      </c>
      <c r="BR31" s="51">
        <v>8.4538634919728692E-4</v>
      </c>
      <c r="BS31" s="51">
        <v>8.3693248570531405E-4</v>
      </c>
      <c r="BT31" s="51">
        <v>8.2856316084826086E-4</v>
      </c>
      <c r="BU31" s="51">
        <v>8.202775292397782E-4</v>
      </c>
      <c r="BV31" s="51">
        <v>8.1207475394738042E-4</v>
      </c>
      <c r="BW31" s="51">
        <v>8.039540064079066E-4</v>
      </c>
      <c r="BX31" s="51">
        <v>7.9591446634382748E-4</v>
      </c>
      <c r="BY31" s="51">
        <v>7.8795532168038915E-4</v>
      </c>
      <c r="BZ31" s="51">
        <v>7.8007576846358527E-4</v>
      </c>
      <c r="CA31" s="51">
        <v>7.7227501077894946E-4</v>
      </c>
      <c r="CB31" s="51">
        <v>7.6455226067115994E-4</v>
      </c>
      <c r="CC31" s="51">
        <v>7.5690673806444832E-4</v>
      </c>
      <c r="CD31" s="51">
        <v>7.4933767068380383E-4</v>
      </c>
      <c r="CE31" s="51">
        <v>7.4184429397696578E-4</v>
      </c>
      <c r="CF31" s="51">
        <v>7.3442585103719615E-4</v>
      </c>
      <c r="CG31" s="51">
        <v>7.2708159252682413E-4</v>
      </c>
      <c r="CH31" s="51">
        <v>7.1981077660155583E-4</v>
      </c>
      <c r="CI31" s="51">
        <v>7.1261266883554028E-4</v>
      </c>
      <c r="CJ31" s="51">
        <v>7.0548654214718485E-4</v>
      </c>
      <c r="CK31" s="51">
        <v>6.9843167672571302E-4</v>
      </c>
      <c r="CL31" s="51">
        <v>6.9144735995845593E-4</v>
      </c>
      <c r="CM31" s="51">
        <v>6.8453288635887135E-4</v>
      </c>
      <c r="CN31" s="51">
        <v>6.7768755749528264E-4</v>
      </c>
      <c r="CO31" s="51">
        <v>6.7091068192032981E-4</v>
      </c>
      <c r="CP31" s="51">
        <v>6.6420157510112656E-4</v>
      </c>
      <c r="CQ31" s="51">
        <v>6.5755955935011532E-4</v>
      </c>
      <c r="CR31" s="51">
        <v>6.5098396375661417E-4</v>
      </c>
      <c r="CS31" s="51">
        <v>6.4447412411904807E-4</v>
      </c>
      <c r="CT31" s="51">
        <v>6.3802938287785759E-4</v>
      </c>
      <c r="CU31" s="51">
        <v>6.3164908904907906E-4</v>
      </c>
      <c r="CV31" s="51">
        <v>6.2533259815858824E-4</v>
      </c>
      <c r="CW31" s="51">
        <v>6.1907927217700232E-4</v>
      </c>
      <c r="CX31" s="55">
        <v>6.1288847945523226E-4</v>
      </c>
      <c r="CY31" s="53">
        <v>6.0675959466067997E-4</v>
      </c>
    </row>
    <row r="32" spans="1:103" ht="15.75">
      <c r="A32" s="54">
        <v>50</v>
      </c>
      <c r="B32" s="55">
        <v>4.0639999999999999E-3</v>
      </c>
      <c r="C32" s="55">
        <v>4.0302688000000003E-3</v>
      </c>
      <c r="D32" s="55">
        <v>3.9972205958400007E-3</v>
      </c>
      <c r="E32" s="55">
        <v>3.9660422751924482E-3</v>
      </c>
      <c r="F32" s="55">
        <v>3.9382799792661008E-3</v>
      </c>
      <c r="G32" s="55">
        <v>3.9146502993905041E-3</v>
      </c>
      <c r="H32" s="55">
        <v>3.8958599779534294E-3</v>
      </c>
      <c r="I32" s="55">
        <v>3.8814452960350015E-3</v>
      </c>
      <c r="J32" s="55">
        <v>3.8709653937357069E-3</v>
      </c>
      <c r="K32" s="55">
        <v>3.8632234629482356E-3</v>
      </c>
      <c r="L32" s="55">
        <v>3.8566559830612236E-3</v>
      </c>
      <c r="M32" s="55">
        <v>3.849328336693407E-3</v>
      </c>
      <c r="N32" s="55">
        <v>3.8397050158516738E-3</v>
      </c>
      <c r="O32" s="55">
        <v>3.8266500187977785E-3</v>
      </c>
      <c r="P32" s="55">
        <v>3.8090474287113085E-3</v>
      </c>
      <c r="Q32" s="55">
        <v>3.7861931441390407E-3</v>
      </c>
      <c r="R32" s="55">
        <v>3.7589325535012396E-3</v>
      </c>
      <c r="S32" s="55">
        <v>3.7273575200518294E-3</v>
      </c>
      <c r="T32" s="55">
        <v>3.6926930951153474E-3</v>
      </c>
      <c r="U32" s="51">
        <v>3.6565047027832167E-3</v>
      </c>
      <c r="V32" s="51">
        <v>3.6199396557553844E-3</v>
      </c>
      <c r="W32" s="51">
        <v>3.5837402591978305E-3</v>
      </c>
      <c r="X32" s="51">
        <v>3.5479028566058521E-3</v>
      </c>
      <c r="Y32" s="51">
        <v>3.5124238280397936E-3</v>
      </c>
      <c r="Z32" s="51">
        <v>3.4772995897593955E-3</v>
      </c>
      <c r="AA32" s="51">
        <v>3.4425265938618013E-3</v>
      </c>
      <c r="AB32" s="51">
        <v>3.4081013279231832E-3</v>
      </c>
      <c r="AC32" s="51">
        <v>3.3740203146439512E-3</v>
      </c>
      <c r="AD32" s="51">
        <v>3.3402801114975119E-3</v>
      </c>
      <c r="AE32" s="51">
        <v>3.3068773103825367E-3</v>
      </c>
      <c r="AF32" s="51">
        <v>3.2738085372787111E-3</v>
      </c>
      <c r="AG32" s="51">
        <v>3.2410704519059241E-3</v>
      </c>
      <c r="AH32" s="51">
        <v>3.2086597473868651E-3</v>
      </c>
      <c r="AI32" s="51">
        <v>3.1765731499129963E-3</v>
      </c>
      <c r="AJ32" s="51">
        <v>3.1448074184138664E-3</v>
      </c>
      <c r="AK32" s="51">
        <v>3.1133593442297276E-3</v>
      </c>
      <c r="AL32" s="51">
        <v>3.0822257507874301E-3</v>
      </c>
      <c r="AM32" s="51">
        <v>3.0514034932795559E-3</v>
      </c>
      <c r="AN32" s="51">
        <v>3.0208894583467604E-3</v>
      </c>
      <c r="AO32" s="51">
        <v>2.9906805637632929E-3</v>
      </c>
      <c r="AP32" s="51">
        <v>2.9607737581256598E-3</v>
      </c>
      <c r="AQ32" s="51">
        <v>2.9311660205444032E-3</v>
      </c>
      <c r="AR32" s="51">
        <v>2.9018543603389593E-3</v>
      </c>
      <c r="AS32" s="51">
        <v>2.8728358167355696E-3</v>
      </c>
      <c r="AT32" s="51">
        <v>2.844107458568214E-3</v>
      </c>
      <c r="AU32" s="51">
        <v>2.8156663839825321E-3</v>
      </c>
      <c r="AV32" s="51">
        <v>2.7875097201427068E-3</v>
      </c>
      <c r="AW32" s="51">
        <v>2.7596346229412797E-3</v>
      </c>
      <c r="AX32" s="51">
        <v>2.732038276711867E-3</v>
      </c>
      <c r="AY32" s="51">
        <v>2.7047178939447482E-3</v>
      </c>
      <c r="AZ32" s="51">
        <v>2.6776707150053007E-3</v>
      </c>
      <c r="BA32" s="51">
        <v>2.6508940078552477E-3</v>
      </c>
      <c r="BB32" s="51">
        <v>2.6243850677766952E-3</v>
      </c>
      <c r="BC32" s="51">
        <v>2.5981412170989282E-3</v>
      </c>
      <c r="BD32" s="51">
        <v>2.572159804927939E-3</v>
      </c>
      <c r="BE32" s="51">
        <v>2.5464382068786594E-3</v>
      </c>
      <c r="BF32" s="51">
        <v>2.5209738248098729E-3</v>
      </c>
      <c r="BG32" s="51">
        <v>2.4957640865617739E-3</v>
      </c>
      <c r="BH32" s="51">
        <v>2.4708064456961561E-3</v>
      </c>
      <c r="BI32" s="51">
        <v>2.4460983812391946E-3</v>
      </c>
      <c r="BJ32" s="51">
        <v>2.4216373974268028E-3</v>
      </c>
      <c r="BK32" s="51">
        <v>2.3974210234525349E-3</v>
      </c>
      <c r="BL32" s="51">
        <v>2.3734468132180094E-3</v>
      </c>
      <c r="BM32" s="51">
        <v>2.3497123450858292E-3</v>
      </c>
      <c r="BN32" s="51">
        <v>2.3262152216349708E-3</v>
      </c>
      <c r="BO32" s="51">
        <v>2.302953069418621E-3</v>
      </c>
      <c r="BP32" s="51">
        <v>2.2799235387244345E-3</v>
      </c>
      <c r="BQ32" s="51">
        <v>2.2571243033371901E-3</v>
      </c>
      <c r="BR32" s="51">
        <v>2.2345530603038182E-3</v>
      </c>
      <c r="BS32" s="51">
        <v>2.2122075297007801E-3</v>
      </c>
      <c r="BT32" s="51">
        <v>2.1900854544037725E-3</v>
      </c>
      <c r="BU32" s="51">
        <v>2.1681845998597349E-3</v>
      </c>
      <c r="BV32" s="51">
        <v>2.1465027538611374E-3</v>
      </c>
      <c r="BW32" s="51">
        <v>2.1250377263225258E-3</v>
      </c>
      <c r="BX32" s="51">
        <v>2.1037873490593003E-3</v>
      </c>
      <c r="BY32" s="51">
        <v>2.0827494755687073E-3</v>
      </c>
      <c r="BZ32" s="51">
        <v>2.0619219808130202E-3</v>
      </c>
      <c r="CA32" s="51">
        <v>2.0413027610048898E-3</v>
      </c>
      <c r="CB32" s="51">
        <v>2.0208897333948411E-3</v>
      </c>
      <c r="CC32" s="51">
        <v>2.0006808360608927E-3</v>
      </c>
      <c r="CD32" s="51">
        <v>1.9806740277002839E-3</v>
      </c>
      <c r="CE32" s="51">
        <v>1.9608672874232812E-3</v>
      </c>
      <c r="CF32" s="51">
        <v>1.9412586145490483E-3</v>
      </c>
      <c r="CG32" s="51">
        <v>1.9218460284035578E-3</v>
      </c>
      <c r="CH32" s="51">
        <v>1.9026275681195222E-3</v>
      </c>
      <c r="CI32" s="51">
        <v>1.883601292438327E-3</v>
      </c>
      <c r="CJ32" s="51">
        <v>1.8647652795139437E-3</v>
      </c>
      <c r="CK32" s="51">
        <v>1.8461176267188042E-3</v>
      </c>
      <c r="CL32" s="51">
        <v>1.8276564504516161E-3</v>
      </c>
      <c r="CM32" s="51">
        <v>1.8093798859470998E-3</v>
      </c>
      <c r="CN32" s="51">
        <v>1.7912860870876288E-3</v>
      </c>
      <c r="CO32" s="51">
        <v>1.7733732262167525E-3</v>
      </c>
      <c r="CP32" s="51">
        <v>1.7556394939545849E-3</v>
      </c>
      <c r="CQ32" s="51">
        <v>1.7380830990150391E-3</v>
      </c>
      <c r="CR32" s="51">
        <v>1.7207022680248887E-3</v>
      </c>
      <c r="CS32" s="51">
        <v>1.7034952453446398E-3</v>
      </c>
      <c r="CT32" s="51">
        <v>1.6864602928911934E-3</v>
      </c>
      <c r="CU32" s="51">
        <v>1.6695956899622814E-3</v>
      </c>
      <c r="CV32" s="51">
        <v>1.6528997330626585E-3</v>
      </c>
      <c r="CW32" s="51">
        <v>1.636370735732032E-3</v>
      </c>
      <c r="CX32" s="55">
        <v>1.6200070283747116E-3</v>
      </c>
      <c r="CY32" s="53">
        <v>1.6038069580909644E-3</v>
      </c>
    </row>
    <row r="33" spans="1:103" ht="15.75">
      <c r="A33" s="54">
        <v>51</v>
      </c>
      <c r="B33" s="55">
        <v>4.3839999999999999E-3</v>
      </c>
      <c r="C33" s="55">
        <v>4.35112E-3</v>
      </c>
      <c r="D33" s="55">
        <v>4.316746152E-3</v>
      </c>
      <c r="E33" s="55">
        <v>4.2826438573992003E-3</v>
      </c>
      <c r="F33" s="55">
        <v>4.2496674996972267E-3</v>
      </c>
      <c r="G33" s="55">
        <v>4.2194948604493765E-3</v>
      </c>
      <c r="H33" s="55">
        <v>4.1933339923145903E-3</v>
      </c>
      <c r="I33" s="55">
        <v>4.1711093221553234E-3</v>
      </c>
      <c r="J33" s="55">
        <v>4.1531735520700559E-3</v>
      </c>
      <c r="K33" s="55">
        <v>4.1382221272826033E-3</v>
      </c>
      <c r="L33" s="55">
        <v>4.1253936386880276E-3</v>
      </c>
      <c r="M33" s="55">
        <v>4.1134299971358323E-3</v>
      </c>
      <c r="N33" s="55">
        <v>4.0998556781452842E-3</v>
      </c>
      <c r="O33" s="55">
        <v>4.0834562554327028E-3</v>
      </c>
      <c r="P33" s="55">
        <v>4.0630389741555389E-3</v>
      </c>
      <c r="Q33" s="55">
        <v>4.0382544364131901E-3</v>
      </c>
      <c r="R33" s="55">
        <v>4.0087751790273737E-3</v>
      </c>
      <c r="S33" s="55">
        <v>3.9751014675235442E-3</v>
      </c>
      <c r="T33" s="55">
        <v>3.938133023875575E-3</v>
      </c>
      <c r="U33" s="51">
        <v>3.8995393202415941E-3</v>
      </c>
      <c r="V33" s="51">
        <v>3.8605439270391782E-3</v>
      </c>
      <c r="W33" s="51">
        <v>3.8219384877687863E-3</v>
      </c>
      <c r="X33" s="51">
        <v>3.7837191028910985E-3</v>
      </c>
      <c r="Y33" s="51">
        <v>3.7458819118621873E-3</v>
      </c>
      <c r="Z33" s="51">
        <v>3.7084230927435652E-3</v>
      </c>
      <c r="AA33" s="51">
        <v>3.6713388618161294E-3</v>
      </c>
      <c r="AB33" s="51">
        <v>3.6346254731979681E-3</v>
      </c>
      <c r="AC33" s="51">
        <v>3.5982792184659882E-3</v>
      </c>
      <c r="AD33" s="51">
        <v>3.5622964262813283E-3</v>
      </c>
      <c r="AE33" s="51">
        <v>3.5266734620185152E-3</v>
      </c>
      <c r="AF33" s="51">
        <v>3.4914067273983298E-3</v>
      </c>
      <c r="AG33" s="51">
        <v>3.4564926601243465E-3</v>
      </c>
      <c r="AH33" s="51">
        <v>3.4219277335231029E-3</v>
      </c>
      <c r="AI33" s="51">
        <v>3.3877084561878719E-3</v>
      </c>
      <c r="AJ33" s="51">
        <v>3.3538313716259933E-3</v>
      </c>
      <c r="AK33" s="51">
        <v>3.3202930579097332E-3</v>
      </c>
      <c r="AL33" s="51">
        <v>3.2870901273306359E-3</v>
      </c>
      <c r="AM33" s="51">
        <v>3.2542192260573296E-3</v>
      </c>
      <c r="AN33" s="51">
        <v>3.2216770337967562E-3</v>
      </c>
      <c r="AO33" s="51">
        <v>3.1894602634587885E-3</v>
      </c>
      <c r="AP33" s="51">
        <v>3.1575656608242007E-3</v>
      </c>
      <c r="AQ33" s="51">
        <v>3.1259900042159587E-3</v>
      </c>
      <c r="AR33" s="51">
        <v>3.0947301041737989E-3</v>
      </c>
      <c r="AS33" s="51">
        <v>3.063782803132061E-3</v>
      </c>
      <c r="AT33" s="51">
        <v>3.0331449751007404E-3</v>
      </c>
      <c r="AU33" s="51">
        <v>3.0028135253497329E-3</v>
      </c>
      <c r="AV33" s="51">
        <v>2.9727853900962356E-3</v>
      </c>
      <c r="AW33" s="51">
        <v>2.9430575361952733E-3</v>
      </c>
      <c r="AX33" s="51">
        <v>2.9136269608333203E-3</v>
      </c>
      <c r="AY33" s="51">
        <v>2.8844906912249869E-3</v>
      </c>
      <c r="AZ33" s="51">
        <v>2.8556457843127371E-3</v>
      </c>
      <c r="BA33" s="51">
        <v>2.8270893264696097E-3</v>
      </c>
      <c r="BB33" s="51">
        <v>2.7988184332049136E-3</v>
      </c>
      <c r="BC33" s="51">
        <v>2.7708302488728643E-3</v>
      </c>
      <c r="BD33" s="51">
        <v>2.7431219463841358E-3</v>
      </c>
      <c r="BE33" s="51">
        <v>2.7156907269202946E-3</v>
      </c>
      <c r="BF33" s="51">
        <v>2.6885338196510917E-3</v>
      </c>
      <c r="BG33" s="51">
        <v>2.6616484814545806E-3</v>
      </c>
      <c r="BH33" s="51">
        <v>2.6350319966400347E-3</v>
      </c>
      <c r="BI33" s="51">
        <v>2.6086816766736345E-3</v>
      </c>
      <c r="BJ33" s="51">
        <v>2.582594859906898E-3</v>
      </c>
      <c r="BK33" s="51">
        <v>2.5567689113078292E-3</v>
      </c>
      <c r="BL33" s="51">
        <v>2.5312012221947507E-3</v>
      </c>
      <c r="BM33" s="51">
        <v>2.5058892099728033E-3</v>
      </c>
      <c r="BN33" s="51">
        <v>2.4808303178730754E-3</v>
      </c>
      <c r="BO33" s="51">
        <v>2.4560220146943447E-3</v>
      </c>
      <c r="BP33" s="51">
        <v>2.4314617945474012E-3</v>
      </c>
      <c r="BQ33" s="51">
        <v>2.4071471766019272E-3</v>
      </c>
      <c r="BR33" s="51">
        <v>2.3830757048359081E-3</v>
      </c>
      <c r="BS33" s="51">
        <v>2.3592449477875489E-3</v>
      </c>
      <c r="BT33" s="51">
        <v>2.3356524983096732E-3</v>
      </c>
      <c r="BU33" s="51">
        <v>2.3122959733265763E-3</v>
      </c>
      <c r="BV33" s="51">
        <v>2.2891730135933103E-3</v>
      </c>
      <c r="BW33" s="51">
        <v>2.2662812834573771E-3</v>
      </c>
      <c r="BX33" s="51">
        <v>2.2436184706228035E-3</v>
      </c>
      <c r="BY33" s="51">
        <v>2.2211822859165755E-3</v>
      </c>
      <c r="BZ33" s="51">
        <v>2.1989704630574099E-3</v>
      </c>
      <c r="CA33" s="51">
        <v>2.1769807584268359E-3</v>
      </c>
      <c r="CB33" s="51">
        <v>2.1552109508425677E-3</v>
      </c>
      <c r="CC33" s="51">
        <v>2.1336588413341422E-3</v>
      </c>
      <c r="CD33" s="51">
        <v>2.1123222529208009E-3</v>
      </c>
      <c r="CE33" s="51">
        <v>2.0911990303915926E-3</v>
      </c>
      <c r="CF33" s="51">
        <v>2.0702870400876767E-3</v>
      </c>
      <c r="CG33" s="51">
        <v>2.0495841696867999E-3</v>
      </c>
      <c r="CH33" s="51">
        <v>2.0290883279899317E-3</v>
      </c>
      <c r="CI33" s="51">
        <v>2.0087974447100324E-3</v>
      </c>
      <c r="CJ33" s="51">
        <v>1.9887094702629319E-3</v>
      </c>
      <c r="CK33" s="51">
        <v>1.9688223755603023E-3</v>
      </c>
      <c r="CL33" s="51">
        <v>1.9491341518046992E-3</v>
      </c>
      <c r="CM33" s="51">
        <v>1.9296428102866521E-3</v>
      </c>
      <c r="CN33" s="51">
        <v>1.9103463821837855E-3</v>
      </c>
      <c r="CO33" s="51">
        <v>1.8912429183619477E-3</v>
      </c>
      <c r="CP33" s="51">
        <v>1.8723304891783282E-3</v>
      </c>
      <c r="CQ33" s="51">
        <v>1.853607184286545E-3</v>
      </c>
      <c r="CR33" s="51">
        <v>1.8350711124436796E-3</v>
      </c>
      <c r="CS33" s="51">
        <v>1.8167204013192428E-3</v>
      </c>
      <c r="CT33" s="51">
        <v>1.7985531973060502E-3</v>
      </c>
      <c r="CU33" s="51">
        <v>1.7805676653329897E-3</v>
      </c>
      <c r="CV33" s="51">
        <v>1.7627619886796597E-3</v>
      </c>
      <c r="CW33" s="51">
        <v>1.745134368792863E-3</v>
      </c>
      <c r="CX33" s="55">
        <v>1.7276830251049342E-3</v>
      </c>
      <c r="CY33" s="53">
        <v>1.7104061948538848E-3</v>
      </c>
    </row>
    <row r="34" spans="1:103" ht="15.75">
      <c r="A34" s="54">
        <v>52</v>
      </c>
      <c r="B34" s="55">
        <v>4.7089999999999996E-3</v>
      </c>
      <c r="C34" s="55">
        <v>4.6793332999999996E-3</v>
      </c>
      <c r="D34" s="55">
        <v>4.6465779669E-3</v>
      </c>
      <c r="E34" s="55">
        <v>4.6117286321482502E-3</v>
      </c>
      <c r="F34" s="55">
        <v>4.5762183216807089E-3</v>
      </c>
      <c r="G34" s="55">
        <v>4.5414390624359353E-3</v>
      </c>
      <c r="H34" s="55">
        <v>4.5087407011863969E-3</v>
      </c>
      <c r="I34" s="55">
        <v>4.4789830125585668E-3</v>
      </c>
      <c r="J34" s="55">
        <v>4.4530049110857268E-3</v>
      </c>
      <c r="K34" s="55">
        <v>4.4307398865302983E-3</v>
      </c>
      <c r="L34" s="55">
        <v>4.4112446310295653E-3</v>
      </c>
      <c r="M34" s="55">
        <v>4.3931585280423445E-3</v>
      </c>
      <c r="N34" s="55">
        <v>4.374707262224567E-3</v>
      </c>
      <c r="O34" s="55">
        <v>4.3545836088183338E-3</v>
      </c>
      <c r="P34" s="55">
        <v>4.3310688573307147E-3</v>
      </c>
      <c r="Q34" s="55">
        <v>4.3033500166437984E-3</v>
      </c>
      <c r="R34" s="55">
        <v>4.2715052265206348E-3</v>
      </c>
      <c r="S34" s="55">
        <v>4.2356245826178614E-3</v>
      </c>
      <c r="T34" s="55">
        <v>4.1962332739995155E-3</v>
      </c>
      <c r="U34" s="51">
        <v>4.1551101879143204E-3</v>
      </c>
      <c r="V34" s="51">
        <v>4.1135590860351774E-3</v>
      </c>
      <c r="W34" s="51">
        <v>4.072423495174826E-3</v>
      </c>
      <c r="X34" s="51">
        <v>4.031699260223078E-3</v>
      </c>
      <c r="Y34" s="51">
        <v>3.9913822676208473E-3</v>
      </c>
      <c r="Z34" s="51">
        <v>3.9514684449446389E-3</v>
      </c>
      <c r="AA34" s="51">
        <v>3.9119537604951921E-3</v>
      </c>
      <c r="AB34" s="51">
        <v>3.87283422289024E-3</v>
      </c>
      <c r="AC34" s="51">
        <v>3.8341058806613377E-3</v>
      </c>
      <c r="AD34" s="51">
        <v>3.7957648218547241E-3</v>
      </c>
      <c r="AE34" s="51">
        <v>3.7578071736361768E-3</v>
      </c>
      <c r="AF34" s="51">
        <v>3.7202291018998148E-3</v>
      </c>
      <c r="AG34" s="51">
        <v>3.6830268108808168E-3</v>
      </c>
      <c r="AH34" s="51">
        <v>3.6461965427720087E-3</v>
      </c>
      <c r="AI34" s="51">
        <v>3.6097345773442886E-3</v>
      </c>
      <c r="AJ34" s="51">
        <v>3.5736372315708456E-3</v>
      </c>
      <c r="AK34" s="51">
        <v>3.5379008592551372E-3</v>
      </c>
      <c r="AL34" s="51">
        <v>3.5025218506625857E-3</v>
      </c>
      <c r="AM34" s="51">
        <v>3.46749663215596E-3</v>
      </c>
      <c r="AN34" s="51">
        <v>3.4328216658344002E-3</v>
      </c>
      <c r="AO34" s="51">
        <v>3.398493449176056E-3</v>
      </c>
      <c r="AP34" s="51">
        <v>3.3645085146842956E-3</v>
      </c>
      <c r="AQ34" s="51">
        <v>3.3308634295374528E-3</v>
      </c>
      <c r="AR34" s="51">
        <v>3.2975547952420782E-3</v>
      </c>
      <c r="AS34" s="51">
        <v>3.2645792472896576E-3</v>
      </c>
      <c r="AT34" s="51">
        <v>3.2319334548167608E-3</v>
      </c>
      <c r="AU34" s="51">
        <v>3.1996141202685932E-3</v>
      </c>
      <c r="AV34" s="51">
        <v>3.1676179790659071E-3</v>
      </c>
      <c r="AW34" s="51">
        <v>3.1359417992752481E-3</v>
      </c>
      <c r="AX34" s="51">
        <v>3.1045823812824954E-3</v>
      </c>
      <c r="AY34" s="51">
        <v>3.0735365574696702E-3</v>
      </c>
      <c r="AZ34" s="51">
        <v>3.0428011918949734E-3</v>
      </c>
      <c r="BA34" s="51">
        <v>3.0123731799760237E-3</v>
      </c>
      <c r="BB34" s="51">
        <v>2.9822494481762636E-3</v>
      </c>
      <c r="BC34" s="51">
        <v>2.9524269536945012E-3</v>
      </c>
      <c r="BD34" s="51">
        <v>2.9229026841575559E-3</v>
      </c>
      <c r="BE34" s="51">
        <v>2.8936736573159805E-3</v>
      </c>
      <c r="BF34" s="51">
        <v>2.8647369207428206E-3</v>
      </c>
      <c r="BG34" s="51">
        <v>2.8360895515353924E-3</v>
      </c>
      <c r="BH34" s="51">
        <v>2.8077286560200384E-3</v>
      </c>
      <c r="BI34" s="51">
        <v>2.7796513694598379E-3</v>
      </c>
      <c r="BJ34" s="51">
        <v>2.7518548557652397E-3</v>
      </c>
      <c r="BK34" s="51">
        <v>2.7243363072075874E-3</v>
      </c>
      <c r="BL34" s="51">
        <v>2.6970929441355114E-3</v>
      </c>
      <c r="BM34" s="51">
        <v>2.6701220146941561E-3</v>
      </c>
      <c r="BN34" s="51">
        <v>2.6434207945472145E-3</v>
      </c>
      <c r="BO34" s="51">
        <v>2.6169865866017424E-3</v>
      </c>
      <c r="BP34" s="51">
        <v>2.5908167207357251E-3</v>
      </c>
      <c r="BQ34" s="51">
        <v>2.564908553528368E-3</v>
      </c>
      <c r="BR34" s="51">
        <v>2.5392594679930843E-3</v>
      </c>
      <c r="BS34" s="51">
        <v>2.5138668733131536E-3</v>
      </c>
      <c r="BT34" s="51">
        <v>2.4887282045800221E-3</v>
      </c>
      <c r="BU34" s="51">
        <v>2.4638409225342219E-3</v>
      </c>
      <c r="BV34" s="51">
        <v>2.4392025133088795E-3</v>
      </c>
      <c r="BW34" s="51">
        <v>2.4148104881757905E-3</v>
      </c>
      <c r="BX34" s="51">
        <v>2.3906623832940324E-3</v>
      </c>
      <c r="BY34" s="51">
        <v>2.366755759461092E-3</v>
      </c>
      <c r="BZ34" s="51">
        <v>2.3430882018664811E-3</v>
      </c>
      <c r="CA34" s="51">
        <v>2.3196573198478163E-3</v>
      </c>
      <c r="CB34" s="51">
        <v>2.296460746649338E-3</v>
      </c>
      <c r="CC34" s="51">
        <v>2.2734961391828448E-3</v>
      </c>
      <c r="CD34" s="51">
        <v>2.2507611777910163E-3</v>
      </c>
      <c r="CE34" s="51">
        <v>2.2282535660131061E-3</v>
      </c>
      <c r="CF34" s="51">
        <v>2.2059710303529751E-3</v>
      </c>
      <c r="CG34" s="51">
        <v>2.1839113200494455E-3</v>
      </c>
      <c r="CH34" s="51">
        <v>2.1620722068489509E-3</v>
      </c>
      <c r="CI34" s="51">
        <v>2.1404514847804612E-3</v>
      </c>
      <c r="CJ34" s="51">
        <v>2.1190469699326566E-3</v>
      </c>
      <c r="CK34" s="51">
        <v>2.09785650023333E-3</v>
      </c>
      <c r="CL34" s="51">
        <v>2.0768779352309968E-3</v>
      </c>
      <c r="CM34" s="51">
        <v>2.0561091558786867E-3</v>
      </c>
      <c r="CN34" s="51">
        <v>2.0355480643199E-3</v>
      </c>
      <c r="CO34" s="51">
        <v>2.015192583676701E-3</v>
      </c>
      <c r="CP34" s="51">
        <v>1.995040657839934E-3</v>
      </c>
      <c r="CQ34" s="51">
        <v>1.9750902512615347E-3</v>
      </c>
      <c r="CR34" s="51">
        <v>1.9553393487489194E-3</v>
      </c>
      <c r="CS34" s="51">
        <v>1.9357859552614303E-3</v>
      </c>
      <c r="CT34" s="51">
        <v>1.9164280957088158E-3</v>
      </c>
      <c r="CU34" s="51">
        <v>1.8972638147517276E-3</v>
      </c>
      <c r="CV34" s="51">
        <v>1.8782911766042102E-3</v>
      </c>
      <c r="CW34" s="51">
        <v>1.8595082648381681E-3</v>
      </c>
      <c r="CX34" s="55">
        <v>1.8409131821897863E-3</v>
      </c>
      <c r="CY34" s="53">
        <v>1.8225040503678884E-3</v>
      </c>
    </row>
    <row r="35" spans="1:103" ht="15.75">
      <c r="A35" s="54">
        <v>53</v>
      </c>
      <c r="B35" s="55">
        <v>5.0419999999999996E-3</v>
      </c>
      <c r="C35" s="55">
        <v>5.0177983999999997E-3</v>
      </c>
      <c r="D35" s="55">
        <v>4.9886951692799993E-3</v>
      </c>
      <c r="E35" s="55">
        <v>4.9557697811627513E-3</v>
      </c>
      <c r="F35" s="55">
        <v>4.9195926617602633E-3</v>
      </c>
      <c r="G35" s="55">
        <v>4.8817117982647091E-3</v>
      </c>
      <c r="H35" s="55">
        <v>4.8441226174180708E-3</v>
      </c>
      <c r="I35" s="55">
        <v>4.807791697787436E-3</v>
      </c>
      <c r="J35" s="55">
        <v>4.7741371559029237E-3</v>
      </c>
      <c r="K35" s="55">
        <v>4.7435826781051455E-3</v>
      </c>
      <c r="L35" s="55">
        <v>4.7165442568399456E-3</v>
      </c>
      <c r="M35" s="55">
        <v>4.6915465722786936E-3</v>
      </c>
      <c r="N35" s="55">
        <v>4.667619684760072E-3</v>
      </c>
      <c r="O35" s="55">
        <v>4.642881300430844E-3</v>
      </c>
      <c r="P35" s="55">
        <v>4.615488300758302E-3</v>
      </c>
      <c r="Q35" s="55">
        <v>4.5845645291432216E-3</v>
      </c>
      <c r="R35" s="55">
        <v>4.5497218387217332E-3</v>
      </c>
      <c r="S35" s="55">
        <v>4.5110492030925988E-3</v>
      </c>
      <c r="T35" s="55">
        <v>4.4690964455038375E-3</v>
      </c>
      <c r="U35" s="51">
        <v>4.4252993003379001E-3</v>
      </c>
      <c r="V35" s="51">
        <v>4.3810463073345211E-3</v>
      </c>
      <c r="W35" s="51">
        <v>4.3372358442611758E-3</v>
      </c>
      <c r="X35" s="51">
        <v>4.2938634858185644E-3</v>
      </c>
      <c r="Y35" s="51">
        <v>4.2509248509603791E-3</v>
      </c>
      <c r="Z35" s="51">
        <v>4.2084156024507751E-3</v>
      </c>
      <c r="AA35" s="51">
        <v>4.1663314464262672E-3</v>
      </c>
      <c r="AB35" s="51">
        <v>4.1246681319620044E-3</v>
      </c>
      <c r="AC35" s="51">
        <v>4.0834214506423839E-3</v>
      </c>
      <c r="AD35" s="51">
        <v>4.04258723613596E-3</v>
      </c>
      <c r="AE35" s="51">
        <v>4.0021613637746005E-3</v>
      </c>
      <c r="AF35" s="51">
        <v>3.9621397501368545E-3</v>
      </c>
      <c r="AG35" s="51">
        <v>3.9225183526354858E-3</v>
      </c>
      <c r="AH35" s="51">
        <v>3.8832931691091307E-3</v>
      </c>
      <c r="AI35" s="51">
        <v>3.8444602374180393E-3</v>
      </c>
      <c r="AJ35" s="51">
        <v>3.8060156350438589E-3</v>
      </c>
      <c r="AK35" s="51">
        <v>3.7679554786934203E-3</v>
      </c>
      <c r="AL35" s="51">
        <v>3.7302759239064859E-3</v>
      </c>
      <c r="AM35" s="51">
        <v>3.6929731646674212E-3</v>
      </c>
      <c r="AN35" s="51">
        <v>3.6560434330207467E-3</v>
      </c>
      <c r="AO35" s="51">
        <v>3.6194829986905394E-3</v>
      </c>
      <c r="AP35" s="51">
        <v>3.583288168703634E-3</v>
      </c>
      <c r="AQ35" s="51">
        <v>3.5474552870165977E-3</v>
      </c>
      <c r="AR35" s="51">
        <v>3.5119807341464316E-3</v>
      </c>
      <c r="AS35" s="51">
        <v>3.4768609268049674E-3</v>
      </c>
      <c r="AT35" s="51">
        <v>3.4420923175369177E-3</v>
      </c>
      <c r="AU35" s="51">
        <v>3.4076713943615483E-3</v>
      </c>
      <c r="AV35" s="51">
        <v>3.3735946804179327E-3</v>
      </c>
      <c r="AW35" s="51">
        <v>3.3398587336137533E-3</v>
      </c>
      <c r="AX35" s="51">
        <v>3.3064601462776157E-3</v>
      </c>
      <c r="AY35" s="51">
        <v>3.2733955448148396E-3</v>
      </c>
      <c r="AZ35" s="51">
        <v>3.240661589366691E-3</v>
      </c>
      <c r="BA35" s="51">
        <v>3.2082549734730242E-3</v>
      </c>
      <c r="BB35" s="51">
        <v>3.1761724237382941E-3</v>
      </c>
      <c r="BC35" s="51">
        <v>3.144410699500911E-3</v>
      </c>
      <c r="BD35" s="51">
        <v>3.112966592505902E-3</v>
      </c>
      <c r="BE35" s="51">
        <v>3.081836926580843E-3</v>
      </c>
      <c r="BF35" s="51">
        <v>3.0510185573150344E-3</v>
      </c>
      <c r="BG35" s="51">
        <v>3.0205083717418841E-3</v>
      </c>
      <c r="BH35" s="51">
        <v>2.9903032880244651E-3</v>
      </c>
      <c r="BI35" s="51">
        <v>2.9604002551442206E-3</v>
      </c>
      <c r="BJ35" s="51">
        <v>2.9307962525927786E-3</v>
      </c>
      <c r="BK35" s="51">
        <v>2.9014882900668506E-3</v>
      </c>
      <c r="BL35" s="51">
        <v>2.8724734071661822E-3</v>
      </c>
      <c r="BM35" s="51">
        <v>2.8437486730945203E-3</v>
      </c>
      <c r="BN35" s="51">
        <v>2.8153111863635752E-3</v>
      </c>
      <c r="BO35" s="51">
        <v>2.7871580744999393E-3</v>
      </c>
      <c r="BP35" s="51">
        <v>2.7592864937549398E-3</v>
      </c>
      <c r="BQ35" s="51">
        <v>2.7316936288173904E-3</v>
      </c>
      <c r="BR35" s="51">
        <v>2.7043766925292164E-3</v>
      </c>
      <c r="BS35" s="51">
        <v>2.677332925603924E-3</v>
      </c>
      <c r="BT35" s="51">
        <v>2.6505595963478845E-3</v>
      </c>
      <c r="BU35" s="51">
        <v>2.6240540003844058E-3</v>
      </c>
      <c r="BV35" s="51">
        <v>2.5978134603805618E-3</v>
      </c>
      <c r="BW35" s="51">
        <v>2.571835325776756E-3</v>
      </c>
      <c r="BX35" s="51">
        <v>2.5461169725189883E-3</v>
      </c>
      <c r="BY35" s="51">
        <v>2.5206558027937986E-3</v>
      </c>
      <c r="BZ35" s="51">
        <v>2.4954492447658606E-3</v>
      </c>
      <c r="CA35" s="51">
        <v>2.4704947523182018E-3</v>
      </c>
      <c r="CB35" s="51">
        <v>2.44578980479502E-3</v>
      </c>
      <c r="CC35" s="51">
        <v>2.4213319067470699E-3</v>
      </c>
      <c r="CD35" s="51">
        <v>2.3971185876795992E-3</v>
      </c>
      <c r="CE35" s="51">
        <v>2.3731474018028032E-3</v>
      </c>
      <c r="CF35" s="51">
        <v>2.3494159277847753E-3</v>
      </c>
      <c r="CG35" s="51">
        <v>2.3259217685069277E-3</v>
      </c>
      <c r="CH35" s="51">
        <v>2.3026625508218582E-3</v>
      </c>
      <c r="CI35" s="51">
        <v>2.2796359253136394E-3</v>
      </c>
      <c r="CJ35" s="51">
        <v>2.2568395660605028E-3</v>
      </c>
      <c r="CK35" s="51">
        <v>2.2342711703998977E-3</v>
      </c>
      <c r="CL35" s="51">
        <v>2.2119284586958987E-3</v>
      </c>
      <c r="CM35" s="51">
        <v>2.1898091741089395E-3</v>
      </c>
      <c r="CN35" s="51">
        <v>2.1679110823678502E-3</v>
      </c>
      <c r="CO35" s="51">
        <v>2.1462319715441717E-3</v>
      </c>
      <c r="CP35" s="51">
        <v>2.1247696518287298E-3</v>
      </c>
      <c r="CQ35" s="51">
        <v>2.1035219553104424E-3</v>
      </c>
      <c r="CR35" s="51">
        <v>2.082486735757338E-3</v>
      </c>
      <c r="CS35" s="51">
        <v>2.0616618683997646E-3</v>
      </c>
      <c r="CT35" s="51">
        <v>2.0410452497157672E-3</v>
      </c>
      <c r="CU35" s="51">
        <v>2.0206347972186096E-3</v>
      </c>
      <c r="CV35" s="51">
        <v>2.0004284492464233E-3</v>
      </c>
      <c r="CW35" s="51">
        <v>1.9804241647539589E-3</v>
      </c>
      <c r="CX35" s="55">
        <v>1.9606199231064192E-3</v>
      </c>
      <c r="CY35" s="53">
        <v>1.941013723875355E-3</v>
      </c>
    </row>
    <row r="36" spans="1:103" ht="15.75">
      <c r="A36" s="54">
        <v>54</v>
      </c>
      <c r="B36" s="55">
        <v>5.3839999999999999E-3</v>
      </c>
      <c r="C36" s="55">
        <v>5.3678479999999997E-3</v>
      </c>
      <c r="D36" s="55">
        <v>5.3453030384000002E-3</v>
      </c>
      <c r="E36" s="55">
        <v>5.3164384019926403E-3</v>
      </c>
      <c r="F36" s="55">
        <v>5.2818815523796884E-3</v>
      </c>
      <c r="G36" s="55">
        <v>5.2433238170473172E-3</v>
      </c>
      <c r="H36" s="55">
        <v>5.2024258912743478E-3</v>
      </c>
      <c r="I36" s="55">
        <v>5.1608064841441531E-3</v>
      </c>
      <c r="J36" s="55">
        <v>5.120036112919414E-3</v>
      </c>
      <c r="K36" s="55">
        <v>5.0816358420725186E-3</v>
      </c>
      <c r="L36" s="55">
        <v>5.046572554762218E-3</v>
      </c>
      <c r="M36" s="55">
        <v>5.0142744904117399E-3</v>
      </c>
      <c r="N36" s="55">
        <v>4.9836874160202283E-3</v>
      </c>
      <c r="O36" s="55">
        <v>4.9532869227825052E-3</v>
      </c>
      <c r="P36" s="55">
        <v>4.9215858864766976E-3</v>
      </c>
      <c r="Q36" s="55">
        <v>4.8871347852713605E-3</v>
      </c>
      <c r="R36" s="55">
        <v>4.8490151339462438E-3</v>
      </c>
      <c r="S36" s="55">
        <v>4.8073136037943059E-3</v>
      </c>
      <c r="T36" s="55">
        <v>4.7626055872790193E-3</v>
      </c>
      <c r="U36" s="51">
        <v>4.715932052523685E-3</v>
      </c>
      <c r="V36" s="51">
        <v>4.6687727319984478E-3</v>
      </c>
      <c r="W36" s="51">
        <v>4.6220850046784631E-3</v>
      </c>
      <c r="X36" s="51">
        <v>4.5758641546316788E-3</v>
      </c>
      <c r="Y36" s="51">
        <v>4.5301055130853619E-3</v>
      </c>
      <c r="Z36" s="51">
        <v>4.4848044579545079E-3</v>
      </c>
      <c r="AA36" s="51">
        <v>4.4399564133749628E-3</v>
      </c>
      <c r="AB36" s="51">
        <v>4.3955568492412131E-3</v>
      </c>
      <c r="AC36" s="51">
        <v>4.351601280748801E-3</v>
      </c>
      <c r="AD36" s="51">
        <v>4.3080852679413129E-3</v>
      </c>
      <c r="AE36" s="51">
        <v>4.2650044152618997E-3</v>
      </c>
      <c r="AF36" s="51">
        <v>4.2223543711092807E-3</v>
      </c>
      <c r="AG36" s="51">
        <v>4.1801308273981879E-3</v>
      </c>
      <c r="AH36" s="51">
        <v>4.1383295191242059E-3</v>
      </c>
      <c r="AI36" s="51">
        <v>4.0969462239329639E-3</v>
      </c>
      <c r="AJ36" s="51">
        <v>4.0559767616936346E-3</v>
      </c>
      <c r="AK36" s="51">
        <v>4.0154169940766985E-3</v>
      </c>
      <c r="AL36" s="51">
        <v>3.9752628241359316E-3</v>
      </c>
      <c r="AM36" s="51">
        <v>3.935510195894572E-3</v>
      </c>
      <c r="AN36" s="51">
        <v>3.8961550939356263E-3</v>
      </c>
      <c r="AO36" s="51">
        <v>3.85719354299627E-3</v>
      </c>
      <c r="AP36" s="51">
        <v>3.8186216075663071E-3</v>
      </c>
      <c r="AQ36" s="51">
        <v>3.7804353914906441E-3</v>
      </c>
      <c r="AR36" s="51">
        <v>3.7426310375757378E-3</v>
      </c>
      <c r="AS36" s="51">
        <v>3.7052047271999805E-3</v>
      </c>
      <c r="AT36" s="51">
        <v>3.6681526799279807E-3</v>
      </c>
      <c r="AU36" s="51">
        <v>3.631471153128701E-3</v>
      </c>
      <c r="AV36" s="51">
        <v>3.595156441597414E-3</v>
      </c>
      <c r="AW36" s="51">
        <v>3.5592048771814397E-3</v>
      </c>
      <c r="AX36" s="51">
        <v>3.5236128284096254E-3</v>
      </c>
      <c r="AY36" s="51">
        <v>3.4883767001255292E-3</v>
      </c>
      <c r="AZ36" s="51">
        <v>3.4534929331242739E-3</v>
      </c>
      <c r="BA36" s="51">
        <v>3.4189580037930311E-3</v>
      </c>
      <c r="BB36" s="51">
        <v>3.3847684237551007E-3</v>
      </c>
      <c r="BC36" s="51">
        <v>3.3509207395175495E-3</v>
      </c>
      <c r="BD36" s="51">
        <v>3.3174115321223741E-3</v>
      </c>
      <c r="BE36" s="51">
        <v>3.2842374168011502E-3</v>
      </c>
      <c r="BF36" s="51">
        <v>3.2513950426331386E-3</v>
      </c>
      <c r="BG36" s="51">
        <v>3.2188810922068071E-3</v>
      </c>
      <c r="BH36" s="51">
        <v>3.1866922812847391E-3</v>
      </c>
      <c r="BI36" s="51">
        <v>3.1548253584718915E-3</v>
      </c>
      <c r="BJ36" s="51">
        <v>3.1232771048871726E-3</v>
      </c>
      <c r="BK36" s="51">
        <v>3.0920443338383007E-3</v>
      </c>
      <c r="BL36" s="51">
        <v>3.0611238904999175E-3</v>
      </c>
      <c r="BM36" s="51">
        <v>3.0305126515949182E-3</v>
      </c>
      <c r="BN36" s="51">
        <v>3.000207525078969E-3</v>
      </c>
      <c r="BO36" s="51">
        <v>2.9702054498281791E-3</v>
      </c>
      <c r="BP36" s="51">
        <v>2.9405033953298974E-3</v>
      </c>
      <c r="BQ36" s="51">
        <v>2.9110983613765983E-3</v>
      </c>
      <c r="BR36" s="51">
        <v>2.8819873777628322E-3</v>
      </c>
      <c r="BS36" s="51">
        <v>2.853167503985204E-3</v>
      </c>
      <c r="BT36" s="51">
        <v>2.8246358289453519E-3</v>
      </c>
      <c r="BU36" s="51">
        <v>2.7963894706558982E-3</v>
      </c>
      <c r="BV36" s="51">
        <v>2.7684255759493391E-3</v>
      </c>
      <c r="BW36" s="51">
        <v>2.7407413201898457E-3</v>
      </c>
      <c r="BX36" s="51">
        <v>2.7133339069879471E-3</v>
      </c>
      <c r="BY36" s="51">
        <v>2.6862005679180677E-3</v>
      </c>
      <c r="BZ36" s="51">
        <v>2.6593385622388872E-3</v>
      </c>
      <c r="CA36" s="51">
        <v>2.6327451766164985E-3</v>
      </c>
      <c r="CB36" s="51">
        <v>2.6064177248503336E-3</v>
      </c>
      <c r="CC36" s="51">
        <v>2.5803535476018303E-3</v>
      </c>
      <c r="CD36" s="51">
        <v>2.5545500121258121E-3</v>
      </c>
      <c r="CE36" s="51">
        <v>2.5290045120045538E-3</v>
      </c>
      <c r="CF36" s="51">
        <v>2.5037144668845083E-3</v>
      </c>
      <c r="CG36" s="51">
        <v>2.4786773222156633E-3</v>
      </c>
      <c r="CH36" s="51">
        <v>2.4538905489935067E-3</v>
      </c>
      <c r="CI36" s="51">
        <v>2.4293516435035718E-3</v>
      </c>
      <c r="CJ36" s="51">
        <v>2.4050581270685361E-3</v>
      </c>
      <c r="CK36" s="51">
        <v>2.3810075457978506E-3</v>
      </c>
      <c r="CL36" s="51">
        <v>2.3571974703398722E-3</v>
      </c>
      <c r="CM36" s="51">
        <v>2.3336254956364735E-3</v>
      </c>
      <c r="CN36" s="51">
        <v>2.3102892406801087E-3</v>
      </c>
      <c r="CO36" s="51">
        <v>2.2871863482733078E-3</v>
      </c>
      <c r="CP36" s="51">
        <v>2.2643144847905748E-3</v>
      </c>
      <c r="CQ36" s="51">
        <v>2.2416713399426688E-3</v>
      </c>
      <c r="CR36" s="51">
        <v>2.2192546265432421E-3</v>
      </c>
      <c r="CS36" s="51">
        <v>2.1970620802778096E-3</v>
      </c>
      <c r="CT36" s="51">
        <v>2.1750914594750315E-3</v>
      </c>
      <c r="CU36" s="51">
        <v>2.1533405448802812E-3</v>
      </c>
      <c r="CV36" s="51">
        <v>2.1318071394314784E-3</v>
      </c>
      <c r="CW36" s="51">
        <v>2.1104890680371637E-3</v>
      </c>
      <c r="CX36" s="55">
        <v>2.0893841773567921E-3</v>
      </c>
      <c r="CY36" s="53">
        <v>2.0684903355832241E-3</v>
      </c>
    </row>
    <row r="37" spans="1:103" ht="15.75">
      <c r="A37" s="54">
        <v>55</v>
      </c>
      <c r="B37" s="55">
        <v>5.7349999999999996E-3</v>
      </c>
      <c r="C37" s="55">
        <v>5.7292649999999999E-3</v>
      </c>
      <c r="D37" s="55">
        <v>5.7155147640000001E-3</v>
      </c>
      <c r="E37" s="55">
        <v>5.6932242564203999E-3</v>
      </c>
      <c r="F37" s="55">
        <v>5.6624808454357302E-3</v>
      </c>
      <c r="G37" s="55">
        <v>5.6251084718558541E-3</v>
      </c>
      <c r="H37" s="55">
        <v>5.5823576474697493E-3</v>
      </c>
      <c r="I37" s="55">
        <v>5.5365823147604971E-3</v>
      </c>
      <c r="J37" s="55">
        <v>5.4895213650850332E-3</v>
      </c>
      <c r="K37" s="55">
        <v>5.4434093856183191E-3</v>
      </c>
      <c r="L37" s="55">
        <v>5.4004064514719344E-3</v>
      </c>
      <c r="M37" s="55">
        <v>5.3604434437310427E-3</v>
      </c>
      <c r="N37" s="55">
        <v>5.3229203396249255E-3</v>
      </c>
      <c r="O37" s="55">
        <v>5.2861921892815135E-3</v>
      </c>
      <c r="P37" s="55">
        <v>5.2491888439565428E-3</v>
      </c>
      <c r="Q37" s="55">
        <v>5.2103448465112643E-3</v>
      </c>
      <c r="R37" s="55">
        <v>5.1686620877391745E-3</v>
      </c>
      <c r="S37" s="55">
        <v>5.1236947275758431E-3</v>
      </c>
      <c r="T37" s="55">
        <v>5.0760443666093879E-3</v>
      </c>
      <c r="U37" s="51">
        <v>5.0262991318166155E-3</v>
      </c>
      <c r="V37" s="51">
        <v>4.9760361404984493E-3</v>
      </c>
      <c r="W37" s="51">
        <v>4.926275779093465E-3</v>
      </c>
      <c r="X37" s="51">
        <v>4.8770130213025304E-3</v>
      </c>
      <c r="Y37" s="51">
        <v>4.8282428910895051E-3</v>
      </c>
      <c r="Z37" s="51">
        <v>4.7799604621786103E-3</v>
      </c>
      <c r="AA37" s="51">
        <v>4.7321608575568242E-3</v>
      </c>
      <c r="AB37" s="51">
        <v>4.6848392489812563E-3</v>
      </c>
      <c r="AC37" s="51">
        <v>4.6379908564914436E-3</v>
      </c>
      <c r="AD37" s="51">
        <v>4.5916109479265292E-3</v>
      </c>
      <c r="AE37" s="51">
        <v>4.5456948384472642E-3</v>
      </c>
      <c r="AF37" s="51">
        <v>4.5002378900627915E-3</v>
      </c>
      <c r="AG37" s="51">
        <v>4.4552355111621639E-3</v>
      </c>
      <c r="AH37" s="51">
        <v>4.4106831560505426E-3</v>
      </c>
      <c r="AI37" s="51">
        <v>4.3665763244900369E-3</v>
      </c>
      <c r="AJ37" s="51">
        <v>4.3229105612451364E-3</v>
      </c>
      <c r="AK37" s="51">
        <v>4.2796814556326848E-3</v>
      </c>
      <c r="AL37" s="51">
        <v>4.2368846410763576E-3</v>
      </c>
      <c r="AM37" s="51">
        <v>4.194515794665594E-3</v>
      </c>
      <c r="AN37" s="51">
        <v>4.1525706367189384E-3</v>
      </c>
      <c r="AO37" s="51">
        <v>4.1110449303517491E-3</v>
      </c>
      <c r="AP37" s="51">
        <v>4.0699344810482315E-3</v>
      </c>
      <c r="AQ37" s="51">
        <v>4.0292351362377493E-3</v>
      </c>
      <c r="AR37" s="51">
        <v>3.9889427848753718E-3</v>
      </c>
      <c r="AS37" s="51">
        <v>3.9490533570266185E-3</v>
      </c>
      <c r="AT37" s="51">
        <v>3.9095628234563518E-3</v>
      </c>
      <c r="AU37" s="51">
        <v>3.8704671952217882E-3</v>
      </c>
      <c r="AV37" s="51">
        <v>3.8317625232695703E-3</v>
      </c>
      <c r="AW37" s="51">
        <v>3.7934448980368744E-3</v>
      </c>
      <c r="AX37" s="51">
        <v>3.7555104490565056E-3</v>
      </c>
      <c r="AY37" s="51">
        <v>3.7179553445659407E-3</v>
      </c>
      <c r="AZ37" s="51">
        <v>3.6807757911202811E-3</v>
      </c>
      <c r="BA37" s="51">
        <v>3.6439680332090783E-3</v>
      </c>
      <c r="BB37" s="51">
        <v>3.6075283528769876E-3</v>
      </c>
      <c r="BC37" s="51">
        <v>3.5714530693482177E-3</v>
      </c>
      <c r="BD37" s="51">
        <v>3.5357385386547355E-3</v>
      </c>
      <c r="BE37" s="51">
        <v>3.500381153268188E-3</v>
      </c>
      <c r="BF37" s="51">
        <v>3.4653773417355062E-3</v>
      </c>
      <c r="BG37" s="51">
        <v>3.4307235683181509E-3</v>
      </c>
      <c r="BH37" s="51">
        <v>3.3964163326349692E-3</v>
      </c>
      <c r="BI37" s="51">
        <v>3.3624521693086194E-3</v>
      </c>
      <c r="BJ37" s="51">
        <v>3.3288276476155332E-3</v>
      </c>
      <c r="BK37" s="51">
        <v>3.295539371139378E-3</v>
      </c>
      <c r="BL37" s="51">
        <v>3.2625839774279844E-3</v>
      </c>
      <c r="BM37" s="51">
        <v>3.2299581376537046E-3</v>
      </c>
      <c r="BN37" s="51">
        <v>3.1976585562771675E-3</v>
      </c>
      <c r="BO37" s="51">
        <v>3.1656819707143956E-3</v>
      </c>
      <c r="BP37" s="51">
        <v>3.1340251510072518E-3</v>
      </c>
      <c r="BQ37" s="51">
        <v>3.1026848994971791E-3</v>
      </c>
      <c r="BR37" s="51">
        <v>3.0716580505022071E-3</v>
      </c>
      <c r="BS37" s="51">
        <v>3.040941469997185E-3</v>
      </c>
      <c r="BT37" s="51">
        <v>3.0105320552972132E-3</v>
      </c>
      <c r="BU37" s="51">
        <v>2.9804267347442411E-3</v>
      </c>
      <c r="BV37" s="51">
        <v>2.9506224673967987E-3</v>
      </c>
      <c r="BW37" s="51">
        <v>2.9211162427228306E-3</v>
      </c>
      <c r="BX37" s="51">
        <v>2.8919050802956024E-3</v>
      </c>
      <c r="BY37" s="51">
        <v>2.8629860294926463E-3</v>
      </c>
      <c r="BZ37" s="51">
        <v>2.8343561691977198E-3</v>
      </c>
      <c r="CA37" s="51">
        <v>2.8060126075057424E-3</v>
      </c>
      <c r="CB37" s="51">
        <v>2.777952481430685E-3</v>
      </c>
      <c r="CC37" s="51">
        <v>2.7501729566163781E-3</v>
      </c>
      <c r="CD37" s="51">
        <v>2.7226712270502144E-3</v>
      </c>
      <c r="CE37" s="51">
        <v>2.6954445147797123E-3</v>
      </c>
      <c r="CF37" s="51">
        <v>2.6684900696319152E-3</v>
      </c>
      <c r="CG37" s="51">
        <v>2.6418051689355961E-3</v>
      </c>
      <c r="CH37" s="51">
        <v>2.6153871172462399E-3</v>
      </c>
      <c r="CI37" s="51">
        <v>2.5892332460737775E-3</v>
      </c>
      <c r="CJ37" s="51">
        <v>2.5633409136130397E-3</v>
      </c>
      <c r="CK37" s="51">
        <v>2.5377075044769092E-3</v>
      </c>
      <c r="CL37" s="51">
        <v>2.5123304294321401E-3</v>
      </c>
      <c r="CM37" s="51">
        <v>2.4872071251378189E-3</v>
      </c>
      <c r="CN37" s="51">
        <v>2.4623350538864408E-3</v>
      </c>
      <c r="CO37" s="51">
        <v>2.4377117033475763E-3</v>
      </c>
      <c r="CP37" s="51">
        <v>2.4133345863141006E-3</v>
      </c>
      <c r="CQ37" s="51">
        <v>2.3892012404509596E-3</v>
      </c>
      <c r="CR37" s="51">
        <v>2.3653092280464501E-3</v>
      </c>
      <c r="CS37" s="51">
        <v>2.3416561357659854E-3</v>
      </c>
      <c r="CT37" s="51">
        <v>2.3182395744083253E-3</v>
      </c>
      <c r="CU37" s="51">
        <v>2.2950571786642419E-3</v>
      </c>
      <c r="CV37" s="51">
        <v>2.2721066068775993E-3</v>
      </c>
      <c r="CW37" s="51">
        <v>2.2493855408088231E-3</v>
      </c>
      <c r="CX37" s="55">
        <v>2.2268916854007348E-3</v>
      </c>
      <c r="CY37" s="53">
        <v>2.2046227685467274E-3</v>
      </c>
    </row>
    <row r="38" spans="1:103" ht="15.75">
      <c r="A38" s="54">
        <v>56</v>
      </c>
      <c r="B38" s="55">
        <v>6.0990000000000003E-3</v>
      </c>
      <c r="C38" s="55">
        <v>6.1050989999999992E-3</v>
      </c>
      <c r="D38" s="55">
        <v>6.1014359405999986E-3</v>
      </c>
      <c r="E38" s="55">
        <v>6.0874026379366189E-3</v>
      </c>
      <c r="F38" s="55">
        <v>6.0630530273848727E-3</v>
      </c>
      <c r="G38" s="55">
        <v>6.0284936251287788E-3</v>
      </c>
      <c r="H38" s="55">
        <v>5.9856913203903649E-3</v>
      </c>
      <c r="I38" s="55">
        <v>5.9372072206952033E-3</v>
      </c>
      <c r="J38" s="55">
        <v>5.8849597971530852E-3</v>
      </c>
      <c r="K38" s="55">
        <v>5.8319951589787073E-3</v>
      </c>
      <c r="L38" s="55">
        <v>5.781256801095592E-3</v>
      </c>
      <c r="M38" s="55">
        <v>5.7338504953266083E-3</v>
      </c>
      <c r="N38" s="55">
        <v>5.6891264614630606E-3</v>
      </c>
      <c r="O38" s="55">
        <v>5.6458891003559409E-3</v>
      </c>
      <c r="P38" s="55">
        <v>5.6029803431932356E-3</v>
      </c>
      <c r="Q38" s="55">
        <v>5.5592770965163284E-3</v>
      </c>
      <c r="R38" s="55">
        <v>5.5131350966152433E-3</v>
      </c>
      <c r="S38" s="55">
        <v>5.4646195077650292E-3</v>
      </c>
      <c r="T38" s="55">
        <v>5.413252084392038E-3</v>
      </c>
      <c r="U38" s="51">
        <v>5.3602022139649956E-3</v>
      </c>
      <c r="V38" s="51">
        <v>5.3066001918253454E-3</v>
      </c>
      <c r="W38" s="51">
        <v>5.2535341899070916E-3</v>
      </c>
      <c r="X38" s="51">
        <v>5.2009988480080207E-3</v>
      </c>
      <c r="Y38" s="51">
        <v>5.1489888595279403E-3</v>
      </c>
      <c r="Z38" s="51">
        <v>5.0974989709326604E-3</v>
      </c>
      <c r="AA38" s="51">
        <v>5.0465239812233342E-3</v>
      </c>
      <c r="AB38" s="51">
        <v>4.9960587414111012E-3</v>
      </c>
      <c r="AC38" s="51">
        <v>4.94609815399699E-3</v>
      </c>
      <c r="AD38" s="51">
        <v>4.8966371724570197E-3</v>
      </c>
      <c r="AE38" s="51">
        <v>4.8476708007324492E-3</v>
      </c>
      <c r="AF38" s="51">
        <v>4.799194092725125E-3</v>
      </c>
      <c r="AG38" s="51">
        <v>4.7512021517978741E-3</v>
      </c>
      <c r="AH38" s="51">
        <v>4.7036901302798953E-3</v>
      </c>
      <c r="AI38" s="51">
        <v>4.6566532289770961E-3</v>
      </c>
      <c r="AJ38" s="51">
        <v>4.6100866966873252E-3</v>
      </c>
      <c r="AK38" s="51">
        <v>4.5639858297204516E-3</v>
      </c>
      <c r="AL38" s="51">
        <v>4.5183459714232474E-3</v>
      </c>
      <c r="AM38" s="51">
        <v>4.4731625117090147E-3</v>
      </c>
      <c r="AN38" s="51">
        <v>4.4284308865919246E-3</v>
      </c>
      <c r="AO38" s="51">
        <v>4.3841465777260053E-3</v>
      </c>
      <c r="AP38" s="51">
        <v>4.3403051119487454E-3</v>
      </c>
      <c r="AQ38" s="51">
        <v>4.2969020608292583E-3</v>
      </c>
      <c r="AR38" s="51">
        <v>4.253933040220966E-3</v>
      </c>
      <c r="AS38" s="51">
        <v>4.2113937098187566E-3</v>
      </c>
      <c r="AT38" s="51">
        <v>4.1692797727205686E-3</v>
      </c>
      <c r="AU38" s="51">
        <v>4.1275869749933629E-3</v>
      </c>
      <c r="AV38" s="51">
        <v>4.086311105243429E-3</v>
      </c>
      <c r="AW38" s="51">
        <v>4.0454479941909949E-3</v>
      </c>
      <c r="AX38" s="51">
        <v>4.0049935142490852E-3</v>
      </c>
      <c r="AY38" s="51">
        <v>3.9649435791065946E-3</v>
      </c>
      <c r="AZ38" s="51">
        <v>3.9252941433155289E-3</v>
      </c>
      <c r="BA38" s="51">
        <v>3.8860412018823735E-3</v>
      </c>
      <c r="BB38" s="51">
        <v>3.8471807898635495E-3</v>
      </c>
      <c r="BC38" s="51">
        <v>3.808708981964914E-3</v>
      </c>
      <c r="BD38" s="51">
        <v>3.7706218921452648E-3</v>
      </c>
      <c r="BE38" s="51">
        <v>3.732915673223812E-3</v>
      </c>
      <c r="BF38" s="51">
        <v>3.6955865164915737E-3</v>
      </c>
      <c r="BG38" s="51">
        <v>3.6586306513266579E-3</v>
      </c>
      <c r="BH38" s="51">
        <v>3.6220443448133914E-3</v>
      </c>
      <c r="BI38" s="51">
        <v>3.5858239013652573E-3</v>
      </c>
      <c r="BJ38" s="51">
        <v>3.5499656623516045E-3</v>
      </c>
      <c r="BK38" s="51">
        <v>3.5144660057280885E-3</v>
      </c>
      <c r="BL38" s="51">
        <v>3.4793213456708076E-3</v>
      </c>
      <c r="BM38" s="51">
        <v>3.4445281322140996E-3</v>
      </c>
      <c r="BN38" s="51">
        <v>3.4100828508919585E-3</v>
      </c>
      <c r="BO38" s="51">
        <v>3.375982022383039E-3</v>
      </c>
      <c r="BP38" s="51">
        <v>3.3422222021592088E-3</v>
      </c>
      <c r="BQ38" s="51">
        <v>3.3087999801376168E-3</v>
      </c>
      <c r="BR38" s="51">
        <v>3.2757119803362407E-3</v>
      </c>
      <c r="BS38" s="51">
        <v>3.2429548605328782E-3</v>
      </c>
      <c r="BT38" s="51">
        <v>3.2105253119275494E-3</v>
      </c>
      <c r="BU38" s="51">
        <v>3.1784200588082737E-3</v>
      </c>
      <c r="BV38" s="51">
        <v>3.1466358582201912E-3</v>
      </c>
      <c r="BW38" s="51">
        <v>3.1151694996379891E-3</v>
      </c>
      <c r="BX38" s="51">
        <v>3.0840178046416091E-3</v>
      </c>
      <c r="BY38" s="51">
        <v>3.0531776265951931E-3</v>
      </c>
      <c r="BZ38" s="51">
        <v>3.0226458503292411E-3</v>
      </c>
      <c r="CA38" s="51">
        <v>2.9924193918259485E-3</v>
      </c>
      <c r="CB38" s="51">
        <v>2.9624951979076888E-3</v>
      </c>
      <c r="CC38" s="51">
        <v>2.9328702459286119E-3</v>
      </c>
      <c r="CD38" s="51">
        <v>2.9035415434693259E-3</v>
      </c>
      <c r="CE38" s="51">
        <v>2.8745061280346326E-3</v>
      </c>
      <c r="CF38" s="51">
        <v>2.8457610667542862E-3</v>
      </c>
      <c r="CG38" s="51">
        <v>2.8173034560867432E-3</v>
      </c>
      <c r="CH38" s="51">
        <v>2.7891304215258757E-3</v>
      </c>
      <c r="CI38" s="51">
        <v>2.7612391173106169E-3</v>
      </c>
      <c r="CJ38" s="51">
        <v>2.7336267261375106E-3</v>
      </c>
      <c r="CK38" s="51">
        <v>2.7062904588761355E-3</v>
      </c>
      <c r="CL38" s="51">
        <v>2.679227554287374E-3</v>
      </c>
      <c r="CM38" s="51">
        <v>2.6524352787445004E-3</v>
      </c>
      <c r="CN38" s="51">
        <v>2.6259109259570554E-3</v>
      </c>
      <c r="CO38" s="51">
        <v>2.5996518166974849E-3</v>
      </c>
      <c r="CP38" s="51">
        <v>2.57365529853051E-3</v>
      </c>
      <c r="CQ38" s="51">
        <v>2.5479187455452047E-3</v>
      </c>
      <c r="CR38" s="51">
        <v>2.5224395580897528E-3</v>
      </c>
      <c r="CS38" s="51">
        <v>2.4972151625088554E-3</v>
      </c>
      <c r="CT38" s="51">
        <v>2.4722430108837668E-3</v>
      </c>
      <c r="CU38" s="51">
        <v>2.4475205807749289E-3</v>
      </c>
      <c r="CV38" s="51">
        <v>2.4230453749671797E-3</v>
      </c>
      <c r="CW38" s="51">
        <v>2.3988149212175081E-3</v>
      </c>
      <c r="CX38" s="55">
        <v>2.3748267720053329E-3</v>
      </c>
      <c r="CY38" s="53">
        <v>2.3510785042852797E-3</v>
      </c>
    </row>
    <row r="39" spans="1:103" ht="15.75">
      <c r="A39" s="54">
        <v>57</v>
      </c>
      <c r="B39" s="55">
        <v>6.4780000000000003E-3</v>
      </c>
      <c r="C39" s="55">
        <v>6.4974339999999998E-3</v>
      </c>
      <c r="D39" s="55">
        <v>6.5058806642E-3</v>
      </c>
      <c r="E39" s="55">
        <v>6.5019771358014794E-3</v>
      </c>
      <c r="F39" s="55">
        <v>6.4850719952483952E-3</v>
      </c>
      <c r="G39" s="55">
        <v>6.455240664070252E-3</v>
      </c>
      <c r="H39" s="55">
        <v>6.4145726478866093E-3</v>
      </c>
      <c r="I39" s="55">
        <v>6.3651804384978819E-3</v>
      </c>
      <c r="J39" s="55">
        <v>6.3091668506391006E-3</v>
      </c>
      <c r="K39" s="55">
        <v>6.2504915989281574E-3</v>
      </c>
      <c r="L39" s="55">
        <v>6.1929870762180185E-3</v>
      </c>
      <c r="M39" s="55">
        <v>6.1378694912396781E-3</v>
      </c>
      <c r="N39" s="55">
        <v>6.0856976005641411E-3</v>
      </c>
      <c r="O39" s="55">
        <v>6.0351863104794587E-3</v>
      </c>
      <c r="P39" s="55">
        <v>5.9856977827335272E-3</v>
      </c>
      <c r="Q39" s="55">
        <v>5.9360164911368392E-3</v>
      </c>
      <c r="R39" s="55">
        <v>5.8849667493130623E-3</v>
      </c>
      <c r="S39" s="55">
        <v>5.8320020485692443E-3</v>
      </c>
      <c r="T39" s="55">
        <v>5.7765980291078368E-3</v>
      </c>
      <c r="U39" s="51">
        <v>5.7199873684225799E-3</v>
      </c>
      <c r="V39" s="51">
        <v>5.6627874947383543E-3</v>
      </c>
      <c r="W39" s="51">
        <v>5.6061596197909706E-3</v>
      </c>
      <c r="X39" s="51">
        <v>5.5500980235930605E-3</v>
      </c>
      <c r="Y39" s="51">
        <v>5.4945970433571299E-3</v>
      </c>
      <c r="Z39" s="51">
        <v>5.4396510729235589E-3</v>
      </c>
      <c r="AA39" s="51">
        <v>5.3852545621943231E-3</v>
      </c>
      <c r="AB39" s="51">
        <v>5.3314020165723796E-3</v>
      </c>
      <c r="AC39" s="51">
        <v>5.2780879964066559E-3</v>
      </c>
      <c r="AD39" s="51">
        <v>5.2253071164425893E-3</v>
      </c>
      <c r="AE39" s="51">
        <v>5.173054045278163E-3</v>
      </c>
      <c r="AF39" s="51">
        <v>5.1213235048253817E-3</v>
      </c>
      <c r="AG39" s="51">
        <v>5.0701102697771278E-3</v>
      </c>
      <c r="AH39" s="51">
        <v>5.0194091670793563E-3</v>
      </c>
      <c r="AI39" s="51">
        <v>4.969215075408563E-3</v>
      </c>
      <c r="AJ39" s="51">
        <v>4.9195229246544771E-3</v>
      </c>
      <c r="AK39" s="51">
        <v>4.8703276954079324E-3</v>
      </c>
      <c r="AL39" s="51">
        <v>4.8216244184538532E-3</v>
      </c>
      <c r="AM39" s="51">
        <v>4.7734081742693149E-3</v>
      </c>
      <c r="AN39" s="51">
        <v>4.7256740925266218E-3</v>
      </c>
      <c r="AO39" s="51">
        <v>4.6784173516013555E-3</v>
      </c>
      <c r="AP39" s="51">
        <v>4.6316331780853421E-3</v>
      </c>
      <c r="AQ39" s="51">
        <v>4.585316846304489E-3</v>
      </c>
      <c r="AR39" s="51">
        <v>4.5394636778414441E-3</v>
      </c>
      <c r="AS39" s="51">
        <v>4.4940690410630296E-3</v>
      </c>
      <c r="AT39" s="51">
        <v>4.4491283506523996E-3</v>
      </c>
      <c r="AU39" s="51">
        <v>4.404637067145876E-3</v>
      </c>
      <c r="AV39" s="51">
        <v>4.3605906964744173E-3</v>
      </c>
      <c r="AW39" s="51">
        <v>4.3169847895096732E-3</v>
      </c>
      <c r="AX39" s="51">
        <v>4.2738149416145762E-3</v>
      </c>
      <c r="AY39" s="51">
        <v>4.2310767921984304E-3</v>
      </c>
      <c r="AZ39" s="51">
        <v>4.1887660242764463E-3</v>
      </c>
      <c r="BA39" s="51">
        <v>4.1468783640336822E-3</v>
      </c>
      <c r="BB39" s="51">
        <v>4.1054095803933453E-3</v>
      </c>
      <c r="BC39" s="51">
        <v>4.0643554845894115E-3</v>
      </c>
      <c r="BD39" s="51">
        <v>4.0237119297435175E-3</v>
      </c>
      <c r="BE39" s="51">
        <v>3.9834748104460825E-3</v>
      </c>
      <c r="BF39" s="51">
        <v>3.9436400623416214E-3</v>
      </c>
      <c r="BG39" s="51">
        <v>3.9042036617182052E-3</v>
      </c>
      <c r="BH39" s="51">
        <v>3.8651616251010232E-3</v>
      </c>
      <c r="BI39" s="51">
        <v>3.8265100088500132E-3</v>
      </c>
      <c r="BJ39" s="51">
        <v>3.7882449087615132E-3</v>
      </c>
      <c r="BK39" s="51">
        <v>3.750362459673898E-3</v>
      </c>
      <c r="BL39" s="51">
        <v>3.7128588350771592E-3</v>
      </c>
      <c r="BM39" s="51">
        <v>3.6757302467263875E-3</v>
      </c>
      <c r="BN39" s="51">
        <v>3.6389729442591234E-3</v>
      </c>
      <c r="BO39" s="51">
        <v>3.6025832148165321E-3</v>
      </c>
      <c r="BP39" s="51">
        <v>3.5665573826683668E-3</v>
      </c>
      <c r="BQ39" s="51">
        <v>3.5308918088416828E-3</v>
      </c>
      <c r="BR39" s="51">
        <v>3.495582890753266E-3</v>
      </c>
      <c r="BS39" s="51">
        <v>3.4606270618457334E-3</v>
      </c>
      <c r="BT39" s="51">
        <v>3.4260207912272761E-3</v>
      </c>
      <c r="BU39" s="51">
        <v>3.3917605833150032E-3</v>
      </c>
      <c r="BV39" s="51">
        <v>3.357842977481853E-3</v>
      </c>
      <c r="BW39" s="51">
        <v>3.3242645477070346E-3</v>
      </c>
      <c r="BX39" s="51">
        <v>3.2910219022299642E-3</v>
      </c>
      <c r="BY39" s="51">
        <v>3.2581116832076647E-3</v>
      </c>
      <c r="BZ39" s="51">
        <v>3.2255305663755878E-3</v>
      </c>
      <c r="CA39" s="51">
        <v>3.1932752607118321E-3</v>
      </c>
      <c r="CB39" s="51">
        <v>3.1613425081047138E-3</v>
      </c>
      <c r="CC39" s="51">
        <v>3.1297290830236669E-3</v>
      </c>
      <c r="CD39" s="51">
        <v>3.0984317921934302E-3</v>
      </c>
      <c r="CE39" s="51">
        <v>3.0674474742714958E-3</v>
      </c>
      <c r="CF39" s="51">
        <v>3.036772999528781E-3</v>
      </c>
      <c r="CG39" s="51">
        <v>3.0064052695334934E-3</v>
      </c>
      <c r="CH39" s="51">
        <v>2.9763412168381585E-3</v>
      </c>
      <c r="CI39" s="51">
        <v>2.9465778046697767E-3</v>
      </c>
      <c r="CJ39" s="51">
        <v>2.9171120266230791E-3</v>
      </c>
      <c r="CK39" s="51">
        <v>2.8879409063568484E-3</v>
      </c>
      <c r="CL39" s="51">
        <v>2.8590614972932799E-3</v>
      </c>
      <c r="CM39" s="51">
        <v>2.8304708823203469E-3</v>
      </c>
      <c r="CN39" s="51">
        <v>2.8021661734971433E-3</v>
      </c>
      <c r="CO39" s="51">
        <v>2.7741445117621718E-3</v>
      </c>
      <c r="CP39" s="51">
        <v>2.7464030666445502E-3</v>
      </c>
      <c r="CQ39" s="51">
        <v>2.7189390359781047E-3</v>
      </c>
      <c r="CR39" s="51">
        <v>2.6917496456183238E-3</v>
      </c>
      <c r="CS39" s="51">
        <v>2.6648321491621403E-3</v>
      </c>
      <c r="CT39" s="51">
        <v>2.638183827670519E-3</v>
      </c>
      <c r="CU39" s="51">
        <v>2.6118019893938138E-3</v>
      </c>
      <c r="CV39" s="51">
        <v>2.5856839694998759E-3</v>
      </c>
      <c r="CW39" s="51">
        <v>2.5598271298048771E-3</v>
      </c>
      <c r="CX39" s="55">
        <v>2.5342288585068285E-3</v>
      </c>
      <c r="CY39" s="53">
        <v>2.5088865699217601E-3</v>
      </c>
    </row>
    <row r="40" spans="1:103" ht="15.75">
      <c r="A40" s="54">
        <v>58</v>
      </c>
      <c r="B40" s="55">
        <v>6.8770000000000003E-3</v>
      </c>
      <c r="C40" s="55">
        <v>6.9106973E-3</v>
      </c>
      <c r="D40" s="55">
        <v>6.9328115313600008E-3</v>
      </c>
      <c r="E40" s="55">
        <v>6.9404376240444973E-3</v>
      </c>
      <c r="F40" s="55">
        <v>6.9328031426580481E-3</v>
      </c>
      <c r="G40" s="55">
        <v>6.9092316119730114E-3</v>
      </c>
      <c r="H40" s="55">
        <v>6.871921761268357E-3</v>
      </c>
      <c r="I40" s="55">
        <v>6.8224439245872246E-3</v>
      </c>
      <c r="J40" s="55">
        <v>6.7644531512282332E-3</v>
      </c>
      <c r="K40" s="55">
        <v>6.7015437369218108E-3</v>
      </c>
      <c r="L40" s="55">
        <v>6.6378790714210541E-3</v>
      </c>
      <c r="M40" s="55">
        <v>6.5754830081496962E-3</v>
      </c>
      <c r="N40" s="55">
        <v>6.5156461127755336E-3</v>
      </c>
      <c r="O40" s="55">
        <v>6.4583084269831089E-3</v>
      </c>
      <c r="P40" s="55">
        <v>6.4021211436683552E-3</v>
      </c>
      <c r="Q40" s="55">
        <v>6.3464226897184403E-3</v>
      </c>
      <c r="R40" s="55">
        <v>6.2905741700489178E-3</v>
      </c>
      <c r="S40" s="55">
        <v>6.2327008876844675E-3</v>
      </c>
      <c r="T40" s="55">
        <v>6.1734902292514653E-3</v>
      </c>
      <c r="U40" s="51">
        <v>6.112372675981876E-3</v>
      </c>
      <c r="V40" s="51">
        <v>6.0512489492220572E-3</v>
      </c>
      <c r="W40" s="51">
        <v>5.9907364597298366E-3</v>
      </c>
      <c r="X40" s="51">
        <v>5.9308290951325384E-3</v>
      </c>
      <c r="Y40" s="51">
        <v>5.8715208041812128E-3</v>
      </c>
      <c r="Z40" s="51">
        <v>5.8128055961394007E-3</v>
      </c>
      <c r="AA40" s="51">
        <v>5.7546775401780071E-3</v>
      </c>
      <c r="AB40" s="51">
        <v>5.6971307647762266E-3</v>
      </c>
      <c r="AC40" s="51">
        <v>5.640159457128464E-3</v>
      </c>
      <c r="AD40" s="51">
        <v>5.5837578625571793E-3</v>
      </c>
      <c r="AE40" s="51">
        <v>5.5279202839316078E-3</v>
      </c>
      <c r="AF40" s="51">
        <v>5.472641081092292E-3</v>
      </c>
      <c r="AG40" s="51">
        <v>5.4179146702813688E-3</v>
      </c>
      <c r="AH40" s="51">
        <v>5.3637355235785552E-3</v>
      </c>
      <c r="AI40" s="51">
        <v>5.3100981683427695E-3</v>
      </c>
      <c r="AJ40" s="51">
        <v>5.2569971866593419E-3</v>
      </c>
      <c r="AK40" s="51">
        <v>5.204427214792748E-3</v>
      </c>
      <c r="AL40" s="51">
        <v>5.1523829426448203E-3</v>
      </c>
      <c r="AM40" s="51">
        <v>5.1008591132183723E-3</v>
      </c>
      <c r="AN40" s="51">
        <v>5.0498505220861883E-3</v>
      </c>
      <c r="AO40" s="51">
        <v>4.9993520168653263E-3</v>
      </c>
      <c r="AP40" s="51">
        <v>4.9493584966966726E-3</v>
      </c>
      <c r="AQ40" s="51">
        <v>4.8998649117297059E-3</v>
      </c>
      <c r="AR40" s="51">
        <v>4.8508662626124089E-3</v>
      </c>
      <c r="AS40" s="51">
        <v>4.8023575999862848E-3</v>
      </c>
      <c r="AT40" s="51">
        <v>4.754334023986422E-3</v>
      </c>
      <c r="AU40" s="51">
        <v>4.7067906837465574E-3</v>
      </c>
      <c r="AV40" s="51">
        <v>4.6597227769090916E-3</v>
      </c>
      <c r="AW40" s="51">
        <v>4.6131255491400009E-3</v>
      </c>
      <c r="AX40" s="51">
        <v>4.5669942936486007E-3</v>
      </c>
      <c r="AY40" s="51">
        <v>4.5213243507121149E-3</v>
      </c>
      <c r="AZ40" s="51">
        <v>4.4761111072049936E-3</v>
      </c>
      <c r="BA40" s="51">
        <v>4.4313499961329437E-3</v>
      </c>
      <c r="BB40" s="51">
        <v>4.3870364961716146E-3</v>
      </c>
      <c r="BC40" s="51">
        <v>4.3431661312098987E-3</v>
      </c>
      <c r="BD40" s="51">
        <v>4.2997344698977999E-3</v>
      </c>
      <c r="BE40" s="51">
        <v>4.2567371251988218E-3</v>
      </c>
      <c r="BF40" s="51">
        <v>4.2141697539468332E-3</v>
      </c>
      <c r="BG40" s="51">
        <v>4.1720280564073644E-3</v>
      </c>
      <c r="BH40" s="51">
        <v>4.1303077758432904E-3</v>
      </c>
      <c r="BI40" s="51">
        <v>4.0890046980848575E-3</v>
      </c>
      <c r="BJ40" s="51">
        <v>4.0481146511040086E-3</v>
      </c>
      <c r="BK40" s="51">
        <v>4.0076335045929681E-3</v>
      </c>
      <c r="BL40" s="51">
        <v>3.9675571695470388E-3</v>
      </c>
      <c r="BM40" s="51">
        <v>3.927881597851568E-3</v>
      </c>
      <c r="BN40" s="51">
        <v>3.8886027818730521E-3</v>
      </c>
      <c r="BO40" s="51">
        <v>3.8497167540543216E-3</v>
      </c>
      <c r="BP40" s="51">
        <v>3.8112195865137783E-3</v>
      </c>
      <c r="BQ40" s="51">
        <v>3.7731073906486405E-3</v>
      </c>
      <c r="BR40" s="51">
        <v>3.7353763167421541E-3</v>
      </c>
      <c r="BS40" s="51">
        <v>3.6980225535747325E-3</v>
      </c>
      <c r="BT40" s="51">
        <v>3.6610423280389851E-3</v>
      </c>
      <c r="BU40" s="51">
        <v>3.6244319047585953E-3</v>
      </c>
      <c r="BV40" s="51">
        <v>3.5881875857110093E-3</v>
      </c>
      <c r="BW40" s="51">
        <v>3.5523057098538991E-3</v>
      </c>
      <c r="BX40" s="51">
        <v>3.5167826527553602E-3</v>
      </c>
      <c r="BY40" s="51">
        <v>3.4816148262278067E-3</v>
      </c>
      <c r="BZ40" s="51">
        <v>3.4467986779655288E-3</v>
      </c>
      <c r="CA40" s="51">
        <v>3.4123306911858736E-3</v>
      </c>
      <c r="CB40" s="51">
        <v>3.3782073842740148E-3</v>
      </c>
      <c r="CC40" s="51">
        <v>3.3444253104312747E-3</v>
      </c>
      <c r="CD40" s="51">
        <v>3.3109810573269619E-3</v>
      </c>
      <c r="CE40" s="51">
        <v>3.2778712467536925E-3</v>
      </c>
      <c r="CF40" s="51">
        <v>3.2450925342861555E-3</v>
      </c>
      <c r="CG40" s="51">
        <v>3.2126416089432938E-3</v>
      </c>
      <c r="CH40" s="51">
        <v>3.180515192853861E-3</v>
      </c>
      <c r="CI40" s="51">
        <v>3.1487100409253225E-3</v>
      </c>
      <c r="CJ40" s="51">
        <v>3.1172229405160693E-3</v>
      </c>
      <c r="CK40" s="51">
        <v>3.0860507111109088E-3</v>
      </c>
      <c r="CL40" s="51">
        <v>3.0551902039997999E-3</v>
      </c>
      <c r="CM40" s="51">
        <v>3.0246383019598018E-3</v>
      </c>
      <c r="CN40" s="51">
        <v>2.9943919189402038E-3</v>
      </c>
      <c r="CO40" s="51">
        <v>2.9644479997508015E-3</v>
      </c>
      <c r="CP40" s="51">
        <v>2.9348035197532935E-3</v>
      </c>
      <c r="CQ40" s="51">
        <v>2.9054554845557605E-3</v>
      </c>
      <c r="CR40" s="51">
        <v>2.8764009297102028E-3</v>
      </c>
      <c r="CS40" s="51">
        <v>2.8476369204131009E-3</v>
      </c>
      <c r="CT40" s="51">
        <v>2.8191605512089698E-3</v>
      </c>
      <c r="CU40" s="51">
        <v>2.7909689456968802E-3</v>
      </c>
      <c r="CV40" s="51">
        <v>2.7630592562399112E-3</v>
      </c>
      <c r="CW40" s="51">
        <v>2.7354286636775121E-3</v>
      </c>
      <c r="CX40" s="55">
        <v>2.7080743770407367E-3</v>
      </c>
      <c r="CY40" s="53">
        <v>2.6809936332703294E-3</v>
      </c>
    </row>
    <row r="41" spans="1:103" ht="15.75">
      <c r="A41" s="54">
        <v>59</v>
      </c>
      <c r="B41" s="55">
        <v>7.3049999999999999E-3</v>
      </c>
      <c r="C41" s="55">
        <v>7.3532129999999991E-3</v>
      </c>
      <c r="D41" s="55">
        <v>7.388508422399998E-3</v>
      </c>
      <c r="E41" s="55">
        <v>7.4084573951404779E-3</v>
      </c>
      <c r="F41" s="55">
        <v>7.4106799323590197E-3</v>
      </c>
      <c r="G41" s="55">
        <v>7.3943764365078301E-3</v>
      </c>
      <c r="H41" s="55">
        <v>7.361101742543545E-3</v>
      </c>
      <c r="I41" s="55">
        <v>7.313254581217012E-3</v>
      </c>
      <c r="J41" s="55">
        <v>7.2540172191091542E-3</v>
      </c>
      <c r="K41" s="55">
        <v>7.1872802606933505E-3</v>
      </c>
      <c r="L41" s="55">
        <v>7.1182823701906942E-3</v>
      </c>
      <c r="M41" s="55">
        <v>7.0499468594368633E-3</v>
      </c>
      <c r="N41" s="55">
        <v>6.9829723642722136E-3</v>
      </c>
      <c r="O41" s="55">
        <v>6.9180307212844822E-3</v>
      </c>
      <c r="P41" s="55">
        <v>6.8550766417207936E-3</v>
      </c>
      <c r="Q41" s="55">
        <v>6.7933809519453063E-3</v>
      </c>
      <c r="R41" s="55">
        <v>6.731561185282604E-3</v>
      </c>
      <c r="S41" s="55">
        <v>6.6689576662594761E-3</v>
      </c>
      <c r="T41" s="55">
        <v>6.6049356726633843E-3</v>
      </c>
      <c r="U41" s="51">
        <v>6.539546809504017E-3</v>
      </c>
      <c r="V41" s="51">
        <v>6.4741513414089766E-3</v>
      </c>
      <c r="W41" s="51">
        <v>6.4094098279948867E-3</v>
      </c>
      <c r="X41" s="51">
        <v>6.3453157297149376E-3</v>
      </c>
      <c r="Y41" s="51">
        <v>6.2818625724177886E-3</v>
      </c>
      <c r="Z41" s="51">
        <v>6.2190439466936103E-3</v>
      </c>
      <c r="AA41" s="51">
        <v>6.1568535072266742E-3</v>
      </c>
      <c r="AB41" s="51">
        <v>6.0952849721544076E-3</v>
      </c>
      <c r="AC41" s="51">
        <v>6.0343321224328632E-3</v>
      </c>
      <c r="AD41" s="51">
        <v>5.9739888012085348E-3</v>
      </c>
      <c r="AE41" s="51">
        <v>5.9142489131964494E-3</v>
      </c>
      <c r="AF41" s="51">
        <v>5.8551064240644846E-3</v>
      </c>
      <c r="AG41" s="51">
        <v>5.7965553598238401E-3</v>
      </c>
      <c r="AH41" s="51">
        <v>5.7385898062256016E-3</v>
      </c>
      <c r="AI41" s="51">
        <v>5.6812039081633459E-3</v>
      </c>
      <c r="AJ41" s="51">
        <v>5.6243918690817123E-3</v>
      </c>
      <c r="AK41" s="51">
        <v>5.5681479503908952E-3</v>
      </c>
      <c r="AL41" s="51">
        <v>5.5124664708869862E-3</v>
      </c>
      <c r="AM41" s="51">
        <v>5.4573418061781166E-3</v>
      </c>
      <c r="AN41" s="51">
        <v>5.4027683881163356E-3</v>
      </c>
      <c r="AO41" s="51">
        <v>5.3487407042351722E-3</v>
      </c>
      <c r="AP41" s="51">
        <v>5.2952532971928205E-3</v>
      </c>
      <c r="AQ41" s="51">
        <v>5.2423007642208924E-3</v>
      </c>
      <c r="AR41" s="51">
        <v>5.1898777565786832E-3</v>
      </c>
      <c r="AS41" s="51">
        <v>5.1379789790128964E-3</v>
      </c>
      <c r="AT41" s="51">
        <v>5.0865991892227675E-3</v>
      </c>
      <c r="AU41" s="51">
        <v>5.0357331973305396E-3</v>
      </c>
      <c r="AV41" s="51">
        <v>4.985375865357234E-3</v>
      </c>
      <c r="AW41" s="51">
        <v>4.9355221067036619E-3</v>
      </c>
      <c r="AX41" s="51">
        <v>4.8861668856366256E-3</v>
      </c>
      <c r="AY41" s="51">
        <v>4.8373052167802596E-3</v>
      </c>
      <c r="AZ41" s="51">
        <v>4.7889321646124566E-3</v>
      </c>
      <c r="BA41" s="51">
        <v>4.7410428429663322E-3</v>
      </c>
      <c r="BB41" s="51">
        <v>4.6936324145366685E-3</v>
      </c>
      <c r="BC41" s="51">
        <v>4.6466960903913017E-3</v>
      </c>
      <c r="BD41" s="51">
        <v>4.6002291294873886E-3</v>
      </c>
      <c r="BE41" s="51">
        <v>4.5542268381925143E-3</v>
      </c>
      <c r="BF41" s="51">
        <v>4.5086845698105891E-3</v>
      </c>
      <c r="BG41" s="51">
        <v>4.4635977241124832E-3</v>
      </c>
      <c r="BH41" s="51">
        <v>4.4189617468713581E-3</v>
      </c>
      <c r="BI41" s="51">
        <v>4.3747721294026447E-3</v>
      </c>
      <c r="BJ41" s="51">
        <v>4.3310244081086182E-3</v>
      </c>
      <c r="BK41" s="51">
        <v>4.2877141640275318E-3</v>
      </c>
      <c r="BL41" s="51">
        <v>4.2448370223872565E-3</v>
      </c>
      <c r="BM41" s="51">
        <v>4.2023886521633837E-3</v>
      </c>
      <c r="BN41" s="51">
        <v>4.1603647656417494E-3</v>
      </c>
      <c r="BO41" s="51">
        <v>4.1187611179853319E-3</v>
      </c>
      <c r="BP41" s="51">
        <v>4.0775735068054788E-3</v>
      </c>
      <c r="BQ41" s="51">
        <v>4.0367977717374239E-3</v>
      </c>
      <c r="BR41" s="51">
        <v>3.9964297940200495E-3</v>
      </c>
      <c r="BS41" s="51">
        <v>3.9564654960798492E-3</v>
      </c>
      <c r="BT41" s="51">
        <v>3.9169008411190503E-3</v>
      </c>
      <c r="BU41" s="51">
        <v>3.8777318327078598E-3</v>
      </c>
      <c r="BV41" s="51">
        <v>3.8389545143807813E-3</v>
      </c>
      <c r="BW41" s="51">
        <v>3.8005649692369734E-3</v>
      </c>
      <c r="BX41" s="51">
        <v>3.7625593195446038E-3</v>
      </c>
      <c r="BY41" s="51">
        <v>3.7249337263491576E-3</v>
      </c>
      <c r="BZ41" s="51">
        <v>3.6876843890856661E-3</v>
      </c>
      <c r="CA41" s="51">
        <v>3.6508075451948093E-3</v>
      </c>
      <c r="CB41" s="51">
        <v>3.614299469742861E-3</v>
      </c>
      <c r="CC41" s="51">
        <v>3.5781564750454325E-3</v>
      </c>
      <c r="CD41" s="51">
        <v>3.5423749102949783E-3</v>
      </c>
      <c r="CE41" s="51">
        <v>3.5069511611920284E-3</v>
      </c>
      <c r="CF41" s="51">
        <v>3.471881649580108E-3</v>
      </c>
      <c r="CG41" s="51">
        <v>3.437162833084307E-3</v>
      </c>
      <c r="CH41" s="51">
        <v>3.4027912047534638E-3</v>
      </c>
      <c r="CI41" s="51">
        <v>3.3687632927059293E-3</v>
      </c>
      <c r="CJ41" s="51">
        <v>3.3350756597788698E-3</v>
      </c>
      <c r="CK41" s="51">
        <v>3.3017249031810809E-3</v>
      </c>
      <c r="CL41" s="51">
        <v>3.2687076541492699E-3</v>
      </c>
      <c r="CM41" s="51">
        <v>3.2360205776077772E-3</v>
      </c>
      <c r="CN41" s="51">
        <v>3.2036603718316992E-3</v>
      </c>
      <c r="CO41" s="51">
        <v>3.1716237681133821E-3</v>
      </c>
      <c r="CP41" s="51">
        <v>3.1399075304322484E-3</v>
      </c>
      <c r="CQ41" s="51">
        <v>3.1085084551279261E-3</v>
      </c>
      <c r="CR41" s="51">
        <v>3.0774233705766468E-3</v>
      </c>
      <c r="CS41" s="51">
        <v>3.0466491368708803E-3</v>
      </c>
      <c r="CT41" s="51">
        <v>3.0161826455021713E-3</v>
      </c>
      <c r="CU41" s="51">
        <v>2.9860208190471494E-3</v>
      </c>
      <c r="CV41" s="51">
        <v>2.956160610856678E-3</v>
      </c>
      <c r="CW41" s="51">
        <v>2.926599004748111E-3</v>
      </c>
      <c r="CX41" s="55">
        <v>2.8973330147006298E-3</v>
      </c>
      <c r="CY41" s="53">
        <v>2.8683596845536234E-3</v>
      </c>
    </row>
    <row r="42" spans="1:103" ht="15.75">
      <c r="A42" s="54">
        <v>60</v>
      </c>
      <c r="B42" s="55">
        <v>7.7710000000000001E-3</v>
      </c>
      <c r="C42" s="55">
        <v>7.8323908999999997E-3</v>
      </c>
      <c r="D42" s="55">
        <v>7.8809517235800004E-3</v>
      </c>
      <c r="E42" s="55">
        <v>7.9124755304743211E-3</v>
      </c>
      <c r="F42" s="55">
        <v>7.9243442437700335E-3</v>
      </c>
      <c r="G42" s="55">
        <v>7.9164198995262634E-3</v>
      </c>
      <c r="H42" s="55">
        <v>7.8887124298779223E-3</v>
      </c>
      <c r="I42" s="55">
        <v>7.8429578977846307E-3</v>
      </c>
      <c r="J42" s="55">
        <v>7.7833514177614669E-3</v>
      </c>
      <c r="K42" s="55">
        <v>7.7140795901433894E-3</v>
      </c>
      <c r="L42" s="55">
        <v>7.6407958340370275E-3</v>
      </c>
      <c r="M42" s="55">
        <v>7.5666801144468679E-3</v>
      </c>
      <c r="N42" s="55">
        <v>7.4932833173367332E-3</v>
      </c>
      <c r="O42" s="55">
        <v>7.4213477974903004E-3</v>
      </c>
      <c r="P42" s="55">
        <v>7.3515871281938918E-3</v>
      </c>
      <c r="Q42" s="55">
        <v>7.2824822091888692E-3</v>
      </c>
      <c r="R42" s="55">
        <v>7.2140268764224937E-3</v>
      </c>
      <c r="S42" s="55">
        <v>7.14549362109648E-3</v>
      </c>
      <c r="T42" s="55">
        <v>7.076182332971844E-3</v>
      </c>
      <c r="U42" s="51">
        <v>7.0061281278754224E-3</v>
      </c>
      <c r="V42" s="51">
        <v>6.936066846596668E-3</v>
      </c>
      <c r="W42" s="51">
        <v>6.8667061781307014E-3</v>
      </c>
      <c r="X42" s="51">
        <v>6.7980391163493942E-3</v>
      </c>
      <c r="Y42" s="51">
        <v>6.7300587251858997E-3</v>
      </c>
      <c r="Z42" s="51">
        <v>6.6627581379340405E-3</v>
      </c>
      <c r="AA42" s="51">
        <v>6.5961305565547003E-3</v>
      </c>
      <c r="AB42" s="51">
        <v>6.5301692509891528E-3</v>
      </c>
      <c r="AC42" s="51">
        <v>6.4648675584792611E-3</v>
      </c>
      <c r="AD42" s="51">
        <v>6.4002188828944685E-3</v>
      </c>
      <c r="AE42" s="51">
        <v>6.3362166940655234E-3</v>
      </c>
      <c r="AF42" s="51">
        <v>6.2728545271248676E-3</v>
      </c>
      <c r="AG42" s="51">
        <v>6.2101259818536187E-3</v>
      </c>
      <c r="AH42" s="51">
        <v>6.1480247220350821E-3</v>
      </c>
      <c r="AI42" s="51">
        <v>6.0865444748147311E-3</v>
      </c>
      <c r="AJ42" s="51">
        <v>6.0256790300665837E-3</v>
      </c>
      <c r="AK42" s="51">
        <v>5.9654222397659178E-3</v>
      </c>
      <c r="AL42" s="51">
        <v>5.9057680173682583E-3</v>
      </c>
      <c r="AM42" s="51">
        <v>5.8467103371945758E-3</v>
      </c>
      <c r="AN42" s="51">
        <v>5.7882432338226299E-3</v>
      </c>
      <c r="AO42" s="51">
        <v>5.7303608014844035E-3</v>
      </c>
      <c r="AP42" s="51">
        <v>5.6730571934695594E-3</v>
      </c>
      <c r="AQ42" s="51">
        <v>5.616326621534864E-3</v>
      </c>
      <c r="AR42" s="51">
        <v>5.560163355319515E-3</v>
      </c>
      <c r="AS42" s="51">
        <v>5.5045617217663202E-3</v>
      </c>
      <c r="AT42" s="51">
        <v>5.4495161045486568E-3</v>
      </c>
      <c r="AU42" s="51">
        <v>5.3950209435031701E-3</v>
      </c>
      <c r="AV42" s="51">
        <v>5.3410707340681386E-3</v>
      </c>
      <c r="AW42" s="51">
        <v>5.2876600267274575E-3</v>
      </c>
      <c r="AX42" s="51">
        <v>5.2347834264601829E-3</v>
      </c>
      <c r="AY42" s="51">
        <v>5.1824355921955808E-3</v>
      </c>
      <c r="AZ42" s="51">
        <v>5.130611236273625E-3</v>
      </c>
      <c r="BA42" s="51">
        <v>5.0793051239108886E-3</v>
      </c>
      <c r="BB42" s="51">
        <v>5.0285120726717798E-3</v>
      </c>
      <c r="BC42" s="51">
        <v>4.9782269519450624E-3</v>
      </c>
      <c r="BD42" s="51">
        <v>4.9284446824256114E-3</v>
      </c>
      <c r="BE42" s="51">
        <v>4.8791602356013548E-3</v>
      </c>
      <c r="BF42" s="51">
        <v>4.8303686332453414E-3</v>
      </c>
      <c r="BG42" s="51">
        <v>4.7820649469128883E-3</v>
      </c>
      <c r="BH42" s="51">
        <v>4.7342442974437592E-3</v>
      </c>
      <c r="BI42" s="51">
        <v>4.6869018544693219E-3</v>
      </c>
      <c r="BJ42" s="51">
        <v>4.6400328359246287E-3</v>
      </c>
      <c r="BK42" s="51">
        <v>4.5936325075653824E-3</v>
      </c>
      <c r="BL42" s="51">
        <v>4.5476961824897286E-3</v>
      </c>
      <c r="BM42" s="51">
        <v>4.502219220664831E-3</v>
      </c>
      <c r="BN42" s="51">
        <v>4.4571970284581824E-3</v>
      </c>
      <c r="BO42" s="51">
        <v>4.4126250581736004E-3</v>
      </c>
      <c r="BP42" s="51">
        <v>4.3684988075918642E-3</v>
      </c>
      <c r="BQ42" s="51">
        <v>4.3248138195159458E-3</v>
      </c>
      <c r="BR42" s="51">
        <v>4.2815656813207864E-3</v>
      </c>
      <c r="BS42" s="51">
        <v>4.2387500245075786E-3</v>
      </c>
      <c r="BT42" s="51">
        <v>4.1963625242625027E-3</v>
      </c>
      <c r="BU42" s="51">
        <v>4.1543988990198778E-3</v>
      </c>
      <c r="BV42" s="51">
        <v>4.1128549100296792E-3</v>
      </c>
      <c r="BW42" s="51">
        <v>4.0717263609293822E-3</v>
      </c>
      <c r="BX42" s="51">
        <v>4.0310090973200881E-3</v>
      </c>
      <c r="BY42" s="51">
        <v>3.9906990063468869E-3</v>
      </c>
      <c r="BZ42" s="51">
        <v>3.950792016283418E-3</v>
      </c>
      <c r="CA42" s="51">
        <v>3.9112840961205838E-3</v>
      </c>
      <c r="CB42" s="51">
        <v>3.8721712551593778E-3</v>
      </c>
      <c r="CC42" s="51">
        <v>3.8334495426077838E-3</v>
      </c>
      <c r="CD42" s="51">
        <v>3.795115047181706E-3</v>
      </c>
      <c r="CE42" s="51">
        <v>3.7571638967098891E-3</v>
      </c>
      <c r="CF42" s="51">
        <v>3.7195922577427901E-3</v>
      </c>
      <c r="CG42" s="51">
        <v>3.6823963351653622E-3</v>
      </c>
      <c r="CH42" s="51">
        <v>3.6455723718137084E-3</v>
      </c>
      <c r="CI42" s="51">
        <v>3.6091166480955715E-3</v>
      </c>
      <c r="CJ42" s="51">
        <v>3.5730254816146159E-3</v>
      </c>
      <c r="CK42" s="51">
        <v>3.5372952267984695E-3</v>
      </c>
      <c r="CL42" s="51">
        <v>3.5019222745304849E-3</v>
      </c>
      <c r="CM42" s="51">
        <v>3.4669030517851802E-3</v>
      </c>
      <c r="CN42" s="51">
        <v>3.4322340212673283E-3</v>
      </c>
      <c r="CO42" s="51">
        <v>3.3979116810546549E-3</v>
      </c>
      <c r="CP42" s="51">
        <v>3.3639325642441085E-3</v>
      </c>
      <c r="CQ42" s="51">
        <v>3.3302932386016673E-3</v>
      </c>
      <c r="CR42" s="51">
        <v>3.2969903062156506E-3</v>
      </c>
      <c r="CS42" s="51">
        <v>3.264020403153494E-3</v>
      </c>
      <c r="CT42" s="51">
        <v>3.2313801991219588E-3</v>
      </c>
      <c r="CU42" s="51">
        <v>3.1990663971307393E-3</v>
      </c>
      <c r="CV42" s="51">
        <v>3.1670757331594317E-3</v>
      </c>
      <c r="CW42" s="51">
        <v>3.1354049758278374E-3</v>
      </c>
      <c r="CX42" s="55">
        <v>3.1040509260695588E-3</v>
      </c>
      <c r="CY42" s="53">
        <v>3.0730104168088632E-3</v>
      </c>
    </row>
    <row r="43" spans="1:103" ht="15.75">
      <c r="A43" s="54">
        <v>61</v>
      </c>
      <c r="B43" s="55">
        <v>8.2839999999999997E-3</v>
      </c>
      <c r="C43" s="55">
        <v>8.355242399999999E-3</v>
      </c>
      <c r="D43" s="55">
        <v>8.4154001452799998E-3</v>
      </c>
      <c r="E43" s="55">
        <v>8.4583186860209287E-3</v>
      </c>
      <c r="F43" s="55">
        <v>8.4803103146045833E-3</v>
      </c>
      <c r="G43" s="55">
        <v>8.4794622835731234E-3</v>
      </c>
      <c r="H43" s="55">
        <v>8.4565677354074761E-3</v>
      </c>
      <c r="I43" s="55">
        <v>8.4142848967304392E-3</v>
      </c>
      <c r="J43" s="55">
        <v>8.355384902453326E-3</v>
      </c>
      <c r="K43" s="55">
        <v>8.2843641307824723E-3</v>
      </c>
      <c r="L43" s="55">
        <v>8.2081479807792745E-3</v>
      </c>
      <c r="M43" s="55">
        <v>8.1293497601637923E-3</v>
      </c>
      <c r="N43" s="55">
        <v>8.0504950674902039E-3</v>
      </c>
      <c r="O43" s="55">
        <v>7.9724052653355488E-3</v>
      </c>
      <c r="P43" s="55">
        <v>7.8950729342617942E-3</v>
      </c>
      <c r="Q43" s="55">
        <v>7.8192802340928801E-3</v>
      </c>
      <c r="R43" s="55">
        <v>7.7442151438455878E-3</v>
      </c>
      <c r="S43" s="55">
        <v>7.6698706784646695E-3</v>
      </c>
      <c r="T43" s="55">
        <v>7.5947059458157159E-3</v>
      </c>
      <c r="U43" s="51">
        <v>7.5195183569521399E-3</v>
      </c>
      <c r="V43" s="51">
        <v>7.4443231733826182E-3</v>
      </c>
      <c r="W43" s="51">
        <v>7.3698799416487921E-3</v>
      </c>
      <c r="X43" s="51">
        <v>7.2961811422323037E-3</v>
      </c>
      <c r="Y43" s="51">
        <v>7.2232193308099804E-3</v>
      </c>
      <c r="Z43" s="51">
        <v>7.1509871375018807E-3</v>
      </c>
      <c r="AA43" s="51">
        <v>7.0794772661268617E-3</v>
      </c>
      <c r="AB43" s="51">
        <v>7.0086824934655926E-3</v>
      </c>
      <c r="AC43" s="51">
        <v>6.9385956685309369E-3</v>
      </c>
      <c r="AD43" s="51">
        <v>6.8692097118456278E-3</v>
      </c>
      <c r="AE43" s="51">
        <v>6.8005176147271718E-3</v>
      </c>
      <c r="AF43" s="51">
        <v>6.7325124385799002E-3</v>
      </c>
      <c r="AG43" s="51">
        <v>6.6651873141941008E-3</v>
      </c>
      <c r="AH43" s="51">
        <v>6.5985354410521601E-3</v>
      </c>
      <c r="AI43" s="51">
        <v>6.5325500866416381E-3</v>
      </c>
      <c r="AJ43" s="51">
        <v>6.4672245857752214E-3</v>
      </c>
      <c r="AK43" s="51">
        <v>6.4025523399174689E-3</v>
      </c>
      <c r="AL43" s="51">
        <v>6.3385268165182945E-3</v>
      </c>
      <c r="AM43" s="51">
        <v>6.2751415483531118E-3</v>
      </c>
      <c r="AN43" s="51">
        <v>6.2123901328695807E-3</v>
      </c>
      <c r="AO43" s="51">
        <v>6.1502662315408851E-3</v>
      </c>
      <c r="AP43" s="51">
        <v>6.0887635692254763E-3</v>
      </c>
      <c r="AQ43" s="51">
        <v>6.0278759335332215E-3</v>
      </c>
      <c r="AR43" s="51">
        <v>5.9675971741978895E-3</v>
      </c>
      <c r="AS43" s="51">
        <v>5.9079212024559105E-3</v>
      </c>
      <c r="AT43" s="51">
        <v>5.8488419904313511E-3</v>
      </c>
      <c r="AU43" s="51">
        <v>5.7903535705270378E-3</v>
      </c>
      <c r="AV43" s="51">
        <v>5.732450034821767E-3</v>
      </c>
      <c r="AW43" s="51">
        <v>5.6751255344735492E-3</v>
      </c>
      <c r="AX43" s="51">
        <v>5.6183742791288136E-3</v>
      </c>
      <c r="AY43" s="51">
        <v>5.5621905363375254E-3</v>
      </c>
      <c r="AZ43" s="51">
        <v>5.5065686309741504E-3</v>
      </c>
      <c r="BA43" s="51">
        <v>5.4515029446644088E-3</v>
      </c>
      <c r="BB43" s="51">
        <v>5.3969879152177642E-3</v>
      </c>
      <c r="BC43" s="51">
        <v>5.3430180360655869E-3</v>
      </c>
      <c r="BD43" s="51">
        <v>5.2895878557049306E-3</v>
      </c>
      <c r="BE43" s="51">
        <v>5.2366919771478816E-3</v>
      </c>
      <c r="BF43" s="51">
        <v>5.1843250573764032E-3</v>
      </c>
      <c r="BG43" s="51">
        <v>5.132481806802639E-3</v>
      </c>
      <c r="BH43" s="51">
        <v>5.0811569887346123E-3</v>
      </c>
      <c r="BI43" s="51">
        <v>5.0303454188472662E-3</v>
      </c>
      <c r="BJ43" s="51">
        <v>4.9800419646587931E-3</v>
      </c>
      <c r="BK43" s="51">
        <v>4.9302415450122048E-3</v>
      </c>
      <c r="BL43" s="51">
        <v>4.8809391295620824E-3</v>
      </c>
      <c r="BM43" s="51">
        <v>4.8321297382664611E-3</v>
      </c>
      <c r="BN43" s="51">
        <v>4.7838084408837961E-3</v>
      </c>
      <c r="BO43" s="51">
        <v>4.735970356474958E-3</v>
      </c>
      <c r="BP43" s="51">
        <v>4.6886106529102087E-3</v>
      </c>
      <c r="BQ43" s="51">
        <v>4.6417245463811069E-3</v>
      </c>
      <c r="BR43" s="51">
        <v>4.5953073009172962E-3</v>
      </c>
      <c r="BS43" s="51">
        <v>4.5493542279081232E-3</v>
      </c>
      <c r="BT43" s="51">
        <v>4.5038606856290415E-3</v>
      </c>
      <c r="BU43" s="51">
        <v>4.4588220787727508E-3</v>
      </c>
      <c r="BV43" s="51">
        <v>4.4142338579850234E-3</v>
      </c>
      <c r="BW43" s="51">
        <v>4.3700915194051729E-3</v>
      </c>
      <c r="BX43" s="51">
        <v>4.3263906042111215E-3</v>
      </c>
      <c r="BY43" s="51">
        <v>4.2831266981690104E-3</v>
      </c>
      <c r="BZ43" s="51">
        <v>4.2402954311873201E-3</v>
      </c>
      <c r="CA43" s="51">
        <v>4.1978924768754471E-3</v>
      </c>
      <c r="CB43" s="51">
        <v>4.1559135521066926E-3</v>
      </c>
      <c r="CC43" s="51">
        <v>4.114354416585626E-3</v>
      </c>
      <c r="CD43" s="51">
        <v>4.07321087241977E-3</v>
      </c>
      <c r="CE43" s="51">
        <v>4.032478763695572E-3</v>
      </c>
      <c r="CF43" s="51">
        <v>3.9921539760586159E-3</v>
      </c>
      <c r="CG43" s="51">
        <v>3.9522324362980298E-3</v>
      </c>
      <c r="CH43" s="51">
        <v>3.9127101119350496E-3</v>
      </c>
      <c r="CI43" s="51">
        <v>3.8735830108156989E-3</v>
      </c>
      <c r="CJ43" s="51">
        <v>3.834847180707542E-3</v>
      </c>
      <c r="CK43" s="51">
        <v>3.7964987089004667E-3</v>
      </c>
      <c r="CL43" s="51">
        <v>3.7585337218114618E-3</v>
      </c>
      <c r="CM43" s="51">
        <v>3.7209483845933472E-3</v>
      </c>
      <c r="CN43" s="51">
        <v>3.6837389007474135E-3</v>
      </c>
      <c r="CO43" s="51">
        <v>3.6469015117399392E-3</v>
      </c>
      <c r="CP43" s="51">
        <v>3.6104324966225398E-3</v>
      </c>
      <c r="CQ43" s="51">
        <v>3.5743281716563145E-3</v>
      </c>
      <c r="CR43" s="51">
        <v>3.5385848899397512E-3</v>
      </c>
      <c r="CS43" s="51">
        <v>3.5031990410403537E-3</v>
      </c>
      <c r="CT43" s="51">
        <v>3.4681670506299502E-3</v>
      </c>
      <c r="CU43" s="51">
        <v>3.4334853801236504E-3</v>
      </c>
      <c r="CV43" s="51">
        <v>3.3991505263224141E-3</v>
      </c>
      <c r="CW43" s="51">
        <v>3.3651590210591899E-3</v>
      </c>
      <c r="CX43" s="55">
        <v>3.3315074308485982E-3</v>
      </c>
      <c r="CY43" s="53">
        <v>3.2981923565401122E-3</v>
      </c>
    </row>
    <row r="44" spans="1:103" ht="15.75">
      <c r="A44" s="54">
        <v>62</v>
      </c>
      <c r="B44" s="55">
        <v>8.8540000000000008E-3</v>
      </c>
      <c r="C44" s="55">
        <v>8.9310298000000003E-3</v>
      </c>
      <c r="D44" s="55">
        <v>8.9989056264800013E-3</v>
      </c>
      <c r="E44" s="55">
        <v>9.050199388550938E-3</v>
      </c>
      <c r="F44" s="55">
        <v>9.0800650465331575E-3</v>
      </c>
      <c r="G44" s="55">
        <v>9.0864210920657308E-3</v>
      </c>
      <c r="H44" s="55">
        <v>9.069156891990806E-3</v>
      </c>
      <c r="I44" s="55">
        <v>9.0301595173552466E-3</v>
      </c>
      <c r="J44" s="55">
        <v>8.9723664964441729E-3</v>
      </c>
      <c r="K44" s="55">
        <v>8.9005875644726194E-3</v>
      </c>
      <c r="L44" s="55">
        <v>8.8213723351488124E-3</v>
      </c>
      <c r="M44" s="55">
        <v>8.7384514351984133E-3</v>
      </c>
      <c r="N44" s="55">
        <v>8.6545623014205077E-3</v>
      </c>
      <c r="O44" s="55">
        <v>8.5697475908665856E-3</v>
      </c>
      <c r="P44" s="55">
        <v>8.4857640644760927E-3</v>
      </c>
      <c r="Q44" s="55">
        <v>8.402603576644227E-3</v>
      </c>
      <c r="R44" s="55">
        <v>8.3210983219507775E-3</v>
      </c>
      <c r="S44" s="55">
        <v>8.2403836682278554E-3</v>
      </c>
      <c r="T44" s="55">
        <v>8.1596279082792218E-3</v>
      </c>
      <c r="U44" s="51">
        <v>8.0788475919872579E-3</v>
      </c>
      <c r="V44" s="51">
        <v>7.9980591160673849E-3</v>
      </c>
      <c r="W44" s="51">
        <v>7.9180785249067104E-3</v>
      </c>
      <c r="X44" s="51">
        <v>7.8388977396576433E-3</v>
      </c>
      <c r="Y44" s="51">
        <v>7.7605087622610669E-3</v>
      </c>
      <c r="Z44" s="51">
        <v>7.6829036746384558E-3</v>
      </c>
      <c r="AA44" s="51">
        <v>7.6060746378920716E-3</v>
      </c>
      <c r="AB44" s="51">
        <v>7.530013891513151E-3</v>
      </c>
      <c r="AC44" s="51">
        <v>7.4547137525980195E-3</v>
      </c>
      <c r="AD44" s="51">
        <v>7.3801666150720389E-3</v>
      </c>
      <c r="AE44" s="51">
        <v>7.3063649489213183E-3</v>
      </c>
      <c r="AF44" s="51">
        <v>7.2333012994321051E-3</v>
      </c>
      <c r="AG44" s="51">
        <v>7.1609682864377843E-3</v>
      </c>
      <c r="AH44" s="51">
        <v>7.0893586035734061E-3</v>
      </c>
      <c r="AI44" s="51">
        <v>7.0184650175376716E-3</v>
      </c>
      <c r="AJ44" s="51">
        <v>6.9482803673622945E-3</v>
      </c>
      <c r="AK44" s="51">
        <v>6.8787975636886711E-3</v>
      </c>
      <c r="AL44" s="51">
        <v>6.810009588051784E-3</v>
      </c>
      <c r="AM44" s="51">
        <v>6.7419094921712663E-3</v>
      </c>
      <c r="AN44" s="51">
        <v>6.6744903972495535E-3</v>
      </c>
      <c r="AO44" s="51">
        <v>6.607745493277058E-3</v>
      </c>
      <c r="AP44" s="51">
        <v>6.5416680383442874E-3</v>
      </c>
      <c r="AQ44" s="51">
        <v>6.4762513579608447E-3</v>
      </c>
      <c r="AR44" s="51">
        <v>6.4114888443812358E-3</v>
      </c>
      <c r="AS44" s="51">
        <v>6.3473739559374237E-3</v>
      </c>
      <c r="AT44" s="51">
        <v>6.2839002163780494E-3</v>
      </c>
      <c r="AU44" s="51">
        <v>6.2210612142142687E-3</v>
      </c>
      <c r="AV44" s="51">
        <v>6.1588506020721261E-3</v>
      </c>
      <c r="AW44" s="51">
        <v>6.0972620960514047E-3</v>
      </c>
      <c r="AX44" s="51">
        <v>6.0362894750908905E-3</v>
      </c>
      <c r="AY44" s="51">
        <v>5.9759265803399813E-3</v>
      </c>
      <c r="AZ44" s="51">
        <v>5.9161673145365816E-3</v>
      </c>
      <c r="BA44" s="51">
        <v>5.8570056413912155E-3</v>
      </c>
      <c r="BB44" s="51">
        <v>5.7984355849773029E-3</v>
      </c>
      <c r="BC44" s="51">
        <v>5.74045122912753E-3</v>
      </c>
      <c r="BD44" s="51">
        <v>5.683046716836255E-3</v>
      </c>
      <c r="BE44" s="51">
        <v>5.6262162496678921E-3</v>
      </c>
      <c r="BF44" s="51">
        <v>5.5699540871712132E-3</v>
      </c>
      <c r="BG44" s="51">
        <v>5.514254546299501E-3</v>
      </c>
      <c r="BH44" s="51">
        <v>5.4591120008365057E-3</v>
      </c>
      <c r="BI44" s="51">
        <v>5.4045208808281408E-3</v>
      </c>
      <c r="BJ44" s="51">
        <v>5.3504756720198594E-3</v>
      </c>
      <c r="BK44" s="51">
        <v>5.2969709152996605E-3</v>
      </c>
      <c r="BL44" s="51">
        <v>5.2440012061466638E-3</v>
      </c>
      <c r="BM44" s="51">
        <v>5.1915611940851975E-3</v>
      </c>
      <c r="BN44" s="51">
        <v>5.1396455821443457E-3</v>
      </c>
      <c r="BO44" s="51">
        <v>5.0882491263229022E-3</v>
      </c>
      <c r="BP44" s="51">
        <v>5.037366635059673E-3</v>
      </c>
      <c r="BQ44" s="51">
        <v>4.9869929687090765E-3</v>
      </c>
      <c r="BR44" s="51">
        <v>4.937123039021986E-3</v>
      </c>
      <c r="BS44" s="51">
        <v>4.8877518086317658E-3</v>
      </c>
      <c r="BT44" s="51">
        <v>4.8388742905454479E-3</v>
      </c>
      <c r="BU44" s="51">
        <v>4.790485547639993E-3</v>
      </c>
      <c r="BV44" s="51">
        <v>4.7425806921635926E-3</v>
      </c>
      <c r="BW44" s="51">
        <v>4.695154885241957E-3</v>
      </c>
      <c r="BX44" s="51">
        <v>4.6482033363895378E-3</v>
      </c>
      <c r="BY44" s="51">
        <v>4.6017213030256424E-3</v>
      </c>
      <c r="BZ44" s="51">
        <v>4.555704089995386E-3</v>
      </c>
      <c r="CA44" s="51">
        <v>4.5101470490954317E-3</v>
      </c>
      <c r="CB44" s="51">
        <v>4.4650455786044776E-3</v>
      </c>
      <c r="CC44" s="51">
        <v>4.4203951228184331E-3</v>
      </c>
      <c r="CD44" s="51">
        <v>4.3761911715902487E-3</v>
      </c>
      <c r="CE44" s="51">
        <v>4.3324292598743465E-3</v>
      </c>
      <c r="CF44" s="51">
        <v>4.2891049672756027E-3</v>
      </c>
      <c r="CG44" s="51">
        <v>4.2462139176028466E-3</v>
      </c>
      <c r="CH44" s="51">
        <v>4.2037517784268182E-3</v>
      </c>
      <c r="CI44" s="51">
        <v>4.1617142606425496E-3</v>
      </c>
      <c r="CJ44" s="51">
        <v>4.1200971180361239E-3</v>
      </c>
      <c r="CK44" s="51">
        <v>4.0788961468557631E-3</v>
      </c>
      <c r="CL44" s="51">
        <v>4.0381071853872056E-3</v>
      </c>
      <c r="CM44" s="51">
        <v>3.9977261135333338E-3</v>
      </c>
      <c r="CN44" s="51">
        <v>3.9577488523980008E-3</v>
      </c>
      <c r="CO44" s="51">
        <v>3.918171363874021E-3</v>
      </c>
      <c r="CP44" s="51">
        <v>3.8789896502352808E-3</v>
      </c>
      <c r="CQ44" s="51">
        <v>3.8401997537329279E-3</v>
      </c>
      <c r="CR44" s="51">
        <v>3.8017977561955987E-3</v>
      </c>
      <c r="CS44" s="51">
        <v>3.7637797786336429E-3</v>
      </c>
      <c r="CT44" s="51">
        <v>3.7261419808473062E-3</v>
      </c>
      <c r="CU44" s="51">
        <v>3.6888805610388333E-3</v>
      </c>
      <c r="CV44" s="51">
        <v>3.6519917554284449E-3</v>
      </c>
      <c r="CW44" s="51">
        <v>3.6154718378741606E-3</v>
      </c>
      <c r="CX44" s="55">
        <v>3.579317119495419E-3</v>
      </c>
      <c r="CY44" s="53">
        <v>3.5435239483004649E-3</v>
      </c>
    </row>
    <row r="45" spans="1:103" ht="15.75">
      <c r="A45" s="54">
        <v>63</v>
      </c>
      <c r="B45" s="55">
        <v>9.4920000000000004E-3</v>
      </c>
      <c r="C45" s="55">
        <v>9.5688852000000001E-3</v>
      </c>
      <c r="D45" s="55">
        <v>9.6387380619600005E-3</v>
      </c>
      <c r="E45" s="55">
        <v>9.6946427427193685E-3</v>
      </c>
      <c r="F45" s="55">
        <v>9.7305129208674311E-3</v>
      </c>
      <c r="G45" s="55">
        <v>9.743162587664559E-3</v>
      </c>
      <c r="H45" s="55">
        <v>9.7304964763005961E-3</v>
      </c>
      <c r="I45" s="55">
        <v>9.6944936393382839E-3</v>
      </c>
      <c r="J45" s="55">
        <v>9.6382655762301209E-3</v>
      </c>
      <c r="K45" s="55">
        <v>9.5669424109660183E-3</v>
      </c>
      <c r="L45" s="55">
        <v>9.485623400472808E-3</v>
      </c>
      <c r="M45" s="55">
        <v>9.3993042275285054E-3</v>
      </c>
      <c r="N45" s="55">
        <v>9.3100108373669853E-3</v>
      </c>
      <c r="O45" s="55">
        <v>9.2197037322445247E-3</v>
      </c>
      <c r="P45" s="55">
        <v>9.1293506356685278E-3</v>
      </c>
      <c r="Q45" s="55">
        <v>9.0389700643754099E-3</v>
      </c>
      <c r="R45" s="55">
        <v>8.9503881577445311E-3</v>
      </c>
      <c r="S45" s="55">
        <v>8.8626743537986337E-3</v>
      </c>
      <c r="T45" s="55">
        <v>8.7749338776960274E-3</v>
      </c>
      <c r="U45" s="51">
        <v>8.6871845389190662E-3</v>
      </c>
      <c r="V45" s="51">
        <v>8.6003126935298747E-3</v>
      </c>
      <c r="W45" s="51">
        <v>8.5143095665945762E-3</v>
      </c>
      <c r="X45" s="51">
        <v>8.4291664709286312E-3</v>
      </c>
      <c r="Y45" s="51">
        <v>8.3448748062193451E-3</v>
      </c>
      <c r="Z45" s="51">
        <v>8.2614260581571515E-3</v>
      </c>
      <c r="AA45" s="51">
        <v>8.1788117975755796E-3</v>
      </c>
      <c r="AB45" s="51">
        <v>8.0970236795998244E-3</v>
      </c>
      <c r="AC45" s="51">
        <v>8.0160534428038253E-3</v>
      </c>
      <c r="AD45" s="51">
        <v>7.9358929083757877E-3</v>
      </c>
      <c r="AE45" s="51">
        <v>7.85653397929203E-3</v>
      </c>
      <c r="AF45" s="51">
        <v>7.7779686394991096E-3</v>
      </c>
      <c r="AG45" s="51">
        <v>7.7001889531041184E-3</v>
      </c>
      <c r="AH45" s="51">
        <v>7.6231870635730774E-3</v>
      </c>
      <c r="AI45" s="51">
        <v>7.5469551929373468E-3</v>
      </c>
      <c r="AJ45" s="51">
        <v>7.4714856410079732E-3</v>
      </c>
      <c r="AK45" s="51">
        <v>7.3967707845978932E-3</v>
      </c>
      <c r="AL45" s="51">
        <v>7.322803076751914E-3</v>
      </c>
      <c r="AM45" s="51">
        <v>7.2495750459843945E-3</v>
      </c>
      <c r="AN45" s="51">
        <v>7.1770792955245504E-3</v>
      </c>
      <c r="AO45" s="51">
        <v>7.105308502569305E-3</v>
      </c>
      <c r="AP45" s="51">
        <v>7.0342554175436122E-3</v>
      </c>
      <c r="AQ45" s="51">
        <v>6.9639128633681756E-3</v>
      </c>
      <c r="AR45" s="51">
        <v>6.894273734734494E-3</v>
      </c>
      <c r="AS45" s="51">
        <v>6.8253309973871487E-3</v>
      </c>
      <c r="AT45" s="51">
        <v>6.7570776874132776E-3</v>
      </c>
      <c r="AU45" s="51">
        <v>6.6895069105391445E-3</v>
      </c>
      <c r="AV45" s="51">
        <v>6.622611841433753E-3</v>
      </c>
      <c r="AW45" s="51">
        <v>6.5563857230194157E-3</v>
      </c>
      <c r="AX45" s="51">
        <v>6.4908218657892215E-3</v>
      </c>
      <c r="AY45" s="51">
        <v>6.4259136471313295E-3</v>
      </c>
      <c r="AZ45" s="51">
        <v>6.3616545106600164E-3</v>
      </c>
      <c r="BA45" s="51">
        <v>6.2980379655534161E-3</v>
      </c>
      <c r="BB45" s="51">
        <v>6.2350575858978819E-3</v>
      </c>
      <c r="BC45" s="51">
        <v>6.1727070100389032E-3</v>
      </c>
      <c r="BD45" s="51">
        <v>6.1109799399385141E-3</v>
      </c>
      <c r="BE45" s="51">
        <v>6.0498701405391287E-3</v>
      </c>
      <c r="BF45" s="51">
        <v>5.9893714391337375E-3</v>
      </c>
      <c r="BG45" s="51">
        <v>5.9294777247423996E-3</v>
      </c>
      <c r="BH45" s="51">
        <v>5.8701829474949755E-3</v>
      </c>
      <c r="BI45" s="51">
        <v>5.8114811180200255E-3</v>
      </c>
      <c r="BJ45" s="51">
        <v>5.7533663068398255E-3</v>
      </c>
      <c r="BK45" s="51">
        <v>5.6958326437714273E-3</v>
      </c>
      <c r="BL45" s="51">
        <v>5.6388743173337126E-3</v>
      </c>
      <c r="BM45" s="51">
        <v>5.5824855741603754E-3</v>
      </c>
      <c r="BN45" s="51">
        <v>5.5266607184187716E-3</v>
      </c>
      <c r="BO45" s="51">
        <v>5.4713941112345841E-3</v>
      </c>
      <c r="BP45" s="51">
        <v>5.4166801701222385E-3</v>
      </c>
      <c r="BQ45" s="51">
        <v>5.3625133684210161E-3</v>
      </c>
      <c r="BR45" s="51">
        <v>5.3088882347368058E-3</v>
      </c>
      <c r="BS45" s="51">
        <v>5.2557993523894373E-3</v>
      </c>
      <c r="BT45" s="51">
        <v>5.2032413588655431E-3</v>
      </c>
      <c r="BU45" s="51">
        <v>5.151208945276888E-3</v>
      </c>
      <c r="BV45" s="51">
        <v>5.099696855824119E-3</v>
      </c>
      <c r="BW45" s="51">
        <v>5.0486998872658773E-3</v>
      </c>
      <c r="BX45" s="51">
        <v>4.9982128883932185E-3</v>
      </c>
      <c r="BY45" s="51">
        <v>4.9482307595092867E-3</v>
      </c>
      <c r="BZ45" s="51">
        <v>4.8987484519141941E-3</v>
      </c>
      <c r="CA45" s="51">
        <v>4.8497609673950519E-3</v>
      </c>
      <c r="CB45" s="51">
        <v>4.8012633577211011E-3</v>
      </c>
      <c r="CC45" s="51">
        <v>4.7532507241438903E-3</v>
      </c>
      <c r="CD45" s="51">
        <v>4.7057182169024511E-3</v>
      </c>
      <c r="CE45" s="51">
        <v>4.6586610347334268E-3</v>
      </c>
      <c r="CF45" s="51">
        <v>4.6120744243860921E-3</v>
      </c>
      <c r="CG45" s="51">
        <v>4.5659536801422309E-3</v>
      </c>
      <c r="CH45" s="51">
        <v>4.5202941433408082E-3</v>
      </c>
      <c r="CI45" s="51">
        <v>4.4750912019074001E-3</v>
      </c>
      <c r="CJ45" s="51">
        <v>4.4303402898883265E-3</v>
      </c>
      <c r="CK45" s="51">
        <v>4.3860368869894431E-3</v>
      </c>
      <c r="CL45" s="51">
        <v>4.3421765181195487E-3</v>
      </c>
      <c r="CM45" s="51">
        <v>4.2987547529383533E-3</v>
      </c>
      <c r="CN45" s="51">
        <v>4.2557672054089699E-3</v>
      </c>
      <c r="CO45" s="51">
        <v>4.2132095333548801E-3</v>
      </c>
      <c r="CP45" s="51">
        <v>4.1710774380213315E-3</v>
      </c>
      <c r="CQ45" s="51">
        <v>4.1293666636411184E-3</v>
      </c>
      <c r="CR45" s="51">
        <v>4.088072997004707E-3</v>
      </c>
      <c r="CS45" s="51">
        <v>4.0471922670346598E-3</v>
      </c>
      <c r="CT45" s="51">
        <v>4.0067203443643132E-3</v>
      </c>
      <c r="CU45" s="51">
        <v>3.9666531409206698E-3</v>
      </c>
      <c r="CV45" s="51">
        <v>3.9269866095114634E-3</v>
      </c>
      <c r="CW45" s="51">
        <v>3.8877167434163487E-3</v>
      </c>
      <c r="CX45" s="55">
        <v>3.8488395759821853E-3</v>
      </c>
      <c r="CY45" s="53">
        <v>3.8103511802223635E-3</v>
      </c>
    </row>
    <row r="46" spans="1:103" ht="15.75">
      <c r="A46" s="54">
        <v>64</v>
      </c>
      <c r="B46" s="55">
        <v>1.0208999999999999E-2</v>
      </c>
      <c r="C46" s="55">
        <v>1.0279442099999998E-2</v>
      </c>
      <c r="D46" s="55">
        <v>1.0346258473649996E-2</v>
      </c>
      <c r="E46" s="55">
        <v>1.0402128269407708E-2</v>
      </c>
      <c r="F46" s="55">
        <v>1.0440616144004516E-2</v>
      </c>
      <c r="G46" s="55">
        <v>1.0457321129834924E-2</v>
      </c>
      <c r="H46" s="55">
        <v>1.0448955272931056E-2</v>
      </c>
      <c r="I46" s="55">
        <v>1.0416563511584969E-2</v>
      </c>
      <c r="J46" s="55">
        <v>1.0362397381324728E-2</v>
      </c>
      <c r="K46" s="55">
        <v>1.0290896839393587E-2</v>
      </c>
      <c r="L46" s="55">
        <v>1.0208569664678438E-2</v>
      </c>
      <c r="M46" s="55">
        <v>1.0119755108595736E-2</v>
      </c>
      <c r="N46" s="55">
        <v>1.0026653361596655E-2</v>
      </c>
      <c r="O46" s="55">
        <v>9.9303974893253273E-3</v>
      </c>
      <c r="P46" s="55">
        <v>9.833079593929938E-3</v>
      </c>
      <c r="Q46" s="55">
        <v>9.7357321059500321E-3</v>
      </c>
      <c r="R46" s="55">
        <v>9.6393483581011258E-3</v>
      </c>
      <c r="S46" s="55">
        <v>9.5439188093559245E-3</v>
      </c>
      <c r="T46" s="55">
        <v>9.4494340131433003E-3</v>
      </c>
      <c r="U46" s="51">
        <v>9.3549396730118681E-3</v>
      </c>
      <c r="V46" s="51">
        <v>9.2613902762817488E-3</v>
      </c>
      <c r="W46" s="51">
        <v>9.1687763735189311E-3</v>
      </c>
      <c r="X46" s="51">
        <v>9.0770886097837414E-3</v>
      </c>
      <c r="Y46" s="51">
        <v>8.9863177236859035E-3</v>
      </c>
      <c r="Z46" s="51">
        <v>8.8964545464490438E-3</v>
      </c>
      <c r="AA46" s="51">
        <v>8.8074900009845539E-3</v>
      </c>
      <c r="AB46" s="51">
        <v>8.719415100974709E-3</v>
      </c>
      <c r="AC46" s="51">
        <v>8.6322209499649621E-3</v>
      </c>
      <c r="AD46" s="51">
        <v>8.545898740465312E-3</v>
      </c>
      <c r="AE46" s="51">
        <v>8.4604397530606591E-3</v>
      </c>
      <c r="AF46" s="51">
        <v>8.3758353555300532E-3</v>
      </c>
      <c r="AG46" s="51">
        <v>8.2920770019747521E-3</v>
      </c>
      <c r="AH46" s="51">
        <v>8.2091562319550043E-3</v>
      </c>
      <c r="AI46" s="51">
        <v>8.1270646696354545E-3</v>
      </c>
      <c r="AJ46" s="51">
        <v>8.0457940229391005E-3</v>
      </c>
      <c r="AK46" s="51">
        <v>7.9653360827097088E-3</v>
      </c>
      <c r="AL46" s="51">
        <v>7.8856827218826125E-3</v>
      </c>
      <c r="AM46" s="51">
        <v>7.8068258946637865E-3</v>
      </c>
      <c r="AN46" s="51">
        <v>7.7287576357171484E-3</v>
      </c>
      <c r="AO46" s="51">
        <v>7.6514700593599766E-3</v>
      </c>
      <c r="AP46" s="51">
        <v>7.5749553587663764E-3</v>
      </c>
      <c r="AQ46" s="51">
        <v>7.4992058051787129E-3</v>
      </c>
      <c r="AR46" s="51">
        <v>7.4242137471269253E-3</v>
      </c>
      <c r="AS46" s="51">
        <v>7.3499716096556561E-3</v>
      </c>
      <c r="AT46" s="51">
        <v>7.2764718935590996E-3</v>
      </c>
      <c r="AU46" s="51">
        <v>7.2037071746235085E-3</v>
      </c>
      <c r="AV46" s="51">
        <v>7.1316701028772732E-3</v>
      </c>
      <c r="AW46" s="51">
        <v>7.0603534018485008E-3</v>
      </c>
      <c r="AX46" s="51">
        <v>6.9897498678300153E-3</v>
      </c>
      <c r="AY46" s="51">
        <v>6.919852369151715E-3</v>
      </c>
      <c r="AZ46" s="51">
        <v>6.8506538454601975E-3</v>
      </c>
      <c r="BA46" s="51">
        <v>6.7821473070055951E-3</v>
      </c>
      <c r="BB46" s="51">
        <v>6.7143258339355388E-3</v>
      </c>
      <c r="BC46" s="51">
        <v>6.6471825755961833E-3</v>
      </c>
      <c r="BD46" s="51">
        <v>6.5807107498402212E-3</v>
      </c>
      <c r="BE46" s="51">
        <v>6.5149036423418193E-3</v>
      </c>
      <c r="BF46" s="51">
        <v>6.4497546059184008E-3</v>
      </c>
      <c r="BG46" s="51">
        <v>6.3852570598592166E-3</v>
      </c>
      <c r="BH46" s="51">
        <v>6.3214044892606243E-3</v>
      </c>
      <c r="BI46" s="51">
        <v>6.2581904443680184E-3</v>
      </c>
      <c r="BJ46" s="51">
        <v>6.1956085399243379E-3</v>
      </c>
      <c r="BK46" s="51">
        <v>6.1336524545250945E-3</v>
      </c>
      <c r="BL46" s="51">
        <v>6.0723159299798431E-3</v>
      </c>
      <c r="BM46" s="51">
        <v>6.0115927706800446E-3</v>
      </c>
      <c r="BN46" s="51">
        <v>5.951476842973244E-3</v>
      </c>
      <c r="BO46" s="51">
        <v>5.8919620745435117E-3</v>
      </c>
      <c r="BP46" s="51">
        <v>5.8330424537980765E-3</v>
      </c>
      <c r="BQ46" s="51">
        <v>5.7747120292600956E-3</v>
      </c>
      <c r="BR46" s="51">
        <v>5.7169649089674947E-3</v>
      </c>
      <c r="BS46" s="51">
        <v>5.6597952598778194E-3</v>
      </c>
      <c r="BT46" s="51">
        <v>5.6031973072790415E-3</v>
      </c>
      <c r="BU46" s="51">
        <v>5.547165334206251E-3</v>
      </c>
      <c r="BV46" s="51">
        <v>5.4916936808641886E-3</v>
      </c>
      <c r="BW46" s="51">
        <v>5.4367767440555463E-3</v>
      </c>
      <c r="BX46" s="51">
        <v>5.3824089766149911E-3</v>
      </c>
      <c r="BY46" s="51">
        <v>5.3285848868488408E-3</v>
      </c>
      <c r="BZ46" s="51">
        <v>5.2752990379803522E-3</v>
      </c>
      <c r="CA46" s="51">
        <v>5.2225460476005483E-3</v>
      </c>
      <c r="CB46" s="51">
        <v>5.1703205871245425E-3</v>
      </c>
      <c r="CC46" s="51">
        <v>5.1186173812532969E-3</v>
      </c>
      <c r="CD46" s="51">
        <v>5.0674312074407641E-3</v>
      </c>
      <c r="CE46" s="51">
        <v>5.0167568953663564E-3</v>
      </c>
      <c r="CF46" s="51">
        <v>4.9665893264126924E-3</v>
      </c>
      <c r="CG46" s="51">
        <v>4.9169234331485658E-3</v>
      </c>
      <c r="CH46" s="51">
        <v>4.8677541988170802E-3</v>
      </c>
      <c r="CI46" s="51">
        <v>4.8190766568289092E-3</v>
      </c>
      <c r="CJ46" s="51">
        <v>4.7708858902606203E-3</v>
      </c>
      <c r="CK46" s="51">
        <v>4.7231770313580137E-3</v>
      </c>
      <c r="CL46" s="51">
        <v>4.6759452610444334E-3</v>
      </c>
      <c r="CM46" s="51">
        <v>4.6291858084339891E-3</v>
      </c>
      <c r="CN46" s="51">
        <v>4.582893950349649E-3</v>
      </c>
      <c r="CO46" s="51">
        <v>4.5370650108461528E-3</v>
      </c>
      <c r="CP46" s="51">
        <v>4.4916943607376915E-3</v>
      </c>
      <c r="CQ46" s="51">
        <v>4.4467774171303145E-3</v>
      </c>
      <c r="CR46" s="51">
        <v>4.4023096429590116E-3</v>
      </c>
      <c r="CS46" s="51">
        <v>4.3582865465294218E-3</v>
      </c>
      <c r="CT46" s="51">
        <v>4.3147036810641274E-3</v>
      </c>
      <c r="CU46" s="51">
        <v>4.2715566442534858E-3</v>
      </c>
      <c r="CV46" s="51">
        <v>4.2288410778109509E-3</v>
      </c>
      <c r="CW46" s="51">
        <v>4.1865526670328418E-3</v>
      </c>
      <c r="CX46" s="55">
        <v>4.1446871403625135E-3</v>
      </c>
      <c r="CY46" s="53">
        <v>4.1032402689588883E-3</v>
      </c>
    </row>
    <row r="47" spans="1:103" ht="15.75">
      <c r="A47" s="54">
        <v>65</v>
      </c>
      <c r="B47" s="55">
        <v>1.1013E-2</v>
      </c>
      <c r="C47" s="55">
        <v>1.1070267600000001E-2</v>
      </c>
      <c r="D47" s="55">
        <v>1.1127832991520002E-2</v>
      </c>
      <c r="E47" s="55">
        <v>1.1177908239981842E-2</v>
      </c>
      <c r="F47" s="55">
        <v>1.1214795337173783E-2</v>
      </c>
      <c r="G47" s="55">
        <v>1.1231617530179545E-2</v>
      </c>
      <c r="H47" s="55">
        <v>1.1226001721414457E-2</v>
      </c>
      <c r="I47" s="55">
        <v>1.1196814116938779E-2</v>
      </c>
      <c r="J47" s="55">
        <v>1.114530877200086E-2</v>
      </c>
      <c r="K47" s="55">
        <v>1.1075093326737255E-2</v>
      </c>
      <c r="L47" s="55">
        <v>1.0992030126786725E-2</v>
      </c>
      <c r="M47" s="55">
        <v>1.0900796276734395E-2</v>
      </c>
      <c r="N47" s="55">
        <v>1.0803779189871458E-2</v>
      </c>
      <c r="O47" s="55">
        <v>1.0702223665486668E-2</v>
      </c>
      <c r="P47" s="55">
        <v>1.0598412095931447E-2</v>
      </c>
      <c r="Q47" s="55">
        <v>1.0494547657391318E-2</v>
      </c>
      <c r="R47" s="55">
        <v>1.0390651635583144E-2</v>
      </c>
      <c r="S47" s="55">
        <v>1.028778418439087E-2</v>
      </c>
      <c r="T47" s="55">
        <v>1.0184906342546962E-2</v>
      </c>
      <c r="U47" s="51">
        <v>1.0083057279121493E-2</v>
      </c>
      <c r="V47" s="51">
        <v>9.9822267063302775E-3</v>
      </c>
      <c r="W47" s="51">
        <v>9.8824044392669744E-3</v>
      </c>
      <c r="X47" s="51">
        <v>9.7835803948743052E-3</v>
      </c>
      <c r="Y47" s="51">
        <v>9.6857445909255616E-3</v>
      </c>
      <c r="Z47" s="51">
        <v>9.5888871450163053E-3</v>
      </c>
      <c r="AA47" s="51">
        <v>9.4929982735661427E-3</v>
      </c>
      <c r="AB47" s="51">
        <v>9.398068290830482E-3</v>
      </c>
      <c r="AC47" s="51">
        <v>9.304087607922177E-3</v>
      </c>
      <c r="AD47" s="51">
        <v>9.2110467318429548E-3</v>
      </c>
      <c r="AE47" s="51">
        <v>9.1189362645245249E-3</v>
      </c>
      <c r="AF47" s="51">
        <v>9.0277469018792793E-3</v>
      </c>
      <c r="AG47" s="51">
        <v>8.937469432860487E-3</v>
      </c>
      <c r="AH47" s="51">
        <v>8.8480947385318823E-3</v>
      </c>
      <c r="AI47" s="51">
        <v>8.7596137911465626E-3</v>
      </c>
      <c r="AJ47" s="51">
        <v>8.6720176532350968E-3</v>
      </c>
      <c r="AK47" s="51">
        <v>8.5852974767027454E-3</v>
      </c>
      <c r="AL47" s="51">
        <v>8.499444501935717E-3</v>
      </c>
      <c r="AM47" s="51">
        <v>8.4144500569163592E-3</v>
      </c>
      <c r="AN47" s="51">
        <v>8.3303055563471954E-3</v>
      </c>
      <c r="AO47" s="51">
        <v>8.2470025007837233E-3</v>
      </c>
      <c r="AP47" s="51">
        <v>8.1645324757758861E-3</v>
      </c>
      <c r="AQ47" s="51">
        <v>8.0828871510181272E-3</v>
      </c>
      <c r="AR47" s="51">
        <v>8.0020582795079457E-3</v>
      </c>
      <c r="AS47" s="51">
        <v>7.922037696712866E-3</v>
      </c>
      <c r="AT47" s="51">
        <v>7.842817319745737E-3</v>
      </c>
      <c r="AU47" s="51">
        <v>7.7643891465482796E-3</v>
      </c>
      <c r="AV47" s="51">
        <v>7.6867452550827969E-3</v>
      </c>
      <c r="AW47" s="51">
        <v>7.609877802531969E-3</v>
      </c>
      <c r="AX47" s="51">
        <v>7.5337790245066493E-3</v>
      </c>
      <c r="AY47" s="51">
        <v>7.4584412342615829E-3</v>
      </c>
      <c r="AZ47" s="51">
        <v>7.3838568219189672E-3</v>
      </c>
      <c r="BA47" s="51">
        <v>7.3100182536997771E-3</v>
      </c>
      <c r="BB47" s="51">
        <v>7.236918071162779E-3</v>
      </c>
      <c r="BC47" s="51">
        <v>7.1645488904511509E-3</v>
      </c>
      <c r="BD47" s="51">
        <v>7.0929034015466391E-3</v>
      </c>
      <c r="BE47" s="51">
        <v>7.0219743675311724E-3</v>
      </c>
      <c r="BF47" s="51">
        <v>6.9517546238558603E-3</v>
      </c>
      <c r="BG47" s="51">
        <v>6.8822370776173017E-3</v>
      </c>
      <c r="BH47" s="51">
        <v>6.8134147068411284E-3</v>
      </c>
      <c r="BI47" s="51">
        <v>6.7452805597727171E-3</v>
      </c>
      <c r="BJ47" s="51">
        <v>6.6778277541749897E-3</v>
      </c>
      <c r="BK47" s="51">
        <v>6.6110494766332397E-3</v>
      </c>
      <c r="BL47" s="51">
        <v>6.5449389818669074E-3</v>
      </c>
      <c r="BM47" s="51">
        <v>6.4794895920482383E-3</v>
      </c>
      <c r="BN47" s="51">
        <v>6.4146946961277556E-3</v>
      </c>
      <c r="BO47" s="51">
        <v>6.3505477491664778E-3</v>
      </c>
      <c r="BP47" s="51">
        <v>6.2870422716748134E-3</v>
      </c>
      <c r="BQ47" s="51">
        <v>6.224171848958065E-3</v>
      </c>
      <c r="BR47" s="51">
        <v>6.1619301304684845E-3</v>
      </c>
      <c r="BS47" s="51">
        <v>6.1003108291637995E-3</v>
      </c>
      <c r="BT47" s="51">
        <v>6.0393077208721613E-3</v>
      </c>
      <c r="BU47" s="51">
        <v>5.9789146436634395E-3</v>
      </c>
      <c r="BV47" s="51">
        <v>5.9191254972268048E-3</v>
      </c>
      <c r="BW47" s="51">
        <v>5.8599342422545365E-3</v>
      </c>
      <c r="BX47" s="51">
        <v>5.801334899831991E-3</v>
      </c>
      <c r="BY47" s="51">
        <v>5.7433215508336712E-3</v>
      </c>
      <c r="BZ47" s="51">
        <v>5.6858883353253344E-3</v>
      </c>
      <c r="CA47" s="51">
        <v>5.6290294519720811E-3</v>
      </c>
      <c r="CB47" s="51">
        <v>5.5727391574523603E-3</v>
      </c>
      <c r="CC47" s="51">
        <v>5.5170117658778365E-3</v>
      </c>
      <c r="CD47" s="51">
        <v>5.4618416482190577E-3</v>
      </c>
      <c r="CE47" s="51">
        <v>5.4072232317368667E-3</v>
      </c>
      <c r="CF47" s="51">
        <v>5.3531509994194978E-3</v>
      </c>
      <c r="CG47" s="51">
        <v>5.2996194894253026E-3</v>
      </c>
      <c r="CH47" s="51">
        <v>5.2466232945310495E-3</v>
      </c>
      <c r="CI47" s="51">
        <v>5.1941570615857387E-3</v>
      </c>
      <c r="CJ47" s="51">
        <v>5.1422154909698814E-3</v>
      </c>
      <c r="CK47" s="51">
        <v>5.0907933360601829E-3</v>
      </c>
      <c r="CL47" s="51">
        <v>5.0398854026995812E-3</v>
      </c>
      <c r="CM47" s="51">
        <v>4.9894865486725852E-3</v>
      </c>
      <c r="CN47" s="51">
        <v>4.9395916831858596E-3</v>
      </c>
      <c r="CO47" s="51">
        <v>4.8901957663540011E-3</v>
      </c>
      <c r="CP47" s="51">
        <v>4.8412938086904609E-3</v>
      </c>
      <c r="CQ47" s="51">
        <v>4.7928808706035565E-3</v>
      </c>
      <c r="CR47" s="51">
        <v>4.7449520618975212E-3</v>
      </c>
      <c r="CS47" s="51">
        <v>4.6975025412785455E-3</v>
      </c>
      <c r="CT47" s="51">
        <v>4.6505275158657596E-3</v>
      </c>
      <c r="CU47" s="51">
        <v>4.604022240707102E-3</v>
      </c>
      <c r="CV47" s="51">
        <v>4.5579820183000311E-3</v>
      </c>
      <c r="CW47" s="51">
        <v>4.512402198117031E-3</v>
      </c>
      <c r="CX47" s="55">
        <v>4.467278176135861E-3</v>
      </c>
      <c r="CY47" s="53">
        <v>4.4226053943745023E-3</v>
      </c>
    </row>
    <row r="48" spans="1:103" ht="15.75">
      <c r="A48" s="54">
        <v>66</v>
      </c>
      <c r="B48" s="55">
        <v>1.1916E-2</v>
      </c>
      <c r="C48" s="55">
        <v>1.1954131200000001E-2</v>
      </c>
      <c r="D48" s="55">
        <v>1.1995970659200002E-2</v>
      </c>
      <c r="E48" s="55">
        <v>1.2035557362375363E-2</v>
      </c>
      <c r="F48" s="55">
        <v>1.20656462557813E-2</v>
      </c>
      <c r="G48" s="55">
        <v>1.2080125031288238E-2</v>
      </c>
      <c r="H48" s="55">
        <v>1.2074084968772594E-2</v>
      </c>
      <c r="I48" s="55">
        <v>1.2046314573344418E-2</v>
      </c>
      <c r="J48" s="55">
        <v>1.1996924683593705E-2</v>
      </c>
      <c r="K48" s="55">
        <v>1.1928542212897221E-2</v>
      </c>
      <c r="L48" s="55">
        <v>1.184623527162823E-2</v>
      </c>
      <c r="M48" s="55">
        <v>1.175383463650953E-2</v>
      </c>
      <c r="N48" s="55">
        <v>1.1652751658635548E-2</v>
      </c>
      <c r="O48" s="55">
        <v>1.1546711618541965E-2</v>
      </c>
      <c r="P48" s="55">
        <v>1.1437017858165817E-2</v>
      </c>
      <c r="Q48" s="55">
        <v>1.1324935083155791E-2</v>
      </c>
      <c r="R48" s="55">
        <v>1.1212818225832548E-2</v>
      </c>
      <c r="S48" s="55">
        <v>1.1100690043574222E-2</v>
      </c>
      <c r="T48" s="55">
        <v>1.098968314313848E-2</v>
      </c>
      <c r="U48" s="51">
        <v>1.0879786311707095E-2</v>
      </c>
      <c r="V48" s="51">
        <v>1.0770988448590023E-2</v>
      </c>
      <c r="W48" s="51">
        <v>1.0663278564104123E-2</v>
      </c>
      <c r="X48" s="51">
        <v>1.0556645778463082E-2</v>
      </c>
      <c r="Y48" s="51">
        <v>1.0451079320678451E-2</v>
      </c>
      <c r="Z48" s="51">
        <v>1.0346568527471666E-2</v>
      </c>
      <c r="AA48" s="51">
        <v>1.024310284219695E-2</v>
      </c>
      <c r="AB48" s="51">
        <v>1.014067181377498E-2</v>
      </c>
      <c r="AC48" s="51">
        <v>1.0039265095637229E-2</v>
      </c>
      <c r="AD48" s="51">
        <v>9.9388724446808577E-3</v>
      </c>
      <c r="AE48" s="51">
        <v>9.839483720234049E-3</v>
      </c>
      <c r="AF48" s="51">
        <v>9.7410888830317087E-3</v>
      </c>
      <c r="AG48" s="51">
        <v>9.6436779942013912E-3</v>
      </c>
      <c r="AH48" s="51">
        <v>9.5472412142593773E-3</v>
      </c>
      <c r="AI48" s="51">
        <v>9.4517688021167837E-3</v>
      </c>
      <c r="AJ48" s="51">
        <v>9.3572511140956154E-3</v>
      </c>
      <c r="AK48" s="51">
        <v>9.2636786029546593E-3</v>
      </c>
      <c r="AL48" s="51">
        <v>9.1710418169251122E-3</v>
      </c>
      <c r="AM48" s="51">
        <v>9.0793313987558612E-3</v>
      </c>
      <c r="AN48" s="51">
        <v>8.9885380847683025E-3</v>
      </c>
      <c r="AO48" s="51">
        <v>8.8986527039206197E-3</v>
      </c>
      <c r="AP48" s="51">
        <v>8.809666176881413E-3</v>
      </c>
      <c r="AQ48" s="51">
        <v>8.7215695151125986E-3</v>
      </c>
      <c r="AR48" s="51">
        <v>8.6343538199614728E-3</v>
      </c>
      <c r="AS48" s="51">
        <v>8.5480102817618586E-3</v>
      </c>
      <c r="AT48" s="51">
        <v>8.4625301789442407E-3</v>
      </c>
      <c r="AU48" s="51">
        <v>8.3779048771547987E-3</v>
      </c>
      <c r="AV48" s="51">
        <v>8.2941258283832503E-3</v>
      </c>
      <c r="AW48" s="51">
        <v>8.2111845700994172E-3</v>
      </c>
      <c r="AX48" s="51">
        <v>8.1290727243984225E-3</v>
      </c>
      <c r="AY48" s="51">
        <v>8.0477819971544375E-3</v>
      </c>
      <c r="AZ48" s="51">
        <v>7.9673041771828931E-3</v>
      </c>
      <c r="BA48" s="51">
        <v>7.8876311354110634E-3</v>
      </c>
      <c r="BB48" s="51">
        <v>7.8087548240569531E-3</v>
      </c>
      <c r="BC48" s="51">
        <v>7.7306672758163837E-3</v>
      </c>
      <c r="BD48" s="51">
        <v>7.6533606030582202E-3</v>
      </c>
      <c r="BE48" s="51">
        <v>7.5768269970276376E-3</v>
      </c>
      <c r="BF48" s="51">
        <v>7.501058727057361E-3</v>
      </c>
      <c r="BG48" s="51">
        <v>7.4260481397867874E-3</v>
      </c>
      <c r="BH48" s="51">
        <v>7.3517876583889192E-3</v>
      </c>
      <c r="BI48" s="51">
        <v>7.27826978180503E-3</v>
      </c>
      <c r="BJ48" s="51">
        <v>7.2054870839869797E-3</v>
      </c>
      <c r="BK48" s="51">
        <v>7.1334322131471097E-3</v>
      </c>
      <c r="BL48" s="51">
        <v>7.0620978910156387E-3</v>
      </c>
      <c r="BM48" s="51">
        <v>6.9914769121054822E-3</v>
      </c>
      <c r="BN48" s="51">
        <v>6.9215621429844273E-3</v>
      </c>
      <c r="BO48" s="51">
        <v>6.852346521554583E-3</v>
      </c>
      <c r="BP48" s="51">
        <v>6.7838230563390372E-3</v>
      </c>
      <c r="BQ48" s="51">
        <v>6.715984825775647E-3</v>
      </c>
      <c r="BR48" s="51">
        <v>6.6488249775178906E-3</v>
      </c>
      <c r="BS48" s="51">
        <v>6.5823367277427118E-3</v>
      </c>
      <c r="BT48" s="51">
        <v>6.516513360465285E-3</v>
      </c>
      <c r="BU48" s="51">
        <v>6.4513482268606318E-3</v>
      </c>
      <c r="BV48" s="51">
        <v>6.3868347445920253E-3</v>
      </c>
      <c r="BW48" s="51">
        <v>6.3229663971461052E-3</v>
      </c>
      <c r="BX48" s="51">
        <v>6.2597367331746444E-3</v>
      </c>
      <c r="BY48" s="51">
        <v>6.1971393658428976E-3</v>
      </c>
      <c r="BZ48" s="51">
        <v>6.1351679721844687E-3</v>
      </c>
      <c r="CA48" s="51">
        <v>6.0738162924626237E-3</v>
      </c>
      <c r="CB48" s="51">
        <v>6.0130781295379973E-3</v>
      </c>
      <c r="CC48" s="51">
        <v>5.9529473482426171E-3</v>
      </c>
      <c r="CD48" s="51">
        <v>5.8934178747601911E-3</v>
      </c>
      <c r="CE48" s="51">
        <v>5.8344836960125893E-3</v>
      </c>
      <c r="CF48" s="51">
        <v>5.776138859052463E-3</v>
      </c>
      <c r="CG48" s="51">
        <v>5.7183774704619387E-3</v>
      </c>
      <c r="CH48" s="51">
        <v>5.6611936957573191E-3</v>
      </c>
      <c r="CI48" s="51">
        <v>5.6045817587997461E-3</v>
      </c>
      <c r="CJ48" s="51">
        <v>5.5485359412117486E-3</v>
      </c>
      <c r="CK48" s="51">
        <v>5.4930505817996312E-3</v>
      </c>
      <c r="CL48" s="51">
        <v>5.4381200759816345E-3</v>
      </c>
      <c r="CM48" s="51">
        <v>5.3837388752218177E-3</v>
      </c>
      <c r="CN48" s="51">
        <v>5.3299014864695996E-3</v>
      </c>
      <c r="CO48" s="51">
        <v>5.2766024716049036E-3</v>
      </c>
      <c r="CP48" s="51">
        <v>5.2238364468888548E-3</v>
      </c>
      <c r="CQ48" s="51">
        <v>5.1715980824199662E-3</v>
      </c>
      <c r="CR48" s="51">
        <v>5.1198821015957666E-3</v>
      </c>
      <c r="CS48" s="51">
        <v>5.0686832805798086E-3</v>
      </c>
      <c r="CT48" s="51">
        <v>5.0179964477740108E-3</v>
      </c>
      <c r="CU48" s="51">
        <v>4.967816483296271E-3</v>
      </c>
      <c r="CV48" s="51">
        <v>4.9181383184633085E-3</v>
      </c>
      <c r="CW48" s="51">
        <v>4.8689569352786755E-3</v>
      </c>
      <c r="CX48" s="55">
        <v>4.820267365925889E-3</v>
      </c>
      <c r="CY48" s="53">
        <v>4.7720646922666298E-3</v>
      </c>
    </row>
    <row r="49" spans="1:103" ht="15.75">
      <c r="A49" s="54">
        <v>67</v>
      </c>
      <c r="B49" s="55">
        <v>1.2930000000000001E-2</v>
      </c>
      <c r="C49" s="55">
        <v>1.2944223000000001E-2</v>
      </c>
      <c r="D49" s="55">
        <v>1.2964933756800003E-2</v>
      </c>
      <c r="E49" s="55">
        <v>1.2986974144186564E-2</v>
      </c>
      <c r="F49" s="55">
        <v>1.3003857210574007E-2</v>
      </c>
      <c r="G49" s="55">
        <v>1.3010359139179292E-2</v>
      </c>
      <c r="H49" s="55">
        <v>1.3001251887781866E-2</v>
      </c>
      <c r="I49" s="55">
        <v>1.2972649133628746E-2</v>
      </c>
      <c r="J49" s="55">
        <v>1.292465033183432E-2</v>
      </c>
      <c r="K49" s="55">
        <v>1.2857442150108781E-2</v>
      </c>
      <c r="L49" s="55">
        <v>1.2775154520348086E-2</v>
      </c>
      <c r="M49" s="55">
        <v>1.2680618376897511E-2</v>
      </c>
      <c r="N49" s="55">
        <v>1.2576637306206952E-2</v>
      </c>
      <c r="O49" s="55">
        <v>1.246470523418171E-2</v>
      </c>
      <c r="P49" s="55">
        <v>1.2348783475503821E-2</v>
      </c>
      <c r="Q49" s="55">
        <v>1.2229000275791433E-2</v>
      </c>
      <c r="R49" s="55">
        <v>1.2109156073088677E-2</v>
      </c>
      <c r="S49" s="55">
        <v>1.1989275427965098E-2</v>
      </c>
      <c r="T49" s="55">
        <v>1.1869382673685447E-2</v>
      </c>
      <c r="U49" s="51">
        <v>1.1750688846948593E-2</v>
      </c>
      <c r="V49" s="51">
        <v>1.1633181958479108E-2</v>
      </c>
      <c r="W49" s="51">
        <v>1.1516850138894317E-2</v>
      </c>
      <c r="X49" s="51">
        <v>1.1401681637505373E-2</v>
      </c>
      <c r="Y49" s="51">
        <v>1.1287664821130319E-2</v>
      </c>
      <c r="Z49" s="51">
        <v>1.1174788172919016E-2</v>
      </c>
      <c r="AA49" s="51">
        <v>1.1063040291189825E-2</v>
      </c>
      <c r="AB49" s="51">
        <v>1.0952409888277927E-2</v>
      </c>
      <c r="AC49" s="51">
        <v>1.0842885789395146E-2</v>
      </c>
      <c r="AD49" s="51">
        <v>1.0734456931501195E-2</v>
      </c>
      <c r="AE49" s="51">
        <v>1.0627112362186183E-2</v>
      </c>
      <c r="AF49" s="51">
        <v>1.0520841238564321E-2</v>
      </c>
      <c r="AG49" s="51">
        <v>1.0415632826178677E-2</v>
      </c>
      <c r="AH49" s="51">
        <v>1.031147649791689E-2</v>
      </c>
      <c r="AI49" s="51">
        <v>1.0208361732937722E-2</v>
      </c>
      <c r="AJ49" s="51">
        <v>1.0106278115608344E-2</v>
      </c>
      <c r="AK49" s="51">
        <v>1.0005215334452261E-2</v>
      </c>
      <c r="AL49" s="51">
        <v>9.905163181107738E-3</v>
      </c>
      <c r="AM49" s="51">
        <v>9.8061115492966613E-3</v>
      </c>
      <c r="AN49" s="51">
        <v>9.7080504338036954E-3</v>
      </c>
      <c r="AO49" s="51">
        <v>9.6109699294656577E-3</v>
      </c>
      <c r="AP49" s="51">
        <v>9.5148602301710003E-3</v>
      </c>
      <c r="AQ49" s="51">
        <v>9.4197116278692903E-3</v>
      </c>
      <c r="AR49" s="51">
        <v>9.325514511590598E-3</v>
      </c>
      <c r="AS49" s="51">
        <v>9.2322593664746922E-3</v>
      </c>
      <c r="AT49" s="51">
        <v>9.1399367728099458E-3</v>
      </c>
      <c r="AU49" s="51">
        <v>9.0485374050818454E-3</v>
      </c>
      <c r="AV49" s="51">
        <v>8.958052031031026E-3</v>
      </c>
      <c r="AW49" s="51">
        <v>8.868471510720715E-3</v>
      </c>
      <c r="AX49" s="51">
        <v>8.7797867956135086E-3</v>
      </c>
      <c r="AY49" s="51">
        <v>8.691988927657374E-3</v>
      </c>
      <c r="AZ49" s="51">
        <v>8.6050690383808002E-3</v>
      </c>
      <c r="BA49" s="51">
        <v>8.5190183479969921E-3</v>
      </c>
      <c r="BB49" s="51">
        <v>8.4338281645170224E-3</v>
      </c>
      <c r="BC49" s="51">
        <v>8.3494898828718519E-3</v>
      </c>
      <c r="BD49" s="51">
        <v>8.2659949840431339E-3</v>
      </c>
      <c r="BE49" s="51">
        <v>8.1833350342027031E-3</v>
      </c>
      <c r="BF49" s="51">
        <v>8.1015016838606752E-3</v>
      </c>
      <c r="BG49" s="51">
        <v>8.0204866670220681E-3</v>
      </c>
      <c r="BH49" s="51">
        <v>7.9402818003518477E-3</v>
      </c>
      <c r="BI49" s="51">
        <v>7.8608789823483294E-3</v>
      </c>
      <c r="BJ49" s="51">
        <v>7.7822701925248459E-3</v>
      </c>
      <c r="BK49" s="51">
        <v>7.7044474905995971E-3</v>
      </c>
      <c r="BL49" s="51">
        <v>7.6274030156936014E-3</v>
      </c>
      <c r="BM49" s="51">
        <v>7.5511289855366651E-3</v>
      </c>
      <c r="BN49" s="51">
        <v>7.4756176956812985E-3</v>
      </c>
      <c r="BO49" s="51">
        <v>7.4008615187244851E-3</v>
      </c>
      <c r="BP49" s="51">
        <v>7.3268529035372398E-3</v>
      </c>
      <c r="BQ49" s="51">
        <v>7.2535843745018674E-3</v>
      </c>
      <c r="BR49" s="51">
        <v>7.1810485307568488E-3</v>
      </c>
      <c r="BS49" s="51">
        <v>7.1092380454492801E-3</v>
      </c>
      <c r="BT49" s="51">
        <v>7.0381456649947875E-3</v>
      </c>
      <c r="BU49" s="51">
        <v>6.9677642083448392E-3</v>
      </c>
      <c r="BV49" s="51">
        <v>6.8980865662613905E-3</v>
      </c>
      <c r="BW49" s="51">
        <v>6.8291057005987763E-3</v>
      </c>
      <c r="BX49" s="51">
        <v>6.7608146435927888E-3</v>
      </c>
      <c r="BY49" s="51">
        <v>6.693206497156861E-3</v>
      </c>
      <c r="BZ49" s="51">
        <v>6.6262744321852925E-3</v>
      </c>
      <c r="CA49" s="51">
        <v>6.5600116878634391E-3</v>
      </c>
      <c r="CB49" s="51">
        <v>6.4944115709848049E-3</v>
      </c>
      <c r="CC49" s="51">
        <v>6.429467455274957E-3</v>
      </c>
      <c r="CD49" s="51">
        <v>6.365172780722207E-3</v>
      </c>
      <c r="CE49" s="51">
        <v>6.3015210529149849E-3</v>
      </c>
      <c r="CF49" s="51">
        <v>6.2385058423858348E-3</v>
      </c>
      <c r="CG49" s="51">
        <v>6.1761207839619763E-3</v>
      </c>
      <c r="CH49" s="51">
        <v>6.1143595761223562E-3</v>
      </c>
      <c r="CI49" s="51">
        <v>6.0532159803611324E-3</v>
      </c>
      <c r="CJ49" s="51">
        <v>5.9926838205575208E-3</v>
      </c>
      <c r="CK49" s="51">
        <v>5.9327569823519454E-3</v>
      </c>
      <c r="CL49" s="51">
        <v>5.8734294125284258E-3</v>
      </c>
      <c r="CM49" s="51">
        <v>5.8146951184031414E-3</v>
      </c>
      <c r="CN49" s="51">
        <v>5.7565481672191103E-3</v>
      </c>
      <c r="CO49" s="51">
        <v>5.6989826855469196E-3</v>
      </c>
      <c r="CP49" s="51">
        <v>5.6419928586914506E-3</v>
      </c>
      <c r="CQ49" s="51">
        <v>5.5855729301045364E-3</v>
      </c>
      <c r="CR49" s="51">
        <v>5.529717200803491E-3</v>
      </c>
      <c r="CS49" s="51">
        <v>5.4744200287954563E-3</v>
      </c>
      <c r="CT49" s="51">
        <v>5.4196758285075019E-3</v>
      </c>
      <c r="CU49" s="51">
        <v>5.3654790702224271E-3</v>
      </c>
      <c r="CV49" s="51">
        <v>5.3118242795202027E-3</v>
      </c>
      <c r="CW49" s="51">
        <v>5.2587060367250008E-3</v>
      </c>
      <c r="CX49" s="55">
        <v>5.2061189763577508E-3</v>
      </c>
      <c r="CY49" s="53">
        <v>5.1540577865941736E-3</v>
      </c>
    </row>
    <row r="50" spans="1:103" ht="15.75">
      <c r="A50" s="54">
        <v>68</v>
      </c>
      <c r="B50" s="55">
        <v>1.4067E-2</v>
      </c>
      <c r="C50" s="55">
        <v>1.4052933E-2</v>
      </c>
      <c r="D50" s="55">
        <v>1.4047311826800002E-2</v>
      </c>
      <c r="E50" s="55">
        <v>1.4047311826800002E-2</v>
      </c>
      <c r="F50" s="55">
        <v>1.4047311826800002E-2</v>
      </c>
      <c r="G50" s="55">
        <v>1.4041692902069282E-2</v>
      </c>
      <c r="H50" s="55">
        <v>1.40248428705868E-2</v>
      </c>
      <c r="I50" s="55">
        <v>1.3993988216271508E-2</v>
      </c>
      <c r="J50" s="55">
        <v>1.394500925751456E-2</v>
      </c>
      <c r="K50" s="55">
        <v>1.387807321307849E-2</v>
      </c>
      <c r="L50" s="55">
        <v>1.379480477380002E-2</v>
      </c>
      <c r="M50" s="55">
        <v>1.369824114038342E-2</v>
      </c>
      <c r="N50" s="55">
        <v>1.359139485948843E-2</v>
      </c>
      <c r="O50" s="55">
        <v>1.3474508863696829E-2</v>
      </c>
      <c r="P50" s="55">
        <v>1.3351890833037188E-2</v>
      </c>
      <c r="Q50" s="55">
        <v>1.3225047870123335E-2</v>
      </c>
      <c r="R50" s="55">
        <v>1.3095442400996126E-2</v>
      </c>
      <c r="S50" s="55">
        <v>1.2965797521226265E-2</v>
      </c>
      <c r="T50" s="55">
        <v>1.2836139546014001E-2</v>
      </c>
      <c r="U50" s="51">
        <v>1.270777815055386E-2</v>
      </c>
      <c r="V50" s="51">
        <v>1.2580700369048322E-2</v>
      </c>
      <c r="W50" s="51">
        <v>1.2454893365357838E-2</v>
      </c>
      <c r="X50" s="51">
        <v>1.2330344431704259E-2</v>
      </c>
      <c r="Y50" s="51">
        <v>1.2207040987387216E-2</v>
      </c>
      <c r="Z50" s="51">
        <v>1.2084970577513343E-2</v>
      </c>
      <c r="AA50" s="51">
        <v>1.1964120871738209E-2</v>
      </c>
      <c r="AB50" s="51">
        <v>1.1844479663020827E-2</v>
      </c>
      <c r="AC50" s="51">
        <v>1.1726034866390619E-2</v>
      </c>
      <c r="AD50" s="51">
        <v>1.1608774517726713E-2</v>
      </c>
      <c r="AE50" s="51">
        <v>1.1492686772549445E-2</v>
      </c>
      <c r="AF50" s="51">
        <v>1.137775990482395E-2</v>
      </c>
      <c r="AG50" s="51">
        <v>1.1263982305775711E-2</v>
      </c>
      <c r="AH50" s="51">
        <v>1.1151342482717954E-2</v>
      </c>
      <c r="AI50" s="51">
        <v>1.1039829057890775E-2</v>
      </c>
      <c r="AJ50" s="51">
        <v>1.0929430767311867E-2</v>
      </c>
      <c r="AK50" s="51">
        <v>1.0820136459638748E-2</v>
      </c>
      <c r="AL50" s="51">
        <v>1.071193509504236E-2</v>
      </c>
      <c r="AM50" s="51">
        <v>1.0604815744091936E-2</v>
      </c>
      <c r="AN50" s="51">
        <v>1.0498767586651017E-2</v>
      </c>
      <c r="AO50" s="51">
        <v>1.0393779910784507E-2</v>
      </c>
      <c r="AP50" s="51">
        <v>1.0289842111676661E-2</v>
      </c>
      <c r="AQ50" s="51">
        <v>1.0186943690559894E-2</v>
      </c>
      <c r="AR50" s="51">
        <v>1.0085074253654295E-2</v>
      </c>
      <c r="AS50" s="51">
        <v>9.9842235111177527E-3</v>
      </c>
      <c r="AT50" s="51">
        <v>9.8843812760065746E-3</v>
      </c>
      <c r="AU50" s="51">
        <v>9.7855374632465093E-3</v>
      </c>
      <c r="AV50" s="51">
        <v>9.6876820886140445E-3</v>
      </c>
      <c r="AW50" s="51">
        <v>9.5908052677279032E-3</v>
      </c>
      <c r="AX50" s="51">
        <v>9.4948972150506235E-3</v>
      </c>
      <c r="AY50" s="51">
        <v>9.3999482429001167E-3</v>
      </c>
      <c r="AZ50" s="51">
        <v>9.3059487604711163E-3</v>
      </c>
      <c r="BA50" s="51">
        <v>9.212889272866405E-3</v>
      </c>
      <c r="BB50" s="51">
        <v>9.1207603801377411E-3</v>
      </c>
      <c r="BC50" s="51">
        <v>9.029552776336363E-3</v>
      </c>
      <c r="BD50" s="51">
        <v>8.9392572485729998E-3</v>
      </c>
      <c r="BE50" s="51">
        <v>8.8498646760872702E-3</v>
      </c>
      <c r="BF50" s="51">
        <v>8.7613660293263968E-3</v>
      </c>
      <c r="BG50" s="51">
        <v>8.673752369033132E-3</v>
      </c>
      <c r="BH50" s="51">
        <v>8.5870148453428014E-3</v>
      </c>
      <c r="BI50" s="51">
        <v>8.501144696889373E-3</v>
      </c>
      <c r="BJ50" s="51">
        <v>8.4161332499204794E-3</v>
      </c>
      <c r="BK50" s="51">
        <v>8.3319719174212749E-3</v>
      </c>
      <c r="BL50" s="51">
        <v>8.2486521982470615E-3</v>
      </c>
      <c r="BM50" s="51">
        <v>8.1661656762645907E-3</v>
      </c>
      <c r="BN50" s="51">
        <v>8.0845040195019445E-3</v>
      </c>
      <c r="BO50" s="51">
        <v>8.0036589793069258E-3</v>
      </c>
      <c r="BP50" s="51">
        <v>7.9236223895138569E-3</v>
      </c>
      <c r="BQ50" s="51">
        <v>7.8443861656187185E-3</v>
      </c>
      <c r="BR50" s="51">
        <v>7.765942303962531E-3</v>
      </c>
      <c r="BS50" s="51">
        <v>7.6882828809229052E-3</v>
      </c>
      <c r="BT50" s="51">
        <v>7.6114000521136762E-3</v>
      </c>
      <c r="BU50" s="51">
        <v>7.5352860515925397E-3</v>
      </c>
      <c r="BV50" s="51">
        <v>7.4599331910766139E-3</v>
      </c>
      <c r="BW50" s="51">
        <v>7.3853338591658478E-3</v>
      </c>
      <c r="BX50" s="51">
        <v>7.3114805205741892E-3</v>
      </c>
      <c r="BY50" s="51">
        <v>7.2383657153684468E-3</v>
      </c>
      <c r="BZ50" s="51">
        <v>7.1659820582147624E-3</v>
      </c>
      <c r="CA50" s="51">
        <v>7.0943222376326151E-3</v>
      </c>
      <c r="CB50" s="51">
        <v>7.023379015256289E-3</v>
      </c>
      <c r="CC50" s="51">
        <v>6.9531452251037264E-3</v>
      </c>
      <c r="CD50" s="51">
        <v>6.8836137728526892E-3</v>
      </c>
      <c r="CE50" s="51">
        <v>6.8147776351241626E-3</v>
      </c>
      <c r="CF50" s="51">
        <v>6.7466298587729213E-3</v>
      </c>
      <c r="CG50" s="51">
        <v>6.6791635601851918E-3</v>
      </c>
      <c r="CH50" s="51">
        <v>6.6123719245833401E-3</v>
      </c>
      <c r="CI50" s="51">
        <v>6.5462482053375067E-3</v>
      </c>
      <c r="CJ50" s="51">
        <v>6.4807857232841316E-3</v>
      </c>
      <c r="CK50" s="51">
        <v>6.4159778660512904E-3</v>
      </c>
      <c r="CL50" s="51">
        <v>6.3518180873907773E-3</v>
      </c>
      <c r="CM50" s="51">
        <v>6.2882999065168692E-3</v>
      </c>
      <c r="CN50" s="51">
        <v>6.2254169074517007E-3</v>
      </c>
      <c r="CO50" s="51">
        <v>6.1631627383771839E-3</v>
      </c>
      <c r="CP50" s="51">
        <v>6.1015311109934118E-3</v>
      </c>
      <c r="CQ50" s="51">
        <v>6.0405157998834778E-3</v>
      </c>
      <c r="CR50" s="51">
        <v>5.9801106418846429E-3</v>
      </c>
      <c r="CS50" s="51">
        <v>5.9203095354657962E-3</v>
      </c>
      <c r="CT50" s="51">
        <v>5.8611064401111381E-3</v>
      </c>
      <c r="CU50" s="51">
        <v>5.8024953757100269E-3</v>
      </c>
      <c r="CV50" s="51">
        <v>5.7444704219529264E-3</v>
      </c>
      <c r="CW50" s="51">
        <v>5.6870257177333971E-3</v>
      </c>
      <c r="CX50" s="55">
        <v>5.6301554605560633E-3</v>
      </c>
      <c r="CY50" s="53">
        <v>5.5738539059505023E-3</v>
      </c>
    </row>
    <row r="51" spans="1:103" ht="15.75">
      <c r="A51" s="54">
        <v>69</v>
      </c>
      <c r="B51" s="55">
        <v>1.5342E-2</v>
      </c>
      <c r="C51" s="55">
        <v>1.5297508199999999E-2</v>
      </c>
      <c r="D51" s="55">
        <v>1.526385368196E-2</v>
      </c>
      <c r="E51" s="55">
        <v>1.5237905130700667E-2</v>
      </c>
      <c r="F51" s="55">
        <v>1.5215048273004617E-2</v>
      </c>
      <c r="G51" s="55">
        <v>1.5192225700595112E-2</v>
      </c>
      <c r="H51" s="55">
        <v>1.5163360471763981E-2</v>
      </c>
      <c r="I51" s="55">
        <v>1.5125452070584572E-2</v>
      </c>
      <c r="J51" s="55">
        <v>1.5072512988337528E-2</v>
      </c>
      <c r="K51" s="55">
        <v>1.500468667989001E-2</v>
      </c>
      <c r="L51" s="55">
        <v>1.4920660434482626E-2</v>
      </c>
      <c r="M51" s="55">
        <v>1.4822184075615039E-2</v>
      </c>
      <c r="N51" s="55">
        <v>1.4711017695047927E-2</v>
      </c>
      <c r="O51" s="55">
        <v>1.458891624817903E-2</v>
      </c>
      <c r="P51" s="55">
        <v>1.4459074893570236E-2</v>
      </c>
      <c r="Q51" s="55">
        <v>1.4323159589570676E-2</v>
      </c>
      <c r="R51" s="55">
        <v>1.4184224941551839E-2</v>
      </c>
      <c r="S51" s="55">
        <v>1.4043801114630475E-2</v>
      </c>
      <c r="T51" s="55">
        <v>1.3903363103484171E-2</v>
      </c>
      <c r="U51" s="51">
        <v>1.3764329472449328E-2</v>
      </c>
      <c r="V51" s="51">
        <v>1.3626686177724836E-2</v>
      </c>
      <c r="W51" s="51">
        <v>1.3490419315947588E-2</v>
      </c>
      <c r="X51" s="51">
        <v>1.3355515122788111E-2</v>
      </c>
      <c r="Y51" s="51">
        <v>1.322195997156023E-2</v>
      </c>
      <c r="Z51" s="51">
        <v>1.3089740371844627E-2</v>
      </c>
      <c r="AA51" s="51">
        <v>1.295884296812618E-2</v>
      </c>
      <c r="AB51" s="51">
        <v>1.2829254538444917E-2</v>
      </c>
      <c r="AC51" s="51">
        <v>1.2700961993060467E-2</v>
      </c>
      <c r="AD51" s="51">
        <v>1.2573952373129863E-2</v>
      </c>
      <c r="AE51" s="51">
        <v>1.2448212849398564E-2</v>
      </c>
      <c r="AF51" s="51">
        <v>1.2323730720904579E-2</v>
      </c>
      <c r="AG51" s="51">
        <v>1.2200493413695532E-2</v>
      </c>
      <c r="AH51" s="51">
        <v>1.2078488479558577E-2</v>
      </c>
      <c r="AI51" s="51">
        <v>1.1957703594762991E-2</v>
      </c>
      <c r="AJ51" s="51">
        <v>1.1838126558815361E-2</v>
      </c>
      <c r="AK51" s="51">
        <v>1.1719745293227208E-2</v>
      </c>
      <c r="AL51" s="51">
        <v>1.1602547840294936E-2</v>
      </c>
      <c r="AM51" s="51">
        <v>1.1486522361891986E-2</v>
      </c>
      <c r="AN51" s="51">
        <v>1.1371657138273065E-2</v>
      </c>
      <c r="AO51" s="51">
        <v>1.1257940566890334E-2</v>
      </c>
      <c r="AP51" s="51">
        <v>1.1145361161221432E-2</v>
      </c>
      <c r="AQ51" s="51">
        <v>1.1033907549609217E-2</v>
      </c>
      <c r="AR51" s="51">
        <v>1.0923568474113124E-2</v>
      </c>
      <c r="AS51" s="51">
        <v>1.0814332789371993E-2</v>
      </c>
      <c r="AT51" s="51">
        <v>1.0706189461478272E-2</v>
      </c>
      <c r="AU51" s="51">
        <v>1.0599127566863488E-2</v>
      </c>
      <c r="AV51" s="51">
        <v>1.0493136291194853E-2</v>
      </c>
      <c r="AW51" s="51">
        <v>1.0388204928282905E-2</v>
      </c>
      <c r="AX51" s="51">
        <v>1.0284322879000076E-2</v>
      </c>
      <c r="AY51" s="51">
        <v>1.0181479650210075E-2</v>
      </c>
      <c r="AZ51" s="51">
        <v>1.0079664853707974E-2</v>
      </c>
      <c r="BA51" s="51">
        <v>9.9788682051708943E-3</v>
      </c>
      <c r="BB51" s="51">
        <v>9.8790795231191858E-3</v>
      </c>
      <c r="BC51" s="51">
        <v>9.7802887278879945E-3</v>
      </c>
      <c r="BD51" s="51">
        <v>9.6824858406091147E-3</v>
      </c>
      <c r="BE51" s="51">
        <v>9.5856609822030231E-3</v>
      </c>
      <c r="BF51" s="51">
        <v>9.4898043723809933E-3</v>
      </c>
      <c r="BG51" s="51">
        <v>9.3949063286571828E-3</v>
      </c>
      <c r="BH51" s="51">
        <v>9.3009572653706112E-3</v>
      </c>
      <c r="BI51" s="51">
        <v>9.2079476927169057E-3</v>
      </c>
      <c r="BJ51" s="51">
        <v>9.115868215789736E-3</v>
      </c>
      <c r="BK51" s="51">
        <v>9.0247095336318389E-3</v>
      </c>
      <c r="BL51" s="51">
        <v>8.9344624382955203E-3</v>
      </c>
      <c r="BM51" s="51">
        <v>8.8451178139125654E-3</v>
      </c>
      <c r="BN51" s="51">
        <v>8.7566666357734389E-3</v>
      </c>
      <c r="BO51" s="51">
        <v>8.6690999694157053E-3</v>
      </c>
      <c r="BP51" s="51">
        <v>8.5824089697215476E-3</v>
      </c>
      <c r="BQ51" s="51">
        <v>8.4965848800243327E-3</v>
      </c>
      <c r="BR51" s="51">
        <v>8.4116190312240897E-3</v>
      </c>
      <c r="BS51" s="51">
        <v>8.3275028409118493E-3</v>
      </c>
      <c r="BT51" s="51">
        <v>8.2442278125027316E-3</v>
      </c>
      <c r="BU51" s="51">
        <v>8.1617855343777048E-3</v>
      </c>
      <c r="BV51" s="51">
        <v>8.0801676790339273E-3</v>
      </c>
      <c r="BW51" s="51">
        <v>7.9993660022435881E-3</v>
      </c>
      <c r="BX51" s="51">
        <v>7.9193723422211516E-3</v>
      </c>
      <c r="BY51" s="51">
        <v>7.8401786187989406E-3</v>
      </c>
      <c r="BZ51" s="51">
        <v>7.7617768326109513E-3</v>
      </c>
      <c r="CA51" s="51">
        <v>7.6841590642848416E-3</v>
      </c>
      <c r="CB51" s="51">
        <v>7.6073174736419934E-3</v>
      </c>
      <c r="CC51" s="51">
        <v>7.5312442989055733E-3</v>
      </c>
      <c r="CD51" s="51">
        <v>7.4559318559165172E-3</v>
      </c>
      <c r="CE51" s="51">
        <v>7.381372537357352E-3</v>
      </c>
      <c r="CF51" s="51">
        <v>7.3075588119837784E-3</v>
      </c>
      <c r="CG51" s="51">
        <v>7.2344832238639403E-3</v>
      </c>
      <c r="CH51" s="51">
        <v>7.1621383916253009E-3</v>
      </c>
      <c r="CI51" s="51">
        <v>7.090517007709048E-3</v>
      </c>
      <c r="CJ51" s="51">
        <v>7.0196118376319571E-3</v>
      </c>
      <c r="CK51" s="51">
        <v>6.9494157192556373E-3</v>
      </c>
      <c r="CL51" s="51">
        <v>6.8799215620630808E-3</v>
      </c>
      <c r="CM51" s="51">
        <v>6.8111223464424496E-3</v>
      </c>
      <c r="CN51" s="51">
        <v>6.7430111229780246E-3</v>
      </c>
      <c r="CO51" s="51">
        <v>6.6755810117482446E-3</v>
      </c>
      <c r="CP51" s="51">
        <v>6.608825201630762E-3</v>
      </c>
      <c r="CQ51" s="51">
        <v>6.5427369496144543E-3</v>
      </c>
      <c r="CR51" s="51">
        <v>6.4773095801183098E-3</v>
      </c>
      <c r="CS51" s="51">
        <v>6.4125364843171263E-3</v>
      </c>
      <c r="CT51" s="51">
        <v>6.348411119473955E-3</v>
      </c>
      <c r="CU51" s="51">
        <v>6.284927008279215E-3</v>
      </c>
      <c r="CV51" s="51">
        <v>6.2220777381964227E-3</v>
      </c>
      <c r="CW51" s="51">
        <v>6.1598569608144584E-3</v>
      </c>
      <c r="CX51" s="55">
        <v>6.0982583912063135E-3</v>
      </c>
      <c r="CY51" s="53">
        <v>6.0372758072942505E-3</v>
      </c>
    </row>
    <row r="52" spans="1:103" ht="15.75">
      <c r="A52" s="54">
        <v>70</v>
      </c>
      <c r="B52" s="55">
        <v>1.6768999999999999E-2</v>
      </c>
      <c r="C52" s="55">
        <v>1.66935395E-2</v>
      </c>
      <c r="D52" s="55">
        <v>1.662843469595E-2</v>
      </c>
      <c r="E52" s="55">
        <v>1.6573560861453365E-2</v>
      </c>
      <c r="F52" s="55">
        <v>1.652549753495515E-2</v>
      </c>
      <c r="G52" s="55">
        <v>1.648087869161077E-2</v>
      </c>
      <c r="H52" s="55">
        <v>1.643638031914342E-2</v>
      </c>
      <c r="I52" s="55">
        <v>1.638707117818599E-2</v>
      </c>
      <c r="J52" s="55">
        <v>1.6328077721944518E-2</v>
      </c>
      <c r="K52" s="55">
        <v>1.6256234179967962E-2</v>
      </c>
      <c r="L52" s="55">
        <v>1.6170076138814132E-2</v>
      </c>
      <c r="M52" s="55">
        <v>1.6069821666753484E-2</v>
      </c>
      <c r="N52" s="55">
        <v>1.5954118950752858E-2</v>
      </c>
      <c r="O52" s="55">
        <v>1.5826485999146836E-2</v>
      </c>
      <c r="P52" s="55">
        <v>1.5688795570954258E-2</v>
      </c>
      <c r="Q52" s="55">
        <v>1.554445865170148E-2</v>
      </c>
      <c r="R52" s="55">
        <v>1.5395231848645144E-2</v>
      </c>
      <c r="S52" s="55">
        <v>1.5244358576528422E-2</v>
      </c>
      <c r="T52" s="55">
        <v>1.5093439426620789E-2</v>
      </c>
      <c r="U52" s="51">
        <v>1.4942505032354581E-2</v>
      </c>
      <c r="V52" s="51">
        <v>1.4793079982031035E-2</v>
      </c>
      <c r="W52" s="51">
        <v>1.4645149182210725E-2</v>
      </c>
      <c r="X52" s="51">
        <v>1.4498697690388617E-2</v>
      </c>
      <c r="Y52" s="51">
        <v>1.4353710713484732E-2</v>
      </c>
      <c r="Z52" s="51">
        <v>1.4210173606349885E-2</v>
      </c>
      <c r="AA52" s="51">
        <v>1.4068071870286386E-2</v>
      </c>
      <c r="AB52" s="51">
        <v>1.3927391151583523E-2</v>
      </c>
      <c r="AC52" s="51">
        <v>1.3788117240067687E-2</v>
      </c>
      <c r="AD52" s="51">
        <v>1.3650236067667011E-2</v>
      </c>
      <c r="AE52" s="51">
        <v>1.351373370699034E-2</v>
      </c>
      <c r="AF52" s="51">
        <v>1.3378596369920436E-2</v>
      </c>
      <c r="AG52" s="51">
        <v>1.3244810406221231E-2</v>
      </c>
      <c r="AH52" s="51">
        <v>1.3112362302159019E-2</v>
      </c>
      <c r="AI52" s="51">
        <v>1.2981238679137429E-2</v>
      </c>
      <c r="AJ52" s="51">
        <v>1.2851426292346054E-2</v>
      </c>
      <c r="AK52" s="51">
        <v>1.2722912029422594E-2</v>
      </c>
      <c r="AL52" s="51">
        <v>1.2595682909128368E-2</v>
      </c>
      <c r="AM52" s="51">
        <v>1.2469726080037085E-2</v>
      </c>
      <c r="AN52" s="51">
        <v>1.2345028819236714E-2</v>
      </c>
      <c r="AO52" s="51">
        <v>1.2221578531044348E-2</v>
      </c>
      <c r="AP52" s="51">
        <v>1.2099362745733904E-2</v>
      </c>
      <c r="AQ52" s="51">
        <v>1.1978369118276565E-2</v>
      </c>
      <c r="AR52" s="51">
        <v>1.1858585427093799E-2</v>
      </c>
      <c r="AS52" s="51">
        <v>1.1739999572822861E-2</v>
      </c>
      <c r="AT52" s="51">
        <v>1.1622599577094633E-2</v>
      </c>
      <c r="AU52" s="51">
        <v>1.1506373581323687E-2</v>
      </c>
      <c r="AV52" s="51">
        <v>1.139130984551045E-2</v>
      </c>
      <c r="AW52" s="51">
        <v>1.1277396747055345E-2</v>
      </c>
      <c r="AX52" s="51">
        <v>1.1164622779584792E-2</v>
      </c>
      <c r="AY52" s="51">
        <v>1.1052976551788943E-2</v>
      </c>
      <c r="AZ52" s="51">
        <v>1.0942446786271053E-2</v>
      </c>
      <c r="BA52" s="51">
        <v>1.0833022318408343E-2</v>
      </c>
      <c r="BB52" s="51">
        <v>1.0724692095224258E-2</v>
      </c>
      <c r="BC52" s="51">
        <v>1.0617445174272015E-2</v>
      </c>
      <c r="BD52" s="51">
        <v>1.0511270722529295E-2</v>
      </c>
      <c r="BE52" s="51">
        <v>1.0406158015304002E-2</v>
      </c>
      <c r="BF52" s="51">
        <v>1.0302096435150961E-2</v>
      </c>
      <c r="BG52" s="51">
        <v>1.0199075470799452E-2</v>
      </c>
      <c r="BH52" s="51">
        <v>1.0097084716091456E-2</v>
      </c>
      <c r="BI52" s="51">
        <v>9.9961138689305413E-3</v>
      </c>
      <c r="BJ52" s="51">
        <v>9.8961527302412356E-3</v>
      </c>
      <c r="BK52" s="51">
        <v>9.797191202938824E-3</v>
      </c>
      <c r="BL52" s="51">
        <v>9.6992192909094357E-3</v>
      </c>
      <c r="BM52" s="51">
        <v>9.6022270980003419E-3</v>
      </c>
      <c r="BN52" s="51">
        <v>9.5062048270203384E-3</v>
      </c>
      <c r="BO52" s="51">
        <v>9.4111427787501346E-3</v>
      </c>
      <c r="BP52" s="51">
        <v>9.3170313509626339E-3</v>
      </c>
      <c r="BQ52" s="51">
        <v>9.2238610374530076E-3</v>
      </c>
      <c r="BR52" s="51">
        <v>9.1316224270784774E-3</v>
      </c>
      <c r="BS52" s="51">
        <v>9.0403062028076922E-3</v>
      </c>
      <c r="BT52" s="51">
        <v>8.9499031407796158E-3</v>
      </c>
      <c r="BU52" s="51">
        <v>8.8604041093718194E-3</v>
      </c>
      <c r="BV52" s="51">
        <v>8.7718000682781017E-3</v>
      </c>
      <c r="BW52" s="51">
        <v>8.6840820675953209E-3</v>
      </c>
      <c r="BX52" s="51">
        <v>8.5972412469193672E-3</v>
      </c>
      <c r="BY52" s="51">
        <v>8.5112688344501728E-3</v>
      </c>
      <c r="BZ52" s="51">
        <v>8.4261561461056716E-3</v>
      </c>
      <c r="CA52" s="51">
        <v>8.3418945846446147E-3</v>
      </c>
      <c r="CB52" s="51">
        <v>8.2584756387981684E-3</v>
      </c>
      <c r="CC52" s="51">
        <v>8.1758908824101865E-3</v>
      </c>
      <c r="CD52" s="51">
        <v>8.0941319735860842E-3</v>
      </c>
      <c r="CE52" s="51">
        <v>8.0131906538502239E-3</v>
      </c>
      <c r="CF52" s="51">
        <v>7.933058747311721E-3</v>
      </c>
      <c r="CG52" s="51">
        <v>7.8537281598386032E-3</v>
      </c>
      <c r="CH52" s="51">
        <v>7.7751908782402171E-3</v>
      </c>
      <c r="CI52" s="51">
        <v>7.6974389694578144E-3</v>
      </c>
      <c r="CJ52" s="51">
        <v>7.6204645797632361E-3</v>
      </c>
      <c r="CK52" s="51">
        <v>7.5442599339656038E-3</v>
      </c>
      <c r="CL52" s="51">
        <v>7.4688173346259476E-3</v>
      </c>
      <c r="CM52" s="51">
        <v>7.3941291612796877E-3</v>
      </c>
      <c r="CN52" s="51">
        <v>7.3201878696668912E-3</v>
      </c>
      <c r="CO52" s="51">
        <v>7.2469859909702226E-3</v>
      </c>
      <c r="CP52" s="51">
        <v>7.1745161310605206E-3</v>
      </c>
      <c r="CQ52" s="51">
        <v>7.1027709697499154E-3</v>
      </c>
      <c r="CR52" s="51">
        <v>7.0317432600524163E-3</v>
      </c>
      <c r="CS52" s="51">
        <v>6.961425827451892E-3</v>
      </c>
      <c r="CT52" s="51">
        <v>6.8918115691773731E-3</v>
      </c>
      <c r="CU52" s="51">
        <v>6.8228934534855989E-3</v>
      </c>
      <c r="CV52" s="51">
        <v>6.7546645189507431E-3</v>
      </c>
      <c r="CW52" s="51">
        <v>6.6871178737612355E-3</v>
      </c>
      <c r="CX52" s="55">
        <v>6.6202466950236235E-3</v>
      </c>
      <c r="CY52" s="53">
        <v>6.5540442280733876E-3</v>
      </c>
    </row>
    <row r="53" spans="1:103" ht="15.75">
      <c r="A53" s="54">
        <v>71</v>
      </c>
      <c r="B53" s="55">
        <v>1.8363000000000001E-2</v>
      </c>
      <c r="C53" s="55">
        <v>1.8256494599999999E-2</v>
      </c>
      <c r="D53" s="55">
        <v>1.8161560828080001E-2</v>
      </c>
      <c r="E53" s="55">
        <v>1.8076201492188023E-2</v>
      </c>
      <c r="F53" s="55">
        <v>1.8000281445920835E-2</v>
      </c>
      <c r="G53" s="55">
        <v>1.7930080348281745E-2</v>
      </c>
      <c r="H53" s="55">
        <v>1.7863739050993102E-2</v>
      </c>
      <c r="I53" s="55">
        <v>1.7797643216504427E-2</v>
      </c>
      <c r="J53" s="55">
        <v>1.772645264363841E-2</v>
      </c>
      <c r="K53" s="55">
        <v>1.7646683606742038E-2</v>
      </c>
      <c r="L53" s="55">
        <v>1.7554920851986979E-2</v>
      </c>
      <c r="M53" s="55">
        <v>1.7449591326875059E-2</v>
      </c>
      <c r="N53" s="55">
        <v>1.7329189146719621E-2</v>
      </c>
      <c r="O53" s="55">
        <v>1.7195754390289877E-2</v>
      </c>
      <c r="P53" s="55">
        <v>1.7049590477972415E-2</v>
      </c>
      <c r="Q53" s="55">
        <v>1.6896144163670662E-2</v>
      </c>
      <c r="R53" s="55">
        <v>1.6735630794115792E-2</v>
      </c>
      <c r="S53" s="55">
        <v>1.6571621612333456E-2</v>
      </c>
      <c r="T53" s="55">
        <v>1.6407562558371353E-2</v>
      </c>
      <c r="U53" s="51">
        <v>1.624348693278764E-2</v>
      </c>
      <c r="V53" s="51">
        <v>1.6081052063459764E-2</v>
      </c>
      <c r="W53" s="51">
        <v>1.5920241542825165E-2</v>
      </c>
      <c r="X53" s="51">
        <v>1.5761039127396913E-2</v>
      </c>
      <c r="Y53" s="51">
        <v>1.5603428736122945E-2</v>
      </c>
      <c r="Z53" s="51">
        <v>1.5447394448761715E-2</v>
      </c>
      <c r="AA53" s="51">
        <v>1.5292920504274098E-2</v>
      </c>
      <c r="AB53" s="51">
        <v>1.5139991299231357E-2</v>
      </c>
      <c r="AC53" s="51">
        <v>1.4988591386239043E-2</v>
      </c>
      <c r="AD53" s="51">
        <v>1.4838705472376652E-2</v>
      </c>
      <c r="AE53" s="51">
        <v>1.4690318417652885E-2</v>
      </c>
      <c r="AF53" s="51">
        <v>1.4543415233476357E-2</v>
      </c>
      <c r="AG53" s="51">
        <v>1.4397981081141592E-2</v>
      </c>
      <c r="AH53" s="51">
        <v>1.4254001270330177E-2</v>
      </c>
      <c r="AI53" s="51">
        <v>1.4111461257626875E-2</v>
      </c>
      <c r="AJ53" s="51">
        <v>1.3970346645050606E-2</v>
      </c>
      <c r="AK53" s="51">
        <v>1.38306431786001E-2</v>
      </c>
      <c r="AL53" s="51">
        <v>1.36923367468141E-2</v>
      </c>
      <c r="AM53" s="51">
        <v>1.3555413379345958E-2</v>
      </c>
      <c r="AN53" s="51">
        <v>1.3419859245552498E-2</v>
      </c>
      <c r="AO53" s="51">
        <v>1.3285660653096972E-2</v>
      </c>
      <c r="AP53" s="51">
        <v>1.3152804046566002E-2</v>
      </c>
      <c r="AQ53" s="51">
        <v>1.3021276006100341E-2</v>
      </c>
      <c r="AR53" s="51">
        <v>1.2891063246039338E-2</v>
      </c>
      <c r="AS53" s="51">
        <v>1.2762152613578943E-2</v>
      </c>
      <c r="AT53" s="51">
        <v>1.2634531087443154E-2</v>
      </c>
      <c r="AU53" s="51">
        <v>1.2508185776568722E-2</v>
      </c>
      <c r="AV53" s="51">
        <v>1.2383103918803035E-2</v>
      </c>
      <c r="AW53" s="51">
        <v>1.2259272879615004E-2</v>
      </c>
      <c r="AX53" s="51">
        <v>1.2136680150818854E-2</v>
      </c>
      <c r="AY53" s="51">
        <v>1.2015313349310665E-2</v>
      </c>
      <c r="AZ53" s="51">
        <v>1.1895160215817558E-2</v>
      </c>
      <c r="BA53" s="51">
        <v>1.1776208613659384E-2</v>
      </c>
      <c r="BB53" s="51">
        <v>1.1658446527522789E-2</v>
      </c>
      <c r="BC53" s="51">
        <v>1.1541862062247561E-2</v>
      </c>
      <c r="BD53" s="51">
        <v>1.1426443441625085E-2</v>
      </c>
      <c r="BE53" s="51">
        <v>1.1312179007208835E-2</v>
      </c>
      <c r="BF53" s="51">
        <v>1.1199057217136746E-2</v>
      </c>
      <c r="BG53" s="51">
        <v>1.1087066644965379E-2</v>
      </c>
      <c r="BH53" s="51">
        <v>1.0976195978515726E-2</v>
      </c>
      <c r="BI53" s="51">
        <v>1.0866434018730569E-2</v>
      </c>
      <c r="BJ53" s="51">
        <v>1.0757769678543264E-2</v>
      </c>
      <c r="BK53" s="51">
        <v>1.0650191981757831E-2</v>
      </c>
      <c r="BL53" s="51">
        <v>1.0543690061940253E-2</v>
      </c>
      <c r="BM53" s="51">
        <v>1.0438253161320851E-2</v>
      </c>
      <c r="BN53" s="51">
        <v>1.0333870629707642E-2</v>
      </c>
      <c r="BO53" s="51">
        <v>1.0230531923410566E-2</v>
      </c>
      <c r="BP53" s="51">
        <v>1.0128226604176459E-2</v>
      </c>
      <c r="BQ53" s="51">
        <v>1.0026944338134695E-2</v>
      </c>
      <c r="BR53" s="51">
        <v>9.9266748947533477E-3</v>
      </c>
      <c r="BS53" s="51">
        <v>9.8274081458058146E-3</v>
      </c>
      <c r="BT53" s="51">
        <v>9.7291340643477567E-3</v>
      </c>
      <c r="BU53" s="51">
        <v>9.6318427237042786E-3</v>
      </c>
      <c r="BV53" s="51">
        <v>9.5355242964672363E-3</v>
      </c>
      <c r="BW53" s="51">
        <v>9.4401690535025635E-3</v>
      </c>
      <c r="BX53" s="51">
        <v>9.3457673629675376E-3</v>
      </c>
      <c r="BY53" s="51">
        <v>9.2523096893378613E-3</v>
      </c>
      <c r="BZ53" s="51">
        <v>9.159786592444482E-3</v>
      </c>
      <c r="CA53" s="51">
        <v>9.0681887265200364E-3</v>
      </c>
      <c r="CB53" s="51">
        <v>8.9775068392548354E-3</v>
      </c>
      <c r="CC53" s="51">
        <v>8.8877317708622866E-3</v>
      </c>
      <c r="CD53" s="51">
        <v>8.7988544531536639E-3</v>
      </c>
      <c r="CE53" s="51">
        <v>8.7108659086221271E-3</v>
      </c>
      <c r="CF53" s="51">
        <v>8.6237572495359051E-3</v>
      </c>
      <c r="CG53" s="51">
        <v>8.5375196770405455E-3</v>
      </c>
      <c r="CH53" s="51">
        <v>8.4521444802701396E-3</v>
      </c>
      <c r="CI53" s="51">
        <v>8.3676230354674374E-3</v>
      </c>
      <c r="CJ53" s="51">
        <v>8.2839468051127633E-3</v>
      </c>
      <c r="CK53" s="51">
        <v>8.2011073370616364E-3</v>
      </c>
      <c r="CL53" s="51">
        <v>8.1190962636910197E-3</v>
      </c>
      <c r="CM53" s="51">
        <v>8.0379053010541102E-3</v>
      </c>
      <c r="CN53" s="51">
        <v>7.9575262480435695E-3</v>
      </c>
      <c r="CO53" s="51">
        <v>7.8779509855631345E-3</v>
      </c>
      <c r="CP53" s="51">
        <v>7.7991714757075026E-3</v>
      </c>
      <c r="CQ53" s="51">
        <v>7.7211797609504276E-3</v>
      </c>
      <c r="CR53" s="51">
        <v>7.6439679633409233E-3</v>
      </c>
      <c r="CS53" s="51">
        <v>7.5675282837075137E-3</v>
      </c>
      <c r="CT53" s="51">
        <v>7.4918530008704388E-3</v>
      </c>
      <c r="CU53" s="51">
        <v>7.4169344708617342E-3</v>
      </c>
      <c r="CV53" s="51">
        <v>7.3427651261531168E-3</v>
      </c>
      <c r="CW53" s="51">
        <v>7.269337474891586E-3</v>
      </c>
      <c r="CX53" s="55">
        <v>7.1966441001426696E-3</v>
      </c>
      <c r="CY53" s="53">
        <v>7.1246776591412427E-3</v>
      </c>
    </row>
    <row r="54" spans="1:103" ht="15.75">
      <c r="A54" s="54">
        <v>72</v>
      </c>
      <c r="B54" s="55">
        <v>2.0140999999999999E-2</v>
      </c>
      <c r="C54" s="55">
        <v>2.0006055299999999E-2</v>
      </c>
      <c r="D54" s="55">
        <v>1.9880017151609999E-2</v>
      </c>
      <c r="E54" s="55">
        <v>1.97627250504155E-2</v>
      </c>
      <c r="F54" s="55">
        <v>1.9656006335143257E-2</v>
      </c>
      <c r="G54" s="55">
        <v>1.955772630346754E-2</v>
      </c>
      <c r="H54" s="55">
        <v>1.946776076247159E-2</v>
      </c>
      <c r="I54" s="55">
        <v>1.9380155839040469E-2</v>
      </c>
      <c r="J54" s="55">
        <v>1.9292945137764788E-2</v>
      </c>
      <c r="K54" s="55">
        <v>1.9200339001103517E-2</v>
      </c>
      <c r="L54" s="55">
        <v>1.9098577204397667E-2</v>
      </c>
      <c r="M54" s="55">
        <v>1.898589559889172E-2</v>
      </c>
      <c r="N54" s="55">
        <v>1.8858690098379146E-2</v>
      </c>
      <c r="O54" s="55">
        <v>1.8717249922641302E-2</v>
      </c>
      <c r="P54" s="55">
        <v>1.8561896748283381E-2</v>
      </c>
      <c r="Q54" s="55">
        <v>1.8396695867223659E-2</v>
      </c>
      <c r="R54" s="55">
        <v>1.8223766926071756E-2</v>
      </c>
      <c r="S54" s="55">
        <v>1.804699638688886E-2</v>
      </c>
      <c r="T54" s="55">
        <v>1.7868331122658659E-2</v>
      </c>
      <c r="U54" s="51">
        <v>1.7689647811432074E-2</v>
      </c>
      <c r="V54" s="51">
        <v>1.7512751333317752E-2</v>
      </c>
      <c r="W54" s="51">
        <v>1.7337623819984573E-2</v>
      </c>
      <c r="X54" s="51">
        <v>1.7164247581784729E-2</v>
      </c>
      <c r="Y54" s="51">
        <v>1.6992605105966882E-2</v>
      </c>
      <c r="Z54" s="51">
        <v>1.6822679054907214E-2</v>
      </c>
      <c r="AA54" s="51">
        <v>1.6654452264358143E-2</v>
      </c>
      <c r="AB54" s="51">
        <v>1.6487907741714561E-2</v>
      </c>
      <c r="AC54" s="51">
        <v>1.6323028664297416E-2</v>
      </c>
      <c r="AD54" s="51">
        <v>1.6159798377654442E-2</v>
      </c>
      <c r="AE54" s="51">
        <v>1.5998200393877896E-2</v>
      </c>
      <c r="AF54" s="51">
        <v>1.5838218389939117E-2</v>
      </c>
      <c r="AG54" s="51">
        <v>1.5679836206039726E-2</v>
      </c>
      <c r="AH54" s="51">
        <v>1.5523037843979329E-2</v>
      </c>
      <c r="AI54" s="51">
        <v>1.5367807465539536E-2</v>
      </c>
      <c r="AJ54" s="51">
        <v>1.5214129390884141E-2</v>
      </c>
      <c r="AK54" s="51">
        <v>1.5061988096975299E-2</v>
      </c>
      <c r="AL54" s="51">
        <v>1.4911368216005546E-2</v>
      </c>
      <c r="AM54" s="51">
        <v>1.4762254533845491E-2</v>
      </c>
      <c r="AN54" s="51">
        <v>1.4614631988507036E-2</v>
      </c>
      <c r="AO54" s="51">
        <v>1.4468485668621965E-2</v>
      </c>
      <c r="AP54" s="51">
        <v>1.4323800811935745E-2</v>
      </c>
      <c r="AQ54" s="51">
        <v>1.4180562803816387E-2</v>
      </c>
      <c r="AR54" s="51">
        <v>1.4038757175778224E-2</v>
      </c>
      <c r="AS54" s="51">
        <v>1.3898369604020442E-2</v>
      </c>
      <c r="AT54" s="51">
        <v>1.3759385907980237E-2</v>
      </c>
      <c r="AU54" s="51">
        <v>1.3621792048900435E-2</v>
      </c>
      <c r="AV54" s="51">
        <v>1.3485574128411431E-2</v>
      </c>
      <c r="AW54" s="51">
        <v>1.3350718387127317E-2</v>
      </c>
      <c r="AX54" s="51">
        <v>1.3217211203256043E-2</v>
      </c>
      <c r="AY54" s="51">
        <v>1.3085039091223483E-2</v>
      </c>
      <c r="AZ54" s="51">
        <v>1.2954188700311248E-2</v>
      </c>
      <c r="BA54" s="51">
        <v>1.2824646813308136E-2</v>
      </c>
      <c r="BB54" s="51">
        <v>1.2696400345175055E-2</v>
      </c>
      <c r="BC54" s="51">
        <v>1.2569436341723304E-2</v>
      </c>
      <c r="BD54" s="51">
        <v>1.2443741978306071E-2</v>
      </c>
      <c r="BE54" s="51">
        <v>1.231930455852301E-2</v>
      </c>
      <c r="BF54" s="51">
        <v>1.219611151293778E-2</v>
      </c>
      <c r="BG54" s="51">
        <v>1.2074150397808401E-2</v>
      </c>
      <c r="BH54" s="51">
        <v>1.1953408893830317E-2</v>
      </c>
      <c r="BI54" s="51">
        <v>1.1833874804892014E-2</v>
      </c>
      <c r="BJ54" s="51">
        <v>1.1715536056843093E-2</v>
      </c>
      <c r="BK54" s="51">
        <v>1.1598380696274661E-2</v>
      </c>
      <c r="BL54" s="51">
        <v>1.1482396889311915E-2</v>
      </c>
      <c r="BM54" s="51">
        <v>1.1367572920418796E-2</v>
      </c>
      <c r="BN54" s="51">
        <v>1.1253897191214609E-2</v>
      </c>
      <c r="BO54" s="51">
        <v>1.1141358219302462E-2</v>
      </c>
      <c r="BP54" s="51">
        <v>1.1029944637109438E-2</v>
      </c>
      <c r="BQ54" s="51">
        <v>1.0919645190738344E-2</v>
      </c>
      <c r="BR54" s="51">
        <v>1.081044873883096E-2</v>
      </c>
      <c r="BS54" s="51">
        <v>1.070234425144265E-2</v>
      </c>
      <c r="BT54" s="51">
        <v>1.0595320808928223E-2</v>
      </c>
      <c r="BU54" s="51">
        <v>1.0489367600838941E-2</v>
      </c>
      <c r="BV54" s="51">
        <v>1.0384473924830551E-2</v>
      </c>
      <c r="BW54" s="51">
        <v>1.0280629185582245E-2</v>
      </c>
      <c r="BX54" s="51">
        <v>1.0177822893726422E-2</v>
      </c>
      <c r="BY54" s="51">
        <v>1.0076044664789159E-2</v>
      </c>
      <c r="BZ54" s="51">
        <v>9.9752842181412664E-3</v>
      </c>
      <c r="CA54" s="51">
        <v>9.8755313759598534E-3</v>
      </c>
      <c r="CB54" s="51">
        <v>9.7767760622002545E-3</v>
      </c>
      <c r="CC54" s="51">
        <v>9.6790083015782513E-3</v>
      </c>
      <c r="CD54" s="51">
        <v>9.5822182185624685E-3</v>
      </c>
      <c r="CE54" s="51">
        <v>9.4863960363768436E-3</v>
      </c>
      <c r="CF54" s="51">
        <v>9.3915320760130754E-3</v>
      </c>
      <c r="CG54" s="51">
        <v>9.2976167552529451E-3</v>
      </c>
      <c r="CH54" s="51">
        <v>9.2046405877004162E-3</v>
      </c>
      <c r="CI54" s="51">
        <v>9.1125941818234121E-3</v>
      </c>
      <c r="CJ54" s="51">
        <v>9.0214682400051784E-3</v>
      </c>
      <c r="CK54" s="51">
        <v>8.9312535576051271E-3</v>
      </c>
      <c r="CL54" s="51">
        <v>8.8419410220290755E-3</v>
      </c>
      <c r="CM54" s="51">
        <v>8.7535216118087844E-3</v>
      </c>
      <c r="CN54" s="51">
        <v>8.665986395690696E-3</v>
      </c>
      <c r="CO54" s="51">
        <v>8.5793265317337889E-3</v>
      </c>
      <c r="CP54" s="51">
        <v>8.4935332664164507E-3</v>
      </c>
      <c r="CQ54" s="51">
        <v>8.4085979337522859E-3</v>
      </c>
      <c r="CR54" s="51">
        <v>8.3245119544147622E-3</v>
      </c>
      <c r="CS54" s="51">
        <v>8.2412668348706142E-3</v>
      </c>
      <c r="CT54" s="51">
        <v>8.1588541665219075E-3</v>
      </c>
      <c r="CU54" s="51">
        <v>8.0772656248566891E-3</v>
      </c>
      <c r="CV54" s="51">
        <v>7.9964929686081217E-3</v>
      </c>
      <c r="CW54" s="51">
        <v>7.91652803892204E-3</v>
      </c>
      <c r="CX54" s="55">
        <v>7.8373627585328204E-3</v>
      </c>
      <c r="CY54" s="53">
        <v>7.7589891309474924E-3</v>
      </c>
    </row>
    <row r="55" spans="1:103" ht="15.75">
      <c r="A55" s="54">
        <v>73</v>
      </c>
      <c r="B55" s="55">
        <v>2.2127000000000001E-2</v>
      </c>
      <c r="C55" s="55">
        <v>2.1963260200000001E-2</v>
      </c>
      <c r="D55" s="55">
        <v>2.180732105258E-2</v>
      </c>
      <c r="E55" s="55">
        <v>2.1659031269422455E-2</v>
      </c>
      <c r="F55" s="55">
        <v>2.1520413469298151E-2</v>
      </c>
      <c r="G55" s="55">
        <v>2.139344302982929E-2</v>
      </c>
      <c r="H55" s="55">
        <v>2.1273639748862243E-2</v>
      </c>
      <c r="I55" s="55">
        <v>2.1160889458193274E-2</v>
      </c>
      <c r="J55" s="55">
        <v>2.1050852833010669E-2</v>
      </c>
      <c r="K55" s="55">
        <v>2.0939283312995712E-2</v>
      </c>
      <c r="L55" s="55">
        <v>2.0824117254774236E-2</v>
      </c>
      <c r="M55" s="55">
        <v>2.0699172551245589E-2</v>
      </c>
      <c r="N55" s="55">
        <v>2.0562558012407368E-2</v>
      </c>
      <c r="O55" s="55">
        <v>2.0410395083115554E-2</v>
      </c>
      <c r="P55" s="55">
        <v>2.0245070882942317E-2</v>
      </c>
      <c r="Q55" s="55">
        <v>2.006893876626072E-2</v>
      </c>
      <c r="R55" s="55">
        <v>1.9882297635734496E-2</v>
      </c>
      <c r="S55" s="55">
        <v>1.9691427578431443E-2</v>
      </c>
      <c r="T55" s="55">
        <v>1.9496482445404972E-2</v>
      </c>
      <c r="U55" s="51">
        <v>1.9301517620950923E-2</v>
      </c>
      <c r="V55" s="51">
        <v>1.9108502444741413E-2</v>
      </c>
      <c r="W55" s="51">
        <v>1.8917417420294E-2</v>
      </c>
      <c r="X55" s="51">
        <v>1.8728243246091059E-2</v>
      </c>
      <c r="Y55" s="51">
        <v>1.8540960813630148E-2</v>
      </c>
      <c r="Z55" s="51">
        <v>1.8355551205493845E-2</v>
      </c>
      <c r="AA55" s="51">
        <v>1.8171995693438907E-2</v>
      </c>
      <c r="AB55" s="51">
        <v>1.7990275736504517E-2</v>
      </c>
      <c r="AC55" s="51">
        <v>1.7810372979139472E-2</v>
      </c>
      <c r="AD55" s="51">
        <v>1.7632269249348076E-2</v>
      </c>
      <c r="AE55" s="51">
        <v>1.7455946556854594E-2</v>
      </c>
      <c r="AF55" s="51">
        <v>1.7281387091286047E-2</v>
      </c>
      <c r="AG55" s="51">
        <v>1.7108573220373187E-2</v>
      </c>
      <c r="AH55" s="51">
        <v>1.6937487488169454E-2</v>
      </c>
      <c r="AI55" s="51">
        <v>1.6768112613287759E-2</v>
      </c>
      <c r="AJ55" s="51">
        <v>1.6600431487154881E-2</v>
      </c>
      <c r="AK55" s="51">
        <v>1.6434427172283331E-2</v>
      </c>
      <c r="AL55" s="51">
        <v>1.6270082900560499E-2</v>
      </c>
      <c r="AM55" s="51">
        <v>1.6107382071554894E-2</v>
      </c>
      <c r="AN55" s="51">
        <v>1.5946308250839345E-2</v>
      </c>
      <c r="AO55" s="51">
        <v>1.5786845168330951E-2</v>
      </c>
      <c r="AP55" s="51">
        <v>1.562897671664764E-2</v>
      </c>
      <c r="AQ55" s="51">
        <v>1.5472686949481163E-2</v>
      </c>
      <c r="AR55" s="51">
        <v>1.5317960079986351E-2</v>
      </c>
      <c r="AS55" s="51">
        <v>1.5164780479186488E-2</v>
      </c>
      <c r="AT55" s="51">
        <v>1.5013132674394624E-2</v>
      </c>
      <c r="AU55" s="51">
        <v>1.4863001347650678E-2</v>
      </c>
      <c r="AV55" s="51">
        <v>1.4714371334174171E-2</v>
      </c>
      <c r="AW55" s="51">
        <v>1.4567227620832429E-2</v>
      </c>
      <c r="AX55" s="51">
        <v>1.4421555344624104E-2</v>
      </c>
      <c r="AY55" s="51">
        <v>1.4277339791177863E-2</v>
      </c>
      <c r="AZ55" s="51">
        <v>1.4134566393266084E-2</v>
      </c>
      <c r="BA55" s="51">
        <v>1.3993220729333422E-2</v>
      </c>
      <c r="BB55" s="51">
        <v>1.3853288522040088E-2</v>
      </c>
      <c r="BC55" s="51">
        <v>1.3714755636819688E-2</v>
      </c>
      <c r="BD55" s="51">
        <v>1.3577608080451491E-2</v>
      </c>
      <c r="BE55" s="51">
        <v>1.3441831999646976E-2</v>
      </c>
      <c r="BF55" s="51">
        <v>1.3307413679650507E-2</v>
      </c>
      <c r="BG55" s="51">
        <v>1.3174339542854002E-2</v>
      </c>
      <c r="BH55" s="51">
        <v>1.3042596147425461E-2</v>
      </c>
      <c r="BI55" s="51">
        <v>1.2912170185951206E-2</v>
      </c>
      <c r="BJ55" s="51">
        <v>1.2783048484091694E-2</v>
      </c>
      <c r="BK55" s="51">
        <v>1.2655217999250777E-2</v>
      </c>
      <c r="BL55" s="51">
        <v>1.252866581925827E-2</v>
      </c>
      <c r="BM55" s="51">
        <v>1.2403379161065688E-2</v>
      </c>
      <c r="BN55" s="51">
        <v>1.2279345369455031E-2</v>
      </c>
      <c r="BO55" s="51">
        <v>1.2156551915760481E-2</v>
      </c>
      <c r="BP55" s="51">
        <v>1.2034986396602877E-2</v>
      </c>
      <c r="BQ55" s="51">
        <v>1.1914636532636847E-2</v>
      </c>
      <c r="BR55" s="51">
        <v>1.1795490167310478E-2</v>
      </c>
      <c r="BS55" s="51">
        <v>1.1677535265637374E-2</v>
      </c>
      <c r="BT55" s="51">
        <v>1.1560759912981E-2</v>
      </c>
      <c r="BU55" s="51">
        <v>1.144515231385119E-2</v>
      </c>
      <c r="BV55" s="51">
        <v>1.1330700790712678E-2</v>
      </c>
      <c r="BW55" s="51">
        <v>1.1217393782805552E-2</v>
      </c>
      <c r="BX55" s="51">
        <v>1.1105219844977497E-2</v>
      </c>
      <c r="BY55" s="51">
        <v>1.0994167646527723E-2</v>
      </c>
      <c r="BZ55" s="51">
        <v>1.0884225970062446E-2</v>
      </c>
      <c r="CA55" s="51">
        <v>1.0775383710361821E-2</v>
      </c>
      <c r="CB55" s="51">
        <v>1.0667629873258203E-2</v>
      </c>
      <c r="CC55" s="51">
        <v>1.0560953574525621E-2</v>
      </c>
      <c r="CD55" s="51">
        <v>1.0455344038780364E-2</v>
      </c>
      <c r="CE55" s="51">
        <v>1.0350790598392562E-2</v>
      </c>
      <c r="CF55" s="51">
        <v>1.0247282692408636E-2</v>
      </c>
      <c r="CG55" s="51">
        <v>1.014480986548455E-2</v>
      </c>
      <c r="CH55" s="51">
        <v>1.0043361766829705E-2</v>
      </c>
      <c r="CI55" s="51">
        <v>9.9429281491614074E-3</v>
      </c>
      <c r="CJ55" s="51">
        <v>9.8434988676697928E-3</v>
      </c>
      <c r="CK55" s="51">
        <v>9.7450638789930953E-3</v>
      </c>
      <c r="CL55" s="51">
        <v>9.647613240203164E-3</v>
      </c>
      <c r="CM55" s="51">
        <v>9.5511371078011321E-3</v>
      </c>
      <c r="CN55" s="51">
        <v>9.4556257367231205E-3</v>
      </c>
      <c r="CO55" s="51">
        <v>9.3610694793558897E-3</v>
      </c>
      <c r="CP55" s="51">
        <v>9.267458784562331E-3</v>
      </c>
      <c r="CQ55" s="51">
        <v>9.1747841967167072E-3</v>
      </c>
      <c r="CR55" s="51">
        <v>9.0830363547495397E-3</v>
      </c>
      <c r="CS55" s="51">
        <v>8.9922059912020437E-3</v>
      </c>
      <c r="CT55" s="51">
        <v>8.9022839312900229E-3</v>
      </c>
      <c r="CU55" s="51">
        <v>8.8132610919771232E-3</v>
      </c>
      <c r="CV55" s="51">
        <v>8.7251284810573523E-3</v>
      </c>
      <c r="CW55" s="51">
        <v>8.6378771962467779E-3</v>
      </c>
      <c r="CX55" s="55">
        <v>8.5514984242843102E-3</v>
      </c>
      <c r="CY55" s="53">
        <v>8.4659834400414666E-3</v>
      </c>
    </row>
    <row r="56" spans="1:103" ht="15.75">
      <c r="A56" s="54">
        <v>74</v>
      </c>
      <c r="B56" s="55">
        <v>2.4344999999999999E-2</v>
      </c>
      <c r="C56" s="55">
        <v>2.4152674499999999E-2</v>
      </c>
      <c r="D56" s="55">
        <v>2.3966698906349997E-2</v>
      </c>
      <c r="E56" s="55">
        <v>2.3789345334443008E-2</v>
      </c>
      <c r="F56" s="55">
        <v>2.3620440982568464E-2</v>
      </c>
      <c r="G56" s="55">
        <v>2.3459821983886998E-2</v>
      </c>
      <c r="H56" s="55">
        <v>2.3309679123190121E-2</v>
      </c>
      <c r="I56" s="55">
        <v>2.3167490080538661E-2</v>
      </c>
      <c r="J56" s="55">
        <v>2.3030801889063483E-2</v>
      </c>
      <c r="K56" s="55">
        <v>2.2897223238106914E-2</v>
      </c>
      <c r="L56" s="55">
        <v>2.2762129621002082E-2</v>
      </c>
      <c r="M56" s="55">
        <v>2.2621004417351868E-2</v>
      </c>
      <c r="N56" s="55">
        <v>2.2469443687755612E-2</v>
      </c>
      <c r="O56" s="55">
        <v>2.2305416748834996E-2</v>
      </c>
      <c r="P56" s="55">
        <v>2.2126973414844316E-2</v>
      </c>
      <c r="Q56" s="55">
        <v>2.1936681443476654E-2</v>
      </c>
      <c r="R56" s="55">
        <v>2.1734863974196668E-2</v>
      </c>
      <c r="S56" s="55">
        <v>2.1526209280044378E-2</v>
      </c>
      <c r="T56" s="55">
        <v>2.1315252429099943E-2</v>
      </c>
      <c r="U56" s="51">
        <v>2.1102099904808942E-2</v>
      </c>
      <c r="V56" s="51">
        <v>2.0891078905760852E-2</v>
      </c>
      <c r="W56" s="51">
        <v>2.0682168116703245E-2</v>
      </c>
      <c r="X56" s="51">
        <v>2.0475346435536213E-2</v>
      </c>
      <c r="Y56" s="51">
        <v>2.0270592971180851E-2</v>
      </c>
      <c r="Z56" s="51">
        <v>2.0067887041469043E-2</v>
      </c>
      <c r="AA56" s="51">
        <v>1.9867208171054352E-2</v>
      </c>
      <c r="AB56" s="51">
        <v>1.9668536089343807E-2</v>
      </c>
      <c r="AC56" s="51">
        <v>1.9471850728450368E-2</v>
      </c>
      <c r="AD56" s="51">
        <v>1.9277132221165866E-2</v>
      </c>
      <c r="AE56" s="51">
        <v>1.9084360898954208E-2</v>
      </c>
      <c r="AF56" s="51">
        <v>1.8893517289964665E-2</v>
      </c>
      <c r="AG56" s="51">
        <v>1.8704582117065018E-2</v>
      </c>
      <c r="AH56" s="51">
        <v>1.8517536295894369E-2</v>
      </c>
      <c r="AI56" s="51">
        <v>1.8332360932935426E-2</v>
      </c>
      <c r="AJ56" s="51">
        <v>1.8149037323606072E-2</v>
      </c>
      <c r="AK56" s="51">
        <v>1.7967546950370013E-2</v>
      </c>
      <c r="AL56" s="51">
        <v>1.7787871480866312E-2</v>
      </c>
      <c r="AM56" s="51">
        <v>1.7609992766057649E-2</v>
      </c>
      <c r="AN56" s="51">
        <v>1.7433892838397073E-2</v>
      </c>
      <c r="AO56" s="51">
        <v>1.7259553910013103E-2</v>
      </c>
      <c r="AP56" s="51">
        <v>1.7086958370912973E-2</v>
      </c>
      <c r="AQ56" s="51">
        <v>1.6916088787203843E-2</v>
      </c>
      <c r="AR56" s="51">
        <v>1.6746927899331805E-2</v>
      </c>
      <c r="AS56" s="51">
        <v>1.6579458620338487E-2</v>
      </c>
      <c r="AT56" s="51">
        <v>1.6413664034135102E-2</v>
      </c>
      <c r="AU56" s="51">
        <v>1.6249527393793751E-2</v>
      </c>
      <c r="AV56" s="51">
        <v>1.6087032119855814E-2</v>
      </c>
      <c r="AW56" s="51">
        <v>1.5926161798657256E-2</v>
      </c>
      <c r="AX56" s="51">
        <v>1.5766900180670684E-2</v>
      </c>
      <c r="AY56" s="51">
        <v>1.5609231178863977E-2</v>
      </c>
      <c r="AZ56" s="51">
        <v>1.5453138867075337E-2</v>
      </c>
      <c r="BA56" s="51">
        <v>1.5298607478404584E-2</v>
      </c>
      <c r="BB56" s="51">
        <v>1.5145621403620538E-2</v>
      </c>
      <c r="BC56" s="51">
        <v>1.4994165189584333E-2</v>
      </c>
      <c r="BD56" s="51">
        <v>1.4844223537688489E-2</v>
      </c>
      <c r="BE56" s="51">
        <v>1.4695781302311604E-2</v>
      </c>
      <c r="BF56" s="51">
        <v>1.4548823489288489E-2</v>
      </c>
      <c r="BG56" s="51">
        <v>1.4403335254395603E-2</v>
      </c>
      <c r="BH56" s="51">
        <v>1.4259301901851647E-2</v>
      </c>
      <c r="BI56" s="51">
        <v>1.4116708882833132E-2</v>
      </c>
      <c r="BJ56" s="51">
        <v>1.39755417940048E-2</v>
      </c>
      <c r="BK56" s="51">
        <v>1.3835786376064751E-2</v>
      </c>
      <c r="BL56" s="51">
        <v>1.3697428512304103E-2</v>
      </c>
      <c r="BM56" s="51">
        <v>1.3560454227181062E-2</v>
      </c>
      <c r="BN56" s="51">
        <v>1.3424849684909252E-2</v>
      </c>
      <c r="BO56" s="51">
        <v>1.3290601188060159E-2</v>
      </c>
      <c r="BP56" s="51">
        <v>1.3157695176179558E-2</v>
      </c>
      <c r="BQ56" s="51">
        <v>1.3026118224417762E-2</v>
      </c>
      <c r="BR56" s="51">
        <v>1.2895857042173584E-2</v>
      </c>
      <c r="BS56" s="51">
        <v>1.2766898471751848E-2</v>
      </c>
      <c r="BT56" s="51">
        <v>1.263922948703433E-2</v>
      </c>
      <c r="BU56" s="51">
        <v>1.2512837192163987E-2</v>
      </c>
      <c r="BV56" s="51">
        <v>1.2387708820242347E-2</v>
      </c>
      <c r="BW56" s="51">
        <v>1.2263831732039923E-2</v>
      </c>
      <c r="BX56" s="51">
        <v>1.2141193414719524E-2</v>
      </c>
      <c r="BY56" s="51">
        <v>1.2019781480572329E-2</v>
      </c>
      <c r="BZ56" s="51">
        <v>1.1899583665766605E-2</v>
      </c>
      <c r="CA56" s="51">
        <v>1.1780587829108938E-2</v>
      </c>
      <c r="CB56" s="51">
        <v>1.1662781950817849E-2</v>
      </c>
      <c r="CC56" s="51">
        <v>1.1546154131309669E-2</v>
      </c>
      <c r="CD56" s="51">
        <v>1.1430692589996572E-2</v>
      </c>
      <c r="CE56" s="51">
        <v>1.1316385664096606E-2</v>
      </c>
      <c r="CF56" s="51">
        <v>1.120322180745564E-2</v>
      </c>
      <c r="CG56" s="51">
        <v>1.1091189589381083E-2</v>
      </c>
      <c r="CH56" s="51">
        <v>1.0980277693487273E-2</v>
      </c>
      <c r="CI56" s="51">
        <v>1.08704749165524E-2</v>
      </c>
      <c r="CJ56" s="51">
        <v>1.0761770167386876E-2</v>
      </c>
      <c r="CK56" s="51">
        <v>1.0654152465713006E-2</v>
      </c>
      <c r="CL56" s="51">
        <v>1.0547610941055876E-2</v>
      </c>
      <c r="CM56" s="51">
        <v>1.0442134831645317E-2</v>
      </c>
      <c r="CN56" s="51">
        <v>1.0337713483328865E-2</v>
      </c>
      <c r="CO56" s="51">
        <v>1.0234336348495576E-2</v>
      </c>
      <c r="CP56" s="51">
        <v>1.0131992985010621E-2</v>
      </c>
      <c r="CQ56" s="51">
        <v>1.0030673055160515E-2</v>
      </c>
      <c r="CR56" s="51">
        <v>9.9303663246089104E-3</v>
      </c>
      <c r="CS56" s="51">
        <v>9.8310626613628219E-3</v>
      </c>
      <c r="CT56" s="51">
        <v>9.7327520347491939E-3</v>
      </c>
      <c r="CU56" s="51">
        <v>9.6354245144017019E-3</v>
      </c>
      <c r="CV56" s="51">
        <v>9.539070269257684E-3</v>
      </c>
      <c r="CW56" s="51">
        <v>9.4436795665651073E-3</v>
      </c>
      <c r="CX56" s="55">
        <v>9.349242770899456E-3</v>
      </c>
      <c r="CY56" s="53">
        <v>9.2557503431904622E-3</v>
      </c>
    </row>
    <row r="57" spans="1:103" ht="15.75">
      <c r="A57" s="54">
        <v>75</v>
      </c>
      <c r="B57" s="55">
        <v>2.6825999999999999E-2</v>
      </c>
      <c r="C57" s="55">
        <v>2.66087094E-2</v>
      </c>
      <c r="D57" s="55">
        <v>2.6395839724799999E-2</v>
      </c>
      <c r="E57" s="55">
        <v>2.6187312590974079E-2</v>
      </c>
      <c r="F57" s="55">
        <v>2.5985670284023578E-2</v>
      </c>
      <c r="G57" s="55">
        <v>2.5793376323921806E-2</v>
      </c>
      <c r="H57" s="55">
        <v>2.5610243352021961E-2</v>
      </c>
      <c r="I57" s="55">
        <v>2.5436093697228213E-2</v>
      </c>
      <c r="J57" s="55">
        <v>2.5268215478826506E-2</v>
      </c>
      <c r="K57" s="55">
        <v>2.5106498899762016E-2</v>
      </c>
      <c r="L57" s="55">
        <v>2.494581730680354E-2</v>
      </c>
      <c r="M57" s="55">
        <v>2.4783669494309317E-2</v>
      </c>
      <c r="N57" s="55">
        <v>2.4615140541748012E-2</v>
      </c>
      <c r="O57" s="55">
        <v>2.4435450015793253E-2</v>
      </c>
      <c r="P57" s="55">
        <v>2.4242409960668485E-2</v>
      </c>
      <c r="Q57" s="55">
        <v>2.4036349476002805E-2</v>
      </c>
      <c r="R57" s="55">
        <v>2.3817618695771179E-2</v>
      </c>
      <c r="S57" s="55">
        <v>2.3591351318161355E-2</v>
      </c>
      <c r="T57" s="55">
        <v>2.3360156075243374E-2</v>
      </c>
      <c r="U57" s="51">
        <v>2.312655451449094E-2</v>
      </c>
      <c r="V57" s="51">
        <v>2.289528896934603E-2</v>
      </c>
      <c r="W57" s="51">
        <v>2.2666336079652571E-2</v>
      </c>
      <c r="X57" s="51">
        <v>2.2439672718856045E-2</v>
      </c>
      <c r="Y57" s="51">
        <v>2.2215275991667484E-2</v>
      </c>
      <c r="Z57" s="51">
        <v>2.1993123231750809E-2</v>
      </c>
      <c r="AA57" s="51">
        <v>2.1773191999433301E-2</v>
      </c>
      <c r="AB57" s="51">
        <v>2.1555460079438968E-2</v>
      </c>
      <c r="AC57" s="51">
        <v>2.1339905478644578E-2</v>
      </c>
      <c r="AD57" s="51">
        <v>2.1126506423858132E-2</v>
      </c>
      <c r="AE57" s="51">
        <v>2.091524135961955E-2</v>
      </c>
      <c r="AF57" s="51">
        <v>2.0706088946023354E-2</v>
      </c>
      <c r="AG57" s="51">
        <v>2.0499028056563121E-2</v>
      </c>
      <c r="AH57" s="51">
        <v>2.0294037775997489E-2</v>
      </c>
      <c r="AI57" s="51">
        <v>2.0091097398237515E-2</v>
      </c>
      <c r="AJ57" s="51">
        <v>1.9890186424255139E-2</v>
      </c>
      <c r="AK57" s="51">
        <v>1.9691284560012588E-2</v>
      </c>
      <c r="AL57" s="51">
        <v>1.9494371714412463E-2</v>
      </c>
      <c r="AM57" s="51">
        <v>1.9299427997268338E-2</v>
      </c>
      <c r="AN57" s="51">
        <v>1.9106433717295656E-2</v>
      </c>
      <c r="AO57" s="51">
        <v>1.8915369380122699E-2</v>
      </c>
      <c r="AP57" s="51">
        <v>1.8726215686321473E-2</v>
      </c>
      <c r="AQ57" s="51">
        <v>1.8538953529458259E-2</v>
      </c>
      <c r="AR57" s="51">
        <v>1.8353563994163675E-2</v>
      </c>
      <c r="AS57" s="51">
        <v>1.8170028354222038E-2</v>
      </c>
      <c r="AT57" s="51">
        <v>1.7988328070679818E-2</v>
      </c>
      <c r="AU57" s="51">
        <v>1.7808444789973021E-2</v>
      </c>
      <c r="AV57" s="51">
        <v>1.7630360342073291E-2</v>
      </c>
      <c r="AW57" s="51">
        <v>1.7454056738652558E-2</v>
      </c>
      <c r="AX57" s="51">
        <v>1.7279516171266031E-2</v>
      </c>
      <c r="AY57" s="51">
        <v>1.710672100955337E-2</v>
      </c>
      <c r="AZ57" s="51">
        <v>1.6935653799457835E-2</v>
      </c>
      <c r="BA57" s="51">
        <v>1.6766297261463257E-2</v>
      </c>
      <c r="BB57" s="51">
        <v>1.6598634288848623E-2</v>
      </c>
      <c r="BC57" s="51">
        <v>1.6432647945960138E-2</v>
      </c>
      <c r="BD57" s="51">
        <v>1.6268321466500538E-2</v>
      </c>
      <c r="BE57" s="51">
        <v>1.6105638251835534E-2</v>
      </c>
      <c r="BF57" s="51">
        <v>1.5944581869317177E-2</v>
      </c>
      <c r="BG57" s="51">
        <v>1.5785136050624003E-2</v>
      </c>
      <c r="BH57" s="51">
        <v>1.5627284690117763E-2</v>
      </c>
      <c r="BI57" s="51">
        <v>1.5471011843216585E-2</v>
      </c>
      <c r="BJ57" s="51">
        <v>1.5316301724784419E-2</v>
      </c>
      <c r="BK57" s="51">
        <v>1.5163138707536574E-2</v>
      </c>
      <c r="BL57" s="51">
        <v>1.5011507320461208E-2</v>
      </c>
      <c r="BM57" s="51">
        <v>1.4861392247256596E-2</v>
      </c>
      <c r="BN57" s="51">
        <v>1.4712778324784031E-2</v>
      </c>
      <c r="BO57" s="51">
        <v>1.456565054153619E-2</v>
      </c>
      <c r="BP57" s="51">
        <v>1.4419994036120829E-2</v>
      </c>
      <c r="BQ57" s="51">
        <v>1.427579409575962E-2</v>
      </c>
      <c r="BR57" s="51">
        <v>1.4133036154802023E-2</v>
      </c>
      <c r="BS57" s="51">
        <v>1.3991705793254003E-2</v>
      </c>
      <c r="BT57" s="51">
        <v>1.3851788735321462E-2</v>
      </c>
      <c r="BU57" s="51">
        <v>1.3713270847968247E-2</v>
      </c>
      <c r="BV57" s="51">
        <v>1.3576138139488565E-2</v>
      </c>
      <c r="BW57" s="51">
        <v>1.3440376758093679E-2</v>
      </c>
      <c r="BX57" s="51">
        <v>1.3305972990512742E-2</v>
      </c>
      <c r="BY57" s="51">
        <v>1.3172913260607615E-2</v>
      </c>
      <c r="BZ57" s="51">
        <v>1.3041184128001539E-2</v>
      </c>
      <c r="CA57" s="51">
        <v>1.2910772286721524E-2</v>
      </c>
      <c r="CB57" s="51">
        <v>1.2781664563854309E-2</v>
      </c>
      <c r="CC57" s="51">
        <v>1.2653847918215765E-2</v>
      </c>
      <c r="CD57" s="51">
        <v>1.2527309439033607E-2</v>
      </c>
      <c r="CE57" s="51">
        <v>1.240203634464327E-2</v>
      </c>
      <c r="CF57" s="51">
        <v>1.2278015981196837E-2</v>
      </c>
      <c r="CG57" s="51">
        <v>1.2155235821384868E-2</v>
      </c>
      <c r="CH57" s="51">
        <v>1.2033683463171021E-2</v>
      </c>
      <c r="CI57" s="51">
        <v>1.1913346628539311E-2</v>
      </c>
      <c r="CJ57" s="51">
        <v>1.1794213162253918E-2</v>
      </c>
      <c r="CK57" s="51">
        <v>1.167627103063138E-2</v>
      </c>
      <c r="CL57" s="51">
        <v>1.1559508320325066E-2</v>
      </c>
      <c r="CM57" s="51">
        <v>1.1443913237121815E-2</v>
      </c>
      <c r="CN57" s="51">
        <v>1.1329474104750596E-2</v>
      </c>
      <c r="CO57" s="51">
        <v>1.121617936370309E-2</v>
      </c>
      <c r="CP57" s="51">
        <v>1.1104017570066059E-2</v>
      </c>
      <c r="CQ57" s="51">
        <v>1.0992977394365399E-2</v>
      </c>
      <c r="CR57" s="51">
        <v>1.0883047620421745E-2</v>
      </c>
      <c r="CS57" s="51">
        <v>1.0774217144217528E-2</v>
      </c>
      <c r="CT57" s="51">
        <v>1.0666474972775352E-2</v>
      </c>
      <c r="CU57" s="51">
        <v>1.0559810223047599E-2</v>
      </c>
      <c r="CV57" s="51">
        <v>1.0454212120817123E-2</v>
      </c>
      <c r="CW57" s="51">
        <v>1.0349669999608952E-2</v>
      </c>
      <c r="CX57" s="55">
        <v>1.0246173299612861E-2</v>
      </c>
      <c r="CY57" s="53">
        <v>1.0143711566616732E-2</v>
      </c>
    </row>
    <row r="58" spans="1:103" ht="15.75">
      <c r="A58" s="54">
        <v>76</v>
      </c>
      <c r="B58" s="55">
        <v>2.9607999999999999E-2</v>
      </c>
      <c r="C58" s="55">
        <v>2.9365214399999999E-2</v>
      </c>
      <c r="D58" s="55">
        <v>2.9124419641919998E-2</v>
      </c>
      <c r="E58" s="55">
        <v>2.8885599400856256E-2</v>
      </c>
      <c r="F58" s="55">
        <v>2.8651626045709321E-2</v>
      </c>
      <c r="G58" s="55">
        <v>2.8425278199948216E-2</v>
      </c>
      <c r="H58" s="55">
        <v>2.8206403557808613E-2</v>
      </c>
      <c r="I58" s="55">
        <v>2.7997676171480832E-2</v>
      </c>
      <c r="J58" s="55">
        <v>2.7796092903046171E-2</v>
      </c>
      <c r="K58" s="55">
        <v>2.7601520252724845E-2</v>
      </c>
      <c r="L58" s="55">
        <v>2.7411069762981043E-2</v>
      </c>
      <c r="M58" s="55">
        <v>2.7221933381616471E-2</v>
      </c>
      <c r="N58" s="55">
        <v>2.7028657654606995E-2</v>
      </c>
      <c r="O58" s="55">
        <v>2.6825942722197443E-2</v>
      </c>
      <c r="P58" s="55">
        <v>2.6611335180419863E-2</v>
      </c>
      <c r="Q58" s="55">
        <v>2.6385138831386296E-2</v>
      </c>
      <c r="R58" s="55">
        <v>2.6147672581903817E-2</v>
      </c>
      <c r="S58" s="55">
        <v>2.5899269692375732E-2</v>
      </c>
      <c r="T58" s="55">
        <v>2.5645456849390451E-2</v>
      </c>
      <c r="U58" s="51">
        <v>2.5391566826581485E-2</v>
      </c>
      <c r="V58" s="51">
        <v>2.513765115831567E-2</v>
      </c>
      <c r="W58" s="51">
        <v>2.4886274646732515E-2</v>
      </c>
      <c r="X58" s="51">
        <v>2.463741190026519E-2</v>
      </c>
      <c r="Y58" s="51">
        <v>2.4391037781262538E-2</v>
      </c>
      <c r="Z58" s="51">
        <v>2.4147127403449913E-2</v>
      </c>
      <c r="AA58" s="51">
        <v>2.3905656129415413E-2</v>
      </c>
      <c r="AB58" s="51">
        <v>2.3666599568121258E-2</v>
      </c>
      <c r="AC58" s="51">
        <v>2.3429933572440047E-2</v>
      </c>
      <c r="AD58" s="51">
        <v>2.3195634236715647E-2</v>
      </c>
      <c r="AE58" s="51">
        <v>2.2963677894348489E-2</v>
      </c>
      <c r="AF58" s="51">
        <v>2.2734041115405005E-2</v>
      </c>
      <c r="AG58" s="51">
        <v>2.2506700704250954E-2</v>
      </c>
      <c r="AH58" s="51">
        <v>2.2281633697208442E-2</v>
      </c>
      <c r="AI58" s="51">
        <v>2.2058817360236356E-2</v>
      </c>
      <c r="AJ58" s="51">
        <v>2.1838229186633994E-2</v>
      </c>
      <c r="AK58" s="51">
        <v>2.1619846894767654E-2</v>
      </c>
      <c r="AL58" s="51">
        <v>2.1403648425819977E-2</v>
      </c>
      <c r="AM58" s="51">
        <v>2.1189611941561777E-2</v>
      </c>
      <c r="AN58" s="51">
        <v>2.0977715822146158E-2</v>
      </c>
      <c r="AO58" s="51">
        <v>2.0767938663924696E-2</v>
      </c>
      <c r="AP58" s="51">
        <v>2.0560259277285449E-2</v>
      </c>
      <c r="AQ58" s="51">
        <v>2.0354656684512595E-2</v>
      </c>
      <c r="AR58" s="51">
        <v>2.0151110117667469E-2</v>
      </c>
      <c r="AS58" s="51">
        <v>1.9949599016490793E-2</v>
      </c>
      <c r="AT58" s="51">
        <v>1.9750103026325884E-2</v>
      </c>
      <c r="AU58" s="51">
        <v>1.9552601996062624E-2</v>
      </c>
      <c r="AV58" s="51">
        <v>1.9357075976101999E-2</v>
      </c>
      <c r="AW58" s="51">
        <v>1.9163505216340981E-2</v>
      </c>
      <c r="AX58" s="51">
        <v>1.8971870164177569E-2</v>
      </c>
      <c r="AY58" s="51">
        <v>1.8782151462535795E-2</v>
      </c>
      <c r="AZ58" s="51">
        <v>1.8594329947910437E-2</v>
      </c>
      <c r="BA58" s="51">
        <v>1.8408386648431332E-2</v>
      </c>
      <c r="BB58" s="51">
        <v>1.8224302781947019E-2</v>
      </c>
      <c r="BC58" s="51">
        <v>1.8042059754127548E-2</v>
      </c>
      <c r="BD58" s="51">
        <v>1.7861639156586274E-2</v>
      </c>
      <c r="BE58" s="51">
        <v>1.7683022765020411E-2</v>
      </c>
      <c r="BF58" s="51">
        <v>1.7506192537370208E-2</v>
      </c>
      <c r="BG58" s="51">
        <v>1.7331130611996506E-2</v>
      </c>
      <c r="BH58" s="51">
        <v>1.7157819305876541E-2</v>
      </c>
      <c r="BI58" s="51">
        <v>1.6986241112817775E-2</v>
      </c>
      <c r="BJ58" s="51">
        <v>1.6816378701689599E-2</v>
      </c>
      <c r="BK58" s="51">
        <v>1.6648214914672704E-2</v>
      </c>
      <c r="BL58" s="51">
        <v>1.6481732765525975E-2</v>
      </c>
      <c r="BM58" s="51">
        <v>1.6316915437870717E-2</v>
      </c>
      <c r="BN58" s="51">
        <v>1.6153746283492008E-2</v>
      </c>
      <c r="BO58" s="51">
        <v>1.5992208820657088E-2</v>
      </c>
      <c r="BP58" s="51">
        <v>1.5832286732450518E-2</v>
      </c>
      <c r="BQ58" s="51">
        <v>1.5673963865126012E-2</v>
      </c>
      <c r="BR58" s="51">
        <v>1.5517224226474752E-2</v>
      </c>
      <c r="BS58" s="51">
        <v>1.5362051984210003E-2</v>
      </c>
      <c r="BT58" s="51">
        <v>1.5208431464367903E-2</v>
      </c>
      <c r="BU58" s="51">
        <v>1.5056347149724224E-2</v>
      </c>
      <c r="BV58" s="51">
        <v>1.4905783678226982E-2</v>
      </c>
      <c r="BW58" s="51">
        <v>1.4756725841444713E-2</v>
      </c>
      <c r="BX58" s="51">
        <v>1.4609158583030265E-2</v>
      </c>
      <c r="BY58" s="51">
        <v>1.4463066997199962E-2</v>
      </c>
      <c r="BZ58" s="51">
        <v>1.4318436327227962E-2</v>
      </c>
      <c r="CA58" s="51">
        <v>1.4175251963955682E-2</v>
      </c>
      <c r="CB58" s="51">
        <v>1.4033499444316125E-2</v>
      </c>
      <c r="CC58" s="51">
        <v>1.3893164449872963E-2</v>
      </c>
      <c r="CD58" s="51">
        <v>1.3754232805374232E-2</v>
      </c>
      <c r="CE58" s="51">
        <v>1.3616690477320489E-2</v>
      </c>
      <c r="CF58" s="51">
        <v>1.3480523572547285E-2</v>
      </c>
      <c r="CG58" s="51">
        <v>1.3345718336821813E-2</v>
      </c>
      <c r="CH58" s="51">
        <v>1.3212261153453595E-2</v>
      </c>
      <c r="CI58" s="51">
        <v>1.3080138541919058E-2</v>
      </c>
      <c r="CJ58" s="51">
        <v>1.2949337156499867E-2</v>
      </c>
      <c r="CK58" s="51">
        <v>1.2819843784934868E-2</v>
      </c>
      <c r="CL58" s="51">
        <v>1.269164534708552E-2</v>
      </c>
      <c r="CM58" s="51">
        <v>1.2564728893614664E-2</v>
      </c>
      <c r="CN58" s="51">
        <v>1.2439081604678517E-2</v>
      </c>
      <c r="CO58" s="51">
        <v>1.2314690788631731E-2</v>
      </c>
      <c r="CP58" s="51">
        <v>1.2191543880745413E-2</v>
      </c>
      <c r="CQ58" s="51">
        <v>1.2069628441937959E-2</v>
      </c>
      <c r="CR58" s="51">
        <v>1.1948932157518579E-2</v>
      </c>
      <c r="CS58" s="51">
        <v>1.1829442835943393E-2</v>
      </c>
      <c r="CT58" s="51">
        <v>1.1711148407583959E-2</v>
      </c>
      <c r="CU58" s="51">
        <v>1.1594036923508119E-2</v>
      </c>
      <c r="CV58" s="51">
        <v>1.1478096554273037E-2</v>
      </c>
      <c r="CW58" s="51">
        <v>1.1363315588730306E-2</v>
      </c>
      <c r="CX58" s="55">
        <v>1.1249682432843003E-2</v>
      </c>
      <c r="CY58" s="53">
        <v>1.1137185608514573E-2</v>
      </c>
    </row>
    <row r="59" spans="1:103" ht="15.75">
      <c r="A59" s="54">
        <v>77</v>
      </c>
      <c r="B59" s="55">
        <v>3.2735E-2</v>
      </c>
      <c r="C59" s="55">
        <v>3.2466572999999999E-2</v>
      </c>
      <c r="D59" s="55">
        <v>3.2197100444099999E-2</v>
      </c>
      <c r="E59" s="55">
        <v>3.192986451041397E-2</v>
      </c>
      <c r="F59" s="55">
        <v>3.1664846634977532E-2</v>
      </c>
      <c r="G59" s="55">
        <v>3.1405194892570716E-2</v>
      </c>
      <c r="H59" s="55">
        <v>3.1150812813940894E-2</v>
      </c>
      <c r="I59" s="55">
        <v>3.0904721392710759E-2</v>
      </c>
      <c r="J59" s="55">
        <v>3.0666755037986885E-2</v>
      </c>
      <c r="K59" s="55">
        <v>3.0436754375201984E-2</v>
      </c>
      <c r="L59" s="55">
        <v>3.0211522392825492E-2</v>
      </c>
      <c r="M59" s="55">
        <v>2.9990978279357868E-2</v>
      </c>
      <c r="N59" s="55">
        <v>2.9766045942262686E-2</v>
      </c>
      <c r="O59" s="55">
        <v>2.9536847388507263E-2</v>
      </c>
      <c r="P59" s="55">
        <v>2.9297598924660353E-2</v>
      </c>
      <c r="Q59" s="55">
        <v>2.904856933380074E-2</v>
      </c>
      <c r="R59" s="55">
        <v>2.8787132209796534E-2</v>
      </c>
      <c r="S59" s="55">
        <v>2.8516533167024447E-2</v>
      </c>
      <c r="T59" s="55">
        <v>2.8237071141987605E-2</v>
      </c>
      <c r="U59" s="51">
        <v>2.7957524137681926E-2</v>
      </c>
      <c r="V59" s="51">
        <v>2.7677948896305107E-2</v>
      </c>
      <c r="W59" s="51">
        <v>2.7401169407342055E-2</v>
      </c>
      <c r="X59" s="51">
        <v>2.7127157713268634E-2</v>
      </c>
      <c r="Y59" s="51">
        <v>2.6855886136135949E-2</v>
      </c>
      <c r="Z59" s="51">
        <v>2.6587327274774589E-2</v>
      </c>
      <c r="AA59" s="51">
        <v>2.6321454002026842E-2</v>
      </c>
      <c r="AB59" s="51">
        <v>2.6058239462006572E-2</v>
      </c>
      <c r="AC59" s="51">
        <v>2.5797657067386508E-2</v>
      </c>
      <c r="AD59" s="51">
        <v>2.5539680496712642E-2</v>
      </c>
      <c r="AE59" s="51">
        <v>2.5284283691745516E-2</v>
      </c>
      <c r="AF59" s="51">
        <v>2.5031440854828061E-2</v>
      </c>
      <c r="AG59" s="51">
        <v>2.4781126446279781E-2</v>
      </c>
      <c r="AH59" s="51">
        <v>2.4533315181816982E-2</v>
      </c>
      <c r="AI59" s="51">
        <v>2.4287982029998812E-2</v>
      </c>
      <c r="AJ59" s="51">
        <v>2.4045102209698823E-2</v>
      </c>
      <c r="AK59" s="51">
        <v>2.3804651187601833E-2</v>
      </c>
      <c r="AL59" s="51">
        <v>2.3566604675725814E-2</v>
      </c>
      <c r="AM59" s="51">
        <v>2.3330938628968557E-2</v>
      </c>
      <c r="AN59" s="51">
        <v>2.3097629242678872E-2</v>
      </c>
      <c r="AO59" s="51">
        <v>2.2866652950252083E-2</v>
      </c>
      <c r="AP59" s="51">
        <v>2.2637986420749562E-2</v>
      </c>
      <c r="AQ59" s="51">
        <v>2.2411606556542066E-2</v>
      </c>
      <c r="AR59" s="51">
        <v>2.2187490490976645E-2</v>
      </c>
      <c r="AS59" s="51">
        <v>2.196561558606688E-2</v>
      </c>
      <c r="AT59" s="51">
        <v>2.174595943020621E-2</v>
      </c>
      <c r="AU59" s="51">
        <v>2.1528499835904148E-2</v>
      </c>
      <c r="AV59" s="51">
        <v>2.1313214837545107E-2</v>
      </c>
      <c r="AW59" s="51">
        <v>2.1100082689169655E-2</v>
      </c>
      <c r="AX59" s="51">
        <v>2.0889081862277958E-2</v>
      </c>
      <c r="AY59" s="51">
        <v>2.0680191043655177E-2</v>
      </c>
      <c r="AZ59" s="51">
        <v>2.0473389133218625E-2</v>
      </c>
      <c r="BA59" s="51">
        <v>2.0268655241886438E-2</v>
      </c>
      <c r="BB59" s="51">
        <v>2.0065968689467573E-2</v>
      </c>
      <c r="BC59" s="51">
        <v>1.9865309002572898E-2</v>
      </c>
      <c r="BD59" s="51">
        <v>1.9666655912547168E-2</v>
      </c>
      <c r="BE59" s="51">
        <v>1.9469989353421695E-2</v>
      </c>
      <c r="BF59" s="51">
        <v>1.9275289459887476E-2</v>
      </c>
      <c r="BG59" s="51">
        <v>1.9082536565288601E-2</v>
      </c>
      <c r="BH59" s="51">
        <v>1.8891711199635716E-2</v>
      </c>
      <c r="BI59" s="51">
        <v>1.8702794087639359E-2</v>
      </c>
      <c r="BJ59" s="51">
        <v>1.8515766146762966E-2</v>
      </c>
      <c r="BK59" s="51">
        <v>1.8330608485295337E-2</v>
      </c>
      <c r="BL59" s="51">
        <v>1.8147302400442385E-2</v>
      </c>
      <c r="BM59" s="51">
        <v>1.796582937643796E-2</v>
      </c>
      <c r="BN59" s="51">
        <v>1.778617108267358E-2</v>
      </c>
      <c r="BO59" s="51">
        <v>1.7608309371846844E-2</v>
      </c>
      <c r="BP59" s="51">
        <v>1.7432226278128377E-2</v>
      </c>
      <c r="BQ59" s="51">
        <v>1.7257904015347093E-2</v>
      </c>
      <c r="BR59" s="51">
        <v>1.7085324975193623E-2</v>
      </c>
      <c r="BS59" s="51">
        <v>1.6914471725441686E-2</v>
      </c>
      <c r="BT59" s="51">
        <v>1.6745327008187268E-2</v>
      </c>
      <c r="BU59" s="51">
        <v>1.6577873738105396E-2</v>
      </c>
      <c r="BV59" s="51">
        <v>1.6412095000724342E-2</v>
      </c>
      <c r="BW59" s="51">
        <v>1.6247974050717099E-2</v>
      </c>
      <c r="BX59" s="51">
        <v>1.6085494310209929E-2</v>
      </c>
      <c r="BY59" s="51">
        <v>1.5924639367107831E-2</v>
      </c>
      <c r="BZ59" s="51">
        <v>1.5765392973436751E-2</v>
      </c>
      <c r="CA59" s="51">
        <v>1.5607739043702383E-2</v>
      </c>
      <c r="CB59" s="51">
        <v>1.5451661653265359E-2</v>
      </c>
      <c r="CC59" s="51">
        <v>1.5297145036732705E-2</v>
      </c>
      <c r="CD59" s="51">
        <v>1.5144173586365378E-2</v>
      </c>
      <c r="CE59" s="51">
        <v>1.4992731850501725E-2</v>
      </c>
      <c r="CF59" s="51">
        <v>1.4842804531996708E-2</v>
      </c>
      <c r="CG59" s="51">
        <v>1.4694376486676741E-2</v>
      </c>
      <c r="CH59" s="51">
        <v>1.4547432721809974E-2</v>
      </c>
      <c r="CI59" s="51">
        <v>1.4401958394591874E-2</v>
      </c>
      <c r="CJ59" s="51">
        <v>1.4257938810645956E-2</v>
      </c>
      <c r="CK59" s="51">
        <v>1.4115359422539496E-2</v>
      </c>
      <c r="CL59" s="51">
        <v>1.3974205828314101E-2</v>
      </c>
      <c r="CM59" s="51">
        <v>1.3834463770030961E-2</v>
      </c>
      <c r="CN59" s="51">
        <v>1.3696119132330651E-2</v>
      </c>
      <c r="CO59" s="51">
        <v>1.3559157941007345E-2</v>
      </c>
      <c r="CP59" s="51">
        <v>1.3423566361597273E-2</v>
      </c>
      <c r="CQ59" s="51">
        <v>1.32893306979813E-2</v>
      </c>
      <c r="CR59" s="51">
        <v>1.3156437391001486E-2</v>
      </c>
      <c r="CS59" s="51">
        <v>1.3024873017091472E-2</v>
      </c>
      <c r="CT59" s="51">
        <v>1.2894624286920557E-2</v>
      </c>
      <c r="CU59" s="51">
        <v>1.2765678044051352E-2</v>
      </c>
      <c r="CV59" s="51">
        <v>1.2638021263610839E-2</v>
      </c>
      <c r="CW59" s="51">
        <v>1.251164105097473E-2</v>
      </c>
      <c r="CX59" s="55">
        <v>1.2386524640464983E-2</v>
      </c>
      <c r="CY59" s="53">
        <v>1.2262659394060333E-2</v>
      </c>
    </row>
    <row r="60" spans="1:103" ht="15.75">
      <c r="A60" s="54">
        <v>78</v>
      </c>
      <c r="B60" s="55">
        <v>3.6257999999999999E-2</v>
      </c>
      <c r="C60" s="55">
        <v>3.5960684399999998E-2</v>
      </c>
      <c r="D60" s="55">
        <v>3.5665806787920001E-2</v>
      </c>
      <c r="E60" s="55">
        <v>3.5369780591580267E-2</v>
      </c>
      <c r="F60" s="55">
        <v>3.5072674434610991E-2</v>
      </c>
      <c r="G60" s="55">
        <v>3.4778063969360257E-2</v>
      </c>
      <c r="H60" s="55">
        <v>3.4485928232017633E-2</v>
      </c>
      <c r="I60" s="55">
        <v>3.4199695027691886E-2</v>
      </c>
      <c r="J60" s="55">
        <v>3.3919257528464815E-2</v>
      </c>
      <c r="K60" s="55">
        <v>3.3647903468237095E-2</v>
      </c>
      <c r="L60" s="55">
        <v>3.3382085030838018E-2</v>
      </c>
      <c r="M60" s="55">
        <v>3.312170476759748E-2</v>
      </c>
      <c r="N60" s="55">
        <v>3.2863355470410222E-2</v>
      </c>
      <c r="O60" s="55">
        <v>3.260044862664694E-2</v>
      </c>
      <c r="P60" s="55">
        <v>3.2333124947908437E-2</v>
      </c>
      <c r="Q60" s="55">
        <v>3.2055060073356421E-2</v>
      </c>
      <c r="R60" s="55">
        <v>3.1766564532696211E-2</v>
      </c>
      <c r="S60" s="55">
        <v>3.1467958826088868E-2</v>
      </c>
      <c r="T60" s="55">
        <v>3.1162719625475805E-2</v>
      </c>
      <c r="U60" s="51">
        <v>3.0854208701183595E-2</v>
      </c>
      <c r="V60" s="51">
        <v>3.0545666614171758E-2</v>
      </c>
      <c r="W60" s="51">
        <v>3.024020994803004E-2</v>
      </c>
      <c r="X60" s="51">
        <v>2.9937807848549741E-2</v>
      </c>
      <c r="Y60" s="51">
        <v>2.9638429770064242E-2</v>
      </c>
      <c r="Z60" s="51">
        <v>2.93420454723636E-2</v>
      </c>
      <c r="AA60" s="51">
        <v>2.9048625017639964E-2</v>
      </c>
      <c r="AB60" s="51">
        <v>2.8758138767463564E-2</v>
      </c>
      <c r="AC60" s="51">
        <v>2.8470557379788927E-2</v>
      </c>
      <c r="AD60" s="51">
        <v>2.8185851805991036E-2</v>
      </c>
      <c r="AE60" s="51">
        <v>2.7903993287931125E-2</v>
      </c>
      <c r="AF60" s="51">
        <v>2.7624953355051815E-2</v>
      </c>
      <c r="AG60" s="51">
        <v>2.7348703821501296E-2</v>
      </c>
      <c r="AH60" s="51">
        <v>2.7075216783286282E-2</v>
      </c>
      <c r="AI60" s="51">
        <v>2.6804464615453417E-2</v>
      </c>
      <c r="AJ60" s="51">
        <v>2.6536419969298883E-2</v>
      </c>
      <c r="AK60" s="51">
        <v>2.6271055769605894E-2</v>
      </c>
      <c r="AL60" s="51">
        <v>2.6008345211909836E-2</v>
      </c>
      <c r="AM60" s="51">
        <v>2.5748261759790739E-2</v>
      </c>
      <c r="AN60" s="51">
        <v>2.5490779142192832E-2</v>
      </c>
      <c r="AO60" s="51">
        <v>2.5235871350770902E-2</v>
      </c>
      <c r="AP60" s="51">
        <v>2.4983512637263193E-2</v>
      </c>
      <c r="AQ60" s="51">
        <v>2.4733677510890562E-2</v>
      </c>
      <c r="AR60" s="51">
        <v>2.4486340735781657E-2</v>
      </c>
      <c r="AS60" s="51">
        <v>2.4241477328423841E-2</v>
      </c>
      <c r="AT60" s="51">
        <v>2.3999062555139603E-2</v>
      </c>
      <c r="AU60" s="51">
        <v>2.3759071929588205E-2</v>
      </c>
      <c r="AV60" s="51">
        <v>2.3521481210292322E-2</v>
      </c>
      <c r="AW60" s="51">
        <v>2.3286266398189398E-2</v>
      </c>
      <c r="AX60" s="51">
        <v>2.3053403734207504E-2</v>
      </c>
      <c r="AY60" s="51">
        <v>2.2822869696865429E-2</v>
      </c>
      <c r="AZ60" s="51">
        <v>2.2594640999896776E-2</v>
      </c>
      <c r="BA60" s="51">
        <v>2.2368694589897809E-2</v>
      </c>
      <c r="BB60" s="51">
        <v>2.2145007643998831E-2</v>
      </c>
      <c r="BC60" s="51">
        <v>2.1923557567558843E-2</v>
      </c>
      <c r="BD60" s="51">
        <v>2.1704321991883255E-2</v>
      </c>
      <c r="BE60" s="51">
        <v>2.1487278771964421E-2</v>
      </c>
      <c r="BF60" s="51">
        <v>2.1272405984244777E-2</v>
      </c>
      <c r="BG60" s="51">
        <v>2.1059681924402329E-2</v>
      </c>
      <c r="BH60" s="51">
        <v>2.0849085105158306E-2</v>
      </c>
      <c r="BI60" s="51">
        <v>2.0640594254106723E-2</v>
      </c>
      <c r="BJ60" s="51">
        <v>2.0434188311565658E-2</v>
      </c>
      <c r="BK60" s="51">
        <v>2.022984642845E-2</v>
      </c>
      <c r="BL60" s="51">
        <v>2.0027547964165501E-2</v>
      </c>
      <c r="BM60" s="51">
        <v>1.9827272484523845E-2</v>
      </c>
      <c r="BN60" s="51">
        <v>1.9628999759678606E-2</v>
      </c>
      <c r="BO60" s="51">
        <v>1.9432709762081821E-2</v>
      </c>
      <c r="BP60" s="51">
        <v>1.9238382664461002E-2</v>
      </c>
      <c r="BQ60" s="51">
        <v>1.9045998837816391E-2</v>
      </c>
      <c r="BR60" s="51">
        <v>1.8855538849438226E-2</v>
      </c>
      <c r="BS60" s="51">
        <v>1.8666983460943844E-2</v>
      </c>
      <c r="BT60" s="51">
        <v>1.8480313626334406E-2</v>
      </c>
      <c r="BU60" s="51">
        <v>1.8295510490071061E-2</v>
      </c>
      <c r="BV60" s="51">
        <v>1.8112555385170349E-2</v>
      </c>
      <c r="BW60" s="51">
        <v>1.7931429831318645E-2</v>
      </c>
      <c r="BX60" s="51">
        <v>1.7752115533005458E-2</v>
      </c>
      <c r="BY60" s="51">
        <v>1.7574594377675404E-2</v>
      </c>
      <c r="BZ60" s="51">
        <v>1.7398848433898651E-2</v>
      </c>
      <c r="CA60" s="51">
        <v>1.7224859949559666E-2</v>
      </c>
      <c r="CB60" s="51">
        <v>1.705261135006407E-2</v>
      </c>
      <c r="CC60" s="51">
        <v>1.688208523656343E-2</v>
      </c>
      <c r="CD60" s="51">
        <v>1.6713264384197797E-2</v>
      </c>
      <c r="CE60" s="51">
        <v>1.654613174035582E-2</v>
      </c>
      <c r="CF60" s="51">
        <v>1.6380670422952263E-2</v>
      </c>
      <c r="CG60" s="51">
        <v>1.6216863718722739E-2</v>
      </c>
      <c r="CH60" s="51">
        <v>1.6054695081535512E-2</v>
      </c>
      <c r="CI60" s="51">
        <v>1.5894148130720157E-2</v>
      </c>
      <c r="CJ60" s="51">
        <v>1.5735206649412956E-2</v>
      </c>
      <c r="CK60" s="51">
        <v>1.5577854582918826E-2</v>
      </c>
      <c r="CL60" s="51">
        <v>1.5422076037089638E-2</v>
      </c>
      <c r="CM60" s="51">
        <v>1.5267855276718742E-2</v>
      </c>
      <c r="CN60" s="51">
        <v>1.5115176723951554E-2</v>
      </c>
      <c r="CO60" s="51">
        <v>1.4964024956712039E-2</v>
      </c>
      <c r="CP60" s="51">
        <v>1.4814384707144919E-2</v>
      </c>
      <c r="CQ60" s="51">
        <v>1.466624086007347E-2</v>
      </c>
      <c r="CR60" s="51">
        <v>1.4519578451472734E-2</v>
      </c>
      <c r="CS60" s="51">
        <v>1.4374382666958006E-2</v>
      </c>
      <c r="CT60" s="51">
        <v>1.4230638840288426E-2</v>
      </c>
      <c r="CU60" s="51">
        <v>1.4088332451885541E-2</v>
      </c>
      <c r="CV60" s="51">
        <v>1.3947449127366686E-2</v>
      </c>
      <c r="CW60" s="51">
        <v>1.3807974636093019E-2</v>
      </c>
      <c r="CX60" s="55">
        <v>1.3669894889732088E-2</v>
      </c>
      <c r="CY60" s="53">
        <v>1.3533195940834767E-2</v>
      </c>
    </row>
    <row r="61" spans="1:103" ht="15.75">
      <c r="A61" s="54">
        <v>79</v>
      </c>
      <c r="B61" s="55">
        <v>4.0231999999999997E-2</v>
      </c>
      <c r="C61" s="55">
        <v>3.9910143999999995E-2</v>
      </c>
      <c r="D61" s="55">
        <v>3.9582880819199993E-2</v>
      </c>
      <c r="E61" s="55">
        <v>3.9254342908400637E-2</v>
      </c>
      <c r="F61" s="55">
        <v>3.8924606427970077E-2</v>
      </c>
      <c r="G61" s="55">
        <v>3.8593747273332334E-2</v>
      </c>
      <c r="H61" s="55">
        <v>3.8261841046781674E-2</v>
      </c>
      <c r="I61" s="55">
        <v>3.793278921377935E-2</v>
      </c>
      <c r="J61" s="55">
        <v>3.761036050546223E-2</v>
      </c>
      <c r="K61" s="55">
        <v>3.7294433477216352E-2</v>
      </c>
      <c r="L61" s="55">
        <v>3.6984889679355454E-2</v>
      </c>
      <c r="M61" s="55">
        <v>3.6685312072952676E-2</v>
      </c>
      <c r="N61" s="55">
        <v>3.6388161045161758E-2</v>
      </c>
      <c r="O61" s="55">
        <v>3.608977812459143E-2</v>
      </c>
      <c r="P61" s="55">
        <v>3.5786623988344861E-2</v>
      </c>
      <c r="Q61" s="55">
        <v>3.5475280359646262E-2</v>
      </c>
      <c r="R61" s="55">
        <v>3.5152455308373479E-2</v>
      </c>
      <c r="S61" s="55">
        <v>3.4822022228474768E-2</v>
      </c>
      <c r="T61" s="55">
        <v>3.4484248612858565E-2</v>
      </c>
      <c r="U61" s="51">
        <v>3.4142854551591266E-2</v>
      </c>
      <c r="V61" s="51">
        <v>3.3801426006075351E-2</v>
      </c>
      <c r="W61" s="51">
        <v>3.3463411746014596E-2</v>
      </c>
      <c r="X61" s="51">
        <v>3.312877762855445E-2</v>
      </c>
      <c r="Y61" s="51">
        <v>3.2797489852268907E-2</v>
      </c>
      <c r="Z61" s="51">
        <v>3.2469514953746219E-2</v>
      </c>
      <c r="AA61" s="51">
        <v>3.2144819804208753E-2</v>
      </c>
      <c r="AB61" s="51">
        <v>3.1823371606166669E-2</v>
      </c>
      <c r="AC61" s="51">
        <v>3.1505137890104999E-2</v>
      </c>
      <c r="AD61" s="51">
        <v>3.119008651120395E-2</v>
      </c>
      <c r="AE61" s="51">
        <v>3.0878185646091908E-2</v>
      </c>
      <c r="AF61" s="51">
        <v>3.0569403789630988E-2</v>
      </c>
      <c r="AG61" s="51">
        <v>3.0263709751734678E-2</v>
      </c>
      <c r="AH61" s="51">
        <v>2.9961072654217331E-2</v>
      </c>
      <c r="AI61" s="51">
        <v>2.9661461927675159E-2</v>
      </c>
      <c r="AJ61" s="51">
        <v>2.9364847308398407E-2</v>
      </c>
      <c r="AK61" s="51">
        <v>2.9071198835314421E-2</v>
      </c>
      <c r="AL61" s="51">
        <v>2.8780486846961276E-2</v>
      </c>
      <c r="AM61" s="51">
        <v>2.8492681978491665E-2</v>
      </c>
      <c r="AN61" s="51">
        <v>2.8207755158706747E-2</v>
      </c>
      <c r="AO61" s="51">
        <v>2.792567760711968E-2</v>
      </c>
      <c r="AP61" s="51">
        <v>2.7646420831048485E-2</v>
      </c>
      <c r="AQ61" s="51">
        <v>2.7369956622738001E-2</v>
      </c>
      <c r="AR61" s="51">
        <v>2.7096257056510621E-2</v>
      </c>
      <c r="AS61" s="51">
        <v>2.6825294485945516E-2</v>
      </c>
      <c r="AT61" s="51">
        <v>2.6557041541086061E-2</v>
      </c>
      <c r="AU61" s="51">
        <v>2.62914711256752E-2</v>
      </c>
      <c r="AV61" s="51">
        <v>2.6028556414418449E-2</v>
      </c>
      <c r="AW61" s="51">
        <v>2.5768270850274264E-2</v>
      </c>
      <c r="AX61" s="51">
        <v>2.5510588141771522E-2</v>
      </c>
      <c r="AY61" s="51">
        <v>2.5255482260353807E-2</v>
      </c>
      <c r="AZ61" s="51">
        <v>2.5002927437750268E-2</v>
      </c>
      <c r="BA61" s="51">
        <v>2.4752898163372766E-2</v>
      </c>
      <c r="BB61" s="51">
        <v>2.4505369181739036E-2</v>
      </c>
      <c r="BC61" s="51">
        <v>2.4260315489921646E-2</v>
      </c>
      <c r="BD61" s="51">
        <v>2.401771233502243E-2</v>
      </c>
      <c r="BE61" s="51">
        <v>2.3777535211672206E-2</v>
      </c>
      <c r="BF61" s="51">
        <v>2.3539759859555483E-2</v>
      </c>
      <c r="BG61" s="51">
        <v>2.3304362260959929E-2</v>
      </c>
      <c r="BH61" s="51">
        <v>2.3071318638350331E-2</v>
      </c>
      <c r="BI61" s="51">
        <v>2.2840605451966828E-2</v>
      </c>
      <c r="BJ61" s="51">
        <v>2.2612199397447161E-2</v>
      </c>
      <c r="BK61" s="51">
        <v>2.238607740347269E-2</v>
      </c>
      <c r="BL61" s="51">
        <v>2.2162216629437962E-2</v>
      </c>
      <c r="BM61" s="51">
        <v>2.1940594463143583E-2</v>
      </c>
      <c r="BN61" s="51">
        <v>2.1721188518512149E-2</v>
      </c>
      <c r="BO61" s="51">
        <v>2.1503976633327027E-2</v>
      </c>
      <c r="BP61" s="51">
        <v>2.1288936866993756E-2</v>
      </c>
      <c r="BQ61" s="51">
        <v>2.1076047498323817E-2</v>
      </c>
      <c r="BR61" s="51">
        <v>2.0865287023340579E-2</v>
      </c>
      <c r="BS61" s="51">
        <v>2.0656634153107173E-2</v>
      </c>
      <c r="BT61" s="51">
        <v>2.04500678115761E-2</v>
      </c>
      <c r="BU61" s="51">
        <v>2.0245567133460339E-2</v>
      </c>
      <c r="BV61" s="51">
        <v>2.0043111462125736E-2</v>
      </c>
      <c r="BW61" s="51">
        <v>1.9842680347504478E-2</v>
      </c>
      <c r="BX61" s="51">
        <v>1.9644253544029433E-2</v>
      </c>
      <c r="BY61" s="51">
        <v>1.9447811008589139E-2</v>
      </c>
      <c r="BZ61" s="51">
        <v>1.9253332898503246E-2</v>
      </c>
      <c r="CA61" s="51">
        <v>1.9060799569518214E-2</v>
      </c>
      <c r="CB61" s="51">
        <v>1.8870191573823032E-2</v>
      </c>
      <c r="CC61" s="51">
        <v>1.8681489658084801E-2</v>
      </c>
      <c r="CD61" s="51">
        <v>1.8494674761503953E-2</v>
      </c>
      <c r="CE61" s="51">
        <v>1.8309728013888912E-2</v>
      </c>
      <c r="CF61" s="51">
        <v>1.8126630733750024E-2</v>
      </c>
      <c r="CG61" s="51">
        <v>1.7945364426412522E-2</v>
      </c>
      <c r="CH61" s="51">
        <v>1.7765910782148397E-2</v>
      </c>
      <c r="CI61" s="51">
        <v>1.7588251674326913E-2</v>
      </c>
      <c r="CJ61" s="51">
        <v>1.7412369157583645E-2</v>
      </c>
      <c r="CK61" s="51">
        <v>1.7238245466007808E-2</v>
      </c>
      <c r="CL61" s="51">
        <v>1.7065863011347729E-2</v>
      </c>
      <c r="CM61" s="51">
        <v>1.6895204381234253E-2</v>
      </c>
      <c r="CN61" s="51">
        <v>1.672625233742191E-2</v>
      </c>
      <c r="CO61" s="51">
        <v>1.655898981404769E-2</v>
      </c>
      <c r="CP61" s="51">
        <v>1.6393399915907214E-2</v>
      </c>
      <c r="CQ61" s="51">
        <v>1.6229465916748141E-2</v>
      </c>
      <c r="CR61" s="51">
        <v>1.606717125758066E-2</v>
      </c>
      <c r="CS61" s="51">
        <v>1.5906499545004855E-2</v>
      </c>
      <c r="CT61" s="51">
        <v>1.5747434549554806E-2</v>
      </c>
      <c r="CU61" s="51">
        <v>1.5589960204059257E-2</v>
      </c>
      <c r="CV61" s="51">
        <v>1.5434060602018665E-2</v>
      </c>
      <c r="CW61" s="51">
        <v>1.5279719995998479E-2</v>
      </c>
      <c r="CX61" s="55">
        <v>1.5126922796038493E-2</v>
      </c>
      <c r="CY61" s="53">
        <v>1.4975653568078107E-2</v>
      </c>
    </row>
    <row r="62" spans="1:103" ht="15.75">
      <c r="A62" s="54">
        <v>80</v>
      </c>
      <c r="B62" s="55">
        <v>4.4721999999999998E-2</v>
      </c>
      <c r="C62" s="55">
        <v>4.4368696199999995E-2</v>
      </c>
      <c r="D62" s="55">
        <v>4.4013746630399996E-2</v>
      </c>
      <c r="E62" s="55">
        <v>4.3652833908030715E-2</v>
      </c>
      <c r="F62" s="55">
        <v>4.3286150103203261E-2</v>
      </c>
      <c r="G62" s="55">
        <v>4.291388921231571E-2</v>
      </c>
      <c r="H62" s="55">
        <v>4.2540538376168564E-2</v>
      </c>
      <c r="I62" s="55">
        <v>4.2166181638458276E-2</v>
      </c>
      <c r="J62" s="55">
        <v>4.1795119240039841E-2</v>
      </c>
      <c r="K62" s="55">
        <v>4.1431501702651495E-2</v>
      </c>
      <c r="L62" s="55">
        <v>4.1075190788008691E-2</v>
      </c>
      <c r="M62" s="55">
        <v>4.0726051666310617E-2</v>
      </c>
      <c r="N62" s="55">
        <v>4.0383952832313608E-2</v>
      </c>
      <c r="O62" s="55">
        <v>4.0040689233238946E-2</v>
      </c>
      <c r="P62" s="55">
        <v>3.9696339305833092E-2</v>
      </c>
      <c r="Q62" s="55">
        <v>3.9343041886011176E-2</v>
      </c>
      <c r="R62" s="55">
        <v>3.8985020204848474E-2</v>
      </c>
      <c r="S62" s="55">
        <v>3.8614662512902416E-2</v>
      </c>
      <c r="T62" s="55">
        <v>3.8240100286527259E-2</v>
      </c>
      <c r="U62" s="51">
        <v>3.7861523293690635E-2</v>
      </c>
      <c r="V62" s="51">
        <v>3.7482908060753731E-2</v>
      </c>
      <c r="W62" s="51">
        <v>3.7108078980146196E-2</v>
      </c>
      <c r="X62" s="51">
        <v>3.6736998190344733E-2</v>
      </c>
      <c r="Y62" s="51">
        <v>3.6369628208441286E-2</v>
      </c>
      <c r="Z62" s="51">
        <v>3.6005931926356871E-2</v>
      </c>
      <c r="AA62" s="51">
        <v>3.5645872607093301E-2</v>
      </c>
      <c r="AB62" s="51">
        <v>3.5289413881022365E-2</v>
      </c>
      <c r="AC62" s="51">
        <v>3.4936519742212138E-2</v>
      </c>
      <c r="AD62" s="51">
        <v>3.4587154544790014E-2</v>
      </c>
      <c r="AE62" s="51">
        <v>3.4241282999342114E-2</v>
      </c>
      <c r="AF62" s="51">
        <v>3.3898870169348692E-2</v>
      </c>
      <c r="AG62" s="51">
        <v>3.3559881467655206E-2</v>
      </c>
      <c r="AH62" s="51">
        <v>3.3224282652978651E-2</v>
      </c>
      <c r="AI62" s="51">
        <v>3.2892039826448866E-2</v>
      </c>
      <c r="AJ62" s="51">
        <v>3.2563119428184378E-2</v>
      </c>
      <c r="AK62" s="51">
        <v>3.2237488233902531E-2</v>
      </c>
      <c r="AL62" s="51">
        <v>3.1915113351563502E-2</v>
      </c>
      <c r="AM62" s="51">
        <v>3.159596221804787E-2</v>
      </c>
      <c r="AN62" s="51">
        <v>3.1280002595867391E-2</v>
      </c>
      <c r="AO62" s="51">
        <v>3.0967202569908717E-2</v>
      </c>
      <c r="AP62" s="51">
        <v>3.0657530544209628E-2</v>
      </c>
      <c r="AQ62" s="51">
        <v>3.0350955238767532E-2</v>
      </c>
      <c r="AR62" s="51">
        <v>3.0047445686379858E-2</v>
      </c>
      <c r="AS62" s="51">
        <v>2.9746971229516059E-2</v>
      </c>
      <c r="AT62" s="51">
        <v>2.9449501517220898E-2</v>
      </c>
      <c r="AU62" s="51">
        <v>2.9155006502048688E-2</v>
      </c>
      <c r="AV62" s="51">
        <v>2.8863456437028201E-2</v>
      </c>
      <c r="AW62" s="51">
        <v>2.8574821872657918E-2</v>
      </c>
      <c r="AX62" s="51">
        <v>2.8289073653931338E-2</v>
      </c>
      <c r="AY62" s="51">
        <v>2.8006182917392024E-2</v>
      </c>
      <c r="AZ62" s="51">
        <v>2.7726121088218102E-2</v>
      </c>
      <c r="BA62" s="51">
        <v>2.7448859877335922E-2</v>
      </c>
      <c r="BB62" s="51">
        <v>2.7174371278562561E-2</v>
      </c>
      <c r="BC62" s="51">
        <v>2.6902627565776934E-2</v>
      </c>
      <c r="BD62" s="51">
        <v>2.6633601290119165E-2</v>
      </c>
      <c r="BE62" s="51">
        <v>2.6367265277217972E-2</v>
      </c>
      <c r="BF62" s="51">
        <v>2.6103592624445792E-2</v>
      </c>
      <c r="BG62" s="51">
        <v>2.5842556698201333E-2</v>
      </c>
      <c r="BH62" s="51">
        <v>2.558413113121932E-2</v>
      </c>
      <c r="BI62" s="51">
        <v>2.5328289819907125E-2</v>
      </c>
      <c r="BJ62" s="51">
        <v>2.5075006921708054E-2</v>
      </c>
      <c r="BK62" s="51">
        <v>2.4824256852490973E-2</v>
      </c>
      <c r="BL62" s="51">
        <v>2.4576014283966063E-2</v>
      </c>
      <c r="BM62" s="51">
        <v>2.4330254141126401E-2</v>
      </c>
      <c r="BN62" s="51">
        <v>2.4086951599715137E-2</v>
      </c>
      <c r="BO62" s="51">
        <v>2.3846082083717985E-2</v>
      </c>
      <c r="BP62" s="51">
        <v>2.3607621262880806E-2</v>
      </c>
      <c r="BQ62" s="51">
        <v>2.3371545050251998E-2</v>
      </c>
      <c r="BR62" s="51">
        <v>2.3137829599749478E-2</v>
      </c>
      <c r="BS62" s="51">
        <v>2.2906451303751983E-2</v>
      </c>
      <c r="BT62" s="51">
        <v>2.2677386790714463E-2</v>
      </c>
      <c r="BU62" s="51">
        <v>2.2450612922807318E-2</v>
      </c>
      <c r="BV62" s="51">
        <v>2.2226106793579246E-2</v>
      </c>
      <c r="BW62" s="51">
        <v>2.2003845725643453E-2</v>
      </c>
      <c r="BX62" s="51">
        <v>2.1783807268387016E-2</v>
      </c>
      <c r="BY62" s="51">
        <v>2.1565969195703145E-2</v>
      </c>
      <c r="BZ62" s="51">
        <v>2.1350309503746112E-2</v>
      </c>
      <c r="CA62" s="51">
        <v>2.1136806408708651E-2</v>
      </c>
      <c r="CB62" s="51">
        <v>2.0925438344621565E-2</v>
      </c>
      <c r="CC62" s="51">
        <v>2.071618396117535E-2</v>
      </c>
      <c r="CD62" s="51">
        <v>2.0509022121563598E-2</v>
      </c>
      <c r="CE62" s="51">
        <v>2.030393190034796E-2</v>
      </c>
      <c r="CF62" s="51">
        <v>2.0100892581344482E-2</v>
      </c>
      <c r="CG62" s="51">
        <v>1.9899883655531036E-2</v>
      </c>
      <c r="CH62" s="51">
        <v>1.9700884818975726E-2</v>
      </c>
      <c r="CI62" s="51">
        <v>1.9503875970785969E-2</v>
      </c>
      <c r="CJ62" s="51">
        <v>1.9308837211078109E-2</v>
      </c>
      <c r="CK62" s="51">
        <v>1.9115748838967328E-2</v>
      </c>
      <c r="CL62" s="51">
        <v>1.8924591350577655E-2</v>
      </c>
      <c r="CM62" s="51">
        <v>1.8735345437071879E-2</v>
      </c>
      <c r="CN62" s="51">
        <v>1.854799198270116E-2</v>
      </c>
      <c r="CO62" s="51">
        <v>1.8362512062874148E-2</v>
      </c>
      <c r="CP62" s="51">
        <v>1.8178886942245405E-2</v>
      </c>
      <c r="CQ62" s="51">
        <v>1.7997098072822952E-2</v>
      </c>
      <c r="CR62" s="51">
        <v>1.7817127092094723E-2</v>
      </c>
      <c r="CS62" s="51">
        <v>1.7638955821173776E-2</v>
      </c>
      <c r="CT62" s="51">
        <v>1.746256626296204E-2</v>
      </c>
      <c r="CU62" s="51">
        <v>1.7287940600332421E-2</v>
      </c>
      <c r="CV62" s="51">
        <v>1.7115061194329095E-2</v>
      </c>
      <c r="CW62" s="51">
        <v>1.6943910582385806E-2</v>
      </c>
      <c r="CX62" s="55">
        <v>1.6774471476561949E-2</v>
      </c>
      <c r="CY62" s="53">
        <v>1.660672676179633E-2</v>
      </c>
    </row>
    <row r="63" spans="1:103" ht="15.75">
      <c r="A63" s="54">
        <v>81</v>
      </c>
      <c r="B63" s="55">
        <v>4.9794999999999999E-2</v>
      </c>
      <c r="C63" s="55">
        <v>4.9411578499999997E-2</v>
      </c>
      <c r="D63" s="55">
        <v>4.9021227029849998E-2</v>
      </c>
      <c r="E63" s="55">
        <v>4.8624155090908214E-2</v>
      </c>
      <c r="F63" s="55">
        <v>4.8220574603653678E-2</v>
      </c>
      <c r="G63" s="55">
        <v>4.7810699719522627E-2</v>
      </c>
      <c r="H63" s="55">
        <v>4.7394746631962775E-2</v>
      </c>
      <c r="I63" s="55">
        <v>4.6977672861601504E-2</v>
      </c>
      <c r="J63" s="55">
        <v>4.655957157313325E-2</v>
      </c>
      <c r="K63" s="55">
        <v>4.6145191386132364E-2</v>
      </c>
      <c r="L63" s="55">
        <v>4.5739113701934397E-2</v>
      </c>
      <c r="M63" s="55">
        <v>4.5341183412727568E-2</v>
      </c>
      <c r="N63" s="55">
        <v>4.4946715117036837E-2</v>
      </c>
      <c r="O63" s="55">
        <v>4.4555678695518616E-2</v>
      </c>
      <c r="P63" s="55">
        <v>4.4163588722998054E-2</v>
      </c>
      <c r="Q63" s="55">
        <v>4.3766116424491068E-2</v>
      </c>
      <c r="R63" s="55">
        <v>4.3363468153385751E-2</v>
      </c>
      <c r="S63" s="55">
        <v>4.2951515205928589E-2</v>
      </c>
      <c r="T63" s="55">
        <v>4.2534885508431083E-2</v>
      </c>
      <c r="U63" s="51">
        <v>4.2113790141897617E-2</v>
      </c>
      <c r="V63" s="51">
        <v>4.1692652240478641E-2</v>
      </c>
      <c r="W63" s="51">
        <v>4.1275725718073857E-2</v>
      </c>
      <c r="X63" s="51">
        <v>4.0862968460893115E-2</v>
      </c>
      <c r="Y63" s="51">
        <v>4.0454338776284182E-2</v>
      </c>
      <c r="Z63" s="51">
        <v>4.0049795388521339E-2</v>
      </c>
      <c r="AA63" s="51">
        <v>3.9649297434636126E-2</v>
      </c>
      <c r="AB63" s="51">
        <v>3.9252804460289767E-2</v>
      </c>
      <c r="AC63" s="51">
        <v>3.8860276415686866E-2</v>
      </c>
      <c r="AD63" s="51">
        <v>3.8471673651529995E-2</v>
      </c>
      <c r="AE63" s="51">
        <v>3.8086956915014694E-2</v>
      </c>
      <c r="AF63" s="51">
        <v>3.7706087345864545E-2</v>
      </c>
      <c r="AG63" s="51">
        <v>3.73290264724059E-2</v>
      </c>
      <c r="AH63" s="51">
        <v>3.695573620768184E-2</v>
      </c>
      <c r="AI63" s="51">
        <v>3.658617884560502E-2</v>
      </c>
      <c r="AJ63" s="51">
        <v>3.6220317057148968E-2</v>
      </c>
      <c r="AK63" s="51">
        <v>3.5858113886577475E-2</v>
      </c>
      <c r="AL63" s="51">
        <v>3.5499532747711698E-2</v>
      </c>
      <c r="AM63" s="51">
        <v>3.514453742023458E-2</v>
      </c>
      <c r="AN63" s="51">
        <v>3.4793092046032231E-2</v>
      </c>
      <c r="AO63" s="51">
        <v>3.4445161125571909E-2</v>
      </c>
      <c r="AP63" s="51">
        <v>3.4100709514316187E-2</v>
      </c>
      <c r="AQ63" s="51">
        <v>3.3759702419173025E-2</v>
      </c>
      <c r="AR63" s="51">
        <v>3.3422105394981291E-2</v>
      </c>
      <c r="AS63" s="51">
        <v>3.3087884341031479E-2</v>
      </c>
      <c r="AT63" s="51">
        <v>3.2757005497621165E-2</v>
      </c>
      <c r="AU63" s="51">
        <v>3.2429435442644955E-2</v>
      </c>
      <c r="AV63" s="51">
        <v>3.2105141088218506E-2</v>
      </c>
      <c r="AW63" s="51">
        <v>3.178408967733632E-2</v>
      </c>
      <c r="AX63" s="51">
        <v>3.1466248780562957E-2</v>
      </c>
      <c r="AY63" s="51">
        <v>3.1151586292757327E-2</v>
      </c>
      <c r="AZ63" s="51">
        <v>3.0840070429829752E-2</v>
      </c>
      <c r="BA63" s="51">
        <v>3.0531669725531455E-2</v>
      </c>
      <c r="BB63" s="51">
        <v>3.0226353028276139E-2</v>
      </c>
      <c r="BC63" s="51">
        <v>2.9924089497993377E-2</v>
      </c>
      <c r="BD63" s="51">
        <v>2.9624848603013443E-2</v>
      </c>
      <c r="BE63" s="51">
        <v>2.9328600116983308E-2</v>
      </c>
      <c r="BF63" s="51">
        <v>2.9035314115813476E-2</v>
      </c>
      <c r="BG63" s="51">
        <v>2.8744960974655343E-2</v>
      </c>
      <c r="BH63" s="51">
        <v>2.8457511364908789E-2</v>
      </c>
      <c r="BI63" s="51">
        <v>2.81729362512597E-2</v>
      </c>
      <c r="BJ63" s="51">
        <v>2.7891206888747102E-2</v>
      </c>
      <c r="BK63" s="51">
        <v>2.7612294819859631E-2</v>
      </c>
      <c r="BL63" s="51">
        <v>2.7336171871661034E-2</v>
      </c>
      <c r="BM63" s="51">
        <v>2.7062810152944424E-2</v>
      </c>
      <c r="BN63" s="51">
        <v>2.6792182051414981E-2</v>
      </c>
      <c r="BO63" s="51">
        <v>2.6524260230900831E-2</v>
      </c>
      <c r="BP63" s="51">
        <v>2.6259017628591824E-2</v>
      </c>
      <c r="BQ63" s="51">
        <v>2.5996427452305904E-2</v>
      </c>
      <c r="BR63" s="51">
        <v>2.5736463177782845E-2</v>
      </c>
      <c r="BS63" s="51">
        <v>2.5479098546005018E-2</v>
      </c>
      <c r="BT63" s="51">
        <v>2.5224307560544966E-2</v>
      </c>
      <c r="BU63" s="51">
        <v>2.4972064484939518E-2</v>
      </c>
      <c r="BV63" s="51">
        <v>2.4722343840090123E-2</v>
      </c>
      <c r="BW63" s="51">
        <v>2.4475120401689223E-2</v>
      </c>
      <c r="BX63" s="51">
        <v>2.4230369197672331E-2</v>
      </c>
      <c r="BY63" s="51">
        <v>2.3988065505695606E-2</v>
      </c>
      <c r="BZ63" s="51">
        <v>2.3748184850638648E-2</v>
      </c>
      <c r="CA63" s="51">
        <v>2.351070300213226E-2</v>
      </c>
      <c r="CB63" s="51">
        <v>2.3275595972110937E-2</v>
      </c>
      <c r="CC63" s="51">
        <v>2.3042840012389827E-2</v>
      </c>
      <c r="CD63" s="51">
        <v>2.281241161226593E-2</v>
      </c>
      <c r="CE63" s="51">
        <v>2.258428749614327E-2</v>
      </c>
      <c r="CF63" s="51">
        <v>2.2358444621181837E-2</v>
      </c>
      <c r="CG63" s="51">
        <v>2.2134860174970017E-2</v>
      </c>
      <c r="CH63" s="51">
        <v>2.1913511573220315E-2</v>
      </c>
      <c r="CI63" s="51">
        <v>2.1694376457488111E-2</v>
      </c>
      <c r="CJ63" s="51">
        <v>2.1477432692913231E-2</v>
      </c>
      <c r="CK63" s="51">
        <v>2.1262658365984097E-2</v>
      </c>
      <c r="CL63" s="51">
        <v>2.1050031782324258E-2</v>
      </c>
      <c r="CM63" s="51">
        <v>2.0839531464501015E-2</v>
      </c>
      <c r="CN63" s="51">
        <v>2.0631136149856004E-2</v>
      </c>
      <c r="CO63" s="51">
        <v>2.0424824788357443E-2</v>
      </c>
      <c r="CP63" s="51">
        <v>2.0220576540473868E-2</v>
      </c>
      <c r="CQ63" s="51">
        <v>2.0018370775069128E-2</v>
      </c>
      <c r="CR63" s="51">
        <v>1.9818187067318437E-2</v>
      </c>
      <c r="CS63" s="51">
        <v>1.9620005196645252E-2</v>
      </c>
      <c r="CT63" s="51">
        <v>1.9423805144678799E-2</v>
      </c>
      <c r="CU63" s="51">
        <v>1.9229567093232012E-2</v>
      </c>
      <c r="CV63" s="51">
        <v>1.9037271422299693E-2</v>
      </c>
      <c r="CW63" s="51">
        <v>1.8846898708076695E-2</v>
      </c>
      <c r="CX63" s="55">
        <v>1.8658429720995927E-2</v>
      </c>
      <c r="CY63" s="53">
        <v>1.8471845423785969E-2</v>
      </c>
    </row>
    <row r="64" spans="1:103" ht="15.75">
      <c r="A64" s="54">
        <v>82</v>
      </c>
      <c r="B64" s="55">
        <v>5.5525999999999999E-2</v>
      </c>
      <c r="C64" s="55">
        <v>5.5109555000000005E-2</v>
      </c>
      <c r="D64" s="55">
        <v>5.4685211426499999E-2</v>
      </c>
      <c r="E64" s="55">
        <v>5.425319825623065E-2</v>
      </c>
      <c r="F64" s="55">
        <v>5.3808322030529557E-2</v>
      </c>
      <c r="G64" s="55">
        <v>5.335633212547311E-2</v>
      </c>
      <c r="H64" s="55">
        <v>5.2897467669194037E-2</v>
      </c>
      <c r="I64" s="55">
        <v>5.2426680206938206E-2</v>
      </c>
      <c r="J64" s="55">
        <v>5.1954840085075761E-2</v>
      </c>
      <c r="K64" s="55">
        <v>5.1487246524310082E-2</v>
      </c>
      <c r="L64" s="55">
        <v>5.1023861305591292E-2</v>
      </c>
      <c r="M64" s="55">
        <v>5.0569748939971529E-2</v>
      </c>
      <c r="N64" s="55">
        <v>5.0119678174405782E-2</v>
      </c>
      <c r="O64" s="55">
        <v>4.9673613038653572E-2</v>
      </c>
      <c r="P64" s="55">
        <v>4.9231517882609557E-2</v>
      </c>
      <c r="Q64" s="55">
        <v>4.8783511069877813E-2</v>
      </c>
      <c r="R64" s="55">
        <v>4.8329824416927951E-2</v>
      </c>
      <c r="S64" s="55">
        <v>4.7865858102525437E-2</v>
      </c>
      <c r="T64" s="55">
        <v>4.7396772693120683E-2</v>
      </c>
      <c r="U64" s="51">
        <v>4.6927544643458788E-2</v>
      </c>
      <c r="V64" s="51">
        <v>4.6458269197024199E-2</v>
      </c>
      <c r="W64" s="51">
        <v>4.5993686505053956E-2</v>
      </c>
      <c r="X64" s="51">
        <v>4.5533749640003417E-2</v>
      </c>
      <c r="Y64" s="51">
        <v>4.5078412143603384E-2</v>
      </c>
      <c r="Z64" s="51">
        <v>4.4627628022167347E-2</v>
      </c>
      <c r="AA64" s="51">
        <v>4.4181351741945672E-2</v>
      </c>
      <c r="AB64" s="51">
        <v>4.3739538224526218E-2</v>
      </c>
      <c r="AC64" s="51">
        <v>4.3302142842280955E-2</v>
      </c>
      <c r="AD64" s="51">
        <v>4.2869121413858145E-2</v>
      </c>
      <c r="AE64" s="51">
        <v>4.2440430199719562E-2</v>
      </c>
      <c r="AF64" s="51">
        <v>4.2016025897722367E-2</v>
      </c>
      <c r="AG64" s="51">
        <v>4.1595865638745143E-2</v>
      </c>
      <c r="AH64" s="51">
        <v>4.117990698235769E-2</v>
      </c>
      <c r="AI64" s="51">
        <v>4.0768107912534116E-2</v>
      </c>
      <c r="AJ64" s="51">
        <v>4.0360426833408777E-2</v>
      </c>
      <c r="AK64" s="51">
        <v>3.9956822565074691E-2</v>
      </c>
      <c r="AL64" s="51">
        <v>3.9557254339423947E-2</v>
      </c>
      <c r="AM64" s="51">
        <v>3.9161681796029704E-2</v>
      </c>
      <c r="AN64" s="51">
        <v>3.877006497806941E-2</v>
      </c>
      <c r="AO64" s="51">
        <v>3.8382364328288718E-2</v>
      </c>
      <c r="AP64" s="51">
        <v>3.7998540685005827E-2</v>
      </c>
      <c r="AQ64" s="51">
        <v>3.7618555278155767E-2</v>
      </c>
      <c r="AR64" s="51">
        <v>3.7242369725374209E-2</v>
      </c>
      <c r="AS64" s="51">
        <v>3.6869946028120465E-2</v>
      </c>
      <c r="AT64" s="51">
        <v>3.6501246567839263E-2</v>
      </c>
      <c r="AU64" s="51">
        <v>3.6136234102160873E-2</v>
      </c>
      <c r="AV64" s="51">
        <v>3.5774871761139262E-2</v>
      </c>
      <c r="AW64" s="51">
        <v>3.5417123043527871E-2</v>
      </c>
      <c r="AX64" s="51">
        <v>3.5062951813092588E-2</v>
      </c>
      <c r="AY64" s="51">
        <v>3.4712322294961663E-2</v>
      </c>
      <c r="AZ64" s="51">
        <v>3.4365199072012048E-2</v>
      </c>
      <c r="BA64" s="51">
        <v>3.4021547081291931E-2</v>
      </c>
      <c r="BB64" s="51">
        <v>3.3681331610479009E-2</v>
      </c>
      <c r="BC64" s="51">
        <v>3.3344518294374216E-2</v>
      </c>
      <c r="BD64" s="51">
        <v>3.3011073111430471E-2</v>
      </c>
      <c r="BE64" s="51">
        <v>3.2680962380316168E-2</v>
      </c>
      <c r="BF64" s="51">
        <v>3.2354152756513009E-2</v>
      </c>
      <c r="BG64" s="51">
        <v>3.2030611228947882E-2</v>
      </c>
      <c r="BH64" s="51">
        <v>3.1710305116658406E-2</v>
      </c>
      <c r="BI64" s="51">
        <v>3.1393202065491822E-2</v>
      </c>
      <c r="BJ64" s="51">
        <v>3.1079270044836904E-2</v>
      </c>
      <c r="BK64" s="51">
        <v>3.0768477344388534E-2</v>
      </c>
      <c r="BL64" s="51">
        <v>3.046079257094465E-2</v>
      </c>
      <c r="BM64" s="51">
        <v>3.0156184645235201E-2</v>
      </c>
      <c r="BN64" s="51">
        <v>2.985462279878285E-2</v>
      </c>
      <c r="BO64" s="51">
        <v>2.9556076570795019E-2</v>
      </c>
      <c r="BP64" s="51">
        <v>2.9260515805087067E-2</v>
      </c>
      <c r="BQ64" s="51">
        <v>2.8967910647036195E-2</v>
      </c>
      <c r="BR64" s="51">
        <v>2.8678231540565834E-2</v>
      </c>
      <c r="BS64" s="51">
        <v>2.8391449225160174E-2</v>
      </c>
      <c r="BT64" s="51">
        <v>2.8107534732908574E-2</v>
      </c>
      <c r="BU64" s="51">
        <v>2.782645938557949E-2</v>
      </c>
      <c r="BV64" s="51">
        <v>2.7548194791723695E-2</v>
      </c>
      <c r="BW64" s="51">
        <v>2.7272712843806456E-2</v>
      </c>
      <c r="BX64" s="51">
        <v>2.699998571536839E-2</v>
      </c>
      <c r="BY64" s="51">
        <v>2.6729985858214705E-2</v>
      </c>
      <c r="BZ64" s="51">
        <v>2.6462685999632557E-2</v>
      </c>
      <c r="CA64" s="51">
        <v>2.6198059139636232E-2</v>
      </c>
      <c r="CB64" s="51">
        <v>2.5936078548239871E-2</v>
      </c>
      <c r="CC64" s="51">
        <v>2.5676717762757473E-2</v>
      </c>
      <c r="CD64" s="51">
        <v>2.54199505851299E-2</v>
      </c>
      <c r="CE64" s="51">
        <v>2.5165751079278601E-2</v>
      </c>
      <c r="CF64" s="51">
        <v>2.4914093568485816E-2</v>
      </c>
      <c r="CG64" s="51">
        <v>2.4664952632800958E-2</v>
      </c>
      <c r="CH64" s="51">
        <v>2.4418303106472947E-2</v>
      </c>
      <c r="CI64" s="51">
        <v>2.4174120075408218E-2</v>
      </c>
      <c r="CJ64" s="51">
        <v>2.3932378874654135E-2</v>
      </c>
      <c r="CK64" s="51">
        <v>2.3693055085907595E-2</v>
      </c>
      <c r="CL64" s="51">
        <v>2.3456124535048518E-2</v>
      </c>
      <c r="CM64" s="51">
        <v>2.3221563289698034E-2</v>
      </c>
      <c r="CN64" s="51">
        <v>2.2989347656801051E-2</v>
      </c>
      <c r="CO64" s="51">
        <v>2.2759454180233042E-2</v>
      </c>
      <c r="CP64" s="51">
        <v>2.2531859638430712E-2</v>
      </c>
      <c r="CQ64" s="51">
        <v>2.2306541042046404E-2</v>
      </c>
      <c r="CR64" s="51">
        <v>2.2083475631625941E-2</v>
      </c>
      <c r="CS64" s="51">
        <v>2.1862640875309682E-2</v>
      </c>
      <c r="CT64" s="51">
        <v>2.1644014466556585E-2</v>
      </c>
      <c r="CU64" s="51">
        <v>2.1427574321891019E-2</v>
      </c>
      <c r="CV64" s="51">
        <v>2.1213298578672109E-2</v>
      </c>
      <c r="CW64" s="51">
        <v>2.1001165592885389E-2</v>
      </c>
      <c r="CX64" s="55">
        <v>2.0791153936956536E-2</v>
      </c>
      <c r="CY64" s="53">
        <v>2.0583242397586972E-2</v>
      </c>
    </row>
    <row r="65" spans="1:103" ht="15.75">
      <c r="A65" s="54">
        <v>83</v>
      </c>
      <c r="B65" s="55">
        <v>6.1996000000000002E-2</v>
      </c>
      <c r="C65" s="55">
        <v>6.1543429200000006E-2</v>
      </c>
      <c r="D65" s="55">
        <v>6.1081853481000009E-2</v>
      </c>
      <c r="E65" s="55">
        <v>6.0611523209196307E-2</v>
      </c>
      <c r="F65" s="55">
        <v>6.0126631023522739E-2</v>
      </c>
      <c r="G65" s="55">
        <v>5.9627579986027503E-2</v>
      </c>
      <c r="H65" s="55">
        <v>5.912074555614627E-2</v>
      </c>
      <c r="I65" s="55">
        <v>5.8600482995252182E-2</v>
      </c>
      <c r="J65" s="55">
        <v>5.8073078648294911E-2</v>
      </c>
      <c r="K65" s="55">
        <v>5.7544613632595429E-2</v>
      </c>
      <c r="L65" s="55">
        <v>5.702095764853881E-2</v>
      </c>
      <c r="M65" s="55">
        <v>5.6502066933937105E-2</v>
      </c>
      <c r="N65" s="55">
        <v>5.5993548331531667E-2</v>
      </c>
      <c r="O65" s="55">
        <v>5.5489606396547882E-2</v>
      </c>
      <c r="P65" s="55">
        <v>5.4984650978339294E-2</v>
      </c>
      <c r="Q65" s="55">
        <v>5.4478792189338571E-2</v>
      </c>
      <c r="R65" s="55">
        <v>5.3972139421977726E-2</v>
      </c>
      <c r="S65" s="55">
        <v>5.3454006883526736E-2</v>
      </c>
      <c r="T65" s="55">
        <v>5.2930157616068174E-2</v>
      </c>
      <c r="U65" s="51">
        <v>5.24061490556691E-2</v>
      </c>
      <c r="V65" s="51">
        <v>5.1882087565112409E-2</v>
      </c>
      <c r="W65" s="51">
        <v>5.1363266689461284E-2</v>
      </c>
      <c r="X65" s="51">
        <v>5.0849634022566668E-2</v>
      </c>
      <c r="Y65" s="51">
        <v>5.0341137682341004E-2</v>
      </c>
      <c r="Z65" s="51">
        <v>4.9837726305517596E-2</v>
      </c>
      <c r="AA65" s="51">
        <v>4.933934904246242E-2</v>
      </c>
      <c r="AB65" s="51">
        <v>4.8845955552037794E-2</v>
      </c>
      <c r="AC65" s="51">
        <v>4.8357495996517418E-2</v>
      </c>
      <c r="AD65" s="51">
        <v>4.787392103655224E-2</v>
      </c>
      <c r="AE65" s="51">
        <v>4.7395181826186718E-2</v>
      </c>
      <c r="AF65" s="51">
        <v>4.692123000792485E-2</v>
      </c>
      <c r="AG65" s="51">
        <v>4.64520177078456E-2</v>
      </c>
      <c r="AH65" s="51">
        <v>4.5987497530767141E-2</v>
      </c>
      <c r="AI65" s="51">
        <v>4.5527622555459467E-2</v>
      </c>
      <c r="AJ65" s="51">
        <v>4.5072346329904873E-2</v>
      </c>
      <c r="AK65" s="51">
        <v>4.4621622866605822E-2</v>
      </c>
      <c r="AL65" s="51">
        <v>4.4175406637939764E-2</v>
      </c>
      <c r="AM65" s="51">
        <v>4.3733652571560366E-2</v>
      </c>
      <c r="AN65" s="51">
        <v>4.329631604584476E-2</v>
      </c>
      <c r="AO65" s="51">
        <v>4.2863352885386313E-2</v>
      </c>
      <c r="AP65" s="51">
        <v>4.2434719356532452E-2</v>
      </c>
      <c r="AQ65" s="51">
        <v>4.201037216296713E-2</v>
      </c>
      <c r="AR65" s="51">
        <v>4.1590268441337459E-2</v>
      </c>
      <c r="AS65" s="51">
        <v>4.1174365756924083E-2</v>
      </c>
      <c r="AT65" s="51">
        <v>4.0762622099354842E-2</v>
      </c>
      <c r="AU65" s="51">
        <v>4.0354995878361291E-2</v>
      </c>
      <c r="AV65" s="51">
        <v>3.995144591957768E-2</v>
      </c>
      <c r="AW65" s="51">
        <v>3.9551931460381905E-2</v>
      </c>
      <c r="AX65" s="51">
        <v>3.9156412145778086E-2</v>
      </c>
      <c r="AY65" s="51">
        <v>3.8764848024320307E-2</v>
      </c>
      <c r="AZ65" s="51">
        <v>3.8377199544077104E-2</v>
      </c>
      <c r="BA65" s="51">
        <v>3.7993427548636334E-2</v>
      </c>
      <c r="BB65" s="51">
        <v>3.7613493273149973E-2</v>
      </c>
      <c r="BC65" s="51">
        <v>3.7237358340418469E-2</v>
      </c>
      <c r="BD65" s="51">
        <v>3.6864984757014281E-2</v>
      </c>
      <c r="BE65" s="51">
        <v>3.6496334909444136E-2</v>
      </c>
      <c r="BF65" s="51">
        <v>3.6131371560349693E-2</v>
      </c>
      <c r="BG65" s="51">
        <v>3.5770057844746198E-2</v>
      </c>
      <c r="BH65" s="51">
        <v>3.5412357266298738E-2</v>
      </c>
      <c r="BI65" s="51">
        <v>3.5058233693635754E-2</v>
      </c>
      <c r="BJ65" s="51">
        <v>3.4707651356699398E-2</v>
      </c>
      <c r="BK65" s="51">
        <v>3.4360574843132402E-2</v>
      </c>
      <c r="BL65" s="51">
        <v>3.4016969094701074E-2</v>
      </c>
      <c r="BM65" s="51">
        <v>3.3676799403754065E-2</v>
      </c>
      <c r="BN65" s="51">
        <v>3.3340031409716524E-2</v>
      </c>
      <c r="BO65" s="51">
        <v>3.3006631095619361E-2</v>
      </c>
      <c r="BP65" s="51">
        <v>3.2676564784663166E-2</v>
      </c>
      <c r="BQ65" s="51">
        <v>3.2349799136816536E-2</v>
      </c>
      <c r="BR65" s="51">
        <v>3.2026301145448369E-2</v>
      </c>
      <c r="BS65" s="51">
        <v>3.1706038133993884E-2</v>
      </c>
      <c r="BT65" s="51">
        <v>3.1388977752653945E-2</v>
      </c>
      <c r="BU65" s="51">
        <v>3.1075087975127404E-2</v>
      </c>
      <c r="BV65" s="51">
        <v>3.076433709537613E-2</v>
      </c>
      <c r="BW65" s="51">
        <v>3.0456693724422369E-2</v>
      </c>
      <c r="BX65" s="51">
        <v>3.0152126787178147E-2</v>
      </c>
      <c r="BY65" s="51">
        <v>2.9850605519306364E-2</v>
      </c>
      <c r="BZ65" s="51">
        <v>2.9552099464113302E-2</v>
      </c>
      <c r="CA65" s="51">
        <v>2.9256578469472168E-2</v>
      </c>
      <c r="CB65" s="51">
        <v>2.8964012684777447E-2</v>
      </c>
      <c r="CC65" s="51">
        <v>2.8674372557929671E-2</v>
      </c>
      <c r="CD65" s="51">
        <v>2.8387628832350374E-2</v>
      </c>
      <c r="CE65" s="51">
        <v>2.8103752544026871E-2</v>
      </c>
      <c r="CF65" s="51">
        <v>2.7822715018586602E-2</v>
      </c>
      <c r="CG65" s="51">
        <v>2.7544487868400736E-2</v>
      </c>
      <c r="CH65" s="51">
        <v>2.7269042989716729E-2</v>
      </c>
      <c r="CI65" s="51">
        <v>2.699635255981956E-2</v>
      </c>
      <c r="CJ65" s="51">
        <v>2.6726389034221365E-2</v>
      </c>
      <c r="CK65" s="51">
        <v>2.6459125143879152E-2</v>
      </c>
      <c r="CL65" s="51">
        <v>2.619453389244036E-2</v>
      </c>
      <c r="CM65" s="51">
        <v>2.5932588553515955E-2</v>
      </c>
      <c r="CN65" s="51">
        <v>2.5673262667980794E-2</v>
      </c>
      <c r="CO65" s="51">
        <v>2.5416530041300987E-2</v>
      </c>
      <c r="CP65" s="51">
        <v>2.5162364740887976E-2</v>
      </c>
      <c r="CQ65" s="51">
        <v>2.4910741093479096E-2</v>
      </c>
      <c r="CR65" s="51">
        <v>2.4661633682544305E-2</v>
      </c>
      <c r="CS65" s="51">
        <v>2.441501734571886E-2</v>
      </c>
      <c r="CT65" s="51">
        <v>2.4170867172261672E-2</v>
      </c>
      <c r="CU65" s="51">
        <v>2.3929158500539057E-2</v>
      </c>
      <c r="CV65" s="51">
        <v>2.3689866915533667E-2</v>
      </c>
      <c r="CW65" s="51">
        <v>2.3452968246378329E-2</v>
      </c>
      <c r="CX65" s="55">
        <v>2.3218438563914544E-2</v>
      </c>
      <c r="CY65" s="53">
        <v>2.2986254178275399E-2</v>
      </c>
    </row>
    <row r="66" spans="1:103" ht="15.75">
      <c r="A66" s="54">
        <v>84</v>
      </c>
      <c r="B66" s="55">
        <v>6.9290000000000004E-2</v>
      </c>
      <c r="C66" s="55">
        <v>6.8798041000000004E-2</v>
      </c>
      <c r="D66" s="55">
        <v>6.8295815300700002E-2</v>
      </c>
      <c r="E66" s="55">
        <v>6.7776767104414673E-2</v>
      </c>
      <c r="F66" s="55">
        <v>6.7248108321000241E-2</v>
      </c>
      <c r="G66" s="55">
        <v>6.6703398643600142E-2</v>
      </c>
      <c r="H66" s="55">
        <v>6.6143090094993903E-2</v>
      </c>
      <c r="I66" s="55">
        <v>6.5567645211167452E-2</v>
      </c>
      <c r="J66" s="55">
        <v>6.498409316878806E-2</v>
      </c>
      <c r="K66" s="55">
        <v>6.4392737920952084E-2</v>
      </c>
      <c r="L66" s="55">
        <v>6.3800324732079319E-2</v>
      </c>
      <c r="M66" s="55">
        <v>6.3213361744544186E-2</v>
      </c>
      <c r="N66" s="55">
        <v>6.2638120152668827E-2</v>
      </c>
      <c r="O66" s="55">
        <v>6.2068113259279543E-2</v>
      </c>
      <c r="P66" s="55">
        <v>6.1497086617294174E-2</v>
      </c>
      <c r="Q66" s="55">
        <v>6.0925163711753341E-2</v>
      </c>
      <c r="R66" s="55">
        <v>6.0352467172862863E-2</v>
      </c>
      <c r="S66" s="55">
        <v>5.9773083488003378E-2</v>
      </c>
      <c r="T66" s="55">
        <v>5.9187307269820945E-2</v>
      </c>
      <c r="U66" s="51">
        <v>5.8601352927849716E-2</v>
      </c>
      <c r="V66" s="51">
        <v>5.8015339398571217E-2</v>
      </c>
      <c r="W66" s="51">
        <v>5.7435186004585505E-2</v>
      </c>
      <c r="X66" s="51">
        <v>5.686083414453965E-2</v>
      </c>
      <c r="Y66" s="51">
        <v>5.6292225803094252E-2</v>
      </c>
      <c r="Z66" s="51">
        <v>5.5729303545063308E-2</v>
      </c>
      <c r="AA66" s="51">
        <v>5.5172010509612672E-2</v>
      </c>
      <c r="AB66" s="51">
        <v>5.4620290404516547E-2</v>
      </c>
      <c r="AC66" s="51">
        <v>5.4074087500471379E-2</v>
      </c>
      <c r="AD66" s="51">
        <v>5.3533346625466667E-2</v>
      </c>
      <c r="AE66" s="51">
        <v>5.2998013159212001E-2</v>
      </c>
      <c r="AF66" s="51">
        <v>5.2468033027619883E-2</v>
      </c>
      <c r="AG66" s="51">
        <v>5.1943352697343681E-2</v>
      </c>
      <c r="AH66" s="51">
        <v>5.1423919170370244E-2</v>
      </c>
      <c r="AI66" s="51">
        <v>5.0909679978666543E-2</v>
      </c>
      <c r="AJ66" s="51">
        <v>5.0400583178879875E-2</v>
      </c>
      <c r="AK66" s="51">
        <v>4.9896577347091076E-2</v>
      </c>
      <c r="AL66" s="51">
        <v>4.9397611573620166E-2</v>
      </c>
      <c r="AM66" s="51">
        <v>4.8903635457883961E-2</v>
      </c>
      <c r="AN66" s="51">
        <v>4.8414599103305124E-2</v>
      </c>
      <c r="AO66" s="51">
        <v>4.7930453112272071E-2</v>
      </c>
      <c r="AP66" s="51">
        <v>4.7451148581149349E-2</v>
      </c>
      <c r="AQ66" s="51">
        <v>4.6976637095337857E-2</v>
      </c>
      <c r="AR66" s="51">
        <v>4.6506870724384482E-2</v>
      </c>
      <c r="AS66" s="51">
        <v>4.6041802017140636E-2</v>
      </c>
      <c r="AT66" s="51">
        <v>4.5581383996969232E-2</v>
      </c>
      <c r="AU66" s="51">
        <v>4.5125570156999542E-2</v>
      </c>
      <c r="AV66" s="51">
        <v>4.4674314455429548E-2</v>
      </c>
      <c r="AW66" s="51">
        <v>4.4227571310875249E-2</v>
      </c>
      <c r="AX66" s="51">
        <v>4.3785295597766498E-2</v>
      </c>
      <c r="AY66" s="51">
        <v>4.334744264178883E-2</v>
      </c>
      <c r="AZ66" s="51">
        <v>4.291396821537094E-2</v>
      </c>
      <c r="BA66" s="51">
        <v>4.248482853321723E-2</v>
      </c>
      <c r="BB66" s="51">
        <v>4.2059980247885057E-2</v>
      </c>
      <c r="BC66" s="51">
        <v>4.1639380445406209E-2</v>
      </c>
      <c r="BD66" s="51">
        <v>4.1222986640952149E-2</v>
      </c>
      <c r="BE66" s="51">
        <v>4.0810756774542628E-2</v>
      </c>
      <c r="BF66" s="51">
        <v>4.0402649206797203E-2</v>
      </c>
      <c r="BG66" s="51">
        <v>3.9998622714729232E-2</v>
      </c>
      <c r="BH66" s="51">
        <v>3.959863648758194E-2</v>
      </c>
      <c r="BI66" s="51">
        <v>3.9202650122706122E-2</v>
      </c>
      <c r="BJ66" s="51">
        <v>3.8810623621479058E-2</v>
      </c>
      <c r="BK66" s="51">
        <v>3.8422517385264268E-2</v>
      </c>
      <c r="BL66" s="51">
        <v>3.8038292211411626E-2</v>
      </c>
      <c r="BM66" s="51">
        <v>3.7657909289297506E-2</v>
      </c>
      <c r="BN66" s="51">
        <v>3.7281330196404533E-2</v>
      </c>
      <c r="BO66" s="51">
        <v>3.6908516894440489E-2</v>
      </c>
      <c r="BP66" s="51">
        <v>3.6539431725496084E-2</v>
      </c>
      <c r="BQ66" s="51">
        <v>3.6174037408241121E-2</v>
      </c>
      <c r="BR66" s="51">
        <v>3.581229703415871E-2</v>
      </c>
      <c r="BS66" s="51">
        <v>3.5454174063817123E-2</v>
      </c>
      <c r="BT66" s="51">
        <v>3.5099632323178954E-2</v>
      </c>
      <c r="BU66" s="51">
        <v>3.4748635999947167E-2</v>
      </c>
      <c r="BV66" s="51">
        <v>3.4401149639947698E-2</v>
      </c>
      <c r="BW66" s="51">
        <v>3.4057138143548223E-2</v>
      </c>
      <c r="BX66" s="51">
        <v>3.3716566762112737E-2</v>
      </c>
      <c r="BY66" s="51">
        <v>3.3379401094491612E-2</v>
      </c>
      <c r="BZ66" s="51">
        <v>3.3045607083546695E-2</v>
      </c>
      <c r="CA66" s="51">
        <v>3.2715151012711226E-2</v>
      </c>
      <c r="CB66" s="51">
        <v>3.2387999502584114E-2</v>
      </c>
      <c r="CC66" s="51">
        <v>3.2064119507558275E-2</v>
      </c>
      <c r="CD66" s="51">
        <v>3.1743478312482691E-2</v>
      </c>
      <c r="CE66" s="51">
        <v>3.1426043529357864E-2</v>
      </c>
      <c r="CF66" s="51">
        <v>3.1111783094064285E-2</v>
      </c>
      <c r="CG66" s="51">
        <v>3.0800665263123642E-2</v>
      </c>
      <c r="CH66" s="51">
        <v>3.0492658610492406E-2</v>
      </c>
      <c r="CI66" s="51">
        <v>3.018773202438748E-2</v>
      </c>
      <c r="CJ66" s="51">
        <v>2.9885854704143604E-2</v>
      </c>
      <c r="CK66" s="51">
        <v>2.9586996157102169E-2</v>
      </c>
      <c r="CL66" s="51">
        <v>2.9291126195531147E-2</v>
      </c>
      <c r="CM66" s="51">
        <v>2.8998214933575836E-2</v>
      </c>
      <c r="CN66" s="51">
        <v>2.8708232784240076E-2</v>
      </c>
      <c r="CO66" s="51">
        <v>2.8421150456397676E-2</v>
      </c>
      <c r="CP66" s="51">
        <v>2.8136938951833699E-2</v>
      </c>
      <c r="CQ66" s="51">
        <v>2.7855569562315361E-2</v>
      </c>
      <c r="CR66" s="51">
        <v>2.7577013866692208E-2</v>
      </c>
      <c r="CS66" s="51">
        <v>2.7301243728025285E-2</v>
      </c>
      <c r="CT66" s="51">
        <v>2.7028231290745032E-2</v>
      </c>
      <c r="CU66" s="51">
        <v>2.6757948977837582E-2</v>
      </c>
      <c r="CV66" s="51">
        <v>2.6490369488059207E-2</v>
      </c>
      <c r="CW66" s="51">
        <v>2.6225465793178616E-2</v>
      </c>
      <c r="CX66" s="55">
        <v>2.5963211135246831E-2</v>
      </c>
      <c r="CY66" s="53">
        <v>2.5703579023894363E-2</v>
      </c>
    </row>
    <row r="67" spans="1:103" ht="15.75">
      <c r="A67" s="54">
        <v>85</v>
      </c>
      <c r="B67" s="55">
        <v>7.7496999999999996E-2</v>
      </c>
      <c r="C67" s="55">
        <v>7.6962270700000002E-2</v>
      </c>
      <c r="D67" s="55">
        <v>7.6415838578029999E-2</v>
      </c>
      <c r="E67" s="55">
        <v>7.5850361372552577E-2</v>
      </c>
      <c r="F67" s="55">
        <v>7.5266313589983924E-2</v>
      </c>
      <c r="G67" s="55">
        <v>7.4664183081264046E-2</v>
      </c>
      <c r="H67" s="55">
        <v>7.4044470361689554E-2</v>
      </c>
      <c r="I67" s="55">
        <v>7.340768791657902E-2</v>
      </c>
      <c r="J67" s="55">
        <v>7.276170026291312E-2</v>
      </c>
      <c r="K67" s="55">
        <v>7.2106844960546895E-2</v>
      </c>
      <c r="L67" s="55">
        <v>7.1443461986909859E-2</v>
      </c>
      <c r="M67" s="55">
        <v>7.0786182136630293E-2</v>
      </c>
      <c r="N67" s="55">
        <v>7.0134949260973301E-2</v>
      </c>
      <c r="O67" s="55">
        <v>6.9489707727772354E-2</v>
      </c>
      <c r="P67" s="55">
        <v>6.8850402416676851E-2</v>
      </c>
      <c r="Q67" s="55">
        <v>6.8210093674201763E-2</v>
      </c>
      <c r="R67" s="55">
        <v>6.7568918793664265E-2</v>
      </c>
      <c r="S67" s="55">
        <v>6.6927014065124454E-2</v>
      </c>
      <c r="T67" s="55">
        <v>6.6277822028692743E-2</v>
      </c>
      <c r="U67" s="51">
        <v>6.5621671590608679E-2</v>
      </c>
      <c r="V67" s="51">
        <v>6.4965454874702594E-2</v>
      </c>
      <c r="W67" s="51">
        <v>6.4315800325955561E-2</v>
      </c>
      <c r="X67" s="51">
        <v>6.367264232269601E-2</v>
      </c>
      <c r="Y67" s="51">
        <v>6.3035915899469053E-2</v>
      </c>
      <c r="Z67" s="51">
        <v>6.2405556740474363E-2</v>
      </c>
      <c r="AA67" s="51">
        <v>6.1781501173069617E-2</v>
      </c>
      <c r="AB67" s="51">
        <v>6.1163686161338923E-2</v>
      </c>
      <c r="AC67" s="51">
        <v>6.0552049299725533E-2</v>
      </c>
      <c r="AD67" s="51">
        <v>5.994652880672828E-2</v>
      </c>
      <c r="AE67" s="51">
        <v>5.9347063518660995E-2</v>
      </c>
      <c r="AF67" s="51">
        <v>5.8753592883474384E-2</v>
      </c>
      <c r="AG67" s="51">
        <v>5.8166056954639639E-2</v>
      </c>
      <c r="AH67" s="51">
        <v>5.7584396385093245E-2</v>
      </c>
      <c r="AI67" s="51">
        <v>5.7008552421242309E-2</v>
      </c>
      <c r="AJ67" s="51">
        <v>5.6438466897029888E-2</v>
      </c>
      <c r="AK67" s="51">
        <v>5.5874082228059591E-2</v>
      </c>
      <c r="AL67" s="51">
        <v>5.5315341405778991E-2</v>
      </c>
      <c r="AM67" s="51">
        <v>5.4762187991721202E-2</v>
      </c>
      <c r="AN67" s="51">
        <v>5.4214566111803988E-2</v>
      </c>
      <c r="AO67" s="51">
        <v>5.3672420450685945E-2</v>
      </c>
      <c r="AP67" s="51">
        <v>5.3135696246179087E-2</v>
      </c>
      <c r="AQ67" s="51">
        <v>5.2604339283717293E-2</v>
      </c>
      <c r="AR67" s="51">
        <v>5.2078295890880116E-2</v>
      </c>
      <c r="AS67" s="51">
        <v>5.1557512931971312E-2</v>
      </c>
      <c r="AT67" s="51">
        <v>5.10419378026516E-2</v>
      </c>
      <c r="AU67" s="51">
        <v>5.0531518424625083E-2</v>
      </c>
      <c r="AV67" s="51">
        <v>5.0026203240378833E-2</v>
      </c>
      <c r="AW67" s="51">
        <v>4.9525941207975044E-2</v>
      </c>
      <c r="AX67" s="51">
        <v>4.9030681795895294E-2</v>
      </c>
      <c r="AY67" s="51">
        <v>4.854037497793634E-2</v>
      </c>
      <c r="AZ67" s="51">
        <v>4.8054971228156974E-2</v>
      </c>
      <c r="BA67" s="51">
        <v>4.7574421515875404E-2</v>
      </c>
      <c r="BB67" s="51">
        <v>4.7098677300716651E-2</v>
      </c>
      <c r="BC67" s="51">
        <v>4.6627690527709487E-2</v>
      </c>
      <c r="BD67" s="51">
        <v>4.6161413622432389E-2</v>
      </c>
      <c r="BE67" s="51">
        <v>4.5699799486208066E-2</v>
      </c>
      <c r="BF67" s="51">
        <v>4.5242801491345984E-2</v>
      </c>
      <c r="BG67" s="51">
        <v>4.4790373476432527E-2</v>
      </c>
      <c r="BH67" s="51">
        <v>4.4342469741668201E-2</v>
      </c>
      <c r="BI67" s="51">
        <v>4.3899045044251517E-2</v>
      </c>
      <c r="BJ67" s="51">
        <v>4.3460054593809E-2</v>
      </c>
      <c r="BK67" s="51">
        <v>4.3025454047870906E-2</v>
      </c>
      <c r="BL67" s="51">
        <v>4.2595199507392198E-2</v>
      </c>
      <c r="BM67" s="51">
        <v>4.2169247512318278E-2</v>
      </c>
      <c r="BN67" s="51">
        <v>4.1747555037195093E-2</v>
      </c>
      <c r="BO67" s="51">
        <v>4.1330079486823143E-2</v>
      </c>
      <c r="BP67" s="51">
        <v>4.0916778691954911E-2</v>
      </c>
      <c r="BQ67" s="51">
        <v>4.0507610905035359E-2</v>
      </c>
      <c r="BR67" s="51">
        <v>4.0102534795985002E-2</v>
      </c>
      <c r="BS67" s="51">
        <v>3.9701509448025155E-2</v>
      </c>
      <c r="BT67" s="51">
        <v>3.9304494353544904E-2</v>
      </c>
      <c r="BU67" s="51">
        <v>3.8911449410009458E-2</v>
      </c>
      <c r="BV67" s="51">
        <v>3.8522334915909361E-2</v>
      </c>
      <c r="BW67" s="51">
        <v>3.8137111566750266E-2</v>
      </c>
      <c r="BX67" s="51">
        <v>3.7755740451082764E-2</v>
      </c>
      <c r="BY67" s="51">
        <v>3.7378183046571936E-2</v>
      </c>
      <c r="BZ67" s="51">
        <v>3.7004401216106216E-2</v>
      </c>
      <c r="CA67" s="51">
        <v>3.6634357203945152E-2</v>
      </c>
      <c r="CB67" s="51">
        <v>3.6268013631905703E-2</v>
      </c>
      <c r="CC67" s="51">
        <v>3.5905333495586646E-2</v>
      </c>
      <c r="CD67" s="51">
        <v>3.5546280160630779E-2</v>
      </c>
      <c r="CE67" s="51">
        <v>3.5190817359024469E-2</v>
      </c>
      <c r="CF67" s="51">
        <v>3.4838909185434225E-2</v>
      </c>
      <c r="CG67" s="51">
        <v>3.4490520093579884E-2</v>
      </c>
      <c r="CH67" s="51">
        <v>3.4145614892644081E-2</v>
      </c>
      <c r="CI67" s="51">
        <v>3.3804158743717637E-2</v>
      </c>
      <c r="CJ67" s="51">
        <v>3.3466117156280457E-2</v>
      </c>
      <c r="CK67" s="51">
        <v>3.3131455984717652E-2</v>
      </c>
      <c r="CL67" s="51">
        <v>3.2800141424870477E-2</v>
      </c>
      <c r="CM67" s="51">
        <v>3.2472140010621771E-2</v>
      </c>
      <c r="CN67" s="51">
        <v>3.2147418610515552E-2</v>
      </c>
      <c r="CO67" s="51">
        <v>3.1825944424410398E-2</v>
      </c>
      <c r="CP67" s="51">
        <v>3.1507684980166296E-2</v>
      </c>
      <c r="CQ67" s="51">
        <v>3.1192608130364632E-2</v>
      </c>
      <c r="CR67" s="51">
        <v>3.0880682049060987E-2</v>
      </c>
      <c r="CS67" s="51">
        <v>3.0571875228570376E-2</v>
      </c>
      <c r="CT67" s="51">
        <v>3.0266156476284674E-2</v>
      </c>
      <c r="CU67" s="51">
        <v>2.9963494911521827E-2</v>
      </c>
      <c r="CV67" s="51">
        <v>2.966385996240661E-2</v>
      </c>
      <c r="CW67" s="51">
        <v>2.9367221362782542E-2</v>
      </c>
      <c r="CX67" s="55">
        <v>2.9073549149154717E-2</v>
      </c>
      <c r="CY67" s="53">
        <v>2.8782813657663168E-2</v>
      </c>
    </row>
    <row r="68" spans="1:103" ht="15.75">
      <c r="A68" s="54">
        <v>86</v>
      </c>
      <c r="B68" s="55">
        <v>8.6711999999999997E-2</v>
      </c>
      <c r="C68" s="55">
        <v>8.6139700799999996E-2</v>
      </c>
      <c r="D68" s="55">
        <v>8.5545336864480001E-2</v>
      </c>
      <c r="E68" s="55">
        <v>8.4937964972742197E-2</v>
      </c>
      <c r="F68" s="55">
        <v>8.4309424031943914E-2</v>
      </c>
      <c r="G68" s="55">
        <v>8.3651810524494746E-2</v>
      </c>
      <c r="H68" s="55">
        <v>8.2974230859246337E-2</v>
      </c>
      <c r="I68" s="55">
        <v>8.2277247320028668E-2</v>
      </c>
      <c r="J68" s="55">
        <v>8.1569662993076414E-2</v>
      </c>
      <c r="K68" s="55">
        <v>8.0843692992438029E-2</v>
      </c>
      <c r="L68" s="55">
        <v>8.0116099755506084E-2</v>
      </c>
      <c r="M68" s="55">
        <v>7.9387043247730979E-2</v>
      </c>
      <c r="N68" s="55">
        <v>7.8664621154176634E-2</v>
      </c>
      <c r="O68" s="55">
        <v>7.7940906639558216E-2</v>
      </c>
      <c r="P68" s="55">
        <v>7.7223850298474284E-2</v>
      </c>
      <c r="Q68" s="55">
        <v>7.6505668490698481E-2</v>
      </c>
      <c r="R68" s="55">
        <v>7.5794165773734989E-2</v>
      </c>
      <c r="S68" s="55">
        <v>7.5074121198884514E-2</v>
      </c>
      <c r="T68" s="55">
        <v>7.435340963537522E-2</v>
      </c>
      <c r="U68" s="51">
        <v>7.3632181561912077E-2</v>
      </c>
      <c r="V68" s="51">
        <v>7.2903222964449149E-2</v>
      </c>
      <c r="W68" s="51">
        <v>7.2181481057101107E-2</v>
      </c>
      <c r="X68" s="51">
        <v>7.1466884394635805E-2</v>
      </c>
      <c r="Y68" s="51">
        <v>7.0759362239128903E-2</v>
      </c>
      <c r="Z68" s="51">
        <v>7.0058844552961533E-2</v>
      </c>
      <c r="AA68" s="51">
        <v>6.9365261991887209E-2</v>
      </c>
      <c r="AB68" s="51">
        <v>6.867854589816752E-2</v>
      </c>
      <c r="AC68" s="51">
        <v>6.7998628293775662E-2</v>
      </c>
      <c r="AD68" s="51">
        <v>6.7325441873667277E-2</v>
      </c>
      <c r="AE68" s="51">
        <v>6.6658919999117966E-2</v>
      </c>
      <c r="AF68" s="51">
        <v>6.5998996691126702E-2</v>
      </c>
      <c r="AG68" s="51">
        <v>6.5345606623884542E-2</v>
      </c>
      <c r="AH68" s="51">
        <v>6.4698685118308077E-2</v>
      </c>
      <c r="AI68" s="51">
        <v>6.405816813563682E-2</v>
      </c>
      <c r="AJ68" s="51">
        <v>6.3423992271094021E-2</v>
      </c>
      <c r="AK68" s="51">
        <v>6.2796094747610193E-2</v>
      </c>
      <c r="AL68" s="51">
        <v>6.2174413409608852E-2</v>
      </c>
      <c r="AM68" s="51">
        <v>6.1558886716853722E-2</v>
      </c>
      <c r="AN68" s="51">
        <v>6.0949453738356869E-2</v>
      </c>
      <c r="AO68" s="51">
        <v>6.0346054146347132E-2</v>
      </c>
      <c r="AP68" s="51">
        <v>5.9748628210298291E-2</v>
      </c>
      <c r="AQ68" s="51">
        <v>5.9157116791016338E-2</v>
      </c>
      <c r="AR68" s="51">
        <v>5.8571461334785274E-2</v>
      </c>
      <c r="AS68" s="51">
        <v>5.79916038675709E-2</v>
      </c>
      <c r="AT68" s="51">
        <v>5.7417486989281945E-2</v>
      </c>
      <c r="AU68" s="51">
        <v>5.6849053868088049E-2</v>
      </c>
      <c r="AV68" s="51">
        <v>5.628624823479398E-2</v>
      </c>
      <c r="AW68" s="51">
        <v>5.5729014377269522E-2</v>
      </c>
      <c r="AX68" s="51">
        <v>5.517729713493455E-2</v>
      </c>
      <c r="AY68" s="51">
        <v>5.4631041893298697E-2</v>
      </c>
      <c r="AZ68" s="51">
        <v>5.4090194578555038E-2</v>
      </c>
      <c r="BA68" s="51">
        <v>5.3554701652227345E-2</v>
      </c>
      <c r="BB68" s="51">
        <v>5.3024510105870296E-2</v>
      </c>
      <c r="BC68" s="51">
        <v>5.2499567455822176E-2</v>
      </c>
      <c r="BD68" s="51">
        <v>5.1979821738009538E-2</v>
      </c>
      <c r="BE68" s="51">
        <v>5.1465221502803242E-2</v>
      </c>
      <c r="BF68" s="51">
        <v>5.0955715809925486E-2</v>
      </c>
      <c r="BG68" s="51">
        <v>5.0451254223407224E-2</v>
      </c>
      <c r="BH68" s="51">
        <v>4.995178680659549E-2</v>
      </c>
      <c r="BI68" s="51">
        <v>4.9457264117210194E-2</v>
      </c>
      <c r="BJ68" s="51">
        <v>4.8967637202449815E-2</v>
      </c>
      <c r="BK68" s="51">
        <v>4.8482857594145563E-2</v>
      </c>
      <c r="BL68" s="51">
        <v>4.800287730396352E-2</v>
      </c>
      <c r="BM68" s="51">
        <v>4.7527648818654282E-2</v>
      </c>
      <c r="BN68" s="51">
        <v>4.7057125095349601E-2</v>
      </c>
      <c r="BO68" s="51">
        <v>4.6591259556905643E-2</v>
      </c>
      <c r="BP68" s="51">
        <v>4.6130006087292279E-2</v>
      </c>
      <c r="BQ68" s="51">
        <v>4.5673319027028085E-2</v>
      </c>
      <c r="BR68" s="51">
        <v>4.5221153168660509E-2</v>
      </c>
      <c r="BS68" s="51">
        <v>4.4773463752290771E-2</v>
      </c>
      <c r="BT68" s="51">
        <v>4.4330206461143093E-2</v>
      </c>
      <c r="BU68" s="51">
        <v>4.3891337417177774E-2</v>
      </c>
      <c r="BV68" s="51">
        <v>4.3456813176747711E-2</v>
      </c>
      <c r="BW68" s="51">
        <v>4.3026590726297907E-2</v>
      </c>
      <c r="BX68" s="51">
        <v>4.2600627478107556E-2</v>
      </c>
      <c r="BY68" s="51">
        <v>4.2178881266074289E-2</v>
      </c>
      <c r="BZ68" s="51">
        <v>4.1761310341540153E-2</v>
      </c>
      <c r="CA68" s="51">
        <v>4.1347873369158905E-2</v>
      </c>
      <c r="CB68" s="51">
        <v>4.093852942280423E-2</v>
      </c>
      <c r="CC68" s="51">
        <v>4.053323798151847E-2</v>
      </c>
      <c r="CD68" s="51">
        <v>4.0131958925501435E-2</v>
      </c>
      <c r="CE68" s="51">
        <v>3.9734652532138967E-2</v>
      </c>
      <c r="CF68" s="51">
        <v>3.9341279472070792E-2</v>
      </c>
      <c r="CG68" s="51">
        <v>3.8951800805297289E-2</v>
      </c>
      <c r="CH68" s="51">
        <v>3.8566177977324846E-2</v>
      </c>
      <c r="CI68" s="51">
        <v>3.8184372815349331E-2</v>
      </c>
      <c r="CJ68" s="51">
        <v>3.7806347524477368E-2</v>
      </c>
      <c r="CK68" s="51">
        <v>3.7432064683985043E-2</v>
      </c>
      <c r="CL68" s="51">
        <v>3.7061487243613592E-2</v>
      </c>
      <c r="CM68" s="51">
        <v>3.6694578519901815E-2</v>
      </c>
      <c r="CN68" s="51">
        <v>3.6331302192554787E-2</v>
      </c>
      <c r="CO68" s="51">
        <v>3.5971622300848494E-2</v>
      </c>
      <c r="CP68" s="51">
        <v>3.5615503240070095E-2</v>
      </c>
      <c r="CQ68" s="51">
        <v>3.5262909757993399E-2</v>
      </c>
      <c r="CR68" s="51">
        <v>3.4913806951389265E-2</v>
      </c>
      <c r="CS68" s="51">
        <v>3.4568160262570508E-2</v>
      </c>
      <c r="CT68" s="51">
        <v>3.422593547597106E-2</v>
      </c>
      <c r="CU68" s="51">
        <v>3.3887098714758944E-2</v>
      </c>
      <c r="CV68" s="51">
        <v>3.3551616437482827E-2</v>
      </c>
      <c r="CW68" s="51">
        <v>3.3219455434751743E-2</v>
      </c>
      <c r="CX68" s="55">
        <v>3.2890582825947701E-2</v>
      </c>
      <c r="CY68" s="53">
        <v>3.2564966055970819E-2</v>
      </c>
    </row>
    <row r="69" spans="1:103" ht="15.75">
      <c r="A69" s="54">
        <v>87</v>
      </c>
      <c r="B69" s="55">
        <v>9.7037999999999999E-2</v>
      </c>
      <c r="C69" s="55">
        <v>9.6416956800000009E-2</v>
      </c>
      <c r="D69" s="55">
        <v>9.5770963189440006E-2</v>
      </c>
      <c r="E69" s="55">
        <v>9.5110143543432862E-2</v>
      </c>
      <c r="F69" s="55">
        <v>9.4425350509920153E-2</v>
      </c>
      <c r="G69" s="55">
        <v>9.3707717846044758E-2</v>
      </c>
      <c r="H69" s="55">
        <v>9.2967426875061002E-2</v>
      </c>
      <c r="I69" s="55">
        <v>9.2205093974685501E-2</v>
      </c>
      <c r="J69" s="55">
        <v>9.143057118529814E-2</v>
      </c>
      <c r="K69" s="55">
        <v>9.0635125215986045E-2</v>
      </c>
      <c r="L69" s="55">
        <v>8.9837536114085362E-2</v>
      </c>
      <c r="M69" s="55">
        <v>8.9037982042669994E-2</v>
      </c>
      <c r="N69" s="55">
        <v>8.8236640204285968E-2</v>
      </c>
      <c r="O69" s="55">
        <v>8.7433686778426972E-2</v>
      </c>
      <c r="P69" s="55">
        <v>8.6638040228743288E-2</v>
      </c>
      <c r="Q69" s="55">
        <v>8.5840970258638849E-2</v>
      </c>
      <c r="R69" s="55">
        <v>8.5042649235233511E-2</v>
      </c>
      <c r="S69" s="55">
        <v>8.4251752597345839E-2</v>
      </c>
      <c r="T69" s="55">
        <v>8.3451360947671055E-2</v>
      </c>
      <c r="U69" s="51">
        <v>8.265022788257341E-2</v>
      </c>
      <c r="V69" s="51">
        <v>8.1848520672112443E-2</v>
      </c>
      <c r="W69" s="51">
        <v>8.1054590021592945E-2</v>
      </c>
      <c r="X69" s="51">
        <v>8.0268360498383484E-2</v>
      </c>
      <c r="Y69" s="51">
        <v>7.9489757401549163E-2</v>
      </c>
      <c r="Z69" s="51">
        <v>7.8718706754754134E-2</v>
      </c>
      <c r="AA69" s="51">
        <v>7.7955135299233022E-2</v>
      </c>
      <c r="AB69" s="51">
        <v>7.7198970486830457E-2</v>
      </c>
      <c r="AC69" s="51">
        <v>7.6450140473108191E-2</v>
      </c>
      <c r="AD69" s="51">
        <v>7.5708574110519039E-2</v>
      </c>
      <c r="AE69" s="51">
        <v>7.4974200941647001E-2</v>
      </c>
      <c r="AF69" s="51">
        <v>7.4246951192513025E-2</v>
      </c>
      <c r="AG69" s="51">
        <v>7.3526755765945639E-2</v>
      </c>
      <c r="AH69" s="51">
        <v>7.2813546235015958E-2</v>
      </c>
      <c r="AI69" s="51">
        <v>7.2107254836536294E-2</v>
      </c>
      <c r="AJ69" s="51">
        <v>7.1407814464621883E-2</v>
      </c>
      <c r="AK69" s="51">
        <v>7.0715158664315048E-2</v>
      </c>
      <c r="AL69" s="51">
        <v>7.0029221625271185E-2</v>
      </c>
      <c r="AM69" s="51">
        <v>6.9349938175506054E-2</v>
      </c>
      <c r="AN69" s="51">
        <v>6.8677243775203636E-2</v>
      </c>
      <c r="AO69" s="51">
        <v>6.8011074510584163E-2</v>
      </c>
      <c r="AP69" s="51">
        <v>6.7351367087831487E-2</v>
      </c>
      <c r="AQ69" s="51">
        <v>6.669805882707952E-2</v>
      </c>
      <c r="AR69" s="51">
        <v>6.6051087656456842E-2</v>
      </c>
      <c r="AS69" s="51">
        <v>6.5410392106189208E-2</v>
      </c>
      <c r="AT69" s="51">
        <v>6.477591130275917E-2</v>
      </c>
      <c r="AU69" s="51">
        <v>6.4147584963122409E-2</v>
      </c>
      <c r="AV69" s="51">
        <v>6.3525353388980119E-2</v>
      </c>
      <c r="AW69" s="51">
        <v>6.2909157461107007E-2</v>
      </c>
      <c r="AX69" s="51">
        <v>6.2298938633734265E-2</v>
      </c>
      <c r="AY69" s="51">
        <v>6.1694638928987036E-2</v>
      </c>
      <c r="AZ69" s="51">
        <v>6.1096200931375862E-2</v>
      </c>
      <c r="BA69" s="51">
        <v>6.0503567782341512E-2</v>
      </c>
      <c r="BB69" s="51">
        <v>5.9916683174852797E-2</v>
      </c>
      <c r="BC69" s="51">
        <v>5.9335491348056719E-2</v>
      </c>
      <c r="BD69" s="51">
        <v>5.8759937081980566E-2</v>
      </c>
      <c r="BE69" s="51">
        <v>5.818996569228535E-2</v>
      </c>
      <c r="BF69" s="51">
        <v>5.762552302507018E-2</v>
      </c>
      <c r="BG69" s="51">
        <v>5.7066555451726994E-2</v>
      </c>
      <c r="BH69" s="51">
        <v>5.6513009863845241E-2</v>
      </c>
      <c r="BI69" s="51">
        <v>5.5964833668165938E-2</v>
      </c>
      <c r="BJ69" s="51">
        <v>5.5421974781584726E-2</v>
      </c>
      <c r="BK69" s="51">
        <v>5.4884381626203349E-2</v>
      </c>
      <c r="BL69" s="51">
        <v>5.4352003124429171E-2</v>
      </c>
      <c r="BM69" s="51">
        <v>5.3824788694122203E-2</v>
      </c>
      <c r="BN69" s="51">
        <v>5.3302688243789212E-2</v>
      </c>
      <c r="BO69" s="51">
        <v>5.2785652167824451E-2</v>
      </c>
      <c r="BP69" s="51">
        <v>5.227363134179655E-2</v>
      </c>
      <c r="BQ69" s="51">
        <v>5.1766577117781119E-2</v>
      </c>
      <c r="BR69" s="51">
        <v>5.1264441319738639E-2</v>
      </c>
      <c r="BS69" s="51">
        <v>5.0767176238937173E-2</v>
      </c>
      <c r="BT69" s="51">
        <v>5.0274734629419483E-2</v>
      </c>
      <c r="BU69" s="51">
        <v>4.9787069703514111E-2</v>
      </c>
      <c r="BV69" s="51">
        <v>4.9304135127390021E-2</v>
      </c>
      <c r="BW69" s="51">
        <v>4.8825885016654337E-2</v>
      </c>
      <c r="BX69" s="51">
        <v>4.835227393199279E-2</v>
      </c>
      <c r="BY69" s="51">
        <v>4.788325687485246E-2</v>
      </c>
      <c r="BZ69" s="51">
        <v>4.7418789283166389E-2</v>
      </c>
      <c r="CA69" s="51">
        <v>4.6958827027119676E-2</v>
      </c>
      <c r="CB69" s="51">
        <v>4.6503326404956614E-2</v>
      </c>
      <c r="CC69" s="51">
        <v>4.6052244138828531E-2</v>
      </c>
      <c r="CD69" s="51">
        <v>4.560553737068189E-2</v>
      </c>
      <c r="CE69" s="51">
        <v>4.5163163658186276E-2</v>
      </c>
      <c r="CF69" s="51">
        <v>4.4725080970701867E-2</v>
      </c>
      <c r="CG69" s="51">
        <v>4.4291247685286056E-2</v>
      </c>
      <c r="CH69" s="51">
        <v>4.3861622582738777E-2</v>
      </c>
      <c r="CI69" s="51">
        <v>4.3436164843686211E-2</v>
      </c>
      <c r="CJ69" s="51">
        <v>4.3014834044702452E-2</v>
      </c>
      <c r="CK69" s="51">
        <v>4.2597590154468838E-2</v>
      </c>
      <c r="CL69" s="51">
        <v>4.2184393529970492E-2</v>
      </c>
      <c r="CM69" s="51">
        <v>4.1775204912729777E-2</v>
      </c>
      <c r="CN69" s="51">
        <v>4.1369985425076299E-2</v>
      </c>
      <c r="CO69" s="51">
        <v>4.0968696566453057E-2</v>
      </c>
      <c r="CP69" s="51">
        <v>4.0571300209758458E-2</v>
      </c>
      <c r="CQ69" s="51">
        <v>4.0177758597723802E-2</v>
      </c>
      <c r="CR69" s="51">
        <v>3.978803433932588E-2</v>
      </c>
      <c r="CS69" s="51">
        <v>3.9402090406234415E-2</v>
      </c>
      <c r="CT69" s="51">
        <v>3.9019890129293938E-2</v>
      </c>
      <c r="CU69" s="51">
        <v>3.8641397195039784E-2</v>
      </c>
      <c r="CV69" s="51">
        <v>3.8266575642247898E-2</v>
      </c>
      <c r="CW69" s="51">
        <v>3.7895389858518091E-2</v>
      </c>
      <c r="CX69" s="55">
        <v>3.7527804576890464E-2</v>
      </c>
      <c r="CY69" s="53">
        <v>3.7163784872494623E-2</v>
      </c>
    </row>
    <row r="70" spans="1:103" ht="15.75">
      <c r="A70" s="54">
        <v>88</v>
      </c>
      <c r="B70" s="55">
        <v>0.10859099999999999</v>
      </c>
      <c r="C70" s="55">
        <v>0.1079068767</v>
      </c>
      <c r="D70" s="55">
        <v>0.10720548200145001</v>
      </c>
      <c r="E70" s="55">
        <v>0.10648720527204029</v>
      </c>
      <c r="F70" s="55">
        <v>0.10574179483513602</v>
      </c>
      <c r="G70" s="55">
        <v>0.10495930555335602</v>
      </c>
      <c r="H70" s="55">
        <v>0.10415111890059517</v>
      </c>
      <c r="I70" s="55">
        <v>0.10331790994939041</v>
      </c>
      <c r="J70" s="55">
        <v>0.10247070308780541</v>
      </c>
      <c r="K70" s="55">
        <v>0.10159970211155907</v>
      </c>
      <c r="L70" s="55">
        <v>0.10072594467339965</v>
      </c>
      <c r="M70" s="55">
        <v>9.9849628954741074E-2</v>
      </c>
      <c r="N70" s="55">
        <v>9.8970952219939345E-2</v>
      </c>
      <c r="O70" s="55">
        <v>9.8080213649959891E-2</v>
      </c>
      <c r="P70" s="55">
        <v>9.7197491727110258E-2</v>
      </c>
      <c r="Q70" s="55">
        <v>9.631299455239356E-2</v>
      </c>
      <c r="R70" s="55">
        <v>9.5426915002511548E-2</v>
      </c>
      <c r="S70" s="55">
        <v>9.4548987384488442E-2</v>
      </c>
      <c r="T70" s="55">
        <v>9.3669681801812704E-2</v>
      </c>
      <c r="U70" s="51">
        <v>9.2779819824695492E-2</v>
      </c>
      <c r="V70" s="51">
        <v>9.1889133554378416E-2</v>
      </c>
      <c r="W70" s="51">
        <v>9.1006997872256384E-2</v>
      </c>
      <c r="X70" s="51">
        <v>9.0133330692682714E-2</v>
      </c>
      <c r="Y70" s="51">
        <v>8.9268050718032954E-2</v>
      </c>
      <c r="Z70" s="51">
        <v>8.8411077431139837E-2</v>
      </c>
      <c r="AA70" s="51">
        <v>8.7562331087800885E-2</v>
      </c>
      <c r="AB70" s="51">
        <v>8.6721732709357985E-2</v>
      </c>
      <c r="AC70" s="51">
        <v>8.5889204075348141E-2</v>
      </c>
      <c r="AD70" s="51">
        <v>8.5064667716224798E-2</v>
      </c>
      <c r="AE70" s="51">
        <v>8.4248046906149038E-2</v>
      </c>
      <c r="AF70" s="51">
        <v>8.3439265655849998E-2</v>
      </c>
      <c r="AG70" s="51">
        <v>8.2638248705553835E-2</v>
      </c>
      <c r="AH70" s="51">
        <v>8.1844921517980521E-2</v>
      </c>
      <c r="AI70" s="51">
        <v>8.1059210271407903E-2</v>
      </c>
      <c r="AJ70" s="51">
        <v>8.0281041852802382E-2</v>
      </c>
      <c r="AK70" s="51">
        <v>7.9510343851015478E-2</v>
      </c>
      <c r="AL70" s="51">
        <v>7.8747044550045719E-2</v>
      </c>
      <c r="AM70" s="51">
        <v>7.7991072922365276E-2</v>
      </c>
      <c r="AN70" s="51">
        <v>7.7242358622310561E-2</v>
      </c>
      <c r="AO70" s="51">
        <v>7.6500831979536374E-2</v>
      </c>
      <c r="AP70" s="51">
        <v>7.5766423992532819E-2</v>
      </c>
      <c r="AQ70" s="51">
        <v>7.5039066322204501E-2</v>
      </c>
      <c r="AR70" s="51">
        <v>7.4318691285511329E-2</v>
      </c>
      <c r="AS70" s="51">
        <v>7.3605231849170422E-2</v>
      </c>
      <c r="AT70" s="51">
        <v>7.2898621623418383E-2</v>
      </c>
      <c r="AU70" s="51">
        <v>7.2198794855833567E-2</v>
      </c>
      <c r="AV70" s="51">
        <v>7.1505686425217554E-2</v>
      </c>
      <c r="AW70" s="51">
        <v>7.0819231835535457E-2</v>
      </c>
      <c r="AX70" s="51">
        <v>7.0139367209914316E-2</v>
      </c>
      <c r="AY70" s="51">
        <v>6.9466029284699138E-2</v>
      </c>
      <c r="AZ70" s="51">
        <v>6.8799155403566029E-2</v>
      </c>
      <c r="BA70" s="51">
        <v>6.8138683511691792E-2</v>
      </c>
      <c r="BB70" s="51">
        <v>6.7484552149979546E-2</v>
      </c>
      <c r="BC70" s="51">
        <v>6.6836700449339745E-2</v>
      </c>
      <c r="BD70" s="51">
        <v>6.6195068125026083E-2</v>
      </c>
      <c r="BE70" s="51">
        <v>6.5559595471025828E-2</v>
      </c>
      <c r="BF70" s="51">
        <v>6.4930223354503977E-2</v>
      </c>
      <c r="BG70" s="51">
        <v>6.4306893210300739E-2</v>
      </c>
      <c r="BH70" s="51">
        <v>6.3689547035481853E-2</v>
      </c>
      <c r="BI70" s="51">
        <v>6.3078127383941224E-2</v>
      </c>
      <c r="BJ70" s="51">
        <v>6.2472577361055381E-2</v>
      </c>
      <c r="BK70" s="51">
        <v>6.1872840618389248E-2</v>
      </c>
      <c r="BL70" s="51">
        <v>6.1278861348452708E-2</v>
      </c>
      <c r="BM70" s="51">
        <v>6.0690584279507562E-2</v>
      </c>
      <c r="BN70" s="51">
        <v>6.0107954670424284E-2</v>
      </c>
      <c r="BO70" s="51">
        <v>5.953091830558821E-2</v>
      </c>
      <c r="BP70" s="51">
        <v>5.8959421489854558E-2</v>
      </c>
      <c r="BQ70" s="51">
        <v>5.8393411043551953E-2</v>
      </c>
      <c r="BR70" s="51">
        <v>5.7832834297533851E-2</v>
      </c>
      <c r="BS70" s="51">
        <v>5.7277639088277522E-2</v>
      </c>
      <c r="BT70" s="51">
        <v>5.6727773753030057E-2</v>
      </c>
      <c r="BU70" s="51">
        <v>5.6183187125000963E-2</v>
      </c>
      <c r="BV70" s="51">
        <v>5.5643828528600954E-2</v>
      </c>
      <c r="BW70" s="51">
        <v>5.5109647774726385E-2</v>
      </c>
      <c r="BX70" s="51">
        <v>5.4580595156089005E-2</v>
      </c>
      <c r="BY70" s="51">
        <v>5.4056621442590547E-2</v>
      </c>
      <c r="BZ70" s="51">
        <v>5.3537677876741671E-2</v>
      </c>
      <c r="CA70" s="51">
        <v>5.3023716169124949E-2</v>
      </c>
      <c r="CB70" s="51">
        <v>5.2514688493901347E-2</v>
      </c>
      <c r="CC70" s="51">
        <v>5.201054748435989E-2</v>
      </c>
      <c r="CD70" s="51">
        <v>5.1511246228510034E-2</v>
      </c>
      <c r="CE70" s="51">
        <v>5.1016738264716338E-2</v>
      </c>
      <c r="CF70" s="51">
        <v>5.0526977577375058E-2</v>
      </c>
      <c r="CG70" s="51">
        <v>5.0041918592632254E-2</v>
      </c>
      <c r="CH70" s="51">
        <v>4.9561516174142985E-2</v>
      </c>
      <c r="CI70" s="51">
        <v>4.9085725618871208E-2</v>
      </c>
      <c r="CJ70" s="51">
        <v>4.861450265293004E-2</v>
      </c>
      <c r="CK70" s="51">
        <v>4.8147803427461909E-2</v>
      </c>
      <c r="CL70" s="51">
        <v>4.7685584514558274E-2</v>
      </c>
      <c r="CM70" s="51">
        <v>4.7227802903218513E-2</v>
      </c>
      <c r="CN70" s="51">
        <v>4.677441599534761E-2</v>
      </c>
      <c r="CO70" s="51">
        <v>4.6325381601792268E-2</v>
      </c>
      <c r="CP70" s="51">
        <v>4.5880657938415059E-2</v>
      </c>
      <c r="CQ70" s="51">
        <v>4.5440203622206271E-2</v>
      </c>
      <c r="CR70" s="51">
        <v>4.5003977667433089E-2</v>
      </c>
      <c r="CS70" s="51">
        <v>4.457193948182573E-2</v>
      </c>
      <c r="CT70" s="51">
        <v>4.4144048862800198E-2</v>
      </c>
      <c r="CU70" s="51">
        <v>4.3720265993717311E-2</v>
      </c>
      <c r="CV70" s="51">
        <v>4.3300551440177623E-2</v>
      </c>
      <c r="CW70" s="51">
        <v>4.2884866146351917E-2</v>
      </c>
      <c r="CX70" s="55">
        <v>4.2473171431346934E-2</v>
      </c>
      <c r="CY70" s="53">
        <v>4.2065428985606002E-2</v>
      </c>
    </row>
    <row r="71" spans="1:103" ht="15.75">
      <c r="A71" s="54">
        <v>89</v>
      </c>
      <c r="B71" s="55">
        <v>0.121499</v>
      </c>
      <c r="C71" s="55">
        <v>0.1207457062</v>
      </c>
      <c r="D71" s="55">
        <v>0.11998500825094</v>
      </c>
      <c r="E71" s="55">
        <v>0.11919310719648378</v>
      </c>
      <c r="F71" s="55">
        <v>0.11837067475682804</v>
      </c>
      <c r="G71" s="55">
        <v>0.11751840589857888</v>
      </c>
      <c r="H71" s="55">
        <v>0.11663701785433955</v>
      </c>
      <c r="I71" s="55">
        <v>0.1157272491150757</v>
      </c>
      <c r="J71" s="55">
        <v>0.1148014311221551</v>
      </c>
      <c r="K71" s="55">
        <v>0.11386005938695343</v>
      </c>
      <c r="L71" s="55">
        <v>0.11290363488810302</v>
      </c>
      <c r="M71" s="55">
        <v>0.11194395399155416</v>
      </c>
      <c r="N71" s="55">
        <v>0.11098123598722678</v>
      </c>
      <c r="O71" s="55">
        <v>0.11000460111053918</v>
      </c>
      <c r="P71" s="55">
        <v>0.10902556016065539</v>
      </c>
      <c r="Q71" s="55">
        <v>0.10804433011920948</v>
      </c>
      <c r="R71" s="55">
        <v>0.1070719311481366</v>
      </c>
      <c r="S71" s="55">
        <v>0.10609757657468856</v>
      </c>
      <c r="T71" s="55">
        <v>0.10512147887020143</v>
      </c>
      <c r="U71" s="51">
        <v>0.10414384911670856</v>
      </c>
      <c r="V71" s="51">
        <v>0.1031648969350115</v>
      </c>
      <c r="W71" s="51">
        <v>0.10219514690382241</v>
      </c>
      <c r="X71" s="51">
        <v>0.10123451252292648</v>
      </c>
      <c r="Y71" s="51">
        <v>0.10028290810521097</v>
      </c>
      <c r="Z71" s="51">
        <v>9.9340248769021991E-2</v>
      </c>
      <c r="AA71" s="51">
        <v>9.8406450430593193E-2</v>
      </c>
      <c r="AB71" s="51">
        <v>9.7481429796545616E-2</v>
      </c>
      <c r="AC71" s="51">
        <v>9.6565104356458084E-2</v>
      </c>
      <c r="AD71" s="51">
        <v>9.5657392375507383E-2</v>
      </c>
      <c r="AE71" s="51">
        <v>9.4758212887177617E-2</v>
      </c>
      <c r="AF71" s="51">
        <v>9.3867485686038157E-2</v>
      </c>
      <c r="AG71" s="51">
        <v>9.2985131320589401E-2</v>
      </c>
      <c r="AH71" s="51">
        <v>9.2111071086175861E-2</v>
      </c>
      <c r="AI71" s="51">
        <v>9.1245227017965808E-2</v>
      </c>
      <c r="AJ71" s="51">
        <v>9.038752188399693E-2</v>
      </c>
      <c r="AK71" s="51">
        <v>8.9537879178287358E-2</v>
      </c>
      <c r="AL71" s="51">
        <v>8.8696223114011458E-2</v>
      </c>
      <c r="AM71" s="51">
        <v>8.786247861673975E-2</v>
      </c>
      <c r="AN71" s="51">
        <v>8.7036571317742395E-2</v>
      </c>
      <c r="AO71" s="51">
        <v>8.6218427547355619E-2</v>
      </c>
      <c r="AP71" s="51">
        <v>8.5407974328410477E-2</v>
      </c>
      <c r="AQ71" s="51">
        <v>8.4605139369723428E-2</v>
      </c>
      <c r="AR71" s="51">
        <v>8.3809851059648027E-2</v>
      </c>
      <c r="AS71" s="51">
        <v>8.3022038459687336E-2</v>
      </c>
      <c r="AT71" s="51">
        <v>8.2241631298166279E-2</v>
      </c>
      <c r="AU71" s="51">
        <v>8.1468559963963516E-2</v>
      </c>
      <c r="AV71" s="51">
        <v>8.0702755500302259E-2</v>
      </c>
      <c r="AW71" s="51">
        <v>7.9944149598599426E-2</v>
      </c>
      <c r="AX71" s="51">
        <v>7.91926745923726E-2</v>
      </c>
      <c r="AY71" s="51">
        <v>7.84482634512043E-2</v>
      </c>
      <c r="AZ71" s="51">
        <v>7.7710849774762988E-2</v>
      </c>
      <c r="BA71" s="51">
        <v>7.6980367786880222E-2</v>
      </c>
      <c r="BB71" s="51">
        <v>7.6256752329683555E-2</v>
      </c>
      <c r="BC71" s="51">
        <v>7.5539938857784539E-2</v>
      </c>
      <c r="BD71" s="51">
        <v>7.4829863432521362E-2</v>
      </c>
      <c r="BE71" s="51">
        <v>7.412646271625567E-2</v>
      </c>
      <c r="BF71" s="51">
        <v>7.3429673966722869E-2</v>
      </c>
      <c r="BG71" s="51">
        <v>7.2739435031435679E-2</v>
      </c>
      <c r="BH71" s="51">
        <v>7.2055684342140186E-2</v>
      </c>
      <c r="BI71" s="51">
        <v>7.1378360909324076E-2</v>
      </c>
      <c r="BJ71" s="51">
        <v>7.0707404316776426E-2</v>
      </c>
      <c r="BK71" s="51">
        <v>7.0042754716198724E-2</v>
      </c>
      <c r="BL71" s="51">
        <v>6.938435282186646E-2</v>
      </c>
      <c r="BM71" s="51">
        <v>6.8732139905340911E-2</v>
      </c>
      <c r="BN71" s="51">
        <v>6.8086057790230706E-2</v>
      </c>
      <c r="BO71" s="51">
        <v>6.7446048847002546E-2</v>
      </c>
      <c r="BP71" s="51">
        <v>6.6812055987840721E-2</v>
      </c>
      <c r="BQ71" s="51">
        <v>6.6184022661555014E-2</v>
      </c>
      <c r="BR71" s="51">
        <v>6.5561892848536404E-2</v>
      </c>
      <c r="BS71" s="51">
        <v>6.4945611055760161E-2</v>
      </c>
      <c r="BT71" s="51">
        <v>6.4335122311836024E-2</v>
      </c>
      <c r="BU71" s="51">
        <v>6.3730372162104768E-2</v>
      </c>
      <c r="BV71" s="51">
        <v>6.3131306663780987E-2</v>
      </c>
      <c r="BW71" s="51">
        <v>6.2537872381141446E-2</v>
      </c>
      <c r="BX71" s="51">
        <v>6.195001638075872E-2</v>
      </c>
      <c r="BY71" s="51">
        <v>6.1367686226779593E-2</v>
      </c>
      <c r="BZ71" s="51">
        <v>6.0790829976247865E-2</v>
      </c>
      <c r="CA71" s="51">
        <v>6.021939617447114E-2</v>
      </c>
      <c r="CB71" s="51">
        <v>5.9653333850431117E-2</v>
      </c>
      <c r="CC71" s="51">
        <v>5.9092592512237065E-2</v>
      </c>
      <c r="CD71" s="51">
        <v>5.8537122142622036E-2</v>
      </c>
      <c r="CE71" s="51">
        <v>5.7986873194481391E-2</v>
      </c>
      <c r="CF71" s="51">
        <v>5.7441796586453264E-2</v>
      </c>
      <c r="CG71" s="51">
        <v>5.6901843698540608E-2</v>
      </c>
      <c r="CH71" s="51">
        <v>5.6366966367774329E-2</v>
      </c>
      <c r="CI71" s="51">
        <v>5.5837116883917251E-2</v>
      </c>
      <c r="CJ71" s="51">
        <v>5.5312247985208431E-2</v>
      </c>
      <c r="CK71" s="51">
        <v>5.4792312854147471E-2</v>
      </c>
      <c r="CL71" s="51">
        <v>5.4277265113318485E-2</v>
      </c>
      <c r="CM71" s="51">
        <v>5.3767058821253294E-2</v>
      </c>
      <c r="CN71" s="51">
        <v>5.3261648468333513E-2</v>
      </c>
      <c r="CO71" s="51">
        <v>5.2760988972731182E-2</v>
      </c>
      <c r="CP71" s="51">
        <v>5.226503567638751E-2</v>
      </c>
      <c r="CQ71" s="51">
        <v>5.1773744341029472E-2</v>
      </c>
      <c r="CR71" s="51">
        <v>5.1287071144223796E-2</v>
      </c>
      <c r="CS71" s="51">
        <v>5.0804972675468095E-2</v>
      </c>
      <c r="CT71" s="51">
        <v>5.03274059323187E-2</v>
      </c>
      <c r="CU71" s="51">
        <v>4.9854328316554904E-2</v>
      </c>
      <c r="CV71" s="51">
        <v>4.938569763037929E-2</v>
      </c>
      <c r="CW71" s="51">
        <v>4.8921472072653724E-2</v>
      </c>
      <c r="CX71" s="55">
        <v>4.8461610235170781E-2</v>
      </c>
      <c r="CY71" s="53">
        <v>4.8006071098960178E-2</v>
      </c>
    </row>
    <row r="72" spans="1:103" ht="15.75">
      <c r="A72" s="54">
        <v>90</v>
      </c>
      <c r="B72" s="55">
        <v>0.135908</v>
      </c>
      <c r="C72" s="55">
        <v>0.1350653704</v>
      </c>
      <c r="D72" s="55">
        <v>0.13421445856648001</v>
      </c>
      <c r="E72" s="55">
        <v>0.13334206458579789</v>
      </c>
      <c r="F72" s="55">
        <v>0.13244867275307304</v>
      </c>
      <c r="G72" s="55">
        <v>0.13152153204380151</v>
      </c>
      <c r="H72" s="55">
        <v>0.13056142485988176</v>
      </c>
      <c r="I72" s="55">
        <v>0.12956915803094665</v>
      </c>
      <c r="J72" s="55">
        <v>0.12855851859830528</v>
      </c>
      <c r="K72" s="55">
        <v>0.12753005044951884</v>
      </c>
      <c r="L72" s="55">
        <v>0.1264843040358328</v>
      </c>
      <c r="M72" s="55">
        <v>0.12543448431233539</v>
      </c>
      <c r="N72" s="55">
        <v>0.12438083464411177</v>
      </c>
      <c r="O72" s="55">
        <v>0.12332359754963683</v>
      </c>
      <c r="P72" s="55">
        <v>0.12225068225095498</v>
      </c>
      <c r="Q72" s="55">
        <v>0.12117487624714657</v>
      </c>
      <c r="R72" s="55">
        <v>0.12009641984854696</v>
      </c>
      <c r="S72" s="55">
        <v>0.11901555206991005</v>
      </c>
      <c r="T72" s="55">
        <v>0.11793251054607387</v>
      </c>
      <c r="U72" s="51">
        <v>0.11684753144905</v>
      </c>
      <c r="V72" s="51">
        <v>0.11576084940657383</v>
      </c>
      <c r="W72" s="51">
        <v>0.11468427350709269</v>
      </c>
      <c r="X72" s="51">
        <v>0.11361770976347674</v>
      </c>
      <c r="Y72" s="51">
        <v>0.11256106506267641</v>
      </c>
      <c r="Z72" s="51">
        <v>0.11151424715759352</v>
      </c>
      <c r="AA72" s="51">
        <v>0.1104771646590279</v>
      </c>
      <c r="AB72" s="51">
        <v>0.10944972702769895</v>
      </c>
      <c r="AC72" s="51">
        <v>0.10843184456634135</v>
      </c>
      <c r="AD72" s="51">
        <v>0.10742342841187438</v>
      </c>
      <c r="AE72" s="51">
        <v>0.10642439052764395</v>
      </c>
      <c r="AF72" s="51">
        <v>0.10543464369573687</v>
      </c>
      <c r="AG72" s="51">
        <v>0.10445410150936651</v>
      </c>
      <c r="AH72" s="51">
        <v>0.10348267836532941</v>
      </c>
      <c r="AI72" s="51">
        <v>0.10252028945653185</v>
      </c>
      <c r="AJ72" s="51">
        <v>0.10156685076458612</v>
      </c>
      <c r="AK72" s="51">
        <v>0.10062227905247546</v>
      </c>
      <c r="AL72" s="51">
        <v>9.9686491857287438E-2</v>
      </c>
      <c r="AM72" s="51">
        <v>9.8759407483014663E-2</v>
      </c>
      <c r="AN72" s="51">
        <v>9.7840944993422635E-2</v>
      </c>
      <c r="AO72" s="51">
        <v>9.6931024204983812E-2</v>
      </c>
      <c r="AP72" s="51">
        <v>9.6029565679877471E-2</v>
      </c>
      <c r="AQ72" s="51">
        <v>9.5136490719054612E-2</v>
      </c>
      <c r="AR72" s="51">
        <v>9.4251721355367413E-2</v>
      </c>
      <c r="AS72" s="51">
        <v>9.3375180346762496E-2</v>
      </c>
      <c r="AT72" s="51">
        <v>9.2506791169537611E-2</v>
      </c>
      <c r="AU72" s="51">
        <v>9.1646478011660912E-2</v>
      </c>
      <c r="AV72" s="51">
        <v>9.0794165766152471E-2</v>
      </c>
      <c r="AW72" s="51">
        <v>8.9949780024527248E-2</v>
      </c>
      <c r="AX72" s="51">
        <v>8.9113247070299148E-2</v>
      </c>
      <c r="AY72" s="51">
        <v>8.8284493872545375E-2</v>
      </c>
      <c r="AZ72" s="51">
        <v>8.7463448079530701E-2</v>
      </c>
      <c r="BA72" s="51">
        <v>8.6650038012391073E-2</v>
      </c>
      <c r="BB72" s="51">
        <v>8.5844192658875842E-2</v>
      </c>
      <c r="BC72" s="51">
        <v>8.5045841667148306E-2</v>
      </c>
      <c r="BD72" s="51">
        <v>8.4254915339643827E-2</v>
      </c>
      <c r="BE72" s="51">
        <v>8.3471344626985147E-2</v>
      </c>
      <c r="BF72" s="51">
        <v>8.2695061121954183E-2</v>
      </c>
      <c r="BG72" s="51">
        <v>8.1925997053520008E-2</v>
      </c>
      <c r="BH72" s="51">
        <v>8.1164085280922268E-2</v>
      </c>
      <c r="BI72" s="51">
        <v>8.040925928780969E-2</v>
      </c>
      <c r="BJ72" s="51">
        <v>7.9661453176433056E-2</v>
      </c>
      <c r="BK72" s="51">
        <v>7.8920601661892228E-2</v>
      </c>
      <c r="BL72" s="51">
        <v>7.8186640066436636E-2</v>
      </c>
      <c r="BM72" s="51">
        <v>7.7459504313818775E-2</v>
      </c>
      <c r="BN72" s="51">
        <v>7.6739130923700258E-2</v>
      </c>
      <c r="BO72" s="51">
        <v>7.6025457006109853E-2</v>
      </c>
      <c r="BP72" s="51">
        <v>7.5318420255953034E-2</v>
      </c>
      <c r="BQ72" s="51">
        <v>7.4617958947572671E-2</v>
      </c>
      <c r="BR72" s="51">
        <v>7.3924011929360253E-2</v>
      </c>
      <c r="BS72" s="51">
        <v>7.3236518618417207E-2</v>
      </c>
      <c r="BT72" s="51">
        <v>7.2555418995265922E-2</v>
      </c>
      <c r="BU72" s="51">
        <v>7.1880653598609956E-2</v>
      </c>
      <c r="BV72" s="51">
        <v>7.1212163520142882E-2</v>
      </c>
      <c r="BW72" s="51">
        <v>7.0549890399405554E-2</v>
      </c>
      <c r="BX72" s="51">
        <v>6.9893776418691086E-2</v>
      </c>
      <c r="BY72" s="51">
        <v>6.9243764297997265E-2</v>
      </c>
      <c r="BZ72" s="51">
        <v>6.8599797290025896E-2</v>
      </c>
      <c r="CA72" s="51">
        <v>6.7961819175228658E-2</v>
      </c>
      <c r="CB72" s="51">
        <v>6.7329774256899039E-2</v>
      </c>
      <c r="CC72" s="51">
        <v>6.6703607356309882E-2</v>
      </c>
      <c r="CD72" s="51">
        <v>6.6083263807896198E-2</v>
      </c>
      <c r="CE72" s="51">
        <v>6.5468689454482767E-2</v>
      </c>
      <c r="CF72" s="51">
        <v>6.4859830642556085E-2</v>
      </c>
      <c r="CG72" s="51">
        <v>6.4256634217580322E-2</v>
      </c>
      <c r="CH72" s="51">
        <v>6.3659047519356832E-2</v>
      </c>
      <c r="CI72" s="51">
        <v>6.3067018377426814E-2</v>
      </c>
      <c r="CJ72" s="51">
        <v>6.2480495106516744E-2</v>
      </c>
      <c r="CK72" s="51">
        <v>6.1899426502026136E-2</v>
      </c>
      <c r="CL72" s="51">
        <v>6.1323761835557294E-2</v>
      </c>
      <c r="CM72" s="51">
        <v>6.0753450850486612E-2</v>
      </c>
      <c r="CN72" s="51">
        <v>6.0188443757577086E-2</v>
      </c>
      <c r="CO72" s="51">
        <v>5.9628691230631622E-2</v>
      </c>
      <c r="CP72" s="51">
        <v>5.9074144402186751E-2</v>
      </c>
      <c r="CQ72" s="51">
        <v>5.8524754859246415E-2</v>
      </c>
      <c r="CR72" s="51">
        <v>5.7980474639055424E-2</v>
      </c>
      <c r="CS72" s="51">
        <v>5.744125622491221E-2</v>
      </c>
      <c r="CT72" s="51">
        <v>5.6907052542020525E-2</v>
      </c>
      <c r="CU72" s="51">
        <v>5.6377816953379734E-2</v>
      </c>
      <c r="CV72" s="51">
        <v>5.5853503255713303E-2</v>
      </c>
      <c r="CW72" s="51">
        <v>5.5334065675435168E-2</v>
      </c>
      <c r="CX72" s="55">
        <v>5.4819458864653621E-2</v>
      </c>
      <c r="CY72" s="53">
        <v>5.4309637897212347E-2</v>
      </c>
    </row>
    <row r="73" spans="1:103" ht="15.75">
      <c r="A73" s="54">
        <v>91</v>
      </c>
      <c r="B73" s="55">
        <v>0.15132200000000001</v>
      </c>
      <c r="C73" s="55">
        <v>0.1503838036</v>
      </c>
      <c r="D73" s="55">
        <v>0.14943638563732001</v>
      </c>
      <c r="E73" s="55">
        <v>0.14847999276924118</v>
      </c>
      <c r="F73" s="55">
        <v>0.14750002481696417</v>
      </c>
      <c r="G73" s="55">
        <v>0.14648227464572711</v>
      </c>
      <c r="H73" s="55">
        <v>0.14544225049574244</v>
      </c>
      <c r="I73" s="55">
        <v>0.14436597784207394</v>
      </c>
      <c r="J73" s="55">
        <v>0.14326879641047419</v>
      </c>
      <c r="K73" s="55">
        <v>0.14215129979847249</v>
      </c>
      <c r="L73" s="55">
        <v>0.14102830453006457</v>
      </c>
      <c r="M73" s="55">
        <v>0.13990007809382404</v>
      </c>
      <c r="N73" s="55">
        <v>0.13875289745345468</v>
      </c>
      <c r="O73" s="55">
        <v>0.13760124840459101</v>
      </c>
      <c r="P73" s="55">
        <v>0.13644539791799246</v>
      </c>
      <c r="Q73" s="55">
        <v>0.1352719674958977</v>
      </c>
      <c r="R73" s="55">
        <v>0.13408157418193381</v>
      </c>
      <c r="S73" s="55">
        <v>0.1328882481717146</v>
      </c>
      <c r="T73" s="55">
        <v>0.13170554276298635</v>
      </c>
      <c r="U73" s="51">
        <v>0.13052019287811947</v>
      </c>
      <c r="V73" s="51">
        <v>0.12933245912292859</v>
      </c>
      <c r="W73" s="51">
        <v>0.12815553374490996</v>
      </c>
      <c r="X73" s="51">
        <v>0.12698931838783128</v>
      </c>
      <c r="Y73" s="51">
        <v>0.12583371559050202</v>
      </c>
      <c r="Z73" s="51">
        <v>0.12468862877862845</v>
      </c>
      <c r="AA73" s="51">
        <v>0.12355396225674294</v>
      </c>
      <c r="AB73" s="51">
        <v>0.12242962120020658</v>
      </c>
      <c r="AC73" s="51">
        <v>0.1213155116472847</v>
      </c>
      <c r="AD73" s="51">
        <v>0.12021154049129441</v>
      </c>
      <c r="AE73" s="51">
        <v>0.11911761547282364</v>
      </c>
      <c r="AF73" s="51">
        <v>0.11803364517202095</v>
      </c>
      <c r="AG73" s="51">
        <v>0.11695953900095556</v>
      </c>
      <c r="AH73" s="51">
        <v>0.11589520719604686</v>
      </c>
      <c r="AI73" s="51">
        <v>0.11484056081056283</v>
      </c>
      <c r="AJ73" s="51">
        <v>0.11379551170718671</v>
      </c>
      <c r="AK73" s="51">
        <v>0.11275997255065132</v>
      </c>
      <c r="AL73" s="51">
        <v>0.11173385680044039</v>
      </c>
      <c r="AM73" s="51">
        <v>0.11071707870355638</v>
      </c>
      <c r="AN73" s="51">
        <v>0.10970955328735402</v>
      </c>
      <c r="AO73" s="51">
        <v>0.1087111963524391</v>
      </c>
      <c r="AP73" s="51">
        <v>0.1077219244656319</v>
      </c>
      <c r="AQ73" s="51">
        <v>0.10674165495299466</v>
      </c>
      <c r="AR73" s="51">
        <v>0.10577030589292241</v>
      </c>
      <c r="AS73" s="51">
        <v>0.10480779610929682</v>
      </c>
      <c r="AT73" s="51">
        <v>0.10385404516470222</v>
      </c>
      <c r="AU73" s="51">
        <v>0.10290897335370343</v>
      </c>
      <c r="AV73" s="51">
        <v>0.10197250169618473</v>
      </c>
      <c r="AW73" s="51">
        <v>0.10104455193074945</v>
      </c>
      <c r="AX73" s="51">
        <v>0.10012504650817963</v>
      </c>
      <c r="AY73" s="51">
        <v>9.9213908584955199E-2</v>
      </c>
      <c r="AZ73" s="51">
        <v>9.831106201683211E-2</v>
      </c>
      <c r="BA73" s="51">
        <v>9.7416431352478933E-2</v>
      </c>
      <c r="BB73" s="51">
        <v>9.6529941827171381E-2</v>
      </c>
      <c r="BC73" s="51">
        <v>9.5651519356544118E-2</v>
      </c>
      <c r="BD73" s="51">
        <v>9.478109053039957E-2</v>
      </c>
      <c r="BE73" s="51">
        <v>9.3918582606572931E-2</v>
      </c>
      <c r="BF73" s="51">
        <v>9.3063923504853124E-2</v>
      </c>
      <c r="BG73" s="51">
        <v>9.2217041800958965E-2</v>
      </c>
      <c r="BH73" s="51">
        <v>9.1377866720570244E-2</v>
      </c>
      <c r="BI73" s="51">
        <v>9.0546328133413054E-2</v>
      </c>
      <c r="BJ73" s="51">
        <v>8.972235654739899E-2</v>
      </c>
      <c r="BK73" s="51">
        <v>8.8905883102817662E-2</v>
      </c>
      <c r="BL73" s="51">
        <v>8.8096839566582028E-2</v>
      </c>
      <c r="BM73" s="51">
        <v>8.7295158326526137E-2</v>
      </c>
      <c r="BN73" s="51">
        <v>8.6500772385754751E-2</v>
      </c>
      <c r="BO73" s="51">
        <v>8.5713615357044387E-2</v>
      </c>
      <c r="BP73" s="51">
        <v>8.4933621457295286E-2</v>
      </c>
      <c r="BQ73" s="51">
        <v>8.4160725502033892E-2</v>
      </c>
      <c r="BR73" s="51">
        <v>8.339486289996538E-2</v>
      </c>
      <c r="BS73" s="51">
        <v>8.2635969647575691E-2</v>
      </c>
      <c r="BT73" s="51">
        <v>8.1883982323782759E-2</v>
      </c>
      <c r="BU73" s="51">
        <v>8.1138838084636331E-2</v>
      </c>
      <c r="BV73" s="51">
        <v>8.0400474658066143E-2</v>
      </c>
      <c r="BW73" s="51">
        <v>7.9668830338677735E-2</v>
      </c>
      <c r="BX73" s="51">
        <v>7.8943843982595768E-2</v>
      </c>
      <c r="BY73" s="51">
        <v>7.8225455002354144E-2</v>
      </c>
      <c r="BZ73" s="51">
        <v>7.7513603361832717E-2</v>
      </c>
      <c r="CA73" s="51">
        <v>7.6808229571240033E-2</v>
      </c>
      <c r="CB73" s="51">
        <v>7.610927468214175E-2</v>
      </c>
      <c r="CC73" s="51">
        <v>7.541668028253426E-2</v>
      </c>
      <c r="CD73" s="51">
        <v>7.4730388491963201E-2</v>
      </c>
      <c r="CE73" s="51">
        <v>7.4050341956686333E-2</v>
      </c>
      <c r="CF73" s="51">
        <v>7.3376483844880491E-2</v>
      </c>
      <c r="CG73" s="51">
        <v>7.2708757841892083E-2</v>
      </c>
      <c r="CH73" s="51">
        <v>7.2047108145530864E-2</v>
      </c>
      <c r="CI73" s="51">
        <v>7.1391479461406532E-2</v>
      </c>
      <c r="CJ73" s="51">
        <v>7.0741816998307727E-2</v>
      </c>
      <c r="CK73" s="51">
        <v>7.0098066463623127E-2</v>
      </c>
      <c r="CL73" s="51">
        <v>6.9460174058804156E-2</v>
      </c>
      <c r="CM73" s="51">
        <v>6.8828086474869044E-2</v>
      </c>
      <c r="CN73" s="51">
        <v>6.8201750887947735E-2</v>
      </c>
      <c r="CO73" s="51">
        <v>6.7581114954867405E-2</v>
      </c>
      <c r="CP73" s="51">
        <v>6.6966126808778115E-2</v>
      </c>
      <c r="CQ73" s="51">
        <v>6.6356735054818233E-2</v>
      </c>
      <c r="CR73" s="51">
        <v>6.5752888765819389E-2</v>
      </c>
      <c r="CS73" s="51">
        <v>6.5154537478050431E-2</v>
      </c>
      <c r="CT73" s="51">
        <v>6.4561631187000174E-2</v>
      </c>
      <c r="CU73" s="51">
        <v>6.3974120343198479E-2</v>
      </c>
      <c r="CV73" s="51">
        <v>6.3391955848075374E-2</v>
      </c>
      <c r="CW73" s="51">
        <v>6.2815089049857886E-2</v>
      </c>
      <c r="CX73" s="55">
        <v>6.2243471739504182E-2</v>
      </c>
      <c r="CY73" s="53">
        <v>6.1677056146674694E-2</v>
      </c>
    </row>
    <row r="74" spans="1:103" ht="15.75">
      <c r="A74" s="54">
        <v>92</v>
      </c>
      <c r="B74" s="55">
        <v>0.16742199999999999</v>
      </c>
      <c r="C74" s="55">
        <v>0.1663504992</v>
      </c>
      <c r="D74" s="55">
        <v>0.16528585600512</v>
      </c>
      <c r="E74" s="55">
        <v>0.16421149794108672</v>
      </c>
      <c r="F74" s="55">
        <v>0.16312770205467553</v>
      </c>
      <c r="G74" s="55">
        <v>0.16201843368070373</v>
      </c>
      <c r="H74" s="55">
        <v>0.1608843046449388</v>
      </c>
      <c r="I74" s="55">
        <v>0.15972593765149526</v>
      </c>
      <c r="J74" s="55">
        <v>0.15854396571287421</v>
      </c>
      <c r="K74" s="55">
        <v>0.15733903157345636</v>
      </c>
      <c r="L74" s="55">
        <v>0.15612752103034075</v>
      </c>
      <c r="M74" s="55">
        <v>0.1549097263663041</v>
      </c>
      <c r="N74" s="55">
        <v>0.1536859395280103</v>
      </c>
      <c r="O74" s="55">
        <v>0.1524564520117862</v>
      </c>
      <c r="P74" s="55">
        <v>0.15120630910528957</v>
      </c>
      <c r="Q74" s="55">
        <v>0.14995129673971566</v>
      </c>
      <c r="R74" s="55">
        <v>0.14867671071742808</v>
      </c>
      <c r="S74" s="55">
        <v>0.14738322333418644</v>
      </c>
      <c r="T74" s="55">
        <v>0.14608625096884559</v>
      </c>
      <c r="U74" s="51">
        <v>0.14478608333522286</v>
      </c>
      <c r="V74" s="51">
        <v>0.14348300858520585</v>
      </c>
      <c r="W74" s="51">
        <v>0.14219166150793899</v>
      </c>
      <c r="X74" s="51">
        <v>0.14091193655436754</v>
      </c>
      <c r="Y74" s="51">
        <v>0.13964372912537823</v>
      </c>
      <c r="Z74" s="51">
        <v>0.13838693556324982</v>
      </c>
      <c r="AA74" s="51">
        <v>0.13714145314318058</v>
      </c>
      <c r="AB74" s="51">
        <v>0.13590718006489194</v>
      </c>
      <c r="AC74" s="51">
        <v>0.13468401544430791</v>
      </c>
      <c r="AD74" s="51">
        <v>0.13347185930530914</v>
      </c>
      <c r="AE74" s="51">
        <v>0.13227061257156136</v>
      </c>
      <c r="AF74" s="51">
        <v>0.13108017705841732</v>
      </c>
      <c r="AG74" s="51">
        <v>0.12990045546489157</v>
      </c>
      <c r="AH74" s="51">
        <v>0.12873135136570754</v>
      </c>
      <c r="AI74" s="51">
        <v>0.12757276920341618</v>
      </c>
      <c r="AJ74" s="51">
        <v>0.12642461428058543</v>
      </c>
      <c r="AK74" s="51">
        <v>0.12528679275206017</v>
      </c>
      <c r="AL74" s="51">
        <v>0.12415921161729163</v>
      </c>
      <c r="AM74" s="51">
        <v>0.123041778712736</v>
      </c>
      <c r="AN74" s="51">
        <v>0.12193440270432138</v>
      </c>
      <c r="AO74" s="51">
        <v>0.12083699307998248</v>
      </c>
      <c r="AP74" s="51">
        <v>0.11974946014226263</v>
      </c>
      <c r="AQ74" s="51">
        <v>0.11867171500098227</v>
      </c>
      <c r="AR74" s="51">
        <v>0.11760366956597343</v>
      </c>
      <c r="AS74" s="51">
        <v>0.11654523653987967</v>
      </c>
      <c r="AT74" s="51">
        <v>0.11549632941102075</v>
      </c>
      <c r="AU74" s="51">
        <v>0.11445686244632157</v>
      </c>
      <c r="AV74" s="51">
        <v>0.11342675068430468</v>
      </c>
      <c r="AW74" s="51">
        <v>0.11240590992814593</v>
      </c>
      <c r="AX74" s="51">
        <v>0.11139425673879262</v>
      </c>
      <c r="AY74" s="51">
        <v>0.11039170842814348</v>
      </c>
      <c r="AZ74" s="51">
        <v>0.1093981830522902</v>
      </c>
      <c r="BA74" s="51">
        <v>0.10841359940481958</v>
      </c>
      <c r="BB74" s="51">
        <v>0.10743787701017621</v>
      </c>
      <c r="BC74" s="51">
        <v>0.10647093611708462</v>
      </c>
      <c r="BD74" s="51">
        <v>0.10551269769203087</v>
      </c>
      <c r="BE74" s="51">
        <v>0.10456308341280258</v>
      </c>
      <c r="BF74" s="51">
        <v>0.10362201566208736</v>
      </c>
      <c r="BG74" s="51">
        <v>0.10268941752112856</v>
      </c>
      <c r="BH74" s="51">
        <v>0.1017652127634384</v>
      </c>
      <c r="BI74" s="51">
        <v>0.10084932584856746</v>
      </c>
      <c r="BJ74" s="51">
        <v>9.994168191593035E-2</v>
      </c>
      <c r="BK74" s="51">
        <v>9.904220677868697E-2</v>
      </c>
      <c r="BL74" s="51">
        <v>9.8150826917678791E-2</v>
      </c>
      <c r="BM74" s="51">
        <v>9.7267469475419685E-2</v>
      </c>
      <c r="BN74" s="51">
        <v>9.6392062250140909E-2</v>
      </c>
      <c r="BO74" s="51">
        <v>9.552453368988964E-2</v>
      </c>
      <c r="BP74" s="51">
        <v>9.4664812886680633E-2</v>
      </c>
      <c r="BQ74" s="51">
        <v>9.3812829570700501E-2</v>
      </c>
      <c r="BR74" s="51">
        <v>9.2968514104564193E-2</v>
      </c>
      <c r="BS74" s="51">
        <v>9.2131797477623109E-2</v>
      </c>
      <c r="BT74" s="51">
        <v>9.1302611300324507E-2</v>
      </c>
      <c r="BU74" s="51">
        <v>9.0480887798621581E-2</v>
      </c>
      <c r="BV74" s="51">
        <v>8.9666559808433993E-2</v>
      </c>
      <c r="BW74" s="51">
        <v>8.885956077015808E-2</v>
      </c>
      <c r="BX74" s="51">
        <v>8.8059824723226654E-2</v>
      </c>
      <c r="BY74" s="51">
        <v>8.7267286300717617E-2</v>
      </c>
      <c r="BZ74" s="51">
        <v>8.6481880724011154E-2</v>
      </c>
      <c r="CA74" s="51">
        <v>8.5703543797495049E-2</v>
      </c>
      <c r="CB74" s="51">
        <v>8.4932211903317595E-2</v>
      </c>
      <c r="CC74" s="51">
        <v>8.4167821996187733E-2</v>
      </c>
      <c r="CD74" s="51">
        <v>8.3410311598222042E-2</v>
      </c>
      <c r="CE74" s="51">
        <v>8.2659618793838041E-2</v>
      </c>
      <c r="CF74" s="51">
        <v>8.1915682224693503E-2</v>
      </c>
      <c r="CG74" s="51">
        <v>8.117844108467126E-2</v>
      </c>
      <c r="CH74" s="51">
        <v>8.0447835114909216E-2</v>
      </c>
      <c r="CI74" s="51">
        <v>7.9723804598875028E-2</v>
      </c>
      <c r="CJ74" s="51">
        <v>7.9006290357485146E-2</v>
      </c>
      <c r="CK74" s="51">
        <v>7.8295233744267778E-2</v>
      </c>
      <c r="CL74" s="51">
        <v>7.759057664056937E-2</v>
      </c>
      <c r="CM74" s="51">
        <v>7.6892261450804245E-2</v>
      </c>
      <c r="CN74" s="51">
        <v>7.6200231097747012E-2</v>
      </c>
      <c r="CO74" s="51">
        <v>7.5514429017867285E-2</v>
      </c>
      <c r="CP74" s="51">
        <v>7.4834799156706475E-2</v>
      </c>
      <c r="CQ74" s="51">
        <v>7.4161285964296123E-2</v>
      </c>
      <c r="CR74" s="51">
        <v>7.3493834390617463E-2</v>
      </c>
      <c r="CS74" s="51">
        <v>7.2832389881101911E-2</v>
      </c>
      <c r="CT74" s="51">
        <v>7.2176898372171991E-2</v>
      </c>
      <c r="CU74" s="51">
        <v>7.152730628682244E-2</v>
      </c>
      <c r="CV74" s="51">
        <v>7.0883560530241044E-2</v>
      </c>
      <c r="CW74" s="51">
        <v>7.0245608485468874E-2</v>
      </c>
      <c r="CX74" s="55">
        <v>6.9613398009099658E-2</v>
      </c>
      <c r="CY74" s="53">
        <v>6.8986877427017756E-2</v>
      </c>
    </row>
    <row r="75" spans="1:103" ht="15.75">
      <c r="A75" s="54">
        <v>93</v>
      </c>
      <c r="B75" s="55">
        <v>0.18403</v>
      </c>
      <c r="C75" s="55">
        <v>0.18279699899999999</v>
      </c>
      <c r="D75" s="55">
        <v>0.18159053880659998</v>
      </c>
      <c r="E75" s="55">
        <v>0.18039204125047642</v>
      </c>
      <c r="F75" s="55">
        <v>0.17918341457409823</v>
      </c>
      <c r="G75" s="55">
        <v>0.17796496735499434</v>
      </c>
      <c r="H75" s="55">
        <v>0.17673700908024487</v>
      </c>
      <c r="I75" s="55">
        <v>0.17548217631577512</v>
      </c>
      <c r="J75" s="55">
        <v>0.17421870464630154</v>
      </c>
      <c r="K75" s="55">
        <v>0.17292948623191892</v>
      </c>
      <c r="L75" s="55">
        <v>0.17163251508517954</v>
      </c>
      <c r="M75" s="55">
        <v>0.17032810797053216</v>
      </c>
      <c r="N75" s="55">
        <v>0.16901658153915905</v>
      </c>
      <c r="O75" s="55">
        <v>0.1676982522031536</v>
      </c>
      <c r="P75" s="55">
        <v>0.16637343601074869</v>
      </c>
      <c r="Q75" s="55">
        <v>0.16502581117906162</v>
      </c>
      <c r="R75" s="55">
        <v>0.16365609694627542</v>
      </c>
      <c r="S75" s="55">
        <v>0.16228138573192671</v>
      </c>
      <c r="T75" s="55">
        <v>0.16088576581463213</v>
      </c>
      <c r="U75" s="51">
        <v>0.15948605965204482</v>
      </c>
      <c r="V75" s="51">
        <v>0.15808258232710681</v>
      </c>
      <c r="W75" s="51">
        <v>0.15669145560262826</v>
      </c>
      <c r="X75" s="51">
        <v>0.15531257079332514</v>
      </c>
      <c r="Y75" s="51">
        <v>0.15394582017034386</v>
      </c>
      <c r="Z75" s="51">
        <v>0.15259109695284484</v>
      </c>
      <c r="AA75" s="51">
        <v>0.1512482952996598</v>
      </c>
      <c r="AB75" s="51">
        <v>0.14991731030102279</v>
      </c>
      <c r="AC75" s="51">
        <v>0.14859803797037377</v>
      </c>
      <c r="AD75" s="51">
        <v>0.14729037523623448</v>
      </c>
      <c r="AE75" s="51">
        <v>0.14599421993415562</v>
      </c>
      <c r="AF75" s="51">
        <v>0.14470947079873506</v>
      </c>
      <c r="AG75" s="51">
        <v>0.14343602745570619</v>
      </c>
      <c r="AH75" s="51">
        <v>0.14217379041409597</v>
      </c>
      <c r="AI75" s="51">
        <v>0.14092266105845191</v>
      </c>
      <c r="AJ75" s="51">
        <v>0.13968254164113753</v>
      </c>
      <c r="AK75" s="51">
        <v>0.1384533352746955</v>
      </c>
      <c r="AL75" s="51">
        <v>0.13723494592427818</v>
      </c>
      <c r="AM75" s="51">
        <v>0.13602727840014453</v>
      </c>
      <c r="AN75" s="51">
        <v>0.13483023835022326</v>
      </c>
      <c r="AO75" s="51">
        <v>0.13364373225274129</v>
      </c>
      <c r="AP75" s="51">
        <v>0.13246766740891716</v>
      </c>
      <c r="AQ75" s="51">
        <v>0.1313019519357187</v>
      </c>
      <c r="AR75" s="51">
        <v>0.13014649475868437</v>
      </c>
      <c r="AS75" s="51">
        <v>0.12900120560480793</v>
      </c>
      <c r="AT75" s="51">
        <v>0.12786599499548562</v>
      </c>
      <c r="AU75" s="51">
        <v>0.12674077423952534</v>
      </c>
      <c r="AV75" s="51">
        <v>0.12562545542621753</v>
      </c>
      <c r="AW75" s="51">
        <v>0.12451995141846681</v>
      </c>
      <c r="AX75" s="51">
        <v>0.12342417584598429</v>
      </c>
      <c r="AY75" s="51">
        <v>0.12233804309853963</v>
      </c>
      <c r="AZ75" s="51">
        <v>0.12126146831927248</v>
      </c>
      <c r="BA75" s="51">
        <v>0.12019436739806288</v>
      </c>
      <c r="BB75" s="51">
        <v>0.11913665696495992</v>
      </c>
      <c r="BC75" s="51">
        <v>0.11808825438366827</v>
      </c>
      <c r="BD75" s="51">
        <v>0.11704907774509199</v>
      </c>
      <c r="BE75" s="51">
        <v>0.11601904586093517</v>
      </c>
      <c r="BF75" s="51">
        <v>0.11499807825735894</v>
      </c>
      <c r="BG75" s="51">
        <v>0.11398609516869418</v>
      </c>
      <c r="BH75" s="51">
        <v>0.11298301753120966</v>
      </c>
      <c r="BI75" s="51">
        <v>0.11198876697693502</v>
      </c>
      <c r="BJ75" s="51">
        <v>0.11100326582753799</v>
      </c>
      <c r="BK75" s="51">
        <v>0.11002643708825564</v>
      </c>
      <c r="BL75" s="51">
        <v>0.109058204441879</v>
      </c>
      <c r="BM75" s="51">
        <v>0.10809849224279046</v>
      </c>
      <c r="BN75" s="51">
        <v>0.10714722551105391</v>
      </c>
      <c r="BO75" s="51">
        <v>0.10620432992655662</v>
      </c>
      <c r="BP75" s="51">
        <v>0.10526973182320293</v>
      </c>
      <c r="BQ75" s="51">
        <v>0.10434335818315874</v>
      </c>
      <c r="BR75" s="51">
        <v>0.10342513663114694</v>
      </c>
      <c r="BS75" s="51">
        <v>0.10251499542879285</v>
      </c>
      <c r="BT75" s="51">
        <v>0.10161286346901946</v>
      </c>
      <c r="BU75" s="51">
        <v>0.10071867027049208</v>
      </c>
      <c r="BV75" s="51">
        <v>9.9832345972111755E-2</v>
      </c>
      <c r="BW75" s="51">
        <v>9.8953821327557173E-2</v>
      </c>
      <c r="BX75" s="51">
        <v>9.8083027699874661E-2</v>
      </c>
      <c r="BY75" s="51">
        <v>9.7219897056115764E-2</v>
      </c>
      <c r="BZ75" s="51">
        <v>9.6364361962021944E-2</v>
      </c>
      <c r="CA75" s="51">
        <v>9.5516355576756154E-2</v>
      </c>
      <c r="CB75" s="51">
        <v>9.4675811647680699E-2</v>
      </c>
      <c r="CC75" s="51">
        <v>9.3842664505181111E-2</v>
      </c>
      <c r="CD75" s="51">
        <v>9.3016849057535517E-2</v>
      </c>
      <c r="CE75" s="51">
        <v>9.2198300785829204E-2</v>
      </c>
      <c r="CF75" s="51">
        <v>9.1386955738913908E-2</v>
      </c>
      <c r="CG75" s="51">
        <v>9.0582750528411457E-2</v>
      </c>
      <c r="CH75" s="51">
        <v>8.978562232376143E-2</v>
      </c>
      <c r="CI75" s="51">
        <v>8.8995508847312332E-2</v>
      </c>
      <c r="CJ75" s="51">
        <v>8.8212348369455976E-2</v>
      </c>
      <c r="CK75" s="51">
        <v>8.7436079703804764E-2</v>
      </c>
      <c r="CL75" s="51">
        <v>8.6666642202411284E-2</v>
      </c>
      <c r="CM75" s="51">
        <v>8.5903975751030065E-2</v>
      </c>
      <c r="CN75" s="51">
        <v>8.5148020764421004E-2</v>
      </c>
      <c r="CO75" s="51">
        <v>8.4398718181694102E-2</v>
      </c>
      <c r="CP75" s="51">
        <v>8.3656009461695185E-2</v>
      </c>
      <c r="CQ75" s="51">
        <v>8.2919836578432271E-2</v>
      </c>
      <c r="CR75" s="51">
        <v>8.2190142016542067E-2</v>
      </c>
      <c r="CS75" s="51">
        <v>8.1466868766796499E-2</v>
      </c>
      <c r="CT75" s="51">
        <v>8.0749960321648689E-2</v>
      </c>
      <c r="CU75" s="51">
        <v>8.0039360670818183E-2</v>
      </c>
      <c r="CV75" s="51">
        <v>7.9335014296914974E-2</v>
      </c>
      <c r="CW75" s="51">
        <v>7.8636866171102118E-2</v>
      </c>
      <c r="CX75" s="55">
        <v>7.7944861748796418E-2</v>
      </c>
      <c r="CY75" s="53">
        <v>7.7258946965407013E-2</v>
      </c>
    </row>
    <row r="76" spans="1:103" ht="15.75">
      <c r="A76" s="54">
        <v>94</v>
      </c>
      <c r="B76" s="55">
        <v>0.201074</v>
      </c>
      <c r="C76" s="55">
        <v>0.19962626720000001</v>
      </c>
      <c r="D76" s="55">
        <v>0.19822888332960001</v>
      </c>
      <c r="E76" s="55">
        <v>0.19688092692295872</v>
      </c>
      <c r="F76" s="55">
        <v>0.19554213661988259</v>
      </c>
      <c r="G76" s="55">
        <v>0.19421245009086738</v>
      </c>
      <c r="H76" s="55">
        <v>0.19287238418524039</v>
      </c>
      <c r="I76" s="55">
        <v>0.19154156473436224</v>
      </c>
      <c r="J76" s="55">
        <v>0.19020077378122169</v>
      </c>
      <c r="K76" s="55">
        <v>0.18885034828737501</v>
      </c>
      <c r="L76" s="55">
        <v>0.18749062577970591</v>
      </c>
      <c r="M76" s="55">
        <v>0.18612194421151407</v>
      </c>
      <c r="N76" s="55">
        <v>0.18474464182434888</v>
      </c>
      <c r="O76" s="55">
        <v>0.18335905701066627</v>
      </c>
      <c r="P76" s="55">
        <v>0.18194719227168413</v>
      </c>
      <c r="Q76" s="55">
        <v>0.18052800417196499</v>
      </c>
      <c r="R76" s="55">
        <v>0.17908378013858928</v>
      </c>
      <c r="S76" s="55">
        <v>0.17761529314145286</v>
      </c>
      <c r="T76" s="55">
        <v>0.17612332467906466</v>
      </c>
      <c r="U76" s="51">
        <v>0.17460866408682471</v>
      </c>
      <c r="V76" s="51">
        <v>0.17308956870926934</v>
      </c>
      <c r="W76" s="51">
        <v>0.17158368946149868</v>
      </c>
      <c r="X76" s="51">
        <v>0.17009091136318363</v>
      </c>
      <c r="Y76" s="51">
        <v>0.16861112043432394</v>
      </c>
      <c r="Z76" s="51">
        <v>0.16714420368654531</v>
      </c>
      <c r="AA76" s="51">
        <v>0.16569004911447235</v>
      </c>
      <c r="AB76" s="51">
        <v>0.16424854568717645</v>
      </c>
      <c r="AC76" s="51">
        <v>0.16281958333969801</v>
      </c>
      <c r="AD76" s="51">
        <v>0.16140305296464263</v>
      </c>
      <c r="AE76" s="51">
        <v>0.15999884640385023</v>
      </c>
      <c r="AF76" s="51">
        <v>0.15860685644013672</v>
      </c>
      <c r="AG76" s="51">
        <v>0.15722697678910752</v>
      </c>
      <c r="AH76" s="51">
        <v>0.15585910209104228</v>
      </c>
      <c r="AI76" s="51">
        <v>0.1545031279028502</v>
      </c>
      <c r="AJ76" s="51">
        <v>0.15315895069009539</v>
      </c>
      <c r="AK76" s="51">
        <v>0.15182646781909154</v>
      </c>
      <c r="AL76" s="51">
        <v>0.15050557754906543</v>
      </c>
      <c r="AM76" s="51">
        <v>0.14919617902438856</v>
      </c>
      <c r="AN76" s="51">
        <v>0.14789817226687638</v>
      </c>
      <c r="AO76" s="51">
        <v>0.14661145816815455</v>
      </c>
      <c r="AP76" s="51">
        <v>0.14533593848209159</v>
      </c>
      <c r="AQ76" s="51">
        <v>0.14407151581729738</v>
      </c>
      <c r="AR76" s="51">
        <v>0.14281809362968689</v>
      </c>
      <c r="AS76" s="51">
        <v>0.14157557621510861</v>
      </c>
      <c r="AT76" s="51">
        <v>0.14034386870203716</v>
      </c>
      <c r="AU76" s="51">
        <v>0.13912287704432943</v>
      </c>
      <c r="AV76" s="51">
        <v>0.13791250801404376</v>
      </c>
      <c r="AW76" s="51">
        <v>0.13671266919432157</v>
      </c>
      <c r="AX76" s="51">
        <v>0.13552326897233097</v>
      </c>
      <c r="AY76" s="51">
        <v>0.13434421653227169</v>
      </c>
      <c r="AZ76" s="51">
        <v>0.13317542184844092</v>
      </c>
      <c r="BA76" s="51">
        <v>0.13201679567835947</v>
      </c>
      <c r="BB76" s="51">
        <v>0.13086824955595774</v>
      </c>
      <c r="BC76" s="51">
        <v>0.12972969578482091</v>
      </c>
      <c r="BD76" s="51">
        <v>0.12860104743149295</v>
      </c>
      <c r="BE76" s="51">
        <v>0.12748221831883896</v>
      </c>
      <c r="BF76" s="51">
        <v>0.12637312301946507</v>
      </c>
      <c r="BG76" s="51">
        <v>0.12527367684919571</v>
      </c>
      <c r="BH76" s="51">
        <v>0.12418379586060771</v>
      </c>
      <c r="BI76" s="51">
        <v>0.12310339683662042</v>
      </c>
      <c r="BJ76" s="51">
        <v>0.12203239728414181</v>
      </c>
      <c r="BK76" s="51">
        <v>0.12097071542776977</v>
      </c>
      <c r="BL76" s="51">
        <v>0.11991827020354817</v>
      </c>
      <c r="BM76" s="51">
        <v>0.1188749812527773</v>
      </c>
      <c r="BN76" s="51">
        <v>0.11784076891587814</v>
      </c>
      <c r="BO76" s="51">
        <v>0.11681555422630999</v>
      </c>
      <c r="BP76" s="51">
        <v>0.11579925890454108</v>
      </c>
      <c r="BQ76" s="51">
        <v>0.11479180535207158</v>
      </c>
      <c r="BR76" s="51">
        <v>0.11379311664550855</v>
      </c>
      <c r="BS76" s="51">
        <v>0.11280311653069262</v>
      </c>
      <c r="BT76" s="51">
        <v>0.1118217294168756</v>
      </c>
      <c r="BU76" s="51">
        <v>0.11084888037094878</v>
      </c>
      <c r="BV76" s="51">
        <v>0.10988449511172152</v>
      </c>
      <c r="BW76" s="51">
        <v>0.10892850000424954</v>
      </c>
      <c r="BX76" s="51">
        <v>0.10798082205421257</v>
      </c>
      <c r="BY76" s="51">
        <v>0.10704138890234091</v>
      </c>
      <c r="BZ76" s="51">
        <v>0.10611012881889054</v>
      </c>
      <c r="CA76" s="51">
        <v>0.10518697069816618</v>
      </c>
      <c r="CB76" s="51">
        <v>0.10427184405309213</v>
      </c>
      <c r="CC76" s="51">
        <v>0.10336467900983022</v>
      </c>
      <c r="CD76" s="51">
        <v>0.10246540630244469</v>
      </c>
      <c r="CE76" s="51">
        <v>0.10157395726761341</v>
      </c>
      <c r="CF76" s="51">
        <v>0.10069026383938517</v>
      </c>
      <c r="CG76" s="51">
        <v>9.9814258543982515E-2</v>
      </c>
      <c r="CH76" s="51">
        <v>9.8945874494649866E-2</v>
      </c>
      <c r="CI76" s="51">
        <v>9.8085045386546402E-2</v>
      </c>
      <c r="CJ76" s="51">
        <v>9.7231705491683446E-2</v>
      </c>
      <c r="CK76" s="51">
        <v>9.638578965390579E-2</v>
      </c>
      <c r="CL76" s="51">
        <v>9.5547233283916802E-2</v>
      </c>
      <c r="CM76" s="51">
        <v>9.4715972354346728E-2</v>
      </c>
      <c r="CN76" s="51">
        <v>9.3891943394863911E-2</v>
      </c>
      <c r="CO76" s="51">
        <v>9.3075083487328597E-2</v>
      </c>
      <c r="CP76" s="51">
        <v>9.2265330260988834E-2</v>
      </c>
      <c r="CQ76" s="51">
        <v>9.1462621887718226E-2</v>
      </c>
      <c r="CR76" s="51">
        <v>9.0666897077295069E-2</v>
      </c>
      <c r="CS76" s="51">
        <v>8.9878095072722597E-2</v>
      </c>
      <c r="CT76" s="51">
        <v>8.9096155645589911E-2</v>
      </c>
      <c r="CU76" s="51">
        <v>8.8321019091473274E-2</v>
      </c>
      <c r="CV76" s="51">
        <v>8.7552626225377447E-2</v>
      </c>
      <c r="CW76" s="51">
        <v>8.6790918377216655E-2</v>
      </c>
      <c r="CX76" s="55">
        <v>8.6035837387334863E-2</v>
      </c>
      <c r="CY76" s="53">
        <v>8.5287325602065048E-2</v>
      </c>
    </row>
    <row r="77" spans="1:103" ht="15.75">
      <c r="A77" s="54">
        <v>95</v>
      </c>
      <c r="B77" s="55">
        <v>0.218559</v>
      </c>
      <c r="C77" s="55">
        <v>0.21687609569999999</v>
      </c>
      <c r="D77" s="55">
        <v>0.21527121259182</v>
      </c>
      <c r="E77" s="55">
        <v>0.21372125986115889</v>
      </c>
      <c r="F77" s="55">
        <v>0.21222521104213077</v>
      </c>
      <c r="G77" s="55">
        <v>0.21076085708594006</v>
      </c>
      <c r="H77" s="55">
        <v>0.20932768325775566</v>
      </c>
      <c r="I77" s="55">
        <v>0.20790425501160292</v>
      </c>
      <c r="J77" s="55">
        <v>0.20646971565202285</v>
      </c>
      <c r="K77" s="55">
        <v>0.20504507461402388</v>
      </c>
      <c r="L77" s="55">
        <v>0.20360975909172571</v>
      </c>
      <c r="M77" s="55">
        <v>0.20216412980217446</v>
      </c>
      <c r="N77" s="55">
        <v>0.2007085480675988</v>
      </c>
      <c r="O77" s="55">
        <v>0.19924337566670533</v>
      </c>
      <c r="P77" s="55">
        <v>0.19776897468677171</v>
      </c>
      <c r="Q77" s="55">
        <v>0.19628570737662093</v>
      </c>
      <c r="R77" s="55">
        <v>0.19477430742982094</v>
      </c>
      <c r="S77" s="55">
        <v>0.19323559040112534</v>
      </c>
      <c r="T77" s="55">
        <v>0.19167038211887621</v>
      </c>
      <c r="U77" s="51">
        <v>0.19007951794728956</v>
      </c>
      <c r="V77" s="51">
        <v>0.1884638420447376</v>
      </c>
      <c r="W77" s="51">
        <v>0.18686189938735734</v>
      </c>
      <c r="X77" s="51">
        <v>0.1852735732425648</v>
      </c>
      <c r="Y77" s="51">
        <v>0.18369874787000301</v>
      </c>
      <c r="Z77" s="51">
        <v>0.182137308513108</v>
      </c>
      <c r="AA77" s="51">
        <v>0.18058914139074658</v>
      </c>
      <c r="AB77" s="51">
        <v>0.17905413368892525</v>
      </c>
      <c r="AC77" s="51">
        <v>0.17753217355256939</v>
      </c>
      <c r="AD77" s="51">
        <v>0.17602315007737257</v>
      </c>
      <c r="AE77" s="51">
        <v>0.17452695330171492</v>
      </c>
      <c r="AF77" s="51">
        <v>0.17304347419865035</v>
      </c>
      <c r="AG77" s="51">
        <v>0.17157260466796184</v>
      </c>
      <c r="AH77" s="51">
        <v>0.17011423752828417</v>
      </c>
      <c r="AI77" s="51">
        <v>0.16866826650929376</v>
      </c>
      <c r="AJ77" s="51">
        <v>0.16723458624396476</v>
      </c>
      <c r="AK77" s="51">
        <v>0.16581309226089105</v>
      </c>
      <c r="AL77" s="51">
        <v>0.16440368097667349</v>
      </c>
      <c r="AM77" s="51">
        <v>0.16300624968837177</v>
      </c>
      <c r="AN77" s="51">
        <v>0.16162069656602063</v>
      </c>
      <c r="AO77" s="51">
        <v>0.16024692064520946</v>
      </c>
      <c r="AP77" s="51">
        <v>0.15888482181972519</v>
      </c>
      <c r="AQ77" s="51">
        <v>0.15753430083425754</v>
      </c>
      <c r="AR77" s="51">
        <v>0.15619525927716635</v>
      </c>
      <c r="AS77" s="51">
        <v>0.15486759957331045</v>
      </c>
      <c r="AT77" s="51">
        <v>0.15355122497693732</v>
      </c>
      <c r="AU77" s="51">
        <v>0.15224603956463337</v>
      </c>
      <c r="AV77" s="51">
        <v>0.15095194822833399</v>
      </c>
      <c r="AW77" s="51">
        <v>0.14966885666839316</v>
      </c>
      <c r="AX77" s="51">
        <v>0.14839667138671184</v>
      </c>
      <c r="AY77" s="51">
        <v>0.14713529967992478</v>
      </c>
      <c r="AZ77" s="51">
        <v>0.14588464963264541</v>
      </c>
      <c r="BA77" s="51">
        <v>0.14464463011076795</v>
      </c>
      <c r="BB77" s="51">
        <v>0.14341515075482641</v>
      </c>
      <c r="BC77" s="51">
        <v>0.14219612197341039</v>
      </c>
      <c r="BD77" s="51">
        <v>0.14098745493663642</v>
      </c>
      <c r="BE77" s="51">
        <v>0.13978906156967502</v>
      </c>
      <c r="BF77" s="51">
        <v>0.13860085454633278</v>
      </c>
      <c r="BG77" s="51">
        <v>0.13742274728268897</v>
      </c>
      <c r="BH77" s="51">
        <v>0.13625465393078612</v>
      </c>
      <c r="BI77" s="51">
        <v>0.13509648937237445</v>
      </c>
      <c r="BJ77" s="51">
        <v>0.13394816921270927</v>
      </c>
      <c r="BK77" s="51">
        <v>0.13280960977440126</v>
      </c>
      <c r="BL77" s="51">
        <v>0.13168072809131887</v>
      </c>
      <c r="BM77" s="51">
        <v>0.13056144190254265</v>
      </c>
      <c r="BN77" s="51">
        <v>0.12945166964637106</v>
      </c>
      <c r="BO77" s="51">
        <v>0.12835133045437691</v>
      </c>
      <c r="BP77" s="51">
        <v>0.12726034414551471</v>
      </c>
      <c r="BQ77" s="51">
        <v>0.12617863122027784</v>
      </c>
      <c r="BR77" s="51">
        <v>0.12510611285490547</v>
      </c>
      <c r="BS77" s="51">
        <v>0.12404271089563879</v>
      </c>
      <c r="BT77" s="51">
        <v>0.12298834785302586</v>
      </c>
      <c r="BU77" s="51">
        <v>0.12194294689627515</v>
      </c>
      <c r="BV77" s="51">
        <v>0.12090643184765681</v>
      </c>
      <c r="BW77" s="51">
        <v>0.11987872717695174</v>
      </c>
      <c r="BX77" s="51">
        <v>0.11885975799594765</v>
      </c>
      <c r="BY77" s="51">
        <v>0.1178494500529821</v>
      </c>
      <c r="BZ77" s="51">
        <v>0.11684772972753175</v>
      </c>
      <c r="CA77" s="51">
        <v>0.11585452402484774</v>
      </c>
      <c r="CB77" s="51">
        <v>0.11486976057063654</v>
      </c>
      <c r="CC77" s="51">
        <v>0.11389336760578614</v>
      </c>
      <c r="CD77" s="51">
        <v>0.11292527398113696</v>
      </c>
      <c r="CE77" s="51">
        <v>0.1119654091522973</v>
      </c>
      <c r="CF77" s="51">
        <v>0.11101370317450278</v>
      </c>
      <c r="CG77" s="51">
        <v>0.11007008669751951</v>
      </c>
      <c r="CH77" s="51">
        <v>0.10913449096059061</v>
      </c>
      <c r="CI77" s="51">
        <v>0.10820684778742559</v>
      </c>
      <c r="CJ77" s="51">
        <v>0.10728708958123248</v>
      </c>
      <c r="CK77" s="51">
        <v>0.10637514931979201</v>
      </c>
      <c r="CL77" s="51">
        <v>0.10547096055057378</v>
      </c>
      <c r="CM77" s="51">
        <v>0.10457445738589391</v>
      </c>
      <c r="CN77" s="51">
        <v>0.10368557449811382</v>
      </c>
      <c r="CO77" s="51">
        <v>0.10280424711487986</v>
      </c>
      <c r="CP77" s="51">
        <v>0.10193041101440338</v>
      </c>
      <c r="CQ77" s="51">
        <v>0.10106400252078096</v>
      </c>
      <c r="CR77" s="51">
        <v>0.10020495849935433</v>
      </c>
      <c r="CS77" s="51">
        <v>9.9353216352109822E-2</v>
      </c>
      <c r="CT77" s="51">
        <v>9.8508714013116894E-2</v>
      </c>
      <c r="CU77" s="51">
        <v>9.7671389944005399E-2</v>
      </c>
      <c r="CV77" s="51">
        <v>9.6841183129481354E-2</v>
      </c>
      <c r="CW77" s="51">
        <v>9.6018033072880773E-2</v>
      </c>
      <c r="CX77" s="55">
        <v>9.5201879791761285E-2</v>
      </c>
      <c r="CY77" s="53">
        <v>9.4392663813531313E-2</v>
      </c>
    </row>
    <row r="78" spans="1:103" ht="15.75">
      <c r="A78" s="54">
        <v>96</v>
      </c>
      <c r="B78" s="55">
        <v>0.236535</v>
      </c>
      <c r="C78" s="55">
        <v>0.23480829450000001</v>
      </c>
      <c r="D78" s="55">
        <v>0.23314115560905002</v>
      </c>
      <c r="E78" s="55">
        <v>0.23155579575090848</v>
      </c>
      <c r="F78" s="55">
        <v>0.23000437191937739</v>
      </c>
      <c r="G78" s="55">
        <v>0.2284863430647095</v>
      </c>
      <c r="H78" s="55">
        <v>0.2270011818347889</v>
      </c>
      <c r="I78" s="55">
        <v>0.22552567415286279</v>
      </c>
      <c r="J78" s="55">
        <v>0.22405975727086919</v>
      </c>
      <c r="K78" s="55">
        <v>0.22258096287288143</v>
      </c>
      <c r="L78" s="55">
        <v>0.22111192851792039</v>
      </c>
      <c r="M78" s="55">
        <v>0.21963047859685031</v>
      </c>
      <c r="N78" s="55">
        <v>0.21813699134239173</v>
      </c>
      <c r="O78" s="55">
        <v>0.21663184610212921</v>
      </c>
      <c r="P78" s="55">
        <v>0.21511542317941432</v>
      </c>
      <c r="Q78" s="55">
        <v>0.21356659213252255</v>
      </c>
      <c r="R78" s="55">
        <v>0.21200755600995513</v>
      </c>
      <c r="S78" s="55">
        <v>0.21041749933988049</v>
      </c>
      <c r="T78" s="55">
        <v>0.20879728459496341</v>
      </c>
      <c r="U78" s="51">
        <v>0.2071477860466632</v>
      </c>
      <c r="V78" s="51">
        <v>0.20546988897968524</v>
      </c>
      <c r="W78" s="51">
        <v>0.20380558287894979</v>
      </c>
      <c r="X78" s="51">
        <v>0.2021547576576303</v>
      </c>
      <c r="Y78" s="51">
        <v>0.20051730412060351</v>
      </c>
      <c r="Z78" s="51">
        <v>0.19889311395722661</v>
      </c>
      <c r="AA78" s="51">
        <v>0.19728207973417308</v>
      </c>
      <c r="AB78" s="51">
        <v>0.19568409488832628</v>
      </c>
      <c r="AC78" s="51">
        <v>0.19409905371973082</v>
      </c>
      <c r="AD78" s="51">
        <v>0.19252685138460102</v>
      </c>
      <c r="AE78" s="51">
        <v>0.19096738388838574</v>
      </c>
      <c r="AF78" s="51">
        <v>0.18942054807888983</v>
      </c>
      <c r="AG78" s="51">
        <v>0.18788624163945084</v>
      </c>
      <c r="AH78" s="51">
        <v>0.18636436308217127</v>
      </c>
      <c r="AI78" s="51">
        <v>0.18485481174120569</v>
      </c>
      <c r="AJ78" s="51">
        <v>0.18335748776610192</v>
      </c>
      <c r="AK78" s="51">
        <v>0.18187229211519648</v>
      </c>
      <c r="AL78" s="51">
        <v>0.1803991265490634</v>
      </c>
      <c r="AM78" s="51">
        <v>0.17893789362401599</v>
      </c>
      <c r="AN78" s="51">
        <v>0.17748849668566147</v>
      </c>
      <c r="AO78" s="51">
        <v>0.17605083986250761</v>
      </c>
      <c r="AP78" s="51">
        <v>0.17462482805962129</v>
      </c>
      <c r="AQ78" s="51">
        <v>0.17321036695233835</v>
      </c>
      <c r="AR78" s="51">
        <v>0.17180736298002441</v>
      </c>
      <c r="AS78" s="51">
        <v>0.17041572333988622</v>
      </c>
      <c r="AT78" s="51">
        <v>0.16903535598083314</v>
      </c>
      <c r="AU78" s="51">
        <v>0.16766616959738839</v>
      </c>
      <c r="AV78" s="51">
        <v>0.16630807362364955</v>
      </c>
      <c r="AW78" s="51">
        <v>0.16496097822729799</v>
      </c>
      <c r="AX78" s="51">
        <v>0.16362479430365687</v>
      </c>
      <c r="AY78" s="51">
        <v>0.16229943346979725</v>
      </c>
      <c r="AZ78" s="51">
        <v>0.16098480805869189</v>
      </c>
      <c r="BA78" s="51">
        <v>0.15968083111341649</v>
      </c>
      <c r="BB78" s="51">
        <v>0.15838741638139783</v>
      </c>
      <c r="BC78" s="51">
        <v>0.15710447830870852</v>
      </c>
      <c r="BD78" s="51">
        <v>0.15583193203440798</v>
      </c>
      <c r="BE78" s="51">
        <v>0.15456969338492929</v>
      </c>
      <c r="BF78" s="51">
        <v>0.15331767886851136</v>
      </c>
      <c r="BG78" s="51">
        <v>0.15207580566967641</v>
      </c>
      <c r="BH78" s="51">
        <v>0.15084399164375203</v>
      </c>
      <c r="BI78" s="51">
        <v>0.14962215531143763</v>
      </c>
      <c r="BJ78" s="51">
        <v>0.14841021585341499</v>
      </c>
      <c r="BK78" s="51">
        <v>0.14720809310500232</v>
      </c>
      <c r="BL78" s="51">
        <v>0.1460157075508518</v>
      </c>
      <c r="BM78" s="51">
        <v>0.14483298031968991</v>
      </c>
      <c r="BN78" s="51">
        <v>0.14365983317910042</v>
      </c>
      <c r="BO78" s="51">
        <v>0.1424961885303497</v>
      </c>
      <c r="BP78" s="51">
        <v>0.14134196940325386</v>
      </c>
      <c r="BQ78" s="51">
        <v>0.14019709945108749</v>
      </c>
      <c r="BR78" s="51">
        <v>0.13906150294553368</v>
      </c>
      <c r="BS78" s="51">
        <v>0.13793510477167487</v>
      </c>
      <c r="BT78" s="51">
        <v>0.13681783042302431</v>
      </c>
      <c r="BU78" s="51">
        <v>0.13570960599659782</v>
      </c>
      <c r="BV78" s="51">
        <v>0.13461035818802539</v>
      </c>
      <c r="BW78" s="51">
        <v>0.13352001428670238</v>
      </c>
      <c r="BX78" s="51">
        <v>0.13243850217098008</v>
      </c>
      <c r="BY78" s="51">
        <v>0.13136575030339515</v>
      </c>
      <c r="BZ78" s="51">
        <v>0.13030168772593764</v>
      </c>
      <c r="CA78" s="51">
        <v>0.12924624405535756</v>
      </c>
      <c r="CB78" s="51">
        <v>0.12819934947850917</v>
      </c>
      <c r="CC78" s="51">
        <v>0.12716093474773324</v>
      </c>
      <c r="CD78" s="51">
        <v>0.12613093117627661</v>
      </c>
      <c r="CE78" s="51">
        <v>0.12510927063374877</v>
      </c>
      <c r="CF78" s="51">
        <v>0.12409588554161541</v>
      </c>
      <c r="CG78" s="51">
        <v>0.12309070886872832</v>
      </c>
      <c r="CH78" s="51">
        <v>0.12209367412689162</v>
      </c>
      <c r="CI78" s="51">
        <v>0.12110471536646381</v>
      </c>
      <c r="CJ78" s="51">
        <v>0.12012376717199545</v>
      </c>
      <c r="CK78" s="51">
        <v>0.11915076465790229</v>
      </c>
      <c r="CL78" s="51">
        <v>0.11818564346417329</v>
      </c>
      <c r="CM78" s="51">
        <v>0.11722833975211348</v>
      </c>
      <c r="CN78" s="51">
        <v>0.11627879020012137</v>
      </c>
      <c r="CO78" s="51">
        <v>0.11533693199950039</v>
      </c>
      <c r="CP78" s="51">
        <v>0.11440270285030443</v>
      </c>
      <c r="CQ78" s="51">
        <v>0.11347604095721697</v>
      </c>
      <c r="CR78" s="51">
        <v>0.11255688502546352</v>
      </c>
      <c r="CS78" s="51">
        <v>0.11164517425675727</v>
      </c>
      <c r="CT78" s="51">
        <v>0.11074084834527753</v>
      </c>
      <c r="CU78" s="51">
        <v>0.10984384747368078</v>
      </c>
      <c r="CV78" s="51">
        <v>0.10895411230914397</v>
      </c>
      <c r="CW78" s="51">
        <v>0.1080715839994399</v>
      </c>
      <c r="CX78" s="55">
        <v>0.10719620416904445</v>
      </c>
      <c r="CY78" s="53">
        <v>0.10632791491527518</v>
      </c>
    </row>
    <row r="79" spans="1:103" ht="15.75">
      <c r="A79" s="54">
        <v>97</v>
      </c>
      <c r="B79" s="55">
        <v>0.25505899999999998</v>
      </c>
      <c r="C79" s="55">
        <v>0.25327358699999997</v>
      </c>
      <c r="D79" s="55">
        <v>0.25157665396709994</v>
      </c>
      <c r="E79" s="55">
        <v>0.24994140571631379</v>
      </c>
      <c r="F79" s="55">
        <v>0.24836677486030101</v>
      </c>
      <c r="G79" s="55">
        <v>0.24682690085616715</v>
      </c>
      <c r="H79" s="55">
        <v>0.24529657407085892</v>
      </c>
      <c r="I79" s="55">
        <v>0.24377573531161958</v>
      </c>
      <c r="J79" s="55">
        <v>0.24226432575268755</v>
      </c>
      <c r="K79" s="55">
        <v>0.2407622869330209</v>
      </c>
      <c r="L79" s="55">
        <v>0.23924548452534289</v>
      </c>
      <c r="M79" s="55">
        <v>0.23771431342438071</v>
      </c>
      <c r="N79" s="55">
        <v>0.23619294181846467</v>
      </c>
      <c r="O79" s="55">
        <v>0.23465768769664466</v>
      </c>
      <c r="P79" s="55">
        <v>0.23308548118907713</v>
      </c>
      <c r="Q79" s="55">
        <v>0.2315004999169914</v>
      </c>
      <c r="R79" s="55">
        <v>0.22990314646756416</v>
      </c>
      <c r="S79" s="55">
        <v>0.22827083412764446</v>
      </c>
      <c r="T79" s="55">
        <v>0.22660445703851265</v>
      </c>
      <c r="U79" s="51">
        <v>0.22490492361072381</v>
      </c>
      <c r="V79" s="51">
        <v>0.22317315569892124</v>
      </c>
      <c r="W79" s="51">
        <v>0.22145472240003952</v>
      </c>
      <c r="X79" s="51">
        <v>0.21974952103755921</v>
      </c>
      <c r="Y79" s="51">
        <v>0.21805744972557001</v>
      </c>
      <c r="Z79" s="51">
        <v>0.2163784073626831</v>
      </c>
      <c r="AA79" s="51">
        <v>0.21471229362599042</v>
      </c>
      <c r="AB79" s="51">
        <v>0.2130590089650703</v>
      </c>
      <c r="AC79" s="51">
        <v>0.21141845459603925</v>
      </c>
      <c r="AD79" s="51">
        <v>0.20979053249564975</v>
      </c>
      <c r="AE79" s="51">
        <v>0.20817514539543325</v>
      </c>
      <c r="AF79" s="51">
        <v>0.20657219677588839</v>
      </c>
      <c r="AG79" s="51">
        <v>0.20498159086071405</v>
      </c>
      <c r="AH79" s="51">
        <v>0.20340323261108653</v>
      </c>
      <c r="AI79" s="51">
        <v>0.20183702771998116</v>
      </c>
      <c r="AJ79" s="51">
        <v>0.20028288260653729</v>
      </c>
      <c r="AK79" s="51">
        <v>0.19874070441046696</v>
      </c>
      <c r="AL79" s="51">
        <v>0.19721040098650636</v>
      </c>
      <c r="AM79" s="51">
        <v>0.19569188089891024</v>
      </c>
      <c r="AN79" s="51">
        <v>0.19418505341598863</v>
      </c>
      <c r="AO79" s="51">
        <v>0.1926898285046855</v>
      </c>
      <c r="AP79" s="51">
        <v>0.19120611682519942</v>
      </c>
      <c r="AQ79" s="51">
        <v>0.18973382972564537</v>
      </c>
      <c r="AR79" s="51">
        <v>0.1882728792367579</v>
      </c>
      <c r="AS79" s="51">
        <v>0.18682317806663484</v>
      </c>
      <c r="AT79" s="51">
        <v>0.18538463959552176</v>
      </c>
      <c r="AU79" s="51">
        <v>0.18395717787063623</v>
      </c>
      <c r="AV79" s="51">
        <v>0.18254070760103233</v>
      </c>
      <c r="AW79" s="51">
        <v>0.18113514415250437</v>
      </c>
      <c r="AX79" s="51">
        <v>0.17974040354253007</v>
      </c>
      <c r="AY79" s="51">
        <v>0.17835640243525258</v>
      </c>
      <c r="AZ79" s="51">
        <v>0.17698305813650114</v>
      </c>
      <c r="BA79" s="51">
        <v>0.17562028858885007</v>
      </c>
      <c r="BB79" s="51">
        <v>0.17426801236671591</v>
      </c>
      <c r="BC79" s="51">
        <v>0.1729261486714922</v>
      </c>
      <c r="BD79" s="51">
        <v>0.17159461732672171</v>
      </c>
      <c r="BE79" s="51">
        <v>0.17027333877330594</v>
      </c>
      <c r="BF79" s="51">
        <v>0.16896223406475147</v>
      </c>
      <c r="BG79" s="51">
        <v>0.16766122486245288</v>
      </c>
      <c r="BH79" s="51">
        <v>0.16637023343101198</v>
      </c>
      <c r="BI79" s="51">
        <v>0.16508918263359318</v>
      </c>
      <c r="BJ79" s="51">
        <v>0.1638179959273145</v>
      </c>
      <c r="BK79" s="51">
        <v>0.16255659735867417</v>
      </c>
      <c r="BL79" s="51">
        <v>0.16130491155901236</v>
      </c>
      <c r="BM79" s="51">
        <v>0.16006286374000797</v>
      </c>
      <c r="BN79" s="51">
        <v>0.15883037968920991</v>
      </c>
      <c r="BO79" s="51">
        <v>0.15760738576560299</v>
      </c>
      <c r="BP79" s="51">
        <v>0.15639380889520785</v>
      </c>
      <c r="BQ79" s="51">
        <v>0.15518957656671475</v>
      </c>
      <c r="BR79" s="51">
        <v>0.15399461682715104</v>
      </c>
      <c r="BS79" s="51">
        <v>0.15280885827758198</v>
      </c>
      <c r="BT79" s="51">
        <v>0.1516322300688446</v>
      </c>
      <c r="BU79" s="51">
        <v>0.1504646618973145</v>
      </c>
      <c r="BV79" s="51">
        <v>0.14930608400070516</v>
      </c>
      <c r="BW79" s="51">
        <v>0.14815642715389973</v>
      </c>
      <c r="BX79" s="51">
        <v>0.14701562266481469</v>
      </c>
      <c r="BY79" s="51">
        <v>0.1458836023702956</v>
      </c>
      <c r="BZ79" s="51">
        <v>0.14476029863204432</v>
      </c>
      <c r="CA79" s="51">
        <v>0.14364564433257757</v>
      </c>
      <c r="CB79" s="51">
        <v>0.14253957287121671</v>
      </c>
      <c r="CC79" s="51">
        <v>0.14144201816010835</v>
      </c>
      <c r="CD79" s="51">
        <v>0.14035291462027549</v>
      </c>
      <c r="CE79" s="51">
        <v>0.13927219717769937</v>
      </c>
      <c r="CF79" s="51">
        <v>0.13819980125943107</v>
      </c>
      <c r="CG79" s="51">
        <v>0.13713566278973344</v>
      </c>
      <c r="CH79" s="51">
        <v>0.13607971818625247</v>
      </c>
      <c r="CI79" s="51">
        <v>0.13503190435621831</v>
      </c>
      <c r="CJ79" s="51">
        <v>0.13399215869267542</v>
      </c>
      <c r="CK79" s="51">
        <v>0.1329604190707418</v>
      </c>
      <c r="CL79" s="51">
        <v>0.13193662384389709</v>
      </c>
      <c r="CM79" s="51">
        <v>0.13092071184029908</v>
      </c>
      <c r="CN79" s="51">
        <v>0.12991262235912876</v>
      </c>
      <c r="CO79" s="51">
        <v>0.12891229516696345</v>
      </c>
      <c r="CP79" s="51">
        <v>0.12791967049417782</v>
      </c>
      <c r="CQ79" s="51">
        <v>0.12693468903137264</v>
      </c>
      <c r="CR79" s="51">
        <v>0.12595729192583108</v>
      </c>
      <c r="CS79" s="51">
        <v>0.12498742077800218</v>
      </c>
      <c r="CT79" s="51">
        <v>0.12402501763801156</v>
      </c>
      <c r="CU79" s="51">
        <v>0.12307002500219887</v>
      </c>
      <c r="CV79" s="51">
        <v>0.12212238580968193</v>
      </c>
      <c r="CW79" s="51">
        <v>0.12118204343894738</v>
      </c>
      <c r="CX79" s="55">
        <v>0.12024894170446748</v>
      </c>
      <c r="CY79" s="53">
        <v>0.11932302485334308</v>
      </c>
    </row>
    <row r="80" spans="1:103" ht="15.75">
      <c r="A80" s="54">
        <v>98</v>
      </c>
      <c r="B80" s="55">
        <v>0.27417000000000002</v>
      </c>
      <c r="C80" s="55">
        <v>0.27236047800000002</v>
      </c>
      <c r="D80" s="55">
        <v>0.27064460698860004</v>
      </c>
      <c r="E80" s="55">
        <v>0.26899367488596959</v>
      </c>
      <c r="F80" s="55">
        <v>0.26737971283665379</v>
      </c>
      <c r="G80" s="55">
        <v>0.26580217253091754</v>
      </c>
      <c r="H80" s="55">
        <v>0.26426051993023819</v>
      </c>
      <c r="I80" s="55">
        <v>0.26272780891464281</v>
      </c>
      <c r="J80" s="55">
        <v>0.26120398762293789</v>
      </c>
      <c r="K80" s="55">
        <v>0.25966288409596255</v>
      </c>
      <c r="L80" s="55">
        <v>0.25813087307979637</v>
      </c>
      <c r="M80" s="55">
        <v>0.25658208784131759</v>
      </c>
      <c r="N80" s="55">
        <v>0.25501693710548556</v>
      </c>
      <c r="O80" s="55">
        <v>0.25343583209543158</v>
      </c>
      <c r="P80" s="55">
        <v>0.25183918635323038</v>
      </c>
      <c r="Q80" s="55">
        <v>0.25022741556056971</v>
      </c>
      <c r="R80" s="55">
        <v>0.24857591461786993</v>
      </c>
      <c r="S80" s="55">
        <v>0.24691045598993019</v>
      </c>
      <c r="T80" s="55">
        <v>0.24520677384359968</v>
      </c>
      <c r="U80" s="51">
        <v>0.24349032642669449</v>
      </c>
      <c r="V80" s="51">
        <v>0.2417371960764223</v>
      </c>
      <c r="W80" s="51">
        <v>0.23999668826467208</v>
      </c>
      <c r="X80" s="51">
        <v>0.23826871210916645</v>
      </c>
      <c r="Y80" s="51">
        <v>0.23655317738198045</v>
      </c>
      <c r="Z80" s="51">
        <v>0.23484999450483018</v>
      </c>
      <c r="AA80" s="51">
        <v>0.23315907454439541</v>
      </c>
      <c r="AB80" s="51">
        <v>0.23148032920767578</v>
      </c>
      <c r="AC80" s="51">
        <v>0.22981367083738052</v>
      </c>
      <c r="AD80" s="51">
        <v>0.2281590124073514</v>
      </c>
      <c r="AE80" s="51">
        <v>0.22651626751801848</v>
      </c>
      <c r="AF80" s="51">
        <v>0.22488535039188876</v>
      </c>
      <c r="AG80" s="51">
        <v>0.22326617586906716</v>
      </c>
      <c r="AH80" s="51">
        <v>0.22165865940280988</v>
      </c>
      <c r="AI80" s="51">
        <v>0.22006271705510966</v>
      </c>
      <c r="AJ80" s="51">
        <v>0.21847826549231286</v>
      </c>
      <c r="AK80" s="51">
        <v>0.21690522198076823</v>
      </c>
      <c r="AL80" s="51">
        <v>0.21534350438250668</v>
      </c>
      <c r="AM80" s="51">
        <v>0.21379303115095263</v>
      </c>
      <c r="AN80" s="51">
        <v>0.21225372132666578</v>
      </c>
      <c r="AO80" s="51">
        <v>0.21072549453311379</v>
      </c>
      <c r="AP80" s="51">
        <v>0.20920827097247538</v>
      </c>
      <c r="AQ80" s="51">
        <v>0.20770197142147356</v>
      </c>
      <c r="AR80" s="51">
        <v>0.20620651722723896</v>
      </c>
      <c r="AS80" s="51">
        <v>0.20472183030320285</v>
      </c>
      <c r="AT80" s="51">
        <v>0.20324783312501979</v>
      </c>
      <c r="AU80" s="51">
        <v>0.20178444872651966</v>
      </c>
      <c r="AV80" s="51">
        <v>0.20033160069568873</v>
      </c>
      <c r="AW80" s="51">
        <v>0.19888921317067979</v>
      </c>
      <c r="AX80" s="51">
        <v>0.19745721083585088</v>
      </c>
      <c r="AY80" s="51">
        <v>0.19603551891783275</v>
      </c>
      <c r="AZ80" s="51">
        <v>0.19462406318162434</v>
      </c>
      <c r="BA80" s="51">
        <v>0.19322276992671664</v>
      </c>
      <c r="BB80" s="51">
        <v>0.19183156598324427</v>
      </c>
      <c r="BC80" s="51">
        <v>0.19045037870816492</v>
      </c>
      <c r="BD80" s="51">
        <v>0.18907913598146614</v>
      </c>
      <c r="BE80" s="51">
        <v>0.18771776620239958</v>
      </c>
      <c r="BF80" s="51">
        <v>0.1863661982857423</v>
      </c>
      <c r="BG80" s="51">
        <v>0.18502436165808497</v>
      </c>
      <c r="BH80" s="51">
        <v>0.18369218625414677</v>
      </c>
      <c r="BI80" s="51">
        <v>0.1823696025131169</v>
      </c>
      <c r="BJ80" s="51">
        <v>0.18105654137502247</v>
      </c>
      <c r="BK80" s="51">
        <v>0.1797529342771223</v>
      </c>
      <c r="BL80" s="51">
        <v>0.17845871315032702</v>
      </c>
      <c r="BM80" s="51">
        <v>0.17717381041564467</v>
      </c>
      <c r="BN80" s="51">
        <v>0.17589815898065203</v>
      </c>
      <c r="BO80" s="51">
        <v>0.17463169223599134</v>
      </c>
      <c r="BP80" s="51">
        <v>0.1733743440518922</v>
      </c>
      <c r="BQ80" s="51">
        <v>0.17212604877471857</v>
      </c>
      <c r="BR80" s="51">
        <v>0.17088674122354061</v>
      </c>
      <c r="BS80" s="51">
        <v>0.16965635668673112</v>
      </c>
      <c r="BT80" s="51">
        <v>0.16843483091858666</v>
      </c>
      <c r="BU80" s="51">
        <v>0.16722210013597283</v>
      </c>
      <c r="BV80" s="51">
        <v>0.16601810101499384</v>
      </c>
      <c r="BW80" s="51">
        <v>0.16482277068768589</v>
      </c>
      <c r="BX80" s="51">
        <v>0.16363604673873455</v>
      </c>
      <c r="BY80" s="51">
        <v>0.16245786720221567</v>
      </c>
      <c r="BZ80" s="51">
        <v>0.16128817055835973</v>
      </c>
      <c r="CA80" s="51">
        <v>0.16012689573033953</v>
      </c>
      <c r="CB80" s="51">
        <v>0.1589739820810811</v>
      </c>
      <c r="CC80" s="51">
        <v>0.15782936941009731</v>
      </c>
      <c r="CD80" s="51">
        <v>0.15669299795034461</v>
      </c>
      <c r="CE80" s="51">
        <v>0.15556480836510214</v>
      </c>
      <c r="CF80" s="51">
        <v>0.15444474174487341</v>
      </c>
      <c r="CG80" s="51">
        <v>0.15333273960431032</v>
      </c>
      <c r="CH80" s="51">
        <v>0.1522287438791593</v>
      </c>
      <c r="CI80" s="51">
        <v>0.15113269692322936</v>
      </c>
      <c r="CJ80" s="51">
        <v>0.15004454150538213</v>
      </c>
      <c r="CK80" s="51">
        <v>0.14896422080654337</v>
      </c>
      <c r="CL80" s="51">
        <v>0.14789167841673626</v>
      </c>
      <c r="CM80" s="51">
        <v>0.14682685833213577</v>
      </c>
      <c r="CN80" s="51">
        <v>0.14576970495214439</v>
      </c>
      <c r="CO80" s="51">
        <v>0.14472016307648897</v>
      </c>
      <c r="CP80" s="51">
        <v>0.14367817790233825</v>
      </c>
      <c r="CQ80" s="51">
        <v>0.14264369502144142</v>
      </c>
      <c r="CR80" s="51">
        <v>0.14161666041728704</v>
      </c>
      <c r="CS80" s="51">
        <v>0.14059702046228259</v>
      </c>
      <c r="CT80" s="51">
        <v>0.13958472191495416</v>
      </c>
      <c r="CU80" s="51">
        <v>0.1385797119171665</v>
      </c>
      <c r="CV80" s="51">
        <v>0.1375819379913629</v>
      </c>
      <c r="CW80" s="51">
        <v>0.13659134803782508</v>
      </c>
      <c r="CX80" s="55">
        <v>0.13560789033195275</v>
      </c>
      <c r="CY80" s="53">
        <v>0.13463151352156269</v>
      </c>
    </row>
    <row r="81" spans="1:103" ht="15.75">
      <c r="A81" s="54">
        <v>99</v>
      </c>
      <c r="B81" s="55">
        <v>0.293848</v>
      </c>
      <c r="C81" s="55">
        <v>0.29202614240000002</v>
      </c>
      <c r="D81" s="55">
        <v>0.29030318815984002</v>
      </c>
      <c r="E81" s="55">
        <v>0.28861942966851295</v>
      </c>
      <c r="F81" s="55">
        <v>0.28700316086236927</v>
      </c>
      <c r="G81" s="55">
        <v>0.28542464347762625</v>
      </c>
      <c r="H81" s="55">
        <v>0.28385480793849932</v>
      </c>
      <c r="I81" s="55">
        <v>0.28229360649483759</v>
      </c>
      <c r="J81" s="55">
        <v>0.28074099165911598</v>
      </c>
      <c r="K81" s="55">
        <v>0.27919691620499087</v>
      </c>
      <c r="L81" s="55">
        <v>0.27763341347424292</v>
      </c>
      <c r="M81" s="55">
        <v>0.27605090301743973</v>
      </c>
      <c r="N81" s="55">
        <v>0.2744774128702403</v>
      </c>
      <c r="O81" s="55">
        <v>0.27288544387559288</v>
      </c>
      <c r="P81" s="55">
        <v>0.27127541975672687</v>
      </c>
      <c r="Q81" s="55">
        <v>0.26964776723818651</v>
      </c>
      <c r="R81" s="55">
        <v>0.26797595108130978</v>
      </c>
      <c r="S81" s="55">
        <v>0.26628770258949752</v>
      </c>
      <c r="T81" s="55">
        <v>0.26455683252266582</v>
      </c>
      <c r="U81" s="51">
        <v>0.26281075742801618</v>
      </c>
      <c r="V81" s="51">
        <v>0.26102364427750568</v>
      </c>
      <c r="W81" s="51">
        <v>0.25924868349641866</v>
      </c>
      <c r="X81" s="51">
        <v>0.257485792448643</v>
      </c>
      <c r="Y81" s="51">
        <v>0.2557348890599922</v>
      </c>
      <c r="Z81" s="51">
        <v>0.25399589181438426</v>
      </c>
      <c r="AA81" s="51">
        <v>0.25226871975004644</v>
      </c>
      <c r="AB81" s="51">
        <v>0.25055329245574615</v>
      </c>
      <c r="AC81" s="51">
        <v>0.24884953006704708</v>
      </c>
      <c r="AD81" s="51">
        <v>0.24715735326259114</v>
      </c>
      <c r="AE81" s="51">
        <v>0.2454766832604055</v>
      </c>
      <c r="AF81" s="51">
        <v>0.24380744181423475</v>
      </c>
      <c r="AG81" s="51">
        <v>0.24214955120989795</v>
      </c>
      <c r="AH81" s="51">
        <v>0.24050293426167063</v>
      </c>
      <c r="AI81" s="51">
        <v>0.23886751430869127</v>
      </c>
      <c r="AJ81" s="51">
        <v>0.23724321521139216</v>
      </c>
      <c r="AK81" s="51">
        <v>0.23562996134795469</v>
      </c>
      <c r="AL81" s="51">
        <v>0.2340276776107886</v>
      </c>
      <c r="AM81" s="51">
        <v>0.23243628940303523</v>
      </c>
      <c r="AN81" s="51">
        <v>0.2308557226350946</v>
      </c>
      <c r="AO81" s="51">
        <v>0.22928590372117594</v>
      </c>
      <c r="AP81" s="51">
        <v>0.22772675957587193</v>
      </c>
      <c r="AQ81" s="51">
        <v>0.22617821761075599</v>
      </c>
      <c r="AR81" s="51">
        <v>0.22464020573100285</v>
      </c>
      <c r="AS81" s="51">
        <v>0.22311265233203204</v>
      </c>
      <c r="AT81" s="51">
        <v>0.2215954862961742</v>
      </c>
      <c r="AU81" s="51">
        <v>0.22008863698936021</v>
      </c>
      <c r="AV81" s="51">
        <v>0.21859203425783255</v>
      </c>
      <c r="AW81" s="51">
        <v>0.21710560842487928</v>
      </c>
      <c r="AX81" s="51">
        <v>0.21562929028759009</v>
      </c>
      <c r="AY81" s="51">
        <v>0.21416301111363448</v>
      </c>
      <c r="AZ81" s="51">
        <v>0.21270670263806177</v>
      </c>
      <c r="BA81" s="51">
        <v>0.21126029706012295</v>
      </c>
      <c r="BB81" s="51">
        <v>0.20982372704011409</v>
      </c>
      <c r="BC81" s="51">
        <v>0.20839692569624133</v>
      </c>
      <c r="BD81" s="51">
        <v>0.20697982660150688</v>
      </c>
      <c r="BE81" s="51">
        <v>0.20557236378061663</v>
      </c>
      <c r="BF81" s="51">
        <v>0.20417447170690844</v>
      </c>
      <c r="BG81" s="51">
        <v>0.20278608529930145</v>
      </c>
      <c r="BH81" s="51">
        <v>0.2014071399192662</v>
      </c>
      <c r="BI81" s="51">
        <v>0.20003757136781519</v>
      </c>
      <c r="BJ81" s="51">
        <v>0.19867731588251406</v>
      </c>
      <c r="BK81" s="51">
        <v>0.19732631013451296</v>
      </c>
      <c r="BL81" s="51">
        <v>0.19598449122559827</v>
      </c>
      <c r="BM81" s="51">
        <v>0.19465179668526419</v>
      </c>
      <c r="BN81" s="51">
        <v>0.1933281644678044</v>
      </c>
      <c r="BO81" s="51">
        <v>0.19201353294942333</v>
      </c>
      <c r="BP81" s="51">
        <v>0.19070784092536724</v>
      </c>
      <c r="BQ81" s="51">
        <v>0.18941102760707473</v>
      </c>
      <c r="BR81" s="51">
        <v>0.18812303261934663</v>
      </c>
      <c r="BS81" s="51">
        <v>0.18684379599753506</v>
      </c>
      <c r="BT81" s="51">
        <v>0.18557325818475182</v>
      </c>
      <c r="BU81" s="51">
        <v>0.18431136002909551</v>
      </c>
      <c r="BV81" s="51">
        <v>0.18305804278089766</v>
      </c>
      <c r="BW81" s="51">
        <v>0.18181324808998756</v>
      </c>
      <c r="BX81" s="51">
        <v>0.18057691800297562</v>
      </c>
      <c r="BY81" s="51">
        <v>0.1793489949605554</v>
      </c>
      <c r="BZ81" s="51">
        <v>0.17812942179482361</v>
      </c>
      <c r="CA81" s="51">
        <v>0.17691814172661879</v>
      </c>
      <c r="CB81" s="51">
        <v>0.17571509836287777</v>
      </c>
      <c r="CC81" s="51">
        <v>0.17452023569401021</v>
      </c>
      <c r="CD81" s="51">
        <v>0.17333349809129092</v>
      </c>
      <c r="CE81" s="51">
        <v>0.17215483030427015</v>
      </c>
      <c r="CF81" s="51">
        <v>0.1709841774582011</v>
      </c>
      <c r="CG81" s="51">
        <v>0.16982148505148534</v>
      </c>
      <c r="CH81" s="51">
        <v>0.16866669895313524</v>
      </c>
      <c r="CI81" s="51">
        <v>0.16751976540025393</v>
      </c>
      <c r="CJ81" s="51">
        <v>0.16638063099553219</v>
      </c>
      <c r="CK81" s="51">
        <v>0.16524924270476257</v>
      </c>
      <c r="CL81" s="51">
        <v>0.16412554785437017</v>
      </c>
      <c r="CM81" s="51">
        <v>0.16300949412896046</v>
      </c>
      <c r="CN81" s="51">
        <v>0.16190102956888353</v>
      </c>
      <c r="CO81" s="51">
        <v>0.1608001025678151</v>
      </c>
      <c r="CP81" s="51">
        <v>0.15970666187035396</v>
      </c>
      <c r="CQ81" s="51">
        <v>0.15862065656963553</v>
      </c>
      <c r="CR81" s="51">
        <v>0.15754203610496201</v>
      </c>
      <c r="CS81" s="51">
        <v>0.15647075025944826</v>
      </c>
      <c r="CT81" s="51">
        <v>0.15540674915768402</v>
      </c>
      <c r="CU81" s="51">
        <v>0.15434998326341176</v>
      </c>
      <c r="CV81" s="51">
        <v>0.15330040337722056</v>
      </c>
      <c r="CW81" s="51">
        <v>0.15225796063425545</v>
      </c>
      <c r="CX81" s="55">
        <v>0.1512226065019425</v>
      </c>
      <c r="CY81" s="53">
        <v>0.15019429277772928</v>
      </c>
    </row>
    <row r="82" spans="1:103" ht="15.75">
      <c r="A82" s="54">
        <v>100</v>
      </c>
      <c r="B82" s="55">
        <v>0.31398799999999999</v>
      </c>
      <c r="C82" s="55">
        <v>0.31216686960000001</v>
      </c>
      <c r="D82" s="55">
        <v>0.31041873513023999</v>
      </c>
      <c r="E82" s="55">
        <v>0.30874247396053672</v>
      </c>
      <c r="F82" s="55">
        <v>0.30710613884854587</v>
      </c>
      <c r="G82" s="55">
        <v>0.30550918692653345</v>
      </c>
      <c r="H82" s="55">
        <v>0.30395109007320814</v>
      </c>
      <c r="I82" s="55">
        <v>0.30240093951383479</v>
      </c>
      <c r="J82" s="55">
        <v>0.30082845462836283</v>
      </c>
      <c r="K82" s="55">
        <v>0.29926414666429535</v>
      </c>
      <c r="L82" s="55">
        <v>0.29770797310164104</v>
      </c>
      <c r="M82" s="55">
        <v>0.29613012084420237</v>
      </c>
      <c r="N82" s="55">
        <v>0.29453101819164368</v>
      </c>
      <c r="O82" s="55">
        <v>0.29291109759158968</v>
      </c>
      <c r="P82" s="55">
        <v>0.29127079544507678</v>
      </c>
      <c r="Q82" s="55">
        <v>0.28961055191103985</v>
      </c>
      <c r="R82" s="55">
        <v>0.2879308107099558</v>
      </c>
      <c r="S82" s="55">
        <v>0.28623201892676703</v>
      </c>
      <c r="T82" s="55">
        <v>0.28448600361131376</v>
      </c>
      <c r="U82" s="51">
        <v>0.2827221903889236</v>
      </c>
      <c r="V82" s="51">
        <v>0.2809127683704345</v>
      </c>
      <c r="W82" s="51">
        <v>0.27911492665286375</v>
      </c>
      <c r="X82" s="51">
        <v>0.27732859112228542</v>
      </c>
      <c r="Y82" s="51">
        <v>0.2755536881391028</v>
      </c>
      <c r="Z82" s="51">
        <v>0.27379014453501255</v>
      </c>
      <c r="AA82" s="51">
        <v>0.27203788760998848</v>
      </c>
      <c r="AB82" s="51">
        <v>0.27029684512928459</v>
      </c>
      <c r="AC82" s="51">
        <v>0.26856694532045716</v>
      </c>
      <c r="AD82" s="51">
        <v>0.26684811687040627</v>
      </c>
      <c r="AE82" s="51">
        <v>0.26514028892243569</v>
      </c>
      <c r="AF82" s="51">
        <v>0.26344339107333209</v>
      </c>
      <c r="AG82" s="51">
        <v>0.2617573533704628</v>
      </c>
      <c r="AH82" s="51">
        <v>0.26008210630889184</v>
      </c>
      <c r="AI82" s="51">
        <v>0.25841758082851496</v>
      </c>
      <c r="AJ82" s="51">
        <v>0.25676370831121248</v>
      </c>
      <c r="AK82" s="51">
        <v>0.25512042057802076</v>
      </c>
      <c r="AL82" s="51">
        <v>0.25348764988632144</v>
      </c>
      <c r="AM82" s="51">
        <v>0.25186532892704899</v>
      </c>
      <c r="AN82" s="51">
        <v>0.25025339082191589</v>
      </c>
      <c r="AO82" s="51">
        <v>0.24865176912065565</v>
      </c>
      <c r="AP82" s="51">
        <v>0.24706039779828345</v>
      </c>
      <c r="AQ82" s="51">
        <v>0.24547921125237446</v>
      </c>
      <c r="AR82" s="51">
        <v>0.24390814430035926</v>
      </c>
      <c r="AS82" s="51">
        <v>0.24234713217683698</v>
      </c>
      <c r="AT82" s="51">
        <v>0.24079611053090524</v>
      </c>
      <c r="AU82" s="51">
        <v>0.23925501542350747</v>
      </c>
      <c r="AV82" s="51">
        <v>0.23772378332479702</v>
      </c>
      <c r="AW82" s="51">
        <v>0.23620235111151833</v>
      </c>
      <c r="AX82" s="51">
        <v>0.23469065606440462</v>
      </c>
      <c r="AY82" s="51">
        <v>0.23318863586559244</v>
      </c>
      <c r="AZ82" s="51">
        <v>0.23169622859605266</v>
      </c>
      <c r="BA82" s="51">
        <v>0.23021337273303794</v>
      </c>
      <c r="BB82" s="51">
        <v>0.2287400071475465</v>
      </c>
      <c r="BC82" s="51">
        <v>0.2272760711018022</v>
      </c>
      <c r="BD82" s="51">
        <v>0.22582150424675068</v>
      </c>
      <c r="BE82" s="51">
        <v>0.22437624661957148</v>
      </c>
      <c r="BF82" s="51">
        <v>0.22294023864120624</v>
      </c>
      <c r="BG82" s="51">
        <v>0.22151342111390254</v>
      </c>
      <c r="BH82" s="51">
        <v>0.22009573521877357</v>
      </c>
      <c r="BI82" s="51">
        <v>0.21868712251337344</v>
      </c>
      <c r="BJ82" s="51">
        <v>0.21728752492928785</v>
      </c>
      <c r="BK82" s="51">
        <v>0.21589688476974042</v>
      </c>
      <c r="BL82" s="51">
        <v>0.21451514470721408</v>
      </c>
      <c r="BM82" s="51">
        <v>0.21314224778108792</v>
      </c>
      <c r="BN82" s="51">
        <v>0.21177813739528897</v>
      </c>
      <c r="BO82" s="51">
        <v>0.21042275731595914</v>
      </c>
      <c r="BP82" s="51">
        <v>0.20907605166913701</v>
      </c>
      <c r="BQ82" s="51">
        <v>0.20773796493845453</v>
      </c>
      <c r="BR82" s="51">
        <v>0.20640844196284844</v>
      </c>
      <c r="BS82" s="51">
        <v>0.20508742793428622</v>
      </c>
      <c r="BT82" s="51">
        <v>0.20377486839550679</v>
      </c>
      <c r="BU82" s="51">
        <v>0.20247070923777555</v>
      </c>
      <c r="BV82" s="51">
        <v>0.20117489669865379</v>
      </c>
      <c r="BW82" s="51">
        <v>0.1998873773597824</v>
      </c>
      <c r="BX82" s="51">
        <v>0.19860809814467981</v>
      </c>
      <c r="BY82" s="51">
        <v>0.19733700631655388</v>
      </c>
      <c r="BZ82" s="51">
        <v>0.19607404947612794</v>
      </c>
      <c r="CA82" s="51">
        <v>0.19481917555948072</v>
      </c>
      <c r="CB82" s="51">
        <v>0.19357233283590006</v>
      </c>
      <c r="CC82" s="51">
        <v>0.19233346990575031</v>
      </c>
      <c r="CD82" s="51">
        <v>0.19110253569835353</v>
      </c>
      <c r="CE82" s="51">
        <v>0.18987947946988407</v>
      </c>
      <c r="CF82" s="51">
        <v>0.18866425080127683</v>
      </c>
      <c r="CG82" s="51">
        <v>0.18745679959614867</v>
      </c>
      <c r="CH82" s="51">
        <v>0.18625707607873332</v>
      </c>
      <c r="CI82" s="51">
        <v>0.18506503079182943</v>
      </c>
      <c r="CJ82" s="51">
        <v>0.18388061459476174</v>
      </c>
      <c r="CK82" s="51">
        <v>0.18270377866135526</v>
      </c>
      <c r="CL82" s="51">
        <v>0.18153447447792259</v>
      </c>
      <c r="CM82" s="51">
        <v>0.18037265384126389</v>
      </c>
      <c r="CN82" s="51">
        <v>0.1792182688566798</v>
      </c>
      <c r="CO82" s="51">
        <v>0.17807127193599706</v>
      </c>
      <c r="CP82" s="51">
        <v>0.17693161579560668</v>
      </c>
      <c r="CQ82" s="51">
        <v>0.1757992534545148</v>
      </c>
      <c r="CR82" s="51">
        <v>0.17467413823240591</v>
      </c>
      <c r="CS82" s="51">
        <v>0.17355622374771851</v>
      </c>
      <c r="CT82" s="51">
        <v>0.17244546391573312</v>
      </c>
      <c r="CU82" s="51">
        <v>0.17134181294667244</v>
      </c>
      <c r="CV82" s="51">
        <v>0.17024522534381376</v>
      </c>
      <c r="CW82" s="51">
        <v>0.16915565590161336</v>
      </c>
      <c r="CX82" s="55">
        <v>0.16807305970384304</v>
      </c>
      <c r="CY82" s="53">
        <v>0.16699739212173845</v>
      </c>
    </row>
    <row r="83" spans="1:103" ht="15.75">
      <c r="A83" s="54">
        <v>101</v>
      </c>
      <c r="B83" s="55">
        <v>0.33436500000000002</v>
      </c>
      <c r="C83" s="55">
        <v>0.33255942900000002</v>
      </c>
      <c r="D83" s="55">
        <v>0.33083011996920003</v>
      </c>
      <c r="E83" s="55">
        <v>0.329175969369354</v>
      </c>
      <c r="F83" s="55">
        <v>0.32756300711944414</v>
      </c>
      <c r="G83" s="55">
        <v>0.3259907046852708</v>
      </c>
      <c r="H83" s="55">
        <v>0.32442594930278151</v>
      </c>
      <c r="I83" s="55">
        <v>0.32286870474612817</v>
      </c>
      <c r="J83" s="55">
        <v>0.32131893496334674</v>
      </c>
      <c r="K83" s="55">
        <v>0.31977660407552266</v>
      </c>
      <c r="L83" s="55">
        <v>0.3182096987155526</v>
      </c>
      <c r="M83" s="55">
        <v>0.31665047119184642</v>
      </c>
      <c r="N83" s="55">
        <v>0.31506721883588718</v>
      </c>
      <c r="O83" s="55">
        <v>0.31346037601982413</v>
      </c>
      <c r="P83" s="55">
        <v>0.31183038206452107</v>
      </c>
      <c r="Q83" s="55">
        <v>0.3101776810395791</v>
      </c>
      <c r="R83" s="55">
        <v>0.3085027215619654</v>
      </c>
      <c r="S83" s="55">
        <v>0.30680595659337462</v>
      </c>
      <c r="T83" s="55">
        <v>0.30505716264079236</v>
      </c>
      <c r="U83" s="51">
        <v>0.30328783109747576</v>
      </c>
      <c r="V83" s="51">
        <v>0.30146810411089092</v>
      </c>
      <c r="W83" s="51">
        <v>0.29965929548622555</v>
      </c>
      <c r="X83" s="51">
        <v>0.29786133971330819</v>
      </c>
      <c r="Y83" s="51">
        <v>0.29607417167502836</v>
      </c>
      <c r="Z83" s="51">
        <v>0.29429772664497822</v>
      </c>
      <c r="AA83" s="51">
        <v>0.29253194028510837</v>
      </c>
      <c r="AB83" s="51">
        <v>0.2907767486433977</v>
      </c>
      <c r="AC83" s="51">
        <v>0.2890320881515373</v>
      </c>
      <c r="AD83" s="51">
        <v>0.28729789562262809</v>
      </c>
      <c r="AE83" s="51">
        <v>0.28557410824889229</v>
      </c>
      <c r="AF83" s="51">
        <v>0.28386066359939893</v>
      </c>
      <c r="AG83" s="51">
        <v>0.28215749961780251</v>
      </c>
      <c r="AH83" s="51">
        <v>0.28046455462009567</v>
      </c>
      <c r="AI83" s="51">
        <v>0.27878176729237508</v>
      </c>
      <c r="AJ83" s="51">
        <v>0.27710907668862084</v>
      </c>
      <c r="AK83" s="51">
        <v>0.27544642222848909</v>
      </c>
      <c r="AL83" s="51">
        <v>0.27379374369511816</v>
      </c>
      <c r="AM83" s="51">
        <v>0.27215098123294745</v>
      </c>
      <c r="AN83" s="51">
        <v>0.27051807534554978</v>
      </c>
      <c r="AO83" s="51">
        <v>0.26889496689347647</v>
      </c>
      <c r="AP83" s="51">
        <v>0.26728159709211563</v>
      </c>
      <c r="AQ83" s="51">
        <v>0.26567790750956294</v>
      </c>
      <c r="AR83" s="51">
        <v>0.26408384006450558</v>
      </c>
      <c r="AS83" s="51">
        <v>0.26249933702411854</v>
      </c>
      <c r="AT83" s="51">
        <v>0.26092434100197381</v>
      </c>
      <c r="AU83" s="51">
        <v>0.25935879495596198</v>
      </c>
      <c r="AV83" s="51">
        <v>0.25780264218622623</v>
      </c>
      <c r="AW83" s="51">
        <v>0.25625582633310889</v>
      </c>
      <c r="AX83" s="51">
        <v>0.25471829137511026</v>
      </c>
      <c r="AY83" s="51">
        <v>0.25318998162685957</v>
      </c>
      <c r="AZ83" s="51">
        <v>0.25167084173709842</v>
      </c>
      <c r="BA83" s="51">
        <v>0.25016081668667584</v>
      </c>
      <c r="BB83" s="51">
        <v>0.24865985178655578</v>
      </c>
      <c r="BC83" s="51">
        <v>0.24716789267583644</v>
      </c>
      <c r="BD83" s="51">
        <v>0.24568488531978142</v>
      </c>
      <c r="BE83" s="51">
        <v>0.24421077600786273</v>
      </c>
      <c r="BF83" s="51">
        <v>0.24274551135181555</v>
      </c>
      <c r="BG83" s="51">
        <v>0.24128903828370465</v>
      </c>
      <c r="BH83" s="51">
        <v>0.23984130405400242</v>
      </c>
      <c r="BI83" s="51">
        <v>0.23840225622967839</v>
      </c>
      <c r="BJ83" s="51">
        <v>0.23697184269230032</v>
      </c>
      <c r="BK83" s="51">
        <v>0.2355500116361465</v>
      </c>
      <c r="BL83" s="51">
        <v>0.23413671156632962</v>
      </c>
      <c r="BM83" s="51">
        <v>0.23273189129693164</v>
      </c>
      <c r="BN83" s="51">
        <v>0.23133549994915006</v>
      </c>
      <c r="BO83" s="51">
        <v>0.22994748694945516</v>
      </c>
      <c r="BP83" s="51">
        <v>0.22856780202775842</v>
      </c>
      <c r="BQ83" s="51">
        <v>0.22719639521559187</v>
      </c>
      <c r="BR83" s="51">
        <v>0.22583321684429833</v>
      </c>
      <c r="BS83" s="51">
        <v>0.22447821754323255</v>
      </c>
      <c r="BT83" s="51">
        <v>0.22313134823797315</v>
      </c>
      <c r="BU83" s="51">
        <v>0.22179256014854531</v>
      </c>
      <c r="BV83" s="51">
        <v>0.22046180478765404</v>
      </c>
      <c r="BW83" s="51">
        <v>0.21913903395892811</v>
      </c>
      <c r="BX83" s="51">
        <v>0.21782419975517456</v>
      </c>
      <c r="BY83" s="51">
        <v>0.2165172545566435</v>
      </c>
      <c r="BZ83" s="51">
        <v>0.21521815102930364</v>
      </c>
      <c r="CA83" s="51">
        <v>0.21392684212312782</v>
      </c>
      <c r="CB83" s="51">
        <v>0.21264328107038905</v>
      </c>
      <c r="CC83" s="51">
        <v>0.21136742138396672</v>
      </c>
      <c r="CD83" s="51">
        <v>0.21009921685566291</v>
      </c>
      <c r="CE83" s="51">
        <v>0.20883862155452892</v>
      </c>
      <c r="CF83" s="51">
        <v>0.20758558982520176</v>
      </c>
      <c r="CG83" s="51">
        <v>0.20634007628625053</v>
      </c>
      <c r="CH83" s="51">
        <v>0.20510203582853304</v>
      </c>
      <c r="CI83" s="51">
        <v>0.20387142361356184</v>
      </c>
      <c r="CJ83" s="51">
        <v>0.20264819507188048</v>
      </c>
      <c r="CK83" s="51">
        <v>0.2014323059014492</v>
      </c>
      <c r="CL83" s="51">
        <v>0.2002237120660405</v>
      </c>
      <c r="CM83" s="51">
        <v>0.19902236979364427</v>
      </c>
      <c r="CN83" s="51">
        <v>0.19782823557488241</v>
      </c>
      <c r="CO83" s="51">
        <v>0.19664126616143313</v>
      </c>
      <c r="CP83" s="51">
        <v>0.19546141856446453</v>
      </c>
      <c r="CQ83" s="51">
        <v>0.19428865005307774</v>
      </c>
      <c r="CR83" s="51">
        <v>0.19312291815275928</v>
      </c>
      <c r="CS83" s="51">
        <v>0.19196418064384271</v>
      </c>
      <c r="CT83" s="51">
        <v>0.19081239555997967</v>
      </c>
      <c r="CU83" s="51">
        <v>0.18966752118661978</v>
      </c>
      <c r="CV83" s="51">
        <v>0.18852951605950005</v>
      </c>
      <c r="CW83" s="51">
        <v>0.18739833896314306</v>
      </c>
      <c r="CX83" s="55">
        <v>0.18627394892936419</v>
      </c>
      <c r="CY83" s="53">
        <v>0.18515630523578799</v>
      </c>
    </row>
    <row r="84" spans="1:103" ht="15.75">
      <c r="A84" s="54">
        <v>102</v>
      </c>
      <c r="B84" s="55">
        <v>0.354599</v>
      </c>
      <c r="C84" s="55">
        <v>0.352826005</v>
      </c>
      <c r="D84" s="55">
        <v>0.35113244017599998</v>
      </c>
      <c r="E84" s="55">
        <v>0.34948211770717275</v>
      </c>
      <c r="F84" s="55">
        <v>0.34787449996571973</v>
      </c>
      <c r="G84" s="55">
        <v>0.34630906471587403</v>
      </c>
      <c r="H84" s="55">
        <v>0.34475067392465258</v>
      </c>
      <c r="I84" s="55">
        <v>0.34323377095938412</v>
      </c>
      <c r="J84" s="55">
        <v>0.34168921899006693</v>
      </c>
      <c r="K84" s="55">
        <v>0.34015161750461165</v>
      </c>
      <c r="L84" s="55">
        <v>0.33862093522584091</v>
      </c>
      <c r="M84" s="55">
        <v>0.337063278923802</v>
      </c>
      <c r="N84" s="55">
        <v>0.3354790815128601</v>
      </c>
      <c r="O84" s="55">
        <v>0.33390232982974966</v>
      </c>
      <c r="P84" s="55">
        <v>0.33229959864656683</v>
      </c>
      <c r="Q84" s="55">
        <v>0.33067133061319864</v>
      </c>
      <c r="R84" s="55">
        <v>0.32901797396013266</v>
      </c>
      <c r="S84" s="55">
        <v>0.32733998229293598</v>
      </c>
      <c r="T84" s="55">
        <v>0.32560508038678343</v>
      </c>
      <c r="U84" s="51">
        <v>0.3238468129526948</v>
      </c>
      <c r="V84" s="51">
        <v>0.32206565548145499</v>
      </c>
      <c r="W84" s="51">
        <v>0.32029429437630702</v>
      </c>
      <c r="X84" s="51">
        <v>0.31853267575723737</v>
      </c>
      <c r="Y84" s="51">
        <v>0.3167807460405726</v>
      </c>
      <c r="Z84" s="51">
        <v>0.31503845193734947</v>
      </c>
      <c r="AA84" s="51">
        <v>0.31330574045169407</v>
      </c>
      <c r="AB84" s="51">
        <v>0.31158255887920977</v>
      </c>
      <c r="AC84" s="51">
        <v>0.30986885480537413</v>
      </c>
      <c r="AD84" s="51">
        <v>0.3081645761039446</v>
      </c>
      <c r="AE84" s="51">
        <v>0.30646967093537292</v>
      </c>
      <c r="AF84" s="51">
        <v>0.30478408774522836</v>
      </c>
      <c r="AG84" s="51">
        <v>0.30310777526262961</v>
      </c>
      <c r="AH84" s="51">
        <v>0.30144068249868516</v>
      </c>
      <c r="AI84" s="51">
        <v>0.29978275874494242</v>
      </c>
      <c r="AJ84" s="51">
        <v>0.29813395357184524</v>
      </c>
      <c r="AK84" s="51">
        <v>0.29649421682720012</v>
      </c>
      <c r="AL84" s="51">
        <v>0.29486349863465056</v>
      </c>
      <c r="AM84" s="51">
        <v>0.29324174939215997</v>
      </c>
      <c r="AN84" s="51">
        <v>0.29162891977050309</v>
      </c>
      <c r="AO84" s="51">
        <v>0.29002496071176537</v>
      </c>
      <c r="AP84" s="51">
        <v>0.28842982342785067</v>
      </c>
      <c r="AQ84" s="51">
        <v>0.28684345939899752</v>
      </c>
      <c r="AR84" s="51">
        <v>0.28526582037230303</v>
      </c>
      <c r="AS84" s="51">
        <v>0.28369685836025538</v>
      </c>
      <c r="AT84" s="51">
        <v>0.28213652563927399</v>
      </c>
      <c r="AU84" s="51">
        <v>0.28058477474825799</v>
      </c>
      <c r="AV84" s="51">
        <v>0.27904155848714257</v>
      </c>
      <c r="AW84" s="51">
        <v>0.27750682991546333</v>
      </c>
      <c r="AX84" s="51">
        <v>0.27598054235092828</v>
      </c>
      <c r="AY84" s="51">
        <v>0.27446264936799819</v>
      </c>
      <c r="AZ84" s="51">
        <v>0.27295310479647422</v>
      </c>
      <c r="BA84" s="51">
        <v>0.27145186272009364</v>
      </c>
      <c r="BB84" s="51">
        <v>0.26995887747513314</v>
      </c>
      <c r="BC84" s="51">
        <v>0.26847410364901991</v>
      </c>
      <c r="BD84" s="51">
        <v>0.26699749607895029</v>
      </c>
      <c r="BE84" s="51">
        <v>0.26552900985051608</v>
      </c>
      <c r="BF84" s="51">
        <v>0.26406860029633827</v>
      </c>
      <c r="BG84" s="51">
        <v>0.26261622299470844</v>
      </c>
      <c r="BH84" s="51">
        <v>0.26117183376823755</v>
      </c>
      <c r="BI84" s="51">
        <v>0.25973538868251228</v>
      </c>
      <c r="BJ84" s="51">
        <v>0.25830684404475845</v>
      </c>
      <c r="BK84" s="51">
        <v>0.25688615640251228</v>
      </c>
      <c r="BL84" s="51">
        <v>0.25547328254229845</v>
      </c>
      <c r="BM84" s="51">
        <v>0.25406817948831584</v>
      </c>
      <c r="BN84" s="51">
        <v>0.25267080450113011</v>
      </c>
      <c r="BO84" s="51">
        <v>0.25128111507637391</v>
      </c>
      <c r="BP84" s="51">
        <v>0.24989906894345387</v>
      </c>
      <c r="BQ84" s="51">
        <v>0.2485246240642649</v>
      </c>
      <c r="BR84" s="51">
        <v>0.24715773863191146</v>
      </c>
      <c r="BS84" s="51">
        <v>0.24579837106943594</v>
      </c>
      <c r="BT84" s="51">
        <v>0.24444648002855407</v>
      </c>
      <c r="BU84" s="51">
        <v>0.24310202438839704</v>
      </c>
      <c r="BV84" s="51">
        <v>0.24176496325426086</v>
      </c>
      <c r="BW84" s="51">
        <v>0.24043525595636245</v>
      </c>
      <c r="BX84" s="51">
        <v>0.23911286204860246</v>
      </c>
      <c r="BY84" s="51">
        <v>0.23779774130733516</v>
      </c>
      <c r="BZ84" s="51">
        <v>0.23648985373014483</v>
      </c>
      <c r="CA84" s="51">
        <v>0.23518915953462904</v>
      </c>
      <c r="CB84" s="51">
        <v>0.23389561915718859</v>
      </c>
      <c r="CC84" s="51">
        <v>0.23260919325182408</v>
      </c>
      <c r="CD84" s="51">
        <v>0.23132984268893905</v>
      </c>
      <c r="CE84" s="51">
        <v>0.2300575285541499</v>
      </c>
      <c r="CF84" s="51">
        <v>0.2287922121471021</v>
      </c>
      <c r="CG84" s="51">
        <v>0.22753385498029305</v>
      </c>
      <c r="CH84" s="51">
        <v>0.22628241877790145</v>
      </c>
      <c r="CI84" s="51">
        <v>0.22503786547462301</v>
      </c>
      <c r="CJ84" s="51">
        <v>0.2238001572145126</v>
      </c>
      <c r="CK84" s="51">
        <v>0.22256925634983279</v>
      </c>
      <c r="CL84" s="51">
        <v>0.22134512543990872</v>
      </c>
      <c r="CM84" s="51">
        <v>0.22012772724998925</v>
      </c>
      <c r="CN84" s="51">
        <v>0.21891702475011432</v>
      </c>
      <c r="CO84" s="51">
        <v>0.21771298111398871</v>
      </c>
      <c r="CP84" s="51">
        <v>0.21651555971786179</v>
      </c>
      <c r="CQ84" s="51">
        <v>0.21532472413941356</v>
      </c>
      <c r="CR84" s="51">
        <v>0.2141404381566468</v>
      </c>
      <c r="CS84" s="51">
        <v>0.21296266574678524</v>
      </c>
      <c r="CT84" s="51">
        <v>0.21179137108517793</v>
      </c>
      <c r="CU84" s="51">
        <v>0.21062651854420947</v>
      </c>
      <c r="CV84" s="51">
        <v>0.20946807269221632</v>
      </c>
      <c r="CW84" s="51">
        <v>0.20831599829240913</v>
      </c>
      <c r="CX84" s="55">
        <v>0.20717026030180088</v>
      </c>
      <c r="CY84" s="53">
        <v>0.20603082387014099</v>
      </c>
    </row>
    <row r="85" spans="1:103" ht="15.75">
      <c r="A85" s="54">
        <v>103</v>
      </c>
      <c r="B85" s="55">
        <v>0.37452400000000002</v>
      </c>
      <c r="C85" s="55">
        <v>0.37280118960000003</v>
      </c>
      <c r="D85" s="55">
        <v>0.37112358424680003</v>
      </c>
      <c r="E85" s="55">
        <v>0.36952775283453881</v>
      </c>
      <c r="F85" s="55">
        <v>0.36797573627263375</v>
      </c>
      <c r="G85" s="55">
        <v>0.36646703575391593</v>
      </c>
      <c r="H85" s="55">
        <v>0.3649645209073249</v>
      </c>
      <c r="I85" s="55">
        <v>0.36346816637160484</v>
      </c>
      <c r="J85" s="55">
        <v>0.36197794688948126</v>
      </c>
      <c r="K85" s="55">
        <v>0.36045763951254545</v>
      </c>
      <c r="L85" s="55">
        <v>0.35894371742659276</v>
      </c>
      <c r="M85" s="55">
        <v>0.35743615381340105</v>
      </c>
      <c r="N85" s="55">
        <v>0.35589917835200341</v>
      </c>
      <c r="O85" s="55">
        <v>0.35433322196725459</v>
      </c>
      <c r="P85" s="55">
        <v>0.35277415579059868</v>
      </c>
      <c r="Q85" s="55">
        <v>0.35118667208954102</v>
      </c>
      <c r="R85" s="55">
        <v>0.34957121339792913</v>
      </c>
      <c r="S85" s="55">
        <v>0.34792822869495882</v>
      </c>
      <c r="T85" s="55">
        <v>0.34625817319722302</v>
      </c>
      <c r="U85" s="51">
        <v>0.34452688233123691</v>
      </c>
      <c r="V85" s="51">
        <v>0.3427697952313476</v>
      </c>
      <c r="W85" s="51">
        <v>0.34102166927566774</v>
      </c>
      <c r="X85" s="51">
        <v>0.33928245876236185</v>
      </c>
      <c r="Y85" s="51">
        <v>0.33755211822267378</v>
      </c>
      <c r="Z85" s="51">
        <v>0.33583060241973817</v>
      </c>
      <c r="AA85" s="51">
        <v>0.33411786634739749</v>
      </c>
      <c r="AB85" s="51">
        <v>0.33241386522902577</v>
      </c>
      <c r="AC85" s="51">
        <v>0.33071855451635773</v>
      </c>
      <c r="AD85" s="51">
        <v>0.32903188988832432</v>
      </c>
      <c r="AE85" s="51">
        <v>0.32735382724989387</v>
      </c>
      <c r="AF85" s="51">
        <v>0.32568432273091941</v>
      </c>
      <c r="AG85" s="51">
        <v>0.32402333268499173</v>
      </c>
      <c r="AH85" s="51">
        <v>0.32237081368829829</v>
      </c>
      <c r="AI85" s="51">
        <v>0.32072672253848794</v>
      </c>
      <c r="AJ85" s="51">
        <v>0.31909101625354164</v>
      </c>
      <c r="AK85" s="51">
        <v>0.31746365207064858</v>
      </c>
      <c r="AL85" s="51">
        <v>0.31584458744508825</v>
      </c>
      <c r="AM85" s="51">
        <v>0.31423378004911828</v>
      </c>
      <c r="AN85" s="51">
        <v>0.31263118777086779</v>
      </c>
      <c r="AO85" s="51">
        <v>0.31103676871323638</v>
      </c>
      <c r="AP85" s="51">
        <v>0.30945048119279889</v>
      </c>
      <c r="AQ85" s="51">
        <v>0.30787228373871561</v>
      </c>
      <c r="AR85" s="51">
        <v>0.30630213509164816</v>
      </c>
      <c r="AS85" s="51">
        <v>0.30473999420268078</v>
      </c>
      <c r="AT85" s="51">
        <v>0.30318582023224711</v>
      </c>
      <c r="AU85" s="51">
        <v>0.30163957254906265</v>
      </c>
      <c r="AV85" s="51">
        <v>0.30010121072906243</v>
      </c>
      <c r="AW85" s="51">
        <v>0.29857069455434421</v>
      </c>
      <c r="AX85" s="51">
        <v>0.29704798401211707</v>
      </c>
      <c r="AY85" s="51">
        <v>0.29553303929365526</v>
      </c>
      <c r="AZ85" s="51">
        <v>0.29402582079325762</v>
      </c>
      <c r="BA85" s="51">
        <v>0.29252628910721201</v>
      </c>
      <c r="BB85" s="51">
        <v>0.29103440503276523</v>
      </c>
      <c r="BC85" s="51">
        <v>0.28955012956709814</v>
      </c>
      <c r="BD85" s="51">
        <v>0.28807342390630591</v>
      </c>
      <c r="BE85" s="51">
        <v>0.28660424944438373</v>
      </c>
      <c r="BF85" s="51">
        <v>0.28514256777221736</v>
      </c>
      <c r="BG85" s="51">
        <v>0.28368834067657905</v>
      </c>
      <c r="BH85" s="51">
        <v>0.2822415301391285</v>
      </c>
      <c r="BI85" s="51">
        <v>0.28080209833541897</v>
      </c>
      <c r="BJ85" s="51">
        <v>0.27937000763390835</v>
      </c>
      <c r="BK85" s="51">
        <v>0.2779452205949754</v>
      </c>
      <c r="BL85" s="51">
        <v>0.27652769996994103</v>
      </c>
      <c r="BM85" s="51">
        <v>0.27511740870009432</v>
      </c>
      <c r="BN85" s="51">
        <v>0.27371430991572382</v>
      </c>
      <c r="BO85" s="51">
        <v>0.27231836693515366</v>
      </c>
      <c r="BP85" s="51">
        <v>0.27092954326378438</v>
      </c>
      <c r="BQ85" s="51">
        <v>0.2695478025931391</v>
      </c>
      <c r="BR85" s="51">
        <v>0.26817310879991407</v>
      </c>
      <c r="BS85" s="51">
        <v>0.26680542594503454</v>
      </c>
      <c r="BT85" s="51">
        <v>0.26544471827271487</v>
      </c>
      <c r="BU85" s="51">
        <v>0.26409095020952406</v>
      </c>
      <c r="BV85" s="51">
        <v>0.26274408636345548</v>
      </c>
      <c r="BW85" s="51">
        <v>0.26140409152300187</v>
      </c>
      <c r="BX85" s="51">
        <v>0.26007093065623454</v>
      </c>
      <c r="BY85" s="51">
        <v>0.25874456890988773</v>
      </c>
      <c r="BZ85" s="51">
        <v>0.25742497160844729</v>
      </c>
      <c r="CA85" s="51">
        <v>0.25611210425324421</v>
      </c>
      <c r="CB85" s="51">
        <v>0.25480593252155265</v>
      </c>
      <c r="CC85" s="51">
        <v>0.25350642226569275</v>
      </c>
      <c r="CD85" s="51">
        <v>0.25221353951213771</v>
      </c>
      <c r="CE85" s="51">
        <v>0.25092725046062581</v>
      </c>
      <c r="CF85" s="51">
        <v>0.24964752148327662</v>
      </c>
      <c r="CG85" s="51">
        <v>0.24837431912371191</v>
      </c>
      <c r="CH85" s="51">
        <v>0.24710761009618099</v>
      </c>
      <c r="CI85" s="51">
        <v>0.24584736128469045</v>
      </c>
      <c r="CJ85" s="51">
        <v>0.24459353974213854</v>
      </c>
      <c r="CK85" s="51">
        <v>0.24334611268945364</v>
      </c>
      <c r="CL85" s="51">
        <v>0.24210504751473744</v>
      </c>
      <c r="CM85" s="51">
        <v>0.24087031177241228</v>
      </c>
      <c r="CN85" s="51">
        <v>0.23964187318237298</v>
      </c>
      <c r="CO85" s="51">
        <v>0.23841969962914289</v>
      </c>
      <c r="CP85" s="51">
        <v>0.23720375916103426</v>
      </c>
      <c r="CQ85" s="51">
        <v>0.23599401998931299</v>
      </c>
      <c r="CR85" s="51">
        <v>0.23479045048736749</v>
      </c>
      <c r="CS85" s="51">
        <v>0.23359301918988193</v>
      </c>
      <c r="CT85" s="51">
        <v>0.23240169479201353</v>
      </c>
      <c r="CU85" s="51">
        <v>0.23121644614857426</v>
      </c>
      <c r="CV85" s="51">
        <v>0.23003724227321654</v>
      </c>
      <c r="CW85" s="51">
        <v>0.22886405233762314</v>
      </c>
      <c r="CX85" s="55">
        <v>0.22769684567070125</v>
      </c>
      <c r="CY85" s="53">
        <v>0.22653559175778068</v>
      </c>
    </row>
    <row r="86" spans="1:103" ht="15.75">
      <c r="A86" s="54">
        <v>104</v>
      </c>
      <c r="B86" s="55">
        <v>0.393982</v>
      </c>
      <c r="C86" s="55">
        <v>0.39228787739999998</v>
      </c>
      <c r="D86" s="55">
        <v>0.39067949710265998</v>
      </c>
      <c r="E86" s="55">
        <v>0.38911677911424936</v>
      </c>
      <c r="F86" s="55">
        <v>0.38759922367570376</v>
      </c>
      <c r="G86" s="55">
        <v>0.38612634662573608</v>
      </c>
      <c r="H86" s="55">
        <v>0.3846590665085583</v>
      </c>
      <c r="I86" s="55">
        <v>0.38319736205582577</v>
      </c>
      <c r="J86" s="55">
        <v>0.3817412120800136</v>
      </c>
      <c r="K86" s="55">
        <v>0.38029059547410954</v>
      </c>
      <c r="L86" s="55">
        <v>0.37884549121130789</v>
      </c>
      <c r="M86" s="55">
        <v>0.37736799379558378</v>
      </c>
      <c r="N86" s="55">
        <v>0.37589625861978099</v>
      </c>
      <c r="O86" s="55">
        <v>0.37439267358530187</v>
      </c>
      <c r="P86" s="55">
        <v>0.37285766362360212</v>
      </c>
      <c r="Q86" s="55">
        <v>0.37129166143638298</v>
      </c>
      <c r="R86" s="55">
        <v>0.36973223645835018</v>
      </c>
      <c r="S86" s="55">
        <v>0.36814238784157927</v>
      </c>
      <c r="T86" s="55">
        <v>0.36652256133507632</v>
      </c>
      <c r="U86" s="51">
        <v>0.36483655755293498</v>
      </c>
      <c r="V86" s="51">
        <v>0.36312182573243618</v>
      </c>
      <c r="W86" s="51">
        <v>0.3614151531514937</v>
      </c>
      <c r="X86" s="51">
        <v>0.35971650193168164</v>
      </c>
      <c r="Y86" s="51">
        <v>0.35802583437260271</v>
      </c>
      <c r="Z86" s="51">
        <v>0.35634311295105148</v>
      </c>
      <c r="AA86" s="51">
        <v>0.35466830032018154</v>
      </c>
      <c r="AB86" s="51">
        <v>0.35300135930867665</v>
      </c>
      <c r="AC86" s="51">
        <v>0.35134225291992588</v>
      </c>
      <c r="AD86" s="51">
        <v>0.34969094433120224</v>
      </c>
      <c r="AE86" s="51">
        <v>0.34804739689284558</v>
      </c>
      <c r="AF86" s="51">
        <v>0.34641157412744922</v>
      </c>
      <c r="AG86" s="51">
        <v>0.34478343972905018</v>
      </c>
      <c r="AH86" s="51">
        <v>0.34316295756232362</v>
      </c>
      <c r="AI86" s="51">
        <v>0.34155009166178069</v>
      </c>
      <c r="AJ86" s="51">
        <v>0.33994480623097029</v>
      </c>
      <c r="AK86" s="51">
        <v>0.33834706564168471</v>
      </c>
      <c r="AL86" s="51">
        <v>0.33675683443316878</v>
      </c>
      <c r="AM86" s="51">
        <v>0.33517407731133286</v>
      </c>
      <c r="AN86" s="51">
        <v>0.3335987591479696</v>
      </c>
      <c r="AO86" s="51">
        <v>0.33203084497997415</v>
      </c>
      <c r="AP86" s="51">
        <v>0.33047030000856825</v>
      </c>
      <c r="AQ86" s="51">
        <v>0.32891708959852795</v>
      </c>
      <c r="AR86" s="51">
        <v>0.32737117927741483</v>
      </c>
      <c r="AS86" s="51">
        <v>0.32583253473481094</v>
      </c>
      <c r="AT86" s="51">
        <v>0.32430112182155729</v>
      </c>
      <c r="AU86" s="51">
        <v>0.32277690654899593</v>
      </c>
      <c r="AV86" s="51">
        <v>0.32125985508821564</v>
      </c>
      <c r="AW86" s="51">
        <v>0.319749933769301</v>
      </c>
      <c r="AX86" s="51">
        <v>0.31824710908058529</v>
      </c>
      <c r="AY86" s="51">
        <v>0.31675134766790652</v>
      </c>
      <c r="AZ86" s="51">
        <v>0.31526261633386737</v>
      </c>
      <c r="BA86" s="51">
        <v>0.3137808820370982</v>
      </c>
      <c r="BB86" s="51">
        <v>0.3123061118915238</v>
      </c>
      <c r="BC86" s="51">
        <v>0.31083827316563362</v>
      </c>
      <c r="BD86" s="51">
        <v>0.30937733328175515</v>
      </c>
      <c r="BE86" s="51">
        <v>0.30792325981533086</v>
      </c>
      <c r="BF86" s="51">
        <v>0.30647602049419881</v>
      </c>
      <c r="BG86" s="51">
        <v>0.30503558319787605</v>
      </c>
      <c r="BH86" s="51">
        <v>0.30360191595684599</v>
      </c>
      <c r="BI86" s="51">
        <v>0.3021749869518488</v>
      </c>
      <c r="BJ86" s="51">
        <v>0.30075476451317512</v>
      </c>
      <c r="BK86" s="51">
        <v>0.2993412171199632</v>
      </c>
      <c r="BL86" s="51">
        <v>0.29793431339949938</v>
      </c>
      <c r="BM86" s="51">
        <v>0.29653402212652175</v>
      </c>
      <c r="BN86" s="51">
        <v>0.29514031222252707</v>
      </c>
      <c r="BO86" s="51">
        <v>0.29375315275508118</v>
      </c>
      <c r="BP86" s="51">
        <v>0.29237251293713229</v>
      </c>
      <c r="BQ86" s="51">
        <v>0.29099836212632774</v>
      </c>
      <c r="BR86" s="51">
        <v>0.289630669824334</v>
      </c>
      <c r="BS86" s="51">
        <v>0.28826940567615961</v>
      </c>
      <c r="BT86" s="51">
        <v>0.28691453946948164</v>
      </c>
      <c r="BU86" s="51">
        <v>0.28556604113397505</v>
      </c>
      <c r="BV86" s="51">
        <v>0.28422388074064536</v>
      </c>
      <c r="BW86" s="51">
        <v>0.28288802850116435</v>
      </c>
      <c r="BX86" s="51">
        <v>0.28155845476720887</v>
      </c>
      <c r="BY86" s="51">
        <v>0.28023513002980299</v>
      </c>
      <c r="BZ86" s="51">
        <v>0.27891802491866291</v>
      </c>
      <c r="CA86" s="51">
        <v>0.27760711020154516</v>
      </c>
      <c r="CB86" s="51">
        <v>0.27630235678359788</v>
      </c>
      <c r="CC86" s="51">
        <v>0.27500373570671494</v>
      </c>
      <c r="CD86" s="51">
        <v>0.27371121814889338</v>
      </c>
      <c r="CE86" s="51">
        <v>0.27242477542359356</v>
      </c>
      <c r="CF86" s="51">
        <v>0.27114437897910265</v>
      </c>
      <c r="CG86" s="51">
        <v>0.26987000039790088</v>
      </c>
      <c r="CH86" s="51">
        <v>0.26860161139603073</v>
      </c>
      <c r="CI86" s="51">
        <v>0.26733918382246935</v>
      </c>
      <c r="CJ86" s="51">
        <v>0.26608268965850373</v>
      </c>
      <c r="CK86" s="51">
        <v>0.26483210101710875</v>
      </c>
      <c r="CL86" s="51">
        <v>0.26358739014232835</v>
      </c>
      <c r="CM86" s="51">
        <v>0.26234852940865938</v>
      </c>
      <c r="CN86" s="51">
        <v>0.26111549132043865</v>
      </c>
      <c r="CO86" s="51">
        <v>0.2598882485112326</v>
      </c>
      <c r="CP86" s="51">
        <v>0.25866677374322977</v>
      </c>
      <c r="CQ86" s="51">
        <v>0.25745103990663659</v>
      </c>
      <c r="CR86" s="51">
        <v>0.25624102001907539</v>
      </c>
      <c r="CS86" s="51">
        <v>0.25503668722498574</v>
      </c>
      <c r="CT86" s="51">
        <v>0.25383801479502827</v>
      </c>
      <c r="CU86" s="51">
        <v>0.25264497612549164</v>
      </c>
      <c r="CV86" s="51">
        <v>0.25145754473770182</v>
      </c>
      <c r="CW86" s="51">
        <v>0.25027569427743462</v>
      </c>
      <c r="CX86" s="55">
        <v>0.24909939851433066</v>
      </c>
      <c r="CY86" s="53">
        <v>0.24792863134131329</v>
      </c>
    </row>
    <row r="87" spans="1:103" ht="15.75">
      <c r="A87" s="54">
        <v>105</v>
      </c>
      <c r="B87" s="55">
        <v>0.412831</v>
      </c>
      <c r="C87" s="55">
        <v>0.41122095910000001</v>
      </c>
      <c r="D87" s="55">
        <v>0.40969944155132998</v>
      </c>
      <c r="E87" s="55">
        <v>0.40822452356174516</v>
      </c>
      <c r="F87" s="55">
        <v>0.40679573772927907</v>
      </c>
      <c r="G87" s="55">
        <v>0.40537195264722664</v>
      </c>
      <c r="H87" s="55">
        <v>0.4039936880082261</v>
      </c>
      <c r="I87" s="55">
        <v>0.40262010946899818</v>
      </c>
      <c r="J87" s="55">
        <v>0.40125120109680362</v>
      </c>
      <c r="K87" s="55">
        <v>0.39984682189296483</v>
      </c>
      <c r="L87" s="55">
        <v>0.39844735801633946</v>
      </c>
      <c r="M87" s="55">
        <v>0.39705279226328227</v>
      </c>
      <c r="N87" s="55">
        <v>0.39562340221113446</v>
      </c>
      <c r="O87" s="55">
        <v>0.39419915796317434</v>
      </c>
      <c r="P87" s="55">
        <v>0.39274062107871061</v>
      </c>
      <c r="Q87" s="55">
        <v>0.39124820671861149</v>
      </c>
      <c r="R87" s="55">
        <v>0.38972233871240891</v>
      </c>
      <c r="S87" s="55">
        <v>0.38820242159143054</v>
      </c>
      <c r="T87" s="55">
        <v>0.38664961190506481</v>
      </c>
      <c r="U87" s="51">
        <v>0.38506434849625404</v>
      </c>
      <c r="V87" s="51">
        <v>0.38340857179772014</v>
      </c>
      <c r="W87" s="51">
        <v>0.38175991493898997</v>
      </c>
      <c r="X87" s="51">
        <v>0.3801183473047523</v>
      </c>
      <c r="Y87" s="51">
        <v>0.37848383841134187</v>
      </c>
      <c r="Z87" s="51">
        <v>0.37685635790617311</v>
      </c>
      <c r="AA87" s="51">
        <v>0.37523587556717658</v>
      </c>
      <c r="AB87" s="51">
        <v>0.37362236130223775</v>
      </c>
      <c r="AC87" s="51">
        <v>0.37201578514863815</v>
      </c>
      <c r="AD87" s="51">
        <v>0.37041611727249901</v>
      </c>
      <c r="AE87" s="51">
        <v>0.36882332796822725</v>
      </c>
      <c r="AF87" s="51">
        <v>0.36723738765796388</v>
      </c>
      <c r="AG87" s="51">
        <v>0.36565826689103464</v>
      </c>
      <c r="AH87" s="51">
        <v>0.36408593634340319</v>
      </c>
      <c r="AI87" s="51">
        <v>0.36252036681712657</v>
      </c>
      <c r="AJ87" s="51">
        <v>0.36096152923981295</v>
      </c>
      <c r="AK87" s="51">
        <v>0.35940939466408178</v>
      </c>
      <c r="AL87" s="51">
        <v>0.35786393426702623</v>
      </c>
      <c r="AM87" s="51">
        <v>0.35632511934967803</v>
      </c>
      <c r="AN87" s="51">
        <v>0.35479292133647444</v>
      </c>
      <c r="AO87" s="51">
        <v>0.35326731177472759</v>
      </c>
      <c r="AP87" s="51">
        <v>0.35174826233409628</v>
      </c>
      <c r="AQ87" s="51">
        <v>0.35023574480605968</v>
      </c>
      <c r="AR87" s="51">
        <v>0.34872973110339361</v>
      </c>
      <c r="AS87" s="51">
        <v>0.34723019325964904</v>
      </c>
      <c r="AT87" s="51">
        <v>0.34573710342863256</v>
      </c>
      <c r="AU87" s="51">
        <v>0.34425043388388943</v>
      </c>
      <c r="AV87" s="51">
        <v>0.34277015701818869</v>
      </c>
      <c r="AW87" s="51">
        <v>0.34129624534301051</v>
      </c>
      <c r="AX87" s="51">
        <v>0.33982867148803558</v>
      </c>
      <c r="AY87" s="51">
        <v>0.33836740820063704</v>
      </c>
      <c r="AZ87" s="51">
        <v>0.33691242834537433</v>
      </c>
      <c r="BA87" s="51">
        <v>0.3354637049034892</v>
      </c>
      <c r="BB87" s="51">
        <v>0.33402121097240423</v>
      </c>
      <c r="BC87" s="51">
        <v>0.33258491976522292</v>
      </c>
      <c r="BD87" s="51">
        <v>0.33115480461023244</v>
      </c>
      <c r="BE87" s="51">
        <v>0.32973083895040844</v>
      </c>
      <c r="BF87" s="51">
        <v>0.32831299634292171</v>
      </c>
      <c r="BG87" s="51">
        <v>0.32690125045864715</v>
      </c>
      <c r="BH87" s="51">
        <v>0.32549557508167498</v>
      </c>
      <c r="BI87" s="51">
        <v>0.32409594410882381</v>
      </c>
      <c r="BJ87" s="51">
        <v>0.3227023315491559</v>
      </c>
      <c r="BK87" s="51">
        <v>0.32131471152349456</v>
      </c>
      <c r="BL87" s="51">
        <v>0.31993305826394353</v>
      </c>
      <c r="BM87" s="51">
        <v>0.31855734611340858</v>
      </c>
      <c r="BN87" s="51">
        <v>0.3171875495251209</v>
      </c>
      <c r="BO87" s="51">
        <v>0.31582364306216287</v>
      </c>
      <c r="BP87" s="51">
        <v>0.31446560139699559</v>
      </c>
      <c r="BQ87" s="51">
        <v>0.31311339931098853</v>
      </c>
      <c r="BR87" s="51">
        <v>0.31176701169395127</v>
      </c>
      <c r="BS87" s="51">
        <v>0.31042641354366729</v>
      </c>
      <c r="BT87" s="51">
        <v>0.30909157996542952</v>
      </c>
      <c r="BU87" s="51">
        <v>0.3077624861715782</v>
      </c>
      <c r="BV87" s="51">
        <v>0.30643910748104042</v>
      </c>
      <c r="BW87" s="51">
        <v>0.30512141931887193</v>
      </c>
      <c r="BX87" s="51">
        <v>0.3038093972158008</v>
      </c>
      <c r="BY87" s="51">
        <v>0.30250301680777286</v>
      </c>
      <c r="BZ87" s="51">
        <v>0.30120225383549942</v>
      </c>
      <c r="CA87" s="51">
        <v>0.2999070841440068</v>
      </c>
      <c r="CB87" s="51">
        <v>0.2986174836821876</v>
      </c>
      <c r="CC87" s="51">
        <v>0.29733342850235422</v>
      </c>
      <c r="CD87" s="51">
        <v>0.29605489475979413</v>
      </c>
      <c r="CE87" s="51">
        <v>0.29478185871232704</v>
      </c>
      <c r="CF87" s="51">
        <v>0.29351429671986407</v>
      </c>
      <c r="CG87" s="51">
        <v>0.29225218524396868</v>
      </c>
      <c r="CH87" s="51">
        <v>0.2909955008474196</v>
      </c>
      <c r="CI87" s="51">
        <v>0.28974422019377571</v>
      </c>
      <c r="CJ87" s="51">
        <v>0.28849832004694248</v>
      </c>
      <c r="CK87" s="51">
        <v>0.28725777727074064</v>
      </c>
      <c r="CL87" s="51">
        <v>0.28602256882847649</v>
      </c>
      <c r="CM87" s="51">
        <v>0.28479267178251405</v>
      </c>
      <c r="CN87" s="51">
        <v>0.28356806329384926</v>
      </c>
      <c r="CO87" s="51">
        <v>0.2823487206216857</v>
      </c>
      <c r="CP87" s="51">
        <v>0.28113462112301246</v>
      </c>
      <c r="CQ87" s="51">
        <v>0.27992574225218353</v>
      </c>
      <c r="CR87" s="51">
        <v>0.27872206156049917</v>
      </c>
      <c r="CS87" s="51">
        <v>0.27752355669578904</v>
      </c>
      <c r="CT87" s="51">
        <v>0.27633020540199715</v>
      </c>
      <c r="CU87" s="51">
        <v>0.27514198551876856</v>
      </c>
      <c r="CV87" s="51">
        <v>0.27395887498103788</v>
      </c>
      <c r="CW87" s="51">
        <v>0.27278085181861944</v>
      </c>
      <c r="CX87" s="55">
        <v>0.27160789415579939</v>
      </c>
      <c r="CY87" s="53">
        <v>0.27043998021092946</v>
      </c>
    </row>
    <row r="88" spans="1:103" ht="15.75">
      <c r="A88" s="54">
        <v>106</v>
      </c>
      <c r="B88" s="55">
        <v>0.430946</v>
      </c>
      <c r="C88" s="55">
        <v>0.42943768900000001</v>
      </c>
      <c r="D88" s="55">
        <v>0.42802054462630001</v>
      </c>
      <c r="E88" s="55">
        <v>0.42665087888349584</v>
      </c>
      <c r="F88" s="55">
        <v>0.42528559607106864</v>
      </c>
      <c r="G88" s="55">
        <v>0.42396721072324833</v>
      </c>
      <c r="H88" s="55">
        <v>0.42265291237000624</v>
      </c>
      <c r="I88" s="55">
        <v>0.42134268834165922</v>
      </c>
      <c r="J88" s="55">
        <v>0.42003652600780006</v>
      </c>
      <c r="K88" s="55">
        <v>0.41873441277717588</v>
      </c>
      <c r="L88" s="55">
        <v>0.41743633609756664</v>
      </c>
      <c r="M88" s="55">
        <v>0.41610053982205442</v>
      </c>
      <c r="N88" s="55">
        <v>0.41476901809462385</v>
      </c>
      <c r="O88" s="55">
        <v>0.41340028033491161</v>
      </c>
      <c r="P88" s="55">
        <v>0.41203605940980642</v>
      </c>
      <c r="Q88" s="55">
        <v>0.41063513680781311</v>
      </c>
      <c r="R88" s="55">
        <v>0.40919791382898579</v>
      </c>
      <c r="S88" s="55">
        <v>0.40776572113058435</v>
      </c>
      <c r="T88" s="55">
        <v>0.40629776453451422</v>
      </c>
      <c r="U88" s="51">
        <v>0.4047944628057365</v>
      </c>
      <c r="V88" s="51">
        <v>0.4032562438470747</v>
      </c>
      <c r="W88" s="51">
        <v>0.40172387012045579</v>
      </c>
      <c r="X88" s="51">
        <v>0.40019731941399805</v>
      </c>
      <c r="Y88" s="51">
        <v>0.39867656960022485</v>
      </c>
      <c r="Z88" s="51">
        <v>0.39716159863574396</v>
      </c>
      <c r="AA88" s="51">
        <v>0.39565238456092811</v>
      </c>
      <c r="AB88" s="51">
        <v>0.39414890549959658</v>
      </c>
      <c r="AC88" s="51">
        <v>0.39265113965869808</v>
      </c>
      <c r="AD88" s="51">
        <v>0.39115906532799499</v>
      </c>
      <c r="AE88" s="51">
        <v>0.38967266087974861</v>
      </c>
      <c r="AF88" s="51">
        <v>0.38819190476840554</v>
      </c>
      <c r="AG88" s="51">
        <v>0.38671677553028561</v>
      </c>
      <c r="AH88" s="51">
        <v>0.38524725178327052</v>
      </c>
      <c r="AI88" s="51">
        <v>0.38378331222649409</v>
      </c>
      <c r="AJ88" s="51">
        <v>0.38232493564003339</v>
      </c>
      <c r="AK88" s="51">
        <v>0.38087210088460127</v>
      </c>
      <c r="AL88" s="51">
        <v>0.37942478690123976</v>
      </c>
      <c r="AM88" s="51">
        <v>0.37798297271101505</v>
      </c>
      <c r="AN88" s="51">
        <v>0.37654663741471317</v>
      </c>
      <c r="AO88" s="51">
        <v>0.37511576019253723</v>
      </c>
      <c r="AP88" s="51">
        <v>0.37369032030380556</v>
      </c>
      <c r="AQ88" s="51">
        <v>0.3722702970866511</v>
      </c>
      <c r="AR88" s="51">
        <v>0.37085566995772185</v>
      </c>
      <c r="AS88" s="51">
        <v>0.36944641841188247</v>
      </c>
      <c r="AT88" s="51">
        <v>0.36804252202191728</v>
      </c>
      <c r="AU88" s="51">
        <v>0.366643960438234</v>
      </c>
      <c r="AV88" s="51">
        <v>0.36525071338856868</v>
      </c>
      <c r="AW88" s="51">
        <v>0.36386276067769213</v>
      </c>
      <c r="AX88" s="51">
        <v>0.36248008218711691</v>
      </c>
      <c r="AY88" s="51">
        <v>0.36110265787480589</v>
      </c>
      <c r="AZ88" s="51">
        <v>0.3597304677748816</v>
      </c>
      <c r="BA88" s="51">
        <v>0.35836349199733702</v>
      </c>
      <c r="BB88" s="51">
        <v>0.35700171072774711</v>
      </c>
      <c r="BC88" s="51">
        <v>0.35564510422698165</v>
      </c>
      <c r="BD88" s="51">
        <v>0.35429365283091913</v>
      </c>
      <c r="BE88" s="51">
        <v>0.35294733695016162</v>
      </c>
      <c r="BF88" s="51">
        <v>0.35160613706975097</v>
      </c>
      <c r="BG88" s="51">
        <v>0.35027003374888588</v>
      </c>
      <c r="BH88" s="51">
        <v>0.34893900762064012</v>
      </c>
      <c r="BI88" s="51">
        <v>0.3476130393916817</v>
      </c>
      <c r="BJ88" s="51">
        <v>0.34629210984199332</v>
      </c>
      <c r="BK88" s="51">
        <v>0.34497619982459377</v>
      </c>
      <c r="BL88" s="51">
        <v>0.34366529026526033</v>
      </c>
      <c r="BM88" s="51">
        <v>0.34235936216225232</v>
      </c>
      <c r="BN88" s="51">
        <v>0.34105839658603576</v>
      </c>
      <c r="BO88" s="51">
        <v>0.33976237467900883</v>
      </c>
      <c r="BP88" s="51">
        <v>0.33847127765522861</v>
      </c>
      <c r="BQ88" s="51">
        <v>0.33718508680013876</v>
      </c>
      <c r="BR88" s="51">
        <v>0.3359037834702982</v>
      </c>
      <c r="BS88" s="51">
        <v>0.33462734909311104</v>
      </c>
      <c r="BT88" s="51">
        <v>0.33335576516655718</v>
      </c>
      <c r="BU88" s="51">
        <v>0.33208901325892426</v>
      </c>
      <c r="BV88" s="51">
        <v>0.33082707500854036</v>
      </c>
      <c r="BW88" s="51">
        <v>0.32956993212350788</v>
      </c>
      <c r="BX88" s="51">
        <v>0.32831756638143855</v>
      </c>
      <c r="BY88" s="51">
        <v>0.32706995962918906</v>
      </c>
      <c r="BZ88" s="51">
        <v>0.32582709378259811</v>
      </c>
      <c r="CA88" s="51">
        <v>0.32458895082622424</v>
      </c>
      <c r="CB88" s="51">
        <v>0.32335551281308456</v>
      </c>
      <c r="CC88" s="51">
        <v>0.32212676186439482</v>
      </c>
      <c r="CD88" s="51">
        <v>0.32090268016931012</v>
      </c>
      <c r="CE88" s="51">
        <v>0.31968324998466674</v>
      </c>
      <c r="CF88" s="51">
        <v>0.31846845363472498</v>
      </c>
      <c r="CG88" s="51">
        <v>0.31725827351091301</v>
      </c>
      <c r="CH88" s="51">
        <v>0.31605269207157155</v>
      </c>
      <c r="CI88" s="51">
        <v>0.31485169184169959</v>
      </c>
      <c r="CJ88" s="51">
        <v>0.31365525541270112</v>
      </c>
      <c r="CK88" s="51">
        <v>0.31246336544213282</v>
      </c>
      <c r="CL88" s="51">
        <v>0.31127600465345273</v>
      </c>
      <c r="CM88" s="51">
        <v>0.31009315583576963</v>
      </c>
      <c r="CN88" s="51">
        <v>0.30891480184359371</v>
      </c>
      <c r="CO88" s="51">
        <v>0.30774092559658806</v>
      </c>
      <c r="CP88" s="51">
        <v>0.30657151007932099</v>
      </c>
      <c r="CQ88" s="51">
        <v>0.30540653834101955</v>
      </c>
      <c r="CR88" s="51">
        <v>0.30424599349532366</v>
      </c>
      <c r="CS88" s="51">
        <v>0.30308985872004141</v>
      </c>
      <c r="CT88" s="51">
        <v>0.30193811725690523</v>
      </c>
      <c r="CU88" s="51">
        <v>0.30079075241132897</v>
      </c>
      <c r="CV88" s="51">
        <v>0.29964774755216589</v>
      </c>
      <c r="CW88" s="51">
        <v>0.29850908611146765</v>
      </c>
      <c r="CX88" s="55">
        <v>0.29737475158424409</v>
      </c>
      <c r="CY88" s="53">
        <v>0.29624472752822395</v>
      </c>
    </row>
    <row r="89" spans="1:103" ht="15.75">
      <c r="A89" s="54">
        <v>107</v>
      </c>
      <c r="B89" s="55">
        <v>0.44822699999999999</v>
      </c>
      <c r="C89" s="55">
        <v>0.44683749629999997</v>
      </c>
      <c r="D89" s="55">
        <v>0.44549698381109998</v>
      </c>
      <c r="E89" s="55">
        <v>0.44420504255804777</v>
      </c>
      <c r="F89" s="55">
        <v>0.44296126843888523</v>
      </c>
      <c r="G89" s="55">
        <v>0.44172097688725631</v>
      </c>
      <c r="H89" s="55">
        <v>0.4405283302496607</v>
      </c>
      <c r="I89" s="55">
        <v>0.43933890375798662</v>
      </c>
      <c r="J89" s="55">
        <v>0.43815268871784002</v>
      </c>
      <c r="K89" s="55">
        <v>0.43692586118943005</v>
      </c>
      <c r="L89" s="55">
        <v>0.43570246877809965</v>
      </c>
      <c r="M89" s="55">
        <v>0.43448250186552095</v>
      </c>
      <c r="N89" s="55">
        <v>0.43322250261011092</v>
      </c>
      <c r="O89" s="55">
        <v>0.43196615735254157</v>
      </c>
      <c r="P89" s="55">
        <v>0.43067025888048394</v>
      </c>
      <c r="Q89" s="55">
        <v>0.42937824810384251</v>
      </c>
      <c r="R89" s="55">
        <v>0.4280471755347206</v>
      </c>
      <c r="S89" s="55">
        <v>0.4266774245730095</v>
      </c>
      <c r="T89" s="55">
        <v>0.42531205681437589</v>
      </c>
      <c r="U89" s="51">
        <v>0.42390852702688847</v>
      </c>
      <c r="V89" s="51">
        <v>0.42246723803499708</v>
      </c>
      <c r="W89" s="51">
        <v>0.42103084942567809</v>
      </c>
      <c r="X89" s="51">
        <v>0.41959934453763081</v>
      </c>
      <c r="Y89" s="51">
        <v>0.41817270676620288</v>
      </c>
      <c r="Z89" s="51">
        <v>0.41675091956319782</v>
      </c>
      <c r="AA89" s="51">
        <v>0.41533396643668297</v>
      </c>
      <c r="AB89" s="51">
        <v>0.41392183095079826</v>
      </c>
      <c r="AC89" s="51">
        <v>0.41251449672556556</v>
      </c>
      <c r="AD89" s="51">
        <v>0.41111194743669865</v>
      </c>
      <c r="AE89" s="51">
        <v>0.40971416681541389</v>
      </c>
      <c r="AF89" s="51">
        <v>0.40832113864824149</v>
      </c>
      <c r="AG89" s="51">
        <v>0.4069328467768375</v>
      </c>
      <c r="AH89" s="51">
        <v>0.40554927509779626</v>
      </c>
      <c r="AI89" s="51">
        <v>0.40417040756246375</v>
      </c>
      <c r="AJ89" s="51">
        <v>0.40279622817675137</v>
      </c>
      <c r="AK89" s="51">
        <v>0.40142672100095045</v>
      </c>
      <c r="AL89" s="51">
        <v>0.40006187014954725</v>
      </c>
      <c r="AM89" s="51">
        <v>0.39870165979103883</v>
      </c>
      <c r="AN89" s="51">
        <v>0.39734607414774931</v>
      </c>
      <c r="AO89" s="51">
        <v>0.39599509749564699</v>
      </c>
      <c r="AP89" s="51">
        <v>0.39464871416416181</v>
      </c>
      <c r="AQ89" s="51">
        <v>0.3933069085360037</v>
      </c>
      <c r="AR89" s="51">
        <v>0.39196966504698127</v>
      </c>
      <c r="AS89" s="51">
        <v>0.39063696818582155</v>
      </c>
      <c r="AT89" s="51">
        <v>0.3893088024939898</v>
      </c>
      <c r="AU89" s="51">
        <v>0.38798515256551025</v>
      </c>
      <c r="AV89" s="51">
        <v>0.38666600304678755</v>
      </c>
      <c r="AW89" s="51">
        <v>0.38535133863642851</v>
      </c>
      <c r="AX89" s="51">
        <v>0.38404114408506468</v>
      </c>
      <c r="AY89" s="51">
        <v>0.38273540419517549</v>
      </c>
      <c r="AZ89" s="51">
        <v>0.38143410382091192</v>
      </c>
      <c r="BA89" s="51">
        <v>0.38013722786792081</v>
      </c>
      <c r="BB89" s="51">
        <v>0.37884476129316991</v>
      </c>
      <c r="BC89" s="51">
        <v>0.37755668910477314</v>
      </c>
      <c r="BD89" s="51">
        <v>0.37627299636181694</v>
      </c>
      <c r="BE89" s="51">
        <v>0.37499366817418678</v>
      </c>
      <c r="BF89" s="51">
        <v>0.37371868970239458</v>
      </c>
      <c r="BG89" s="51">
        <v>0.37244804615740645</v>
      </c>
      <c r="BH89" s="51">
        <v>0.37118172280047129</v>
      </c>
      <c r="BI89" s="51">
        <v>0.36991970494294968</v>
      </c>
      <c r="BJ89" s="51">
        <v>0.36866197794614364</v>
      </c>
      <c r="BK89" s="51">
        <v>0.36740852722112677</v>
      </c>
      <c r="BL89" s="51">
        <v>0.36615933822857494</v>
      </c>
      <c r="BM89" s="51">
        <v>0.3649143964785978</v>
      </c>
      <c r="BN89" s="51">
        <v>0.36367368753057061</v>
      </c>
      <c r="BO89" s="51">
        <v>0.36243719699296667</v>
      </c>
      <c r="BP89" s="51">
        <v>0.36120491052319059</v>
      </c>
      <c r="BQ89" s="51">
        <v>0.35997681382741176</v>
      </c>
      <c r="BR89" s="51">
        <v>0.35875289266039856</v>
      </c>
      <c r="BS89" s="51">
        <v>0.35753313282535321</v>
      </c>
      <c r="BT89" s="51">
        <v>0.35631752017374702</v>
      </c>
      <c r="BU89" s="51">
        <v>0.35510604060515627</v>
      </c>
      <c r="BV89" s="51">
        <v>0.35389868006709874</v>
      </c>
      <c r="BW89" s="51">
        <v>0.35269542455487063</v>
      </c>
      <c r="BX89" s="51">
        <v>0.35149626011138407</v>
      </c>
      <c r="BY89" s="51">
        <v>0.3503011728270054</v>
      </c>
      <c r="BZ89" s="51">
        <v>0.34911014883939362</v>
      </c>
      <c r="CA89" s="51">
        <v>0.34792317433333969</v>
      </c>
      <c r="CB89" s="51">
        <v>0.34674023554060635</v>
      </c>
      <c r="CC89" s="51">
        <v>0.34556131873976831</v>
      </c>
      <c r="CD89" s="51">
        <v>0.3443864102560531</v>
      </c>
      <c r="CE89" s="51">
        <v>0.34321549646118255</v>
      </c>
      <c r="CF89" s="51">
        <v>0.34204856377321452</v>
      </c>
      <c r="CG89" s="51">
        <v>0.34088559865638562</v>
      </c>
      <c r="CH89" s="51">
        <v>0.33972658762095392</v>
      </c>
      <c r="CI89" s="51">
        <v>0.33857151722304268</v>
      </c>
      <c r="CJ89" s="51">
        <v>0.33742037406448433</v>
      </c>
      <c r="CK89" s="51">
        <v>0.33627314479266512</v>
      </c>
      <c r="CL89" s="51">
        <v>0.33512981610037007</v>
      </c>
      <c r="CM89" s="51">
        <v>0.33399037472562881</v>
      </c>
      <c r="CN89" s="51">
        <v>0.33285480745156171</v>
      </c>
      <c r="CO89" s="51">
        <v>0.33172310110622644</v>
      </c>
      <c r="CP89" s="51">
        <v>0.33059524256246531</v>
      </c>
      <c r="CQ89" s="51">
        <v>0.32947121873775292</v>
      </c>
      <c r="CR89" s="51">
        <v>0.32835101659404459</v>
      </c>
      <c r="CS89" s="51">
        <v>0.32723462313762486</v>
      </c>
      <c r="CT89" s="51">
        <v>0.32612202541895696</v>
      </c>
      <c r="CU89" s="51">
        <v>0.32501321053253251</v>
      </c>
      <c r="CV89" s="51">
        <v>0.32390816561672192</v>
      </c>
      <c r="CW89" s="51">
        <v>0.32280687785362511</v>
      </c>
      <c r="CX89" s="55">
        <v>0.3217093344689228</v>
      </c>
      <c r="CY89" s="53">
        <v>0.3206155227317285</v>
      </c>
    </row>
    <row r="90" spans="1:103" ht="15.75">
      <c r="A90" s="54">
        <v>108</v>
      </c>
      <c r="B90" s="55">
        <v>0.464592</v>
      </c>
      <c r="C90" s="55">
        <v>0.46333760159999998</v>
      </c>
      <c r="D90" s="55">
        <v>0.46213292383583998</v>
      </c>
      <c r="E90" s="55">
        <v>0.4609775915262504</v>
      </c>
      <c r="F90" s="55">
        <v>0.45982514754743481</v>
      </c>
      <c r="G90" s="55">
        <v>0.45872156719332097</v>
      </c>
      <c r="H90" s="55">
        <v>0.457620635432057</v>
      </c>
      <c r="I90" s="55">
        <v>0.45652234590702007</v>
      </c>
      <c r="J90" s="55">
        <v>0.45542669227684324</v>
      </c>
      <c r="K90" s="55">
        <v>0.45433366821537885</v>
      </c>
      <c r="L90" s="55">
        <v>0.45324326741166193</v>
      </c>
      <c r="M90" s="55">
        <v>0.4521101592431328</v>
      </c>
      <c r="N90" s="55">
        <v>0.45097988384502502</v>
      </c>
      <c r="O90" s="55">
        <v>0.44985243413541248</v>
      </c>
      <c r="P90" s="55">
        <v>0.44868281780666036</v>
      </c>
      <c r="Q90" s="55">
        <v>0.44751624248036304</v>
      </c>
      <c r="R90" s="55">
        <v>0.44630794862566603</v>
      </c>
      <c r="S90" s="55">
        <v>0.44505828636951417</v>
      </c>
      <c r="T90" s="55">
        <v>0.44381212316767954</v>
      </c>
      <c r="U90" s="51">
        <v>0.44252506801049324</v>
      </c>
      <c r="V90" s="51">
        <v>0.44119749280646176</v>
      </c>
      <c r="W90" s="51">
        <v>0.43987390032804236</v>
      </c>
      <c r="X90" s="51">
        <v>0.4385542786270582</v>
      </c>
      <c r="Y90" s="51">
        <v>0.43723861579117701</v>
      </c>
      <c r="Z90" s="51">
        <v>0.43592689994380346</v>
      </c>
      <c r="AA90" s="51">
        <v>0.43461911924397206</v>
      </c>
      <c r="AB90" s="51">
        <v>0.43331526188624014</v>
      </c>
      <c r="AC90" s="51">
        <v>0.43201531610058141</v>
      </c>
      <c r="AD90" s="51">
        <v>0.43071927015227968</v>
      </c>
      <c r="AE90" s="51">
        <v>0.42942711234182285</v>
      </c>
      <c r="AF90" s="51">
        <v>0.42813883100479738</v>
      </c>
      <c r="AG90" s="51">
        <v>0.42685441451178296</v>
      </c>
      <c r="AH90" s="51">
        <v>0.42557385126824759</v>
      </c>
      <c r="AI90" s="51">
        <v>0.42429712971444283</v>
      </c>
      <c r="AJ90" s="51">
        <v>0.42302423832529951</v>
      </c>
      <c r="AK90" s="51">
        <v>0.42175516561032361</v>
      </c>
      <c r="AL90" s="51">
        <v>0.42048990011349263</v>
      </c>
      <c r="AM90" s="51">
        <v>0.41922843041315216</v>
      </c>
      <c r="AN90" s="51">
        <v>0.41797074512191268</v>
      </c>
      <c r="AO90" s="51">
        <v>0.41671683288654693</v>
      </c>
      <c r="AP90" s="51">
        <v>0.41546668238788731</v>
      </c>
      <c r="AQ90" s="51">
        <v>0.41422028234072367</v>
      </c>
      <c r="AR90" s="51">
        <v>0.41297762149370149</v>
      </c>
      <c r="AS90" s="51">
        <v>0.41173868862922036</v>
      </c>
      <c r="AT90" s="51">
        <v>0.41050347256333269</v>
      </c>
      <c r="AU90" s="51">
        <v>0.40927196214564271</v>
      </c>
      <c r="AV90" s="51">
        <v>0.40804414625920576</v>
      </c>
      <c r="AW90" s="51">
        <v>0.40682001382042815</v>
      </c>
      <c r="AX90" s="51">
        <v>0.40559955377896684</v>
      </c>
      <c r="AY90" s="51">
        <v>0.40438275511762994</v>
      </c>
      <c r="AZ90" s="51">
        <v>0.40316960685227704</v>
      </c>
      <c r="BA90" s="51">
        <v>0.40196009803172023</v>
      </c>
      <c r="BB90" s="51">
        <v>0.40075421773762504</v>
      </c>
      <c r="BC90" s="51">
        <v>0.39955195508441216</v>
      </c>
      <c r="BD90" s="51">
        <v>0.39835329921915891</v>
      </c>
      <c r="BE90" s="51">
        <v>0.39715823932150141</v>
      </c>
      <c r="BF90" s="51">
        <v>0.39596676460353691</v>
      </c>
      <c r="BG90" s="51">
        <v>0.39477886430972631</v>
      </c>
      <c r="BH90" s="51">
        <v>0.39359452771679715</v>
      </c>
      <c r="BI90" s="51">
        <v>0.39241374413364677</v>
      </c>
      <c r="BJ90" s="51">
        <v>0.39123650290124584</v>
      </c>
      <c r="BK90" s="51">
        <v>0.39006279339254213</v>
      </c>
      <c r="BL90" s="51">
        <v>0.3888926050123645</v>
      </c>
      <c r="BM90" s="51">
        <v>0.3877259271973274</v>
      </c>
      <c r="BN90" s="51">
        <v>0.38656274941573543</v>
      </c>
      <c r="BO90" s="51">
        <v>0.38540306116748824</v>
      </c>
      <c r="BP90" s="51">
        <v>0.38424685198398578</v>
      </c>
      <c r="BQ90" s="51">
        <v>0.38309411142803385</v>
      </c>
      <c r="BR90" s="51">
        <v>0.38194482909374972</v>
      </c>
      <c r="BS90" s="51">
        <v>0.38079899460646849</v>
      </c>
      <c r="BT90" s="51">
        <v>0.37965659762264908</v>
      </c>
      <c r="BU90" s="51">
        <v>0.37851762782978116</v>
      </c>
      <c r="BV90" s="51">
        <v>0.37738207494629183</v>
      </c>
      <c r="BW90" s="51">
        <v>0.37624992872145296</v>
      </c>
      <c r="BX90" s="51">
        <v>0.37512117893528862</v>
      </c>
      <c r="BY90" s="51">
        <v>0.37399581539848276</v>
      </c>
      <c r="BZ90" s="51">
        <v>0.3728738279522873</v>
      </c>
      <c r="CA90" s="51">
        <v>0.37175520646843041</v>
      </c>
      <c r="CB90" s="51">
        <v>0.37063994084902513</v>
      </c>
      <c r="CC90" s="51">
        <v>0.36952802102647803</v>
      </c>
      <c r="CD90" s="51">
        <v>0.36841943696339857</v>
      </c>
      <c r="CE90" s="51">
        <v>0.36731417865250837</v>
      </c>
      <c r="CF90" s="51">
        <v>0.36621223611655085</v>
      </c>
      <c r="CG90" s="51">
        <v>0.36511359940820121</v>
      </c>
      <c r="CH90" s="51">
        <v>0.36401825860997661</v>
      </c>
      <c r="CI90" s="51">
        <v>0.3629262038341467</v>
      </c>
      <c r="CJ90" s="51">
        <v>0.36183742522264428</v>
      </c>
      <c r="CK90" s="51">
        <v>0.36075191294697634</v>
      </c>
      <c r="CL90" s="51">
        <v>0.35966965720813543</v>
      </c>
      <c r="CM90" s="51">
        <v>0.35859064823651104</v>
      </c>
      <c r="CN90" s="51">
        <v>0.35751487629180151</v>
      </c>
      <c r="CO90" s="51">
        <v>0.3564423316629261</v>
      </c>
      <c r="CP90" s="51">
        <v>0.35537300466793731</v>
      </c>
      <c r="CQ90" s="51">
        <v>0.35430688565393348</v>
      </c>
      <c r="CR90" s="51">
        <v>0.35324396499697169</v>
      </c>
      <c r="CS90" s="51">
        <v>0.35218423310198077</v>
      </c>
      <c r="CT90" s="51">
        <v>0.35112768040267484</v>
      </c>
      <c r="CU90" s="51">
        <v>0.35007429736146684</v>
      </c>
      <c r="CV90" s="51">
        <v>0.34902407446938244</v>
      </c>
      <c r="CW90" s="51">
        <v>0.34797700224597428</v>
      </c>
      <c r="CX90" s="55">
        <v>0.34693307123923633</v>
      </c>
      <c r="CY90" s="53">
        <v>0.34589227202551864</v>
      </c>
    </row>
    <row r="91" spans="1:103" ht="15.75">
      <c r="A91" s="54">
        <v>109</v>
      </c>
      <c r="B91" s="55">
        <v>0.479987</v>
      </c>
      <c r="C91" s="55">
        <v>0.47888302990000003</v>
      </c>
      <c r="D91" s="55">
        <v>0.47782948723422003</v>
      </c>
      <c r="E91" s="55">
        <v>0.47677826236230475</v>
      </c>
      <c r="F91" s="55">
        <v>0.47577702801134392</v>
      </c>
      <c r="G91" s="55">
        <v>0.47477789625252009</v>
      </c>
      <c r="H91" s="55">
        <v>0.47378086267038982</v>
      </c>
      <c r="I91" s="55">
        <v>0.47278592285878202</v>
      </c>
      <c r="J91" s="55">
        <v>0.47179307242077856</v>
      </c>
      <c r="K91" s="55">
        <v>0.47080230696869491</v>
      </c>
      <c r="L91" s="55">
        <v>0.46981362212406064</v>
      </c>
      <c r="M91" s="55">
        <v>0.46882701351760009</v>
      </c>
      <c r="N91" s="55">
        <v>0.46784247678921315</v>
      </c>
      <c r="O91" s="55">
        <v>0.46681322334027686</v>
      </c>
      <c r="P91" s="55">
        <v>0.46578623424892829</v>
      </c>
      <c r="Q91" s="55">
        <v>0.46471492591015578</v>
      </c>
      <c r="R91" s="55">
        <v>0.46364608158056242</v>
      </c>
      <c r="S91" s="55">
        <v>0.46253333098476906</v>
      </c>
      <c r="T91" s="55">
        <v>0.46142325099040565</v>
      </c>
      <c r="U91" s="51">
        <v>0.46026969286292968</v>
      </c>
      <c r="V91" s="51">
        <v>0.45907299166148602</v>
      </c>
      <c r="W91" s="51">
        <v>0.45787940188316612</v>
      </c>
      <c r="X91" s="51">
        <v>0.45668891543826984</v>
      </c>
      <c r="Y91" s="51">
        <v>0.45550152425813034</v>
      </c>
      <c r="Z91" s="51">
        <v>0.45431722029505917</v>
      </c>
      <c r="AA91" s="51">
        <v>0.453135995522292</v>
      </c>
      <c r="AB91" s="51">
        <v>0.45195784193393401</v>
      </c>
      <c r="AC91" s="51">
        <v>0.45078275154490577</v>
      </c>
      <c r="AD91" s="51">
        <v>0.44961071639088901</v>
      </c>
      <c r="AE91" s="51">
        <v>0.44844172852827269</v>
      </c>
      <c r="AF91" s="51">
        <v>0.44727578003409918</v>
      </c>
      <c r="AG91" s="51">
        <v>0.4461128630060105</v>
      </c>
      <c r="AH91" s="51">
        <v>0.44495296956219482</v>
      </c>
      <c r="AI91" s="51">
        <v>0.44379609184133312</v>
      </c>
      <c r="AJ91" s="51">
        <v>0.4426422220025456</v>
      </c>
      <c r="AK91" s="51">
        <v>0.44149135222533897</v>
      </c>
      <c r="AL91" s="51">
        <v>0.4403434747095531</v>
      </c>
      <c r="AM91" s="51">
        <v>0.43919858167530823</v>
      </c>
      <c r="AN91" s="51">
        <v>0.4380566653629524</v>
      </c>
      <c r="AO91" s="51">
        <v>0.43691771803300872</v>
      </c>
      <c r="AP91" s="51">
        <v>0.43578173196612285</v>
      </c>
      <c r="AQ91" s="51">
        <v>0.43464869946301093</v>
      </c>
      <c r="AR91" s="51">
        <v>0.43351861284440707</v>
      </c>
      <c r="AS91" s="51">
        <v>0.43239146445101156</v>
      </c>
      <c r="AT91" s="51">
        <v>0.43126724664343891</v>
      </c>
      <c r="AU91" s="51">
        <v>0.43014595180216597</v>
      </c>
      <c r="AV91" s="51">
        <v>0.42902757232748034</v>
      </c>
      <c r="AW91" s="51">
        <v>0.42791210063942886</v>
      </c>
      <c r="AX91" s="51">
        <v>0.42679952917776631</v>
      </c>
      <c r="AY91" s="51">
        <v>0.4256898504019041</v>
      </c>
      <c r="AZ91" s="51">
        <v>0.42458305679085911</v>
      </c>
      <c r="BA91" s="51">
        <v>0.42347914084320287</v>
      </c>
      <c r="BB91" s="51">
        <v>0.42237809507701052</v>
      </c>
      <c r="BC91" s="51">
        <v>0.42127991202981024</v>
      </c>
      <c r="BD91" s="51">
        <v>0.42018458425853272</v>
      </c>
      <c r="BE91" s="51">
        <v>0.41909210433946054</v>
      </c>
      <c r="BF91" s="51">
        <v>0.41800246486817794</v>
      </c>
      <c r="BG91" s="51">
        <v>0.41691565845952067</v>
      </c>
      <c r="BH91" s="51">
        <v>0.41583167774752589</v>
      </c>
      <c r="BI91" s="51">
        <v>0.41475051538538232</v>
      </c>
      <c r="BJ91" s="51">
        <v>0.41367216404538032</v>
      </c>
      <c r="BK91" s="51">
        <v>0.41259661641886231</v>
      </c>
      <c r="BL91" s="51">
        <v>0.41152386521617323</v>
      </c>
      <c r="BM91" s="51">
        <v>0.41045390316661118</v>
      </c>
      <c r="BN91" s="51">
        <v>0.40938672301837797</v>
      </c>
      <c r="BO91" s="51">
        <v>0.40832231753853016</v>
      </c>
      <c r="BP91" s="51">
        <v>0.40726067951292994</v>
      </c>
      <c r="BQ91" s="51">
        <v>0.4062018017461963</v>
      </c>
      <c r="BR91" s="51">
        <v>0.40514567706165616</v>
      </c>
      <c r="BS91" s="51">
        <v>0.40409229830129584</v>
      </c>
      <c r="BT91" s="51">
        <v>0.40304165832571243</v>
      </c>
      <c r="BU91" s="51">
        <v>0.40199375001406557</v>
      </c>
      <c r="BV91" s="51">
        <v>0.40094856626402897</v>
      </c>
      <c r="BW91" s="51">
        <v>0.39990609999174248</v>
      </c>
      <c r="BX91" s="51">
        <v>0.39886634413176392</v>
      </c>
      <c r="BY91" s="51">
        <v>0.3978292916370213</v>
      </c>
      <c r="BZ91" s="51">
        <v>0.39679493547876504</v>
      </c>
      <c r="CA91" s="51">
        <v>0.39576326864652023</v>
      </c>
      <c r="CB91" s="51">
        <v>0.39473428414803924</v>
      </c>
      <c r="CC91" s="51">
        <v>0.39370797500925431</v>
      </c>
      <c r="CD91" s="51">
        <v>0.39268433427423022</v>
      </c>
      <c r="CE91" s="51">
        <v>0.39166335500511718</v>
      </c>
      <c r="CF91" s="51">
        <v>0.39064503028210384</v>
      </c>
      <c r="CG91" s="51">
        <v>0.38962935320337033</v>
      </c>
      <c r="CH91" s="51">
        <v>0.38861631688504156</v>
      </c>
      <c r="CI91" s="51">
        <v>0.38760591446114045</v>
      </c>
      <c r="CJ91" s="51">
        <v>0.38659813908354146</v>
      </c>
      <c r="CK91" s="51">
        <v>0.38559298392192426</v>
      </c>
      <c r="CL91" s="51">
        <v>0.38459044216372723</v>
      </c>
      <c r="CM91" s="51">
        <v>0.38359050701410152</v>
      </c>
      <c r="CN91" s="51">
        <v>0.38259317169586482</v>
      </c>
      <c r="CO91" s="51">
        <v>0.38159842944945555</v>
      </c>
      <c r="CP91" s="51">
        <v>0.38060627353288695</v>
      </c>
      <c r="CQ91" s="51">
        <v>0.37961669722170144</v>
      </c>
      <c r="CR91" s="51">
        <v>0.37862969380892497</v>
      </c>
      <c r="CS91" s="51">
        <v>0.37764525660502174</v>
      </c>
      <c r="CT91" s="51">
        <v>0.37666337893784868</v>
      </c>
      <c r="CU91" s="51">
        <v>0.37568405415261025</v>
      </c>
      <c r="CV91" s="51">
        <v>0.37470727561181344</v>
      </c>
      <c r="CW91" s="51">
        <v>0.37373303669522273</v>
      </c>
      <c r="CX91" s="55">
        <v>0.37276133079981516</v>
      </c>
      <c r="CY91" s="53">
        <v>0.37179215133973564</v>
      </c>
    </row>
    <row r="92" spans="1:103" ht="15.75">
      <c r="A92" s="54">
        <v>110</v>
      </c>
      <c r="B92" s="55">
        <v>0.49437599999999998</v>
      </c>
      <c r="C92" s="55">
        <v>0.49343668559999998</v>
      </c>
      <c r="D92" s="55">
        <v>0.49249915589735999</v>
      </c>
      <c r="E92" s="55">
        <v>0.4916126574167447</v>
      </c>
      <c r="F92" s="55">
        <v>0.49072775463339458</v>
      </c>
      <c r="G92" s="55">
        <v>0.48989351745051779</v>
      </c>
      <c r="H92" s="55">
        <v>0.48906069847085187</v>
      </c>
      <c r="I92" s="55">
        <v>0.48822929528345138</v>
      </c>
      <c r="J92" s="55">
        <v>0.48739930548146948</v>
      </c>
      <c r="K92" s="55">
        <v>0.48657072666215095</v>
      </c>
      <c r="L92" s="55">
        <v>0.48574355642682526</v>
      </c>
      <c r="M92" s="55">
        <v>0.48486921802525695</v>
      </c>
      <c r="N92" s="55">
        <v>0.4839964534328115</v>
      </c>
      <c r="O92" s="55">
        <v>0.48312525981663246</v>
      </c>
      <c r="P92" s="55">
        <v>0.48220732182298087</v>
      </c>
      <c r="Q92" s="55">
        <v>0.48129112791151718</v>
      </c>
      <c r="R92" s="55">
        <v>0.48037667476848528</v>
      </c>
      <c r="S92" s="55">
        <v>0.47941592141894829</v>
      </c>
      <c r="T92" s="55">
        <v>0.47845708957611038</v>
      </c>
      <c r="U92" s="51">
        <v>0.47745232968800055</v>
      </c>
      <c r="V92" s="51">
        <v>0.47644967979565578</v>
      </c>
      <c r="W92" s="51">
        <v>0.47544913546808493</v>
      </c>
      <c r="X92" s="51">
        <v>0.47445069228360193</v>
      </c>
      <c r="Y92" s="51">
        <v>0.47345434582980639</v>
      </c>
      <c r="Z92" s="51">
        <v>0.47246009170356379</v>
      </c>
      <c r="AA92" s="51">
        <v>0.47146792551098632</v>
      </c>
      <c r="AB92" s="51">
        <v>0.47047784286741323</v>
      </c>
      <c r="AC92" s="51">
        <v>0.4694898393973917</v>
      </c>
      <c r="AD92" s="51">
        <v>0.46850391073465719</v>
      </c>
      <c r="AE92" s="51">
        <v>0.46752005252211443</v>
      </c>
      <c r="AF92" s="51">
        <v>0.46653826041181801</v>
      </c>
      <c r="AG92" s="51">
        <v>0.46555853006495318</v>
      </c>
      <c r="AH92" s="51">
        <v>0.4645808571518168</v>
      </c>
      <c r="AI92" s="51">
        <v>0.46360523735179798</v>
      </c>
      <c r="AJ92" s="51">
        <v>0.46263166635335923</v>
      </c>
      <c r="AK92" s="51">
        <v>0.46166013985401716</v>
      </c>
      <c r="AL92" s="51">
        <v>0.46069065356032374</v>
      </c>
      <c r="AM92" s="51">
        <v>0.45972320318784704</v>
      </c>
      <c r="AN92" s="51">
        <v>0.45875778446115256</v>
      </c>
      <c r="AO92" s="51">
        <v>0.45779439311378417</v>
      </c>
      <c r="AP92" s="51">
        <v>0.45683302488824523</v>
      </c>
      <c r="AQ92" s="51">
        <v>0.45587367553597991</v>
      </c>
      <c r="AR92" s="51">
        <v>0.45491634081735433</v>
      </c>
      <c r="AS92" s="51">
        <v>0.45396101650163789</v>
      </c>
      <c r="AT92" s="51">
        <v>0.45300769836698446</v>
      </c>
      <c r="AU92" s="51">
        <v>0.45205638220041378</v>
      </c>
      <c r="AV92" s="51">
        <v>0.45110706379779292</v>
      </c>
      <c r="AW92" s="51">
        <v>0.45015973896381756</v>
      </c>
      <c r="AX92" s="51">
        <v>0.44921440351199354</v>
      </c>
      <c r="AY92" s="51">
        <v>0.44827105326461836</v>
      </c>
      <c r="AZ92" s="51">
        <v>0.44732968405276269</v>
      </c>
      <c r="BA92" s="51">
        <v>0.44639029171625189</v>
      </c>
      <c r="BB92" s="51">
        <v>0.44545287210364776</v>
      </c>
      <c r="BC92" s="51">
        <v>0.44451742107223008</v>
      </c>
      <c r="BD92" s="51">
        <v>0.44358393448797839</v>
      </c>
      <c r="BE92" s="51">
        <v>0.44265240822555363</v>
      </c>
      <c r="BF92" s="51">
        <v>0.44172283816827995</v>
      </c>
      <c r="BG92" s="51">
        <v>0.44079522020812656</v>
      </c>
      <c r="BH92" s="51">
        <v>0.43986955024568952</v>
      </c>
      <c r="BI92" s="51">
        <v>0.43894582419017358</v>
      </c>
      <c r="BJ92" s="51">
        <v>0.43802403795937422</v>
      </c>
      <c r="BK92" s="51">
        <v>0.43710418747965957</v>
      </c>
      <c r="BL92" s="51">
        <v>0.43618626868595228</v>
      </c>
      <c r="BM92" s="51">
        <v>0.43527027752171177</v>
      </c>
      <c r="BN92" s="51">
        <v>0.43435620993891616</v>
      </c>
      <c r="BO92" s="51">
        <v>0.43344406189804446</v>
      </c>
      <c r="BP92" s="51">
        <v>0.43253382936805856</v>
      </c>
      <c r="BQ92" s="51">
        <v>0.43162550832638563</v>
      </c>
      <c r="BR92" s="51">
        <v>0.43071909475890024</v>
      </c>
      <c r="BS92" s="51">
        <v>0.42981458465990657</v>
      </c>
      <c r="BT92" s="51">
        <v>0.42891197403212078</v>
      </c>
      <c r="BU92" s="51">
        <v>0.42801125888665331</v>
      </c>
      <c r="BV92" s="51">
        <v>0.42711243524299136</v>
      </c>
      <c r="BW92" s="51">
        <v>0.4262154991289811</v>
      </c>
      <c r="BX92" s="51">
        <v>0.42532044658081025</v>
      </c>
      <c r="BY92" s="51">
        <v>0.42442727364299054</v>
      </c>
      <c r="BZ92" s="51">
        <v>0.42353597636834028</v>
      </c>
      <c r="CA92" s="51">
        <v>0.42264655081796676</v>
      </c>
      <c r="CB92" s="51">
        <v>0.42175899306124903</v>
      </c>
      <c r="CC92" s="51">
        <v>0.42087329917582039</v>
      </c>
      <c r="CD92" s="51">
        <v>0.41998946524755115</v>
      </c>
      <c r="CE92" s="51">
        <v>0.41910748737053127</v>
      </c>
      <c r="CF92" s="51">
        <v>0.41822736164705315</v>
      </c>
      <c r="CG92" s="51">
        <v>0.41734908418759437</v>
      </c>
      <c r="CH92" s="51">
        <v>0.4164726511108004</v>
      </c>
      <c r="CI92" s="51">
        <v>0.41559805854346771</v>
      </c>
      <c r="CJ92" s="51">
        <v>0.41472530262052643</v>
      </c>
      <c r="CK92" s="51">
        <v>0.41385437948502335</v>
      </c>
      <c r="CL92" s="51">
        <v>0.4129852852881048</v>
      </c>
      <c r="CM92" s="51">
        <v>0.41211801618899979</v>
      </c>
      <c r="CN92" s="51">
        <v>0.4112525683550029</v>
      </c>
      <c r="CO92" s="51">
        <v>0.41038893796145742</v>
      </c>
      <c r="CP92" s="51">
        <v>0.40952712119173834</v>
      </c>
      <c r="CQ92" s="51">
        <v>0.40866711423723567</v>
      </c>
      <c r="CR92" s="51">
        <v>0.40780891329733748</v>
      </c>
      <c r="CS92" s="51">
        <v>0.40695251457941306</v>
      </c>
      <c r="CT92" s="51">
        <v>0.40609791429879627</v>
      </c>
      <c r="CU92" s="51">
        <v>0.40524510867876878</v>
      </c>
      <c r="CV92" s="51">
        <v>0.40439409395054338</v>
      </c>
      <c r="CW92" s="51">
        <v>0.40354486635324721</v>
      </c>
      <c r="CX92" s="55">
        <v>0.40269742213390541</v>
      </c>
      <c r="CY92" s="53">
        <v>0.40185175754742419</v>
      </c>
    </row>
    <row r="93" spans="1:103" ht="15.75">
      <c r="A93" s="54">
        <v>111</v>
      </c>
      <c r="B93" s="55">
        <v>0.5</v>
      </c>
      <c r="C93" s="55">
        <v>0.49925000000000003</v>
      </c>
      <c r="D93" s="55">
        <v>0.49850112500000004</v>
      </c>
      <c r="E93" s="55">
        <v>0.49780322342500005</v>
      </c>
      <c r="F93" s="55">
        <v>0.49710629891220509</v>
      </c>
      <c r="G93" s="55">
        <v>0.49641035009372803</v>
      </c>
      <c r="H93" s="55">
        <v>0.49571537560359685</v>
      </c>
      <c r="I93" s="55">
        <v>0.49502137407775182</v>
      </c>
      <c r="J93" s="55">
        <v>0.49432834415404298</v>
      </c>
      <c r="K93" s="55">
        <v>0.49363628447222735</v>
      </c>
      <c r="L93" s="55">
        <v>0.49294519367396628</v>
      </c>
      <c r="M93" s="55">
        <v>0.49225507040282274</v>
      </c>
      <c r="N93" s="55">
        <v>0.49156591330425881</v>
      </c>
      <c r="O93" s="55">
        <v>0.49082856443430245</v>
      </c>
      <c r="P93" s="55">
        <v>0.49009232158765104</v>
      </c>
      <c r="Q93" s="55">
        <v>0.4893571831052696</v>
      </c>
      <c r="R93" s="55">
        <v>0.48862314733061174</v>
      </c>
      <c r="S93" s="55">
        <v>0.48784135029488274</v>
      </c>
      <c r="T93" s="55">
        <v>0.48706080413441089</v>
      </c>
      <c r="U93" s="51">
        <v>0.48623280076738234</v>
      </c>
      <c r="V93" s="51">
        <v>0.48540620500607778</v>
      </c>
      <c r="W93" s="51">
        <v>0.48458101445756746</v>
      </c>
      <c r="X93" s="51">
        <v>0.4837572267329896</v>
      </c>
      <c r="Y93" s="51">
        <v>0.48293483944754351</v>
      </c>
      <c r="Z93" s="51">
        <v>0.48211385022048264</v>
      </c>
      <c r="AA93" s="51">
        <v>0.48129425667510778</v>
      </c>
      <c r="AB93" s="51">
        <v>0.48047605643876007</v>
      </c>
      <c r="AC93" s="51">
        <v>0.47965924714281416</v>
      </c>
      <c r="AD93" s="51">
        <v>0.47884382642267137</v>
      </c>
      <c r="AE93" s="51">
        <v>0.4780297919177528</v>
      </c>
      <c r="AF93" s="51">
        <v>0.47721714127149262</v>
      </c>
      <c r="AG93" s="51">
        <v>0.47640587213133107</v>
      </c>
      <c r="AH93" s="51">
        <v>0.4755959821487078</v>
      </c>
      <c r="AI93" s="51">
        <v>0.47478746897905499</v>
      </c>
      <c r="AJ93" s="51">
        <v>0.4739803302817906</v>
      </c>
      <c r="AK93" s="51">
        <v>0.47317456372031153</v>
      </c>
      <c r="AL93" s="51">
        <v>0.47237016696198697</v>
      </c>
      <c r="AM93" s="51">
        <v>0.47156713767815156</v>
      </c>
      <c r="AN93" s="51">
        <v>0.4707654735440987</v>
      </c>
      <c r="AO93" s="51">
        <v>0.46996517223907369</v>
      </c>
      <c r="AP93" s="51">
        <v>0.46916623144626723</v>
      </c>
      <c r="AQ93" s="51">
        <v>0.46836864885280854</v>
      </c>
      <c r="AR93" s="51">
        <v>0.46757242214975875</v>
      </c>
      <c r="AS93" s="51">
        <v>0.46677754903210417</v>
      </c>
      <c r="AT93" s="51">
        <v>0.4659840271987496</v>
      </c>
      <c r="AU93" s="51">
        <v>0.4651918543525117</v>
      </c>
      <c r="AV93" s="51">
        <v>0.46440102820011242</v>
      </c>
      <c r="AW93" s="51">
        <v>0.46361154645217223</v>
      </c>
      <c r="AX93" s="51">
        <v>0.4628234068232035</v>
      </c>
      <c r="AY93" s="51">
        <v>0.46203660703160404</v>
      </c>
      <c r="AZ93" s="51">
        <v>0.46125114479965029</v>
      </c>
      <c r="BA93" s="51">
        <v>0.46046701785349087</v>
      </c>
      <c r="BB93" s="51">
        <v>0.4596842239231399</v>
      </c>
      <c r="BC93" s="51">
        <v>0.45890276074247055</v>
      </c>
      <c r="BD93" s="51">
        <v>0.45812262604920834</v>
      </c>
      <c r="BE93" s="51">
        <v>0.45734381758492465</v>
      </c>
      <c r="BF93" s="51">
        <v>0.45656633309503025</v>
      </c>
      <c r="BG93" s="51">
        <v>0.45579017032876867</v>
      </c>
      <c r="BH93" s="51">
        <v>0.45501532703920977</v>
      </c>
      <c r="BI93" s="51">
        <v>0.45424180098324307</v>
      </c>
      <c r="BJ93" s="51">
        <v>0.45346958992157155</v>
      </c>
      <c r="BK93" s="51">
        <v>0.45269869161870485</v>
      </c>
      <c r="BL93" s="51">
        <v>0.45192910384295304</v>
      </c>
      <c r="BM93" s="51">
        <v>0.45116082436642002</v>
      </c>
      <c r="BN93" s="51">
        <v>0.45039385096499707</v>
      </c>
      <c r="BO93" s="51">
        <v>0.44962818141835653</v>
      </c>
      <c r="BP93" s="51">
        <v>0.44886381350994531</v>
      </c>
      <c r="BQ93" s="51">
        <v>0.44810074502697839</v>
      </c>
      <c r="BR93" s="51">
        <v>0.44733897376043252</v>
      </c>
      <c r="BS93" s="51">
        <v>0.44657849750503975</v>
      </c>
      <c r="BT93" s="51">
        <v>0.44581931405928116</v>
      </c>
      <c r="BU93" s="51">
        <v>0.44506142122538034</v>
      </c>
      <c r="BV93" s="51">
        <v>0.44430481680929718</v>
      </c>
      <c r="BW93" s="51">
        <v>0.44354949862072135</v>
      </c>
      <c r="BX93" s="51">
        <v>0.44279546447306611</v>
      </c>
      <c r="BY93" s="51">
        <v>0.44204271218346186</v>
      </c>
      <c r="BZ93" s="51">
        <v>0.44129123957274996</v>
      </c>
      <c r="CA93" s="51">
        <v>0.44054104446547626</v>
      </c>
      <c r="CB93" s="51">
        <v>0.43979212468988493</v>
      </c>
      <c r="CC93" s="51">
        <v>0.43904447807791214</v>
      </c>
      <c r="CD93" s="51">
        <v>0.4382981024651797</v>
      </c>
      <c r="CE93" s="51">
        <v>0.43755299569098888</v>
      </c>
      <c r="CF93" s="51">
        <v>0.43680915559831418</v>
      </c>
      <c r="CG93" s="51">
        <v>0.43606658003379706</v>
      </c>
      <c r="CH93" s="51">
        <v>0.43532526684773959</v>
      </c>
      <c r="CI93" s="51">
        <v>0.43458521389409843</v>
      </c>
      <c r="CJ93" s="51">
        <v>0.43384641903047844</v>
      </c>
      <c r="CK93" s="51">
        <v>0.43310888011812659</v>
      </c>
      <c r="CL93" s="51">
        <v>0.43237259502192577</v>
      </c>
      <c r="CM93" s="51">
        <v>0.43163756161038846</v>
      </c>
      <c r="CN93" s="51">
        <v>0.43090377775565081</v>
      </c>
      <c r="CO93" s="51">
        <v>0.43017124133346618</v>
      </c>
      <c r="CP93" s="51">
        <v>0.42943995022319925</v>
      </c>
      <c r="CQ93" s="51">
        <v>0.4287099023078198</v>
      </c>
      <c r="CR93" s="51">
        <v>0.42798109547389651</v>
      </c>
      <c r="CS93" s="51">
        <v>0.42725352761159086</v>
      </c>
      <c r="CT93" s="51">
        <v>0.42652719661465116</v>
      </c>
      <c r="CU93" s="51">
        <v>0.42580210038040622</v>
      </c>
      <c r="CV93" s="51">
        <v>0.42507823680975954</v>
      </c>
      <c r="CW93" s="51">
        <v>0.4243556038071829</v>
      </c>
      <c r="CX93" s="55">
        <v>0.42363419928071067</v>
      </c>
      <c r="CY93" s="53">
        <v>0.42291402114193344</v>
      </c>
    </row>
    <row r="94" spans="1:103" ht="15.75">
      <c r="A94" s="54">
        <v>112</v>
      </c>
      <c r="B94" s="55">
        <v>0.5</v>
      </c>
      <c r="C94" s="55">
        <v>0.49940000000000001</v>
      </c>
      <c r="D94" s="55">
        <v>0.49885066</v>
      </c>
      <c r="E94" s="55">
        <v>0.498301924274</v>
      </c>
      <c r="F94" s="55">
        <v>0.49775379215729859</v>
      </c>
      <c r="G94" s="55">
        <v>0.49725603836514132</v>
      </c>
      <c r="H94" s="55">
        <v>0.49675878232677617</v>
      </c>
      <c r="I94" s="55">
        <v>0.49626202354444937</v>
      </c>
      <c r="J94" s="55">
        <v>0.4957657615209049</v>
      </c>
      <c r="K94" s="55">
        <v>0.49526999575938402</v>
      </c>
      <c r="L94" s="55">
        <v>0.49477472576362463</v>
      </c>
      <c r="M94" s="55">
        <v>0.49423047356528466</v>
      </c>
      <c r="N94" s="55">
        <v>0.49368682004436287</v>
      </c>
      <c r="O94" s="55">
        <v>0.49314376454231407</v>
      </c>
      <c r="P94" s="55">
        <v>0.49260130640131755</v>
      </c>
      <c r="Q94" s="55">
        <v>0.49205944496427612</v>
      </c>
      <c r="R94" s="55">
        <v>0.49146897363031899</v>
      </c>
      <c r="S94" s="55">
        <v>0.49087921086196262</v>
      </c>
      <c r="T94" s="55">
        <v>0.49029015580892826</v>
      </c>
      <c r="U94" s="51">
        <v>0.48970180762195759</v>
      </c>
      <c r="V94" s="51">
        <v>0.48906519527204906</v>
      </c>
      <c r="W94" s="51">
        <v>0.48842941051819538</v>
      </c>
      <c r="X94" s="51">
        <v>0.48779445228452173</v>
      </c>
      <c r="Y94" s="51">
        <v>0.48716031949655186</v>
      </c>
      <c r="Z94" s="51">
        <v>0.48652701108120638</v>
      </c>
      <c r="AA94" s="51">
        <v>0.48589452596680083</v>
      </c>
      <c r="AB94" s="51">
        <v>0.485262863083044</v>
      </c>
      <c r="AC94" s="51">
        <v>0.48463202136103606</v>
      </c>
      <c r="AD94" s="51">
        <v>0.48400199973326674</v>
      </c>
      <c r="AE94" s="51">
        <v>0.48337279713361353</v>
      </c>
      <c r="AF94" s="51">
        <v>0.48274441249733985</v>
      </c>
      <c r="AG94" s="51">
        <v>0.48211684476109334</v>
      </c>
      <c r="AH94" s="51">
        <v>0.48149009286290395</v>
      </c>
      <c r="AI94" s="51">
        <v>0.48086415574218216</v>
      </c>
      <c r="AJ94" s="51">
        <v>0.48023903233971732</v>
      </c>
      <c r="AK94" s="51">
        <v>0.47961472159767571</v>
      </c>
      <c r="AL94" s="51">
        <v>0.47899122245959874</v>
      </c>
      <c r="AM94" s="51">
        <v>0.47836853387040129</v>
      </c>
      <c r="AN94" s="51">
        <v>0.47774665477636979</v>
      </c>
      <c r="AO94" s="51">
        <v>0.47712558412516054</v>
      </c>
      <c r="AP94" s="51">
        <v>0.47650532086579783</v>
      </c>
      <c r="AQ94" s="51">
        <v>0.47588586394867233</v>
      </c>
      <c r="AR94" s="51">
        <v>0.47526721232553909</v>
      </c>
      <c r="AS94" s="51">
        <v>0.47464936494951593</v>
      </c>
      <c r="AT94" s="51">
        <v>0.47403232077508156</v>
      </c>
      <c r="AU94" s="51">
        <v>0.47341607875807395</v>
      </c>
      <c r="AV94" s="51">
        <v>0.47280063785568849</v>
      </c>
      <c r="AW94" s="51">
        <v>0.47218599702647612</v>
      </c>
      <c r="AX94" s="51">
        <v>0.47157215523034174</v>
      </c>
      <c r="AY94" s="51">
        <v>0.4709591114285423</v>
      </c>
      <c r="AZ94" s="51">
        <v>0.47034686458368519</v>
      </c>
      <c r="BA94" s="51">
        <v>0.46973541365972643</v>
      </c>
      <c r="BB94" s="51">
        <v>0.46912475762196881</v>
      </c>
      <c r="BC94" s="51">
        <v>0.46851489543706026</v>
      </c>
      <c r="BD94" s="51">
        <v>0.46790582607299208</v>
      </c>
      <c r="BE94" s="51">
        <v>0.46729754849909722</v>
      </c>
      <c r="BF94" s="51">
        <v>0.46669006168604843</v>
      </c>
      <c r="BG94" s="51">
        <v>0.46608336460585659</v>
      </c>
      <c r="BH94" s="51">
        <v>0.46547745623186898</v>
      </c>
      <c r="BI94" s="51">
        <v>0.46487233553876756</v>
      </c>
      <c r="BJ94" s="51">
        <v>0.4642680015025672</v>
      </c>
      <c r="BK94" s="51">
        <v>0.46366445310061388</v>
      </c>
      <c r="BL94" s="51">
        <v>0.46306168931158309</v>
      </c>
      <c r="BM94" s="51">
        <v>0.46245970911547807</v>
      </c>
      <c r="BN94" s="51">
        <v>0.46185851149362794</v>
      </c>
      <c r="BO94" s="51">
        <v>0.46125809542868623</v>
      </c>
      <c r="BP94" s="51">
        <v>0.46065845990462895</v>
      </c>
      <c r="BQ94" s="51">
        <v>0.46005960390675293</v>
      </c>
      <c r="BR94" s="51">
        <v>0.45946152642167415</v>
      </c>
      <c r="BS94" s="51">
        <v>0.45886422643732599</v>
      </c>
      <c r="BT94" s="51">
        <v>0.45826770294295749</v>
      </c>
      <c r="BU94" s="51">
        <v>0.45767195492913165</v>
      </c>
      <c r="BV94" s="51">
        <v>0.45707698138772379</v>
      </c>
      <c r="BW94" s="51">
        <v>0.45648278131191977</v>
      </c>
      <c r="BX94" s="51">
        <v>0.45588935369621431</v>
      </c>
      <c r="BY94" s="51">
        <v>0.45529669753640922</v>
      </c>
      <c r="BZ94" s="51">
        <v>0.45470481182961192</v>
      </c>
      <c r="CA94" s="51">
        <v>0.45411369557423342</v>
      </c>
      <c r="CB94" s="51">
        <v>0.45352334776998693</v>
      </c>
      <c r="CC94" s="51">
        <v>0.45293376741788594</v>
      </c>
      <c r="CD94" s="51">
        <v>0.45234495352024268</v>
      </c>
      <c r="CE94" s="51">
        <v>0.45175690508066635</v>
      </c>
      <c r="CF94" s="51">
        <v>0.4511696211040615</v>
      </c>
      <c r="CG94" s="51">
        <v>0.45058310059662626</v>
      </c>
      <c r="CH94" s="51">
        <v>0.44999734256585067</v>
      </c>
      <c r="CI94" s="51">
        <v>0.44941234602051505</v>
      </c>
      <c r="CJ94" s="51">
        <v>0.44882810997068839</v>
      </c>
      <c r="CK94" s="51">
        <v>0.44824463342772652</v>
      </c>
      <c r="CL94" s="51">
        <v>0.44766191540427047</v>
      </c>
      <c r="CM94" s="51">
        <v>0.44707995491424496</v>
      </c>
      <c r="CN94" s="51">
        <v>0.44649875097285646</v>
      </c>
      <c r="CO94" s="51">
        <v>0.44591830259659176</v>
      </c>
      <c r="CP94" s="51">
        <v>0.44533860880321618</v>
      </c>
      <c r="CQ94" s="51">
        <v>0.44475966861177202</v>
      </c>
      <c r="CR94" s="51">
        <v>0.44418148104257671</v>
      </c>
      <c r="CS94" s="51">
        <v>0.44360404511722135</v>
      </c>
      <c r="CT94" s="51">
        <v>0.44302735985856895</v>
      </c>
      <c r="CU94" s="51">
        <v>0.44245142429075285</v>
      </c>
      <c r="CV94" s="51">
        <v>0.44187623743917487</v>
      </c>
      <c r="CW94" s="51">
        <v>0.44130179833050398</v>
      </c>
      <c r="CX94" s="55">
        <v>0.44072810599267431</v>
      </c>
      <c r="CY94" s="53">
        <v>0.44015515945488387</v>
      </c>
    </row>
    <row r="95" spans="1:103" ht="15.75">
      <c r="A95" s="54">
        <v>113</v>
      </c>
      <c r="B95" s="55">
        <v>0.5</v>
      </c>
      <c r="C95" s="55">
        <v>0.49959999999999999</v>
      </c>
      <c r="D95" s="55">
        <v>0.49925027999999999</v>
      </c>
      <c r="E95" s="55">
        <v>0.49890080480399995</v>
      </c>
      <c r="F95" s="55">
        <v>0.49855157424063712</v>
      </c>
      <c r="G95" s="55">
        <v>0.49820258813866863</v>
      </c>
      <c r="H95" s="55">
        <v>0.49785384632697155</v>
      </c>
      <c r="I95" s="55">
        <v>0.49750534863454265</v>
      </c>
      <c r="J95" s="55">
        <v>0.49715709489049847</v>
      </c>
      <c r="K95" s="55">
        <v>0.49680908492407511</v>
      </c>
      <c r="L95" s="55">
        <v>0.49646131856462822</v>
      </c>
      <c r="M95" s="55">
        <v>0.49611379564163294</v>
      </c>
      <c r="N95" s="55">
        <v>0.4957665159846838</v>
      </c>
      <c r="O95" s="55">
        <v>0.49541947942349451</v>
      </c>
      <c r="P95" s="55">
        <v>0.49507268578789804</v>
      </c>
      <c r="Q95" s="55">
        <v>0.49467662763926773</v>
      </c>
      <c r="R95" s="55">
        <v>0.49428088633715628</v>
      </c>
      <c r="S95" s="55">
        <v>0.49388546162808655</v>
      </c>
      <c r="T95" s="55">
        <v>0.4934903532587841</v>
      </c>
      <c r="U95" s="51">
        <v>0.49309556097617707</v>
      </c>
      <c r="V95" s="51">
        <v>0.49265177497129853</v>
      </c>
      <c r="W95" s="51">
        <v>0.49220838837382436</v>
      </c>
      <c r="X95" s="51">
        <v>0.49176540082428793</v>
      </c>
      <c r="Y95" s="51">
        <v>0.49132281196354605</v>
      </c>
      <c r="Z95" s="51">
        <v>0.49088062143277883</v>
      </c>
      <c r="AA95" s="51">
        <v>0.49043882887348933</v>
      </c>
      <c r="AB95" s="51">
        <v>0.48999743392750317</v>
      </c>
      <c r="AC95" s="51">
        <v>0.48955643623696843</v>
      </c>
      <c r="AD95" s="51">
        <v>0.48911583544435516</v>
      </c>
      <c r="AE95" s="51">
        <v>0.48867563119245522</v>
      </c>
      <c r="AF95" s="51">
        <v>0.48823582312438202</v>
      </c>
      <c r="AG95" s="51">
        <v>0.48779641088357006</v>
      </c>
      <c r="AH95" s="51">
        <v>0.48735739411377482</v>
      </c>
      <c r="AI95" s="51">
        <v>0.48691877245907245</v>
      </c>
      <c r="AJ95" s="51">
        <v>0.48648054556385928</v>
      </c>
      <c r="AK95" s="51">
        <v>0.4860427130728518</v>
      </c>
      <c r="AL95" s="51">
        <v>0.48560527463108621</v>
      </c>
      <c r="AM95" s="51">
        <v>0.48516822988391822</v>
      </c>
      <c r="AN95" s="51">
        <v>0.4847315784770227</v>
      </c>
      <c r="AO95" s="51">
        <v>0.48429532005639336</v>
      </c>
      <c r="AP95" s="51">
        <v>0.48385945426834259</v>
      </c>
      <c r="AQ95" s="51">
        <v>0.4834239807595011</v>
      </c>
      <c r="AR95" s="51">
        <v>0.48298889917681753</v>
      </c>
      <c r="AS95" s="51">
        <v>0.48255420916755837</v>
      </c>
      <c r="AT95" s="51">
        <v>0.48211991037930757</v>
      </c>
      <c r="AU95" s="51">
        <v>0.48168600245996618</v>
      </c>
      <c r="AV95" s="51">
        <v>0.4812524850577522</v>
      </c>
      <c r="AW95" s="51">
        <v>0.48081935782120022</v>
      </c>
      <c r="AX95" s="51">
        <v>0.48038662039916113</v>
      </c>
      <c r="AY95" s="51">
        <v>0.47995427244080191</v>
      </c>
      <c r="AZ95" s="51">
        <v>0.47952231359560521</v>
      </c>
      <c r="BA95" s="51">
        <v>0.47909074351336917</v>
      </c>
      <c r="BB95" s="51">
        <v>0.4786595618442071</v>
      </c>
      <c r="BC95" s="51">
        <v>0.47822876823854732</v>
      </c>
      <c r="BD95" s="51">
        <v>0.47779836234713263</v>
      </c>
      <c r="BE95" s="51">
        <v>0.47736834382102022</v>
      </c>
      <c r="BF95" s="51">
        <v>0.4769387123115813</v>
      </c>
      <c r="BG95" s="51">
        <v>0.47650946747050088</v>
      </c>
      <c r="BH95" s="51">
        <v>0.47608060894977744</v>
      </c>
      <c r="BI95" s="51">
        <v>0.47565213640172266</v>
      </c>
      <c r="BJ95" s="51">
        <v>0.47522404947896107</v>
      </c>
      <c r="BK95" s="51">
        <v>0.47479634783442998</v>
      </c>
      <c r="BL95" s="51">
        <v>0.47436903112137896</v>
      </c>
      <c r="BM95" s="51">
        <v>0.4739420989933697</v>
      </c>
      <c r="BN95" s="51">
        <v>0.47351555110427568</v>
      </c>
      <c r="BO95" s="51">
        <v>0.4730893871082818</v>
      </c>
      <c r="BP95" s="51">
        <v>0.47266360665988433</v>
      </c>
      <c r="BQ95" s="51">
        <v>0.47223820941389044</v>
      </c>
      <c r="BR95" s="51">
        <v>0.47181319502541791</v>
      </c>
      <c r="BS95" s="51">
        <v>0.47138856314989502</v>
      </c>
      <c r="BT95" s="51">
        <v>0.47096431344306011</v>
      </c>
      <c r="BU95" s="51">
        <v>0.47054044556096136</v>
      </c>
      <c r="BV95" s="51">
        <v>0.47011695915995649</v>
      </c>
      <c r="BW95" s="51">
        <v>0.46969385389671253</v>
      </c>
      <c r="BX95" s="51">
        <v>0.46927112942820548</v>
      </c>
      <c r="BY95" s="51">
        <v>0.46884878541172009</v>
      </c>
      <c r="BZ95" s="51">
        <v>0.46842682150484954</v>
      </c>
      <c r="CA95" s="51">
        <v>0.46800523736549515</v>
      </c>
      <c r="CB95" s="51">
        <v>0.46758403265186621</v>
      </c>
      <c r="CC95" s="51">
        <v>0.46716320702247954</v>
      </c>
      <c r="CD95" s="51">
        <v>0.46674276013615928</v>
      </c>
      <c r="CE95" s="51">
        <v>0.46632269165203671</v>
      </c>
      <c r="CF95" s="51">
        <v>0.46590300122954986</v>
      </c>
      <c r="CG95" s="51">
        <v>0.46548368852844324</v>
      </c>
      <c r="CH95" s="51">
        <v>0.46506475320876761</v>
      </c>
      <c r="CI95" s="51">
        <v>0.46464619493087972</v>
      </c>
      <c r="CJ95" s="51">
        <v>0.46422801335544195</v>
      </c>
      <c r="CK95" s="51">
        <v>0.46381020814342205</v>
      </c>
      <c r="CL95" s="51">
        <v>0.46339277895609299</v>
      </c>
      <c r="CM95" s="51">
        <v>0.46297572545503252</v>
      </c>
      <c r="CN95" s="51">
        <v>0.46255904730212299</v>
      </c>
      <c r="CO95" s="51">
        <v>0.46214274415955109</v>
      </c>
      <c r="CP95" s="51">
        <v>0.4617268156898075</v>
      </c>
      <c r="CQ95" s="51">
        <v>0.46131126155568669</v>
      </c>
      <c r="CR95" s="51">
        <v>0.46089608142028654</v>
      </c>
      <c r="CS95" s="51">
        <v>0.4604812749470083</v>
      </c>
      <c r="CT95" s="51">
        <v>0.46006684179955598</v>
      </c>
      <c r="CU95" s="51">
        <v>0.45965278164193635</v>
      </c>
      <c r="CV95" s="51">
        <v>0.45923909413845859</v>
      </c>
      <c r="CW95" s="51">
        <v>0.458825778953734</v>
      </c>
      <c r="CX95" s="55">
        <v>0.45841283575267561</v>
      </c>
      <c r="CY95" s="53">
        <v>0.45800026420049822</v>
      </c>
    </row>
    <row r="96" spans="1:103" ht="15.75">
      <c r="A96" s="54">
        <v>114</v>
      </c>
      <c r="B96" s="55">
        <v>0.5</v>
      </c>
      <c r="C96" s="55">
        <v>0.49980000000000002</v>
      </c>
      <c r="D96" s="55">
        <v>0.49960008000000006</v>
      </c>
      <c r="E96" s="55">
        <v>0.49940023996800009</v>
      </c>
      <c r="F96" s="55">
        <v>0.49920047987201294</v>
      </c>
      <c r="G96" s="55">
        <v>0.49905071972805137</v>
      </c>
      <c r="H96" s="55">
        <v>0.49890100451213298</v>
      </c>
      <c r="I96" s="55">
        <v>0.49875133421077938</v>
      </c>
      <c r="J96" s="55">
        <v>0.49860170881051619</v>
      </c>
      <c r="K96" s="55">
        <v>0.49845212829787305</v>
      </c>
      <c r="L96" s="55">
        <v>0.4983025926593837</v>
      </c>
      <c r="M96" s="55">
        <v>0.49810327162231999</v>
      </c>
      <c r="N96" s="55">
        <v>0.49790403031367109</v>
      </c>
      <c r="O96" s="55">
        <v>0.49770486870154562</v>
      </c>
      <c r="P96" s="55">
        <v>0.49750578675406504</v>
      </c>
      <c r="Q96" s="55">
        <v>0.49730678443936344</v>
      </c>
      <c r="R96" s="55">
        <v>0.49710786172558769</v>
      </c>
      <c r="S96" s="55">
        <v>0.49690901858089748</v>
      </c>
      <c r="T96" s="55">
        <v>0.49671025497346516</v>
      </c>
      <c r="U96" s="51">
        <v>0.49651157087147579</v>
      </c>
      <c r="V96" s="51">
        <v>0.49631296624312721</v>
      </c>
      <c r="W96" s="51">
        <v>0.49611444105663</v>
      </c>
      <c r="X96" s="51">
        <v>0.49591599528020736</v>
      </c>
      <c r="Y96" s="51">
        <v>0.49571762888209531</v>
      </c>
      <c r="Z96" s="51">
        <v>0.49551934183054247</v>
      </c>
      <c r="AA96" s="51">
        <v>0.49532113409381029</v>
      </c>
      <c r="AB96" s="51">
        <v>0.49512300564017281</v>
      </c>
      <c r="AC96" s="51">
        <v>0.49492495643791679</v>
      </c>
      <c r="AD96" s="51">
        <v>0.49472698645534163</v>
      </c>
      <c r="AE96" s="51">
        <v>0.49452909566075953</v>
      </c>
      <c r="AF96" s="51">
        <v>0.49433128402249527</v>
      </c>
      <c r="AG96" s="51">
        <v>0.49413355150888627</v>
      </c>
      <c r="AH96" s="51">
        <v>0.49393589808828275</v>
      </c>
      <c r="AI96" s="51">
        <v>0.49373832372904747</v>
      </c>
      <c r="AJ96" s="51">
        <v>0.49354082839955588</v>
      </c>
      <c r="AK96" s="51">
        <v>0.4933434120681961</v>
      </c>
      <c r="AL96" s="51">
        <v>0.49314607470336885</v>
      </c>
      <c r="AM96" s="51">
        <v>0.49294881627348752</v>
      </c>
      <c r="AN96" s="51">
        <v>0.49275163674697814</v>
      </c>
      <c r="AO96" s="51">
        <v>0.49255453609227939</v>
      </c>
      <c r="AP96" s="51">
        <v>0.49235751427784252</v>
      </c>
      <c r="AQ96" s="51">
        <v>0.49216057127213142</v>
      </c>
      <c r="AR96" s="51">
        <v>0.49196370704362258</v>
      </c>
      <c r="AS96" s="51">
        <v>0.49176692156080515</v>
      </c>
      <c r="AT96" s="51">
        <v>0.49157021479218083</v>
      </c>
      <c r="AU96" s="51">
        <v>0.49137358670626397</v>
      </c>
      <c r="AV96" s="51">
        <v>0.49117703727158146</v>
      </c>
      <c r="AW96" s="51">
        <v>0.49098056645667287</v>
      </c>
      <c r="AX96" s="51">
        <v>0.49078417423009024</v>
      </c>
      <c r="AY96" s="51">
        <v>0.49058786056039821</v>
      </c>
      <c r="AZ96" s="51">
        <v>0.49039162541617409</v>
      </c>
      <c r="BA96" s="51">
        <v>0.49019546876600767</v>
      </c>
      <c r="BB96" s="51">
        <v>0.48999939057850128</v>
      </c>
      <c r="BC96" s="51">
        <v>0.48980339082226992</v>
      </c>
      <c r="BD96" s="51">
        <v>0.48960746946594103</v>
      </c>
      <c r="BE96" s="51">
        <v>0.48941162647815467</v>
      </c>
      <c r="BF96" s="51">
        <v>0.48921586182756344</v>
      </c>
      <c r="BG96" s="51">
        <v>0.48902017548283244</v>
      </c>
      <c r="BH96" s="51">
        <v>0.48882456741263935</v>
      </c>
      <c r="BI96" s="51">
        <v>0.48862903758567433</v>
      </c>
      <c r="BJ96" s="51">
        <v>0.48843358597064007</v>
      </c>
      <c r="BK96" s="51">
        <v>0.48823821253625183</v>
      </c>
      <c r="BL96" s="51">
        <v>0.48804291725123733</v>
      </c>
      <c r="BM96" s="51">
        <v>0.48784770008433687</v>
      </c>
      <c r="BN96" s="51">
        <v>0.48765256100430315</v>
      </c>
      <c r="BO96" s="51">
        <v>0.48745749997990145</v>
      </c>
      <c r="BP96" s="51">
        <v>0.48726251697990952</v>
      </c>
      <c r="BQ96" s="51">
        <v>0.4870676119731176</v>
      </c>
      <c r="BR96" s="51">
        <v>0.48687278492832836</v>
      </c>
      <c r="BS96" s="51">
        <v>0.48667803581435704</v>
      </c>
      <c r="BT96" s="51">
        <v>0.48648336460003133</v>
      </c>
      <c r="BU96" s="51">
        <v>0.48628877125419134</v>
      </c>
      <c r="BV96" s="51">
        <v>0.48609425574568971</v>
      </c>
      <c r="BW96" s="51">
        <v>0.48589981804339144</v>
      </c>
      <c r="BX96" s="51">
        <v>0.4857054581161741</v>
      </c>
      <c r="BY96" s="51">
        <v>0.48551117593292764</v>
      </c>
      <c r="BZ96" s="51">
        <v>0.48531697146255448</v>
      </c>
      <c r="CA96" s="51">
        <v>0.48512284467396949</v>
      </c>
      <c r="CB96" s="51">
        <v>0.48492879553609991</v>
      </c>
      <c r="CC96" s="51">
        <v>0.48473482401788548</v>
      </c>
      <c r="CD96" s="51">
        <v>0.48454093008827837</v>
      </c>
      <c r="CE96" s="51">
        <v>0.48434711371624306</v>
      </c>
      <c r="CF96" s="51">
        <v>0.4841533748707566</v>
      </c>
      <c r="CG96" s="51">
        <v>0.4839597135208083</v>
      </c>
      <c r="CH96" s="51">
        <v>0.4837661296354</v>
      </c>
      <c r="CI96" s="51">
        <v>0.48357262318354588</v>
      </c>
      <c r="CJ96" s="51">
        <v>0.48337919413427249</v>
      </c>
      <c r="CK96" s="51">
        <v>0.48318584245661883</v>
      </c>
      <c r="CL96" s="51">
        <v>0.4829925681196362</v>
      </c>
      <c r="CM96" s="51">
        <v>0.48279937109238835</v>
      </c>
      <c r="CN96" s="51">
        <v>0.48260625134395141</v>
      </c>
      <c r="CO96" s="51">
        <v>0.48241320884341388</v>
      </c>
      <c r="CP96" s="51">
        <v>0.48222024355987653</v>
      </c>
      <c r="CQ96" s="51">
        <v>0.48202735546245262</v>
      </c>
      <c r="CR96" s="51">
        <v>0.48183454452026764</v>
      </c>
      <c r="CS96" s="51">
        <v>0.48164181070245954</v>
      </c>
      <c r="CT96" s="51">
        <v>0.48144915397817856</v>
      </c>
      <c r="CU96" s="51">
        <v>0.4812565743165873</v>
      </c>
      <c r="CV96" s="51">
        <v>0.48106407168686072</v>
      </c>
      <c r="CW96" s="51">
        <v>0.480871646058186</v>
      </c>
      <c r="CX96" s="55">
        <v>0.48067929739976273</v>
      </c>
      <c r="CY96" s="53">
        <v>0.48048702568080287</v>
      </c>
    </row>
    <row r="97" spans="1:103" ht="15.75">
      <c r="A97" s="54">
        <v>115</v>
      </c>
      <c r="B97" s="55">
        <v>0.5</v>
      </c>
      <c r="C97" s="55">
        <v>0.5</v>
      </c>
      <c r="D97" s="55">
        <v>0.5</v>
      </c>
      <c r="E97" s="55">
        <v>0.5</v>
      </c>
      <c r="F97" s="55">
        <v>0.5</v>
      </c>
      <c r="G97" s="55">
        <v>0.5</v>
      </c>
      <c r="H97" s="55">
        <v>0.5</v>
      </c>
      <c r="I97" s="55">
        <v>0.5</v>
      </c>
      <c r="J97" s="55">
        <v>0.5</v>
      </c>
      <c r="K97" s="55">
        <v>0.5</v>
      </c>
      <c r="L97" s="55">
        <v>0.5</v>
      </c>
      <c r="M97" s="55">
        <v>0.5</v>
      </c>
      <c r="N97" s="55">
        <v>0.5</v>
      </c>
      <c r="O97" s="55">
        <v>0.5</v>
      </c>
      <c r="P97" s="55">
        <v>0.5</v>
      </c>
      <c r="Q97" s="55">
        <v>0.5</v>
      </c>
      <c r="R97" s="55">
        <v>0.5</v>
      </c>
      <c r="S97" s="55">
        <v>0.5</v>
      </c>
      <c r="T97" s="55">
        <v>0.5</v>
      </c>
      <c r="U97" s="51">
        <v>0.5</v>
      </c>
      <c r="V97" s="51">
        <v>0.5</v>
      </c>
      <c r="W97" s="51">
        <v>0.5</v>
      </c>
      <c r="X97" s="51">
        <v>0.5</v>
      </c>
      <c r="Y97" s="51">
        <v>0.5</v>
      </c>
      <c r="Z97" s="51">
        <v>0.5</v>
      </c>
      <c r="AA97" s="51">
        <v>0.5</v>
      </c>
      <c r="AB97" s="51">
        <v>0.5</v>
      </c>
      <c r="AC97" s="51">
        <v>0.5</v>
      </c>
      <c r="AD97" s="51">
        <v>0.5</v>
      </c>
      <c r="AE97" s="51">
        <v>0.5</v>
      </c>
      <c r="AF97" s="51">
        <v>0.5</v>
      </c>
      <c r="AG97" s="51">
        <v>0.5</v>
      </c>
      <c r="AH97" s="51">
        <v>0.5</v>
      </c>
      <c r="AI97" s="51">
        <v>0.5</v>
      </c>
      <c r="AJ97" s="51">
        <v>0.5</v>
      </c>
      <c r="AK97" s="51">
        <v>0.5</v>
      </c>
      <c r="AL97" s="51">
        <v>0.5</v>
      </c>
      <c r="AM97" s="51">
        <v>0.5</v>
      </c>
      <c r="AN97" s="51">
        <v>0.5</v>
      </c>
      <c r="AO97" s="51">
        <v>0.5</v>
      </c>
      <c r="AP97" s="51">
        <v>0.5</v>
      </c>
      <c r="AQ97" s="51">
        <v>0.5</v>
      </c>
      <c r="AR97" s="51">
        <v>0.5</v>
      </c>
      <c r="AS97" s="51">
        <v>0.5</v>
      </c>
      <c r="AT97" s="51">
        <v>0.5</v>
      </c>
      <c r="AU97" s="51">
        <v>0.5</v>
      </c>
      <c r="AV97" s="51">
        <v>0.5</v>
      </c>
      <c r="AW97" s="51">
        <v>0.5</v>
      </c>
      <c r="AX97" s="51">
        <v>0.5</v>
      </c>
      <c r="AY97" s="51">
        <v>0.5</v>
      </c>
      <c r="AZ97" s="51">
        <v>0.5</v>
      </c>
      <c r="BA97" s="51">
        <v>0.5</v>
      </c>
      <c r="BB97" s="51">
        <v>0.5</v>
      </c>
      <c r="BC97" s="51">
        <v>0.5</v>
      </c>
      <c r="BD97" s="51">
        <v>0.5</v>
      </c>
      <c r="BE97" s="51">
        <v>0.5</v>
      </c>
      <c r="BF97" s="51">
        <v>0.5</v>
      </c>
      <c r="BG97" s="51">
        <v>0.5</v>
      </c>
      <c r="BH97" s="51">
        <v>0.5</v>
      </c>
      <c r="BI97" s="51">
        <v>0.5</v>
      </c>
      <c r="BJ97" s="51">
        <v>0.5</v>
      </c>
      <c r="BK97" s="51">
        <v>0.5</v>
      </c>
      <c r="BL97" s="51">
        <v>0.5</v>
      </c>
      <c r="BM97" s="51">
        <v>0.5</v>
      </c>
      <c r="BN97" s="51">
        <v>0.5</v>
      </c>
      <c r="BO97" s="51">
        <v>0.5</v>
      </c>
      <c r="BP97" s="51">
        <v>0.5</v>
      </c>
      <c r="BQ97" s="51">
        <v>0.5</v>
      </c>
      <c r="BR97" s="51">
        <v>0.5</v>
      </c>
      <c r="BS97" s="51">
        <v>0.5</v>
      </c>
      <c r="BT97" s="51">
        <v>0.5</v>
      </c>
      <c r="BU97" s="51">
        <v>0.5</v>
      </c>
      <c r="BV97" s="51">
        <v>0.5</v>
      </c>
      <c r="BW97" s="51">
        <v>0.5</v>
      </c>
      <c r="BX97" s="51">
        <v>0.5</v>
      </c>
      <c r="BY97" s="51">
        <v>0.5</v>
      </c>
      <c r="BZ97" s="51">
        <v>0.5</v>
      </c>
      <c r="CA97" s="51">
        <v>0.5</v>
      </c>
      <c r="CB97" s="51">
        <v>0.5</v>
      </c>
      <c r="CC97" s="51">
        <v>0.5</v>
      </c>
      <c r="CD97" s="51">
        <v>0.5</v>
      </c>
      <c r="CE97" s="51">
        <v>0.5</v>
      </c>
      <c r="CF97" s="51">
        <v>0.5</v>
      </c>
      <c r="CG97" s="51">
        <v>0.5</v>
      </c>
      <c r="CH97" s="51">
        <v>0.5</v>
      </c>
      <c r="CI97" s="51">
        <v>0.5</v>
      </c>
      <c r="CJ97" s="51">
        <v>0.5</v>
      </c>
      <c r="CK97" s="51">
        <v>0.5</v>
      </c>
      <c r="CL97" s="51">
        <v>0.5</v>
      </c>
      <c r="CM97" s="51">
        <v>0.5</v>
      </c>
      <c r="CN97" s="51">
        <v>0.5</v>
      </c>
      <c r="CO97" s="51">
        <v>0.5</v>
      </c>
      <c r="CP97" s="51">
        <v>0.5</v>
      </c>
      <c r="CQ97" s="51">
        <v>0.5</v>
      </c>
      <c r="CR97" s="51">
        <v>0.5</v>
      </c>
      <c r="CS97" s="51">
        <v>0.5</v>
      </c>
      <c r="CT97" s="51">
        <v>0.5</v>
      </c>
      <c r="CU97" s="51">
        <v>0.5</v>
      </c>
      <c r="CV97" s="51">
        <v>0.5</v>
      </c>
      <c r="CW97" s="51">
        <v>0.5</v>
      </c>
      <c r="CX97" s="55">
        <v>0.5</v>
      </c>
      <c r="CY97" s="53">
        <v>0.5</v>
      </c>
    </row>
    <row r="98" spans="1:103" ht="15.75">
      <c r="A98" s="54">
        <v>116</v>
      </c>
      <c r="B98" s="55">
        <v>0.5</v>
      </c>
      <c r="C98" s="55">
        <v>0.5</v>
      </c>
      <c r="D98" s="55">
        <v>0.5</v>
      </c>
      <c r="E98" s="55">
        <v>0.5</v>
      </c>
      <c r="F98" s="55">
        <v>0.5</v>
      </c>
      <c r="G98" s="55">
        <v>0.5</v>
      </c>
      <c r="H98" s="55">
        <v>0.5</v>
      </c>
      <c r="I98" s="55">
        <v>0.5</v>
      </c>
      <c r="J98" s="55">
        <v>0.5</v>
      </c>
      <c r="K98" s="55">
        <v>0.5</v>
      </c>
      <c r="L98" s="55">
        <v>0.5</v>
      </c>
      <c r="M98" s="55">
        <v>0.5</v>
      </c>
      <c r="N98" s="55">
        <v>0.5</v>
      </c>
      <c r="O98" s="55">
        <v>0.5</v>
      </c>
      <c r="P98" s="55">
        <v>0.5</v>
      </c>
      <c r="Q98" s="55">
        <v>0.5</v>
      </c>
      <c r="R98" s="55">
        <v>0.5</v>
      </c>
      <c r="S98" s="55">
        <v>0.5</v>
      </c>
      <c r="T98" s="55">
        <v>0.5</v>
      </c>
      <c r="U98" s="51">
        <v>0.5</v>
      </c>
      <c r="V98" s="51">
        <v>0.5</v>
      </c>
      <c r="W98" s="51">
        <v>0.5</v>
      </c>
      <c r="X98" s="51">
        <v>0.5</v>
      </c>
      <c r="Y98" s="51">
        <v>0.5</v>
      </c>
      <c r="Z98" s="51">
        <v>0.5</v>
      </c>
      <c r="AA98" s="51">
        <v>0.5</v>
      </c>
      <c r="AB98" s="51">
        <v>0.5</v>
      </c>
      <c r="AC98" s="51">
        <v>0.5</v>
      </c>
      <c r="AD98" s="51">
        <v>0.5</v>
      </c>
      <c r="AE98" s="51">
        <v>0.5</v>
      </c>
      <c r="AF98" s="51">
        <v>0.5</v>
      </c>
      <c r="AG98" s="51">
        <v>0.5</v>
      </c>
      <c r="AH98" s="51">
        <v>0.5</v>
      </c>
      <c r="AI98" s="51">
        <v>0.5</v>
      </c>
      <c r="AJ98" s="51">
        <v>0.5</v>
      </c>
      <c r="AK98" s="51">
        <v>0.5</v>
      </c>
      <c r="AL98" s="51">
        <v>0.5</v>
      </c>
      <c r="AM98" s="51">
        <v>0.5</v>
      </c>
      <c r="AN98" s="51">
        <v>0.5</v>
      </c>
      <c r="AO98" s="51">
        <v>0.5</v>
      </c>
      <c r="AP98" s="51">
        <v>0.5</v>
      </c>
      <c r="AQ98" s="51">
        <v>0.5</v>
      </c>
      <c r="AR98" s="51">
        <v>0.5</v>
      </c>
      <c r="AS98" s="51">
        <v>0.5</v>
      </c>
      <c r="AT98" s="51">
        <v>0.5</v>
      </c>
      <c r="AU98" s="51">
        <v>0.5</v>
      </c>
      <c r="AV98" s="51">
        <v>0.5</v>
      </c>
      <c r="AW98" s="51">
        <v>0.5</v>
      </c>
      <c r="AX98" s="51">
        <v>0.5</v>
      </c>
      <c r="AY98" s="51">
        <v>0.5</v>
      </c>
      <c r="AZ98" s="51">
        <v>0.5</v>
      </c>
      <c r="BA98" s="51">
        <v>0.5</v>
      </c>
      <c r="BB98" s="51">
        <v>0.5</v>
      </c>
      <c r="BC98" s="51">
        <v>0.5</v>
      </c>
      <c r="BD98" s="51">
        <v>0.5</v>
      </c>
      <c r="BE98" s="51">
        <v>0.5</v>
      </c>
      <c r="BF98" s="51">
        <v>0.5</v>
      </c>
      <c r="BG98" s="51">
        <v>0.5</v>
      </c>
      <c r="BH98" s="51">
        <v>0.5</v>
      </c>
      <c r="BI98" s="51">
        <v>0.5</v>
      </c>
      <c r="BJ98" s="51">
        <v>0.5</v>
      </c>
      <c r="BK98" s="51">
        <v>0.5</v>
      </c>
      <c r="BL98" s="51">
        <v>0.5</v>
      </c>
      <c r="BM98" s="51">
        <v>0.5</v>
      </c>
      <c r="BN98" s="51">
        <v>0.5</v>
      </c>
      <c r="BO98" s="51">
        <v>0.5</v>
      </c>
      <c r="BP98" s="51">
        <v>0.5</v>
      </c>
      <c r="BQ98" s="51">
        <v>0.5</v>
      </c>
      <c r="BR98" s="51">
        <v>0.5</v>
      </c>
      <c r="BS98" s="51">
        <v>0.5</v>
      </c>
      <c r="BT98" s="51">
        <v>0.5</v>
      </c>
      <c r="BU98" s="51">
        <v>0.5</v>
      </c>
      <c r="BV98" s="51">
        <v>0.5</v>
      </c>
      <c r="BW98" s="51">
        <v>0.5</v>
      </c>
      <c r="BX98" s="51">
        <v>0.5</v>
      </c>
      <c r="BY98" s="51">
        <v>0.5</v>
      </c>
      <c r="BZ98" s="51">
        <v>0.5</v>
      </c>
      <c r="CA98" s="51">
        <v>0.5</v>
      </c>
      <c r="CB98" s="51">
        <v>0.5</v>
      </c>
      <c r="CC98" s="51">
        <v>0.5</v>
      </c>
      <c r="CD98" s="51">
        <v>0.5</v>
      </c>
      <c r="CE98" s="51">
        <v>0.5</v>
      </c>
      <c r="CF98" s="51">
        <v>0.5</v>
      </c>
      <c r="CG98" s="51">
        <v>0.5</v>
      </c>
      <c r="CH98" s="51">
        <v>0.5</v>
      </c>
      <c r="CI98" s="51">
        <v>0.5</v>
      </c>
      <c r="CJ98" s="51">
        <v>0.5</v>
      </c>
      <c r="CK98" s="51">
        <v>0.5</v>
      </c>
      <c r="CL98" s="51">
        <v>0.5</v>
      </c>
      <c r="CM98" s="51">
        <v>0.5</v>
      </c>
      <c r="CN98" s="51">
        <v>0.5</v>
      </c>
      <c r="CO98" s="51">
        <v>0.5</v>
      </c>
      <c r="CP98" s="51">
        <v>0.5</v>
      </c>
      <c r="CQ98" s="51">
        <v>0.5</v>
      </c>
      <c r="CR98" s="51">
        <v>0.5</v>
      </c>
      <c r="CS98" s="51">
        <v>0.5</v>
      </c>
      <c r="CT98" s="51">
        <v>0.5</v>
      </c>
      <c r="CU98" s="51">
        <v>0.5</v>
      </c>
      <c r="CV98" s="51">
        <v>0.5</v>
      </c>
      <c r="CW98" s="51">
        <v>0.5</v>
      </c>
      <c r="CX98" s="55">
        <v>0.5</v>
      </c>
      <c r="CY98" s="53">
        <v>0.5</v>
      </c>
    </row>
    <row r="99" spans="1:103" ht="15.75">
      <c r="A99" s="54">
        <v>117</v>
      </c>
      <c r="B99" s="55">
        <v>0.5</v>
      </c>
      <c r="C99" s="55">
        <v>0.5</v>
      </c>
      <c r="D99" s="55">
        <v>0.5</v>
      </c>
      <c r="E99" s="55">
        <v>0.5</v>
      </c>
      <c r="F99" s="55">
        <v>0.5</v>
      </c>
      <c r="G99" s="55">
        <v>0.5</v>
      </c>
      <c r="H99" s="55">
        <v>0.5</v>
      </c>
      <c r="I99" s="55">
        <v>0.5</v>
      </c>
      <c r="J99" s="55">
        <v>0.5</v>
      </c>
      <c r="K99" s="55">
        <v>0.5</v>
      </c>
      <c r="L99" s="55">
        <v>0.5</v>
      </c>
      <c r="M99" s="55">
        <v>0.5</v>
      </c>
      <c r="N99" s="55">
        <v>0.5</v>
      </c>
      <c r="O99" s="55">
        <v>0.5</v>
      </c>
      <c r="P99" s="55">
        <v>0.5</v>
      </c>
      <c r="Q99" s="55">
        <v>0.5</v>
      </c>
      <c r="R99" s="55">
        <v>0.5</v>
      </c>
      <c r="S99" s="55">
        <v>0.5</v>
      </c>
      <c r="T99" s="55">
        <v>0.5</v>
      </c>
      <c r="U99" s="51">
        <v>0.5</v>
      </c>
      <c r="V99" s="51">
        <v>0.5</v>
      </c>
      <c r="W99" s="51">
        <v>0.5</v>
      </c>
      <c r="X99" s="51">
        <v>0.5</v>
      </c>
      <c r="Y99" s="51">
        <v>0.5</v>
      </c>
      <c r="Z99" s="51">
        <v>0.5</v>
      </c>
      <c r="AA99" s="51">
        <v>0.5</v>
      </c>
      <c r="AB99" s="51">
        <v>0.5</v>
      </c>
      <c r="AC99" s="51">
        <v>0.5</v>
      </c>
      <c r="AD99" s="51">
        <v>0.5</v>
      </c>
      <c r="AE99" s="51">
        <v>0.5</v>
      </c>
      <c r="AF99" s="51">
        <v>0.5</v>
      </c>
      <c r="AG99" s="51">
        <v>0.5</v>
      </c>
      <c r="AH99" s="51">
        <v>0.5</v>
      </c>
      <c r="AI99" s="51">
        <v>0.5</v>
      </c>
      <c r="AJ99" s="51">
        <v>0.5</v>
      </c>
      <c r="AK99" s="51">
        <v>0.5</v>
      </c>
      <c r="AL99" s="51">
        <v>0.5</v>
      </c>
      <c r="AM99" s="51">
        <v>0.5</v>
      </c>
      <c r="AN99" s="51">
        <v>0.5</v>
      </c>
      <c r="AO99" s="51">
        <v>0.5</v>
      </c>
      <c r="AP99" s="51">
        <v>0.5</v>
      </c>
      <c r="AQ99" s="51">
        <v>0.5</v>
      </c>
      <c r="AR99" s="51">
        <v>0.5</v>
      </c>
      <c r="AS99" s="51">
        <v>0.5</v>
      </c>
      <c r="AT99" s="51">
        <v>0.5</v>
      </c>
      <c r="AU99" s="51">
        <v>0.5</v>
      </c>
      <c r="AV99" s="51">
        <v>0.5</v>
      </c>
      <c r="AW99" s="51">
        <v>0.5</v>
      </c>
      <c r="AX99" s="51">
        <v>0.5</v>
      </c>
      <c r="AY99" s="51">
        <v>0.5</v>
      </c>
      <c r="AZ99" s="51">
        <v>0.5</v>
      </c>
      <c r="BA99" s="51">
        <v>0.5</v>
      </c>
      <c r="BB99" s="51">
        <v>0.5</v>
      </c>
      <c r="BC99" s="51">
        <v>0.5</v>
      </c>
      <c r="BD99" s="51">
        <v>0.5</v>
      </c>
      <c r="BE99" s="51">
        <v>0.5</v>
      </c>
      <c r="BF99" s="51">
        <v>0.5</v>
      </c>
      <c r="BG99" s="51">
        <v>0.5</v>
      </c>
      <c r="BH99" s="51">
        <v>0.5</v>
      </c>
      <c r="BI99" s="51">
        <v>0.5</v>
      </c>
      <c r="BJ99" s="51">
        <v>0.5</v>
      </c>
      <c r="BK99" s="51">
        <v>0.5</v>
      </c>
      <c r="BL99" s="51">
        <v>0.5</v>
      </c>
      <c r="BM99" s="51">
        <v>0.5</v>
      </c>
      <c r="BN99" s="51">
        <v>0.5</v>
      </c>
      <c r="BO99" s="51">
        <v>0.5</v>
      </c>
      <c r="BP99" s="51">
        <v>0.5</v>
      </c>
      <c r="BQ99" s="51">
        <v>0.5</v>
      </c>
      <c r="BR99" s="51">
        <v>0.5</v>
      </c>
      <c r="BS99" s="51">
        <v>0.5</v>
      </c>
      <c r="BT99" s="51">
        <v>0.5</v>
      </c>
      <c r="BU99" s="51">
        <v>0.5</v>
      </c>
      <c r="BV99" s="51">
        <v>0.5</v>
      </c>
      <c r="BW99" s="51">
        <v>0.5</v>
      </c>
      <c r="BX99" s="51">
        <v>0.5</v>
      </c>
      <c r="BY99" s="51">
        <v>0.5</v>
      </c>
      <c r="BZ99" s="51">
        <v>0.5</v>
      </c>
      <c r="CA99" s="51">
        <v>0.5</v>
      </c>
      <c r="CB99" s="51">
        <v>0.5</v>
      </c>
      <c r="CC99" s="51">
        <v>0.5</v>
      </c>
      <c r="CD99" s="51">
        <v>0.5</v>
      </c>
      <c r="CE99" s="51">
        <v>0.5</v>
      </c>
      <c r="CF99" s="51">
        <v>0.5</v>
      </c>
      <c r="CG99" s="51">
        <v>0.5</v>
      </c>
      <c r="CH99" s="51">
        <v>0.5</v>
      </c>
      <c r="CI99" s="51">
        <v>0.5</v>
      </c>
      <c r="CJ99" s="51">
        <v>0.5</v>
      </c>
      <c r="CK99" s="51">
        <v>0.5</v>
      </c>
      <c r="CL99" s="51">
        <v>0.5</v>
      </c>
      <c r="CM99" s="51">
        <v>0.5</v>
      </c>
      <c r="CN99" s="51">
        <v>0.5</v>
      </c>
      <c r="CO99" s="51">
        <v>0.5</v>
      </c>
      <c r="CP99" s="51">
        <v>0.5</v>
      </c>
      <c r="CQ99" s="51">
        <v>0.5</v>
      </c>
      <c r="CR99" s="51">
        <v>0.5</v>
      </c>
      <c r="CS99" s="51">
        <v>0.5</v>
      </c>
      <c r="CT99" s="51">
        <v>0.5</v>
      </c>
      <c r="CU99" s="51">
        <v>0.5</v>
      </c>
      <c r="CV99" s="51">
        <v>0.5</v>
      </c>
      <c r="CW99" s="51">
        <v>0.5</v>
      </c>
      <c r="CX99" s="55">
        <v>0.5</v>
      </c>
      <c r="CY99" s="53">
        <v>0.5</v>
      </c>
    </row>
    <row r="100" spans="1:103" ht="15.75">
      <c r="A100" s="54">
        <v>118</v>
      </c>
      <c r="B100" s="55">
        <v>0.5</v>
      </c>
      <c r="C100" s="55">
        <v>0.5</v>
      </c>
      <c r="D100" s="55">
        <v>0.5</v>
      </c>
      <c r="E100" s="55">
        <v>0.5</v>
      </c>
      <c r="F100" s="55">
        <v>0.5</v>
      </c>
      <c r="G100" s="55">
        <v>0.5</v>
      </c>
      <c r="H100" s="55">
        <v>0.5</v>
      </c>
      <c r="I100" s="55">
        <v>0.5</v>
      </c>
      <c r="J100" s="55">
        <v>0.5</v>
      </c>
      <c r="K100" s="55">
        <v>0.5</v>
      </c>
      <c r="L100" s="55">
        <v>0.5</v>
      </c>
      <c r="M100" s="55">
        <v>0.5</v>
      </c>
      <c r="N100" s="55">
        <v>0.5</v>
      </c>
      <c r="O100" s="55">
        <v>0.5</v>
      </c>
      <c r="P100" s="55">
        <v>0.5</v>
      </c>
      <c r="Q100" s="55">
        <v>0.5</v>
      </c>
      <c r="R100" s="55">
        <v>0.5</v>
      </c>
      <c r="S100" s="55">
        <v>0.5</v>
      </c>
      <c r="T100" s="55">
        <v>0.5</v>
      </c>
      <c r="U100" s="51">
        <v>0.5</v>
      </c>
      <c r="V100" s="51">
        <v>0.5</v>
      </c>
      <c r="W100" s="51">
        <v>0.5</v>
      </c>
      <c r="X100" s="51">
        <v>0.5</v>
      </c>
      <c r="Y100" s="51">
        <v>0.5</v>
      </c>
      <c r="Z100" s="51">
        <v>0.5</v>
      </c>
      <c r="AA100" s="51">
        <v>0.5</v>
      </c>
      <c r="AB100" s="51">
        <v>0.5</v>
      </c>
      <c r="AC100" s="51">
        <v>0.5</v>
      </c>
      <c r="AD100" s="51">
        <v>0.5</v>
      </c>
      <c r="AE100" s="51">
        <v>0.5</v>
      </c>
      <c r="AF100" s="51">
        <v>0.5</v>
      </c>
      <c r="AG100" s="51">
        <v>0.5</v>
      </c>
      <c r="AH100" s="51">
        <v>0.5</v>
      </c>
      <c r="AI100" s="51">
        <v>0.5</v>
      </c>
      <c r="AJ100" s="51">
        <v>0.5</v>
      </c>
      <c r="AK100" s="51">
        <v>0.5</v>
      </c>
      <c r="AL100" s="51">
        <v>0.5</v>
      </c>
      <c r="AM100" s="51">
        <v>0.5</v>
      </c>
      <c r="AN100" s="51">
        <v>0.5</v>
      </c>
      <c r="AO100" s="51">
        <v>0.5</v>
      </c>
      <c r="AP100" s="51">
        <v>0.5</v>
      </c>
      <c r="AQ100" s="51">
        <v>0.5</v>
      </c>
      <c r="AR100" s="51">
        <v>0.5</v>
      </c>
      <c r="AS100" s="51">
        <v>0.5</v>
      </c>
      <c r="AT100" s="51">
        <v>0.5</v>
      </c>
      <c r="AU100" s="51">
        <v>0.5</v>
      </c>
      <c r="AV100" s="51">
        <v>0.5</v>
      </c>
      <c r="AW100" s="51">
        <v>0.5</v>
      </c>
      <c r="AX100" s="51">
        <v>0.5</v>
      </c>
      <c r="AY100" s="51">
        <v>0.5</v>
      </c>
      <c r="AZ100" s="51">
        <v>0.5</v>
      </c>
      <c r="BA100" s="51">
        <v>0.5</v>
      </c>
      <c r="BB100" s="51">
        <v>0.5</v>
      </c>
      <c r="BC100" s="51">
        <v>0.5</v>
      </c>
      <c r="BD100" s="51">
        <v>0.5</v>
      </c>
      <c r="BE100" s="51">
        <v>0.5</v>
      </c>
      <c r="BF100" s="51">
        <v>0.5</v>
      </c>
      <c r="BG100" s="51">
        <v>0.5</v>
      </c>
      <c r="BH100" s="51">
        <v>0.5</v>
      </c>
      <c r="BI100" s="51">
        <v>0.5</v>
      </c>
      <c r="BJ100" s="51">
        <v>0.5</v>
      </c>
      <c r="BK100" s="51">
        <v>0.5</v>
      </c>
      <c r="BL100" s="51">
        <v>0.5</v>
      </c>
      <c r="BM100" s="51">
        <v>0.5</v>
      </c>
      <c r="BN100" s="51">
        <v>0.5</v>
      </c>
      <c r="BO100" s="51">
        <v>0.5</v>
      </c>
      <c r="BP100" s="51">
        <v>0.5</v>
      </c>
      <c r="BQ100" s="51">
        <v>0.5</v>
      </c>
      <c r="BR100" s="51">
        <v>0.5</v>
      </c>
      <c r="BS100" s="51">
        <v>0.5</v>
      </c>
      <c r="BT100" s="51">
        <v>0.5</v>
      </c>
      <c r="BU100" s="51">
        <v>0.5</v>
      </c>
      <c r="BV100" s="51">
        <v>0.5</v>
      </c>
      <c r="BW100" s="51">
        <v>0.5</v>
      </c>
      <c r="BX100" s="51">
        <v>0.5</v>
      </c>
      <c r="BY100" s="51">
        <v>0.5</v>
      </c>
      <c r="BZ100" s="51">
        <v>0.5</v>
      </c>
      <c r="CA100" s="51">
        <v>0.5</v>
      </c>
      <c r="CB100" s="51">
        <v>0.5</v>
      </c>
      <c r="CC100" s="51">
        <v>0.5</v>
      </c>
      <c r="CD100" s="51">
        <v>0.5</v>
      </c>
      <c r="CE100" s="51">
        <v>0.5</v>
      </c>
      <c r="CF100" s="51">
        <v>0.5</v>
      </c>
      <c r="CG100" s="51">
        <v>0.5</v>
      </c>
      <c r="CH100" s="51">
        <v>0.5</v>
      </c>
      <c r="CI100" s="51">
        <v>0.5</v>
      </c>
      <c r="CJ100" s="51">
        <v>0.5</v>
      </c>
      <c r="CK100" s="51">
        <v>0.5</v>
      </c>
      <c r="CL100" s="51">
        <v>0.5</v>
      </c>
      <c r="CM100" s="51">
        <v>0.5</v>
      </c>
      <c r="CN100" s="51">
        <v>0.5</v>
      </c>
      <c r="CO100" s="51">
        <v>0.5</v>
      </c>
      <c r="CP100" s="51">
        <v>0.5</v>
      </c>
      <c r="CQ100" s="51">
        <v>0.5</v>
      </c>
      <c r="CR100" s="51">
        <v>0.5</v>
      </c>
      <c r="CS100" s="51">
        <v>0.5</v>
      </c>
      <c r="CT100" s="51">
        <v>0.5</v>
      </c>
      <c r="CU100" s="51">
        <v>0.5</v>
      </c>
      <c r="CV100" s="51">
        <v>0.5</v>
      </c>
      <c r="CW100" s="51">
        <v>0.5</v>
      </c>
      <c r="CX100" s="55">
        <v>0.5</v>
      </c>
      <c r="CY100" s="53">
        <v>0.5</v>
      </c>
    </row>
    <row r="101" spans="1:103" ht="15.75">
      <c r="A101" s="54">
        <v>119</v>
      </c>
      <c r="B101" s="55">
        <v>0.5</v>
      </c>
      <c r="C101" s="55">
        <v>0.5</v>
      </c>
      <c r="D101" s="55">
        <v>0.5</v>
      </c>
      <c r="E101" s="55">
        <v>0.5</v>
      </c>
      <c r="F101" s="55">
        <v>0.5</v>
      </c>
      <c r="G101" s="55">
        <v>0.5</v>
      </c>
      <c r="H101" s="55">
        <v>0.5</v>
      </c>
      <c r="I101" s="55">
        <v>0.5</v>
      </c>
      <c r="J101" s="55">
        <v>0.5</v>
      </c>
      <c r="K101" s="55">
        <v>0.5</v>
      </c>
      <c r="L101" s="55">
        <v>0.5</v>
      </c>
      <c r="M101" s="55">
        <v>0.5</v>
      </c>
      <c r="N101" s="55">
        <v>0.5</v>
      </c>
      <c r="O101" s="55">
        <v>0.5</v>
      </c>
      <c r="P101" s="55">
        <v>0.5</v>
      </c>
      <c r="Q101" s="55">
        <v>0.5</v>
      </c>
      <c r="R101" s="55">
        <v>0.5</v>
      </c>
      <c r="S101" s="55">
        <v>0.5</v>
      </c>
      <c r="T101" s="55">
        <v>0.5</v>
      </c>
      <c r="U101" s="51">
        <v>0.5</v>
      </c>
      <c r="V101" s="51">
        <v>0.5</v>
      </c>
      <c r="W101" s="51">
        <v>0.5</v>
      </c>
      <c r="X101" s="51">
        <v>0.5</v>
      </c>
      <c r="Y101" s="51">
        <v>0.5</v>
      </c>
      <c r="Z101" s="51">
        <v>0.5</v>
      </c>
      <c r="AA101" s="51">
        <v>0.5</v>
      </c>
      <c r="AB101" s="51">
        <v>0.5</v>
      </c>
      <c r="AC101" s="51">
        <v>0.5</v>
      </c>
      <c r="AD101" s="51">
        <v>0.5</v>
      </c>
      <c r="AE101" s="51">
        <v>0.5</v>
      </c>
      <c r="AF101" s="51">
        <v>0.5</v>
      </c>
      <c r="AG101" s="51">
        <v>0.5</v>
      </c>
      <c r="AH101" s="51">
        <v>0.5</v>
      </c>
      <c r="AI101" s="51">
        <v>0.5</v>
      </c>
      <c r="AJ101" s="51">
        <v>0.5</v>
      </c>
      <c r="AK101" s="51">
        <v>0.5</v>
      </c>
      <c r="AL101" s="51">
        <v>0.5</v>
      </c>
      <c r="AM101" s="51">
        <v>0.5</v>
      </c>
      <c r="AN101" s="51">
        <v>0.5</v>
      </c>
      <c r="AO101" s="51">
        <v>0.5</v>
      </c>
      <c r="AP101" s="51">
        <v>0.5</v>
      </c>
      <c r="AQ101" s="51">
        <v>0.5</v>
      </c>
      <c r="AR101" s="51">
        <v>0.5</v>
      </c>
      <c r="AS101" s="51">
        <v>0.5</v>
      </c>
      <c r="AT101" s="51">
        <v>0.5</v>
      </c>
      <c r="AU101" s="51">
        <v>0.5</v>
      </c>
      <c r="AV101" s="51">
        <v>0.5</v>
      </c>
      <c r="AW101" s="51">
        <v>0.5</v>
      </c>
      <c r="AX101" s="51">
        <v>0.5</v>
      </c>
      <c r="AY101" s="51">
        <v>0.5</v>
      </c>
      <c r="AZ101" s="51">
        <v>0.5</v>
      </c>
      <c r="BA101" s="51">
        <v>0.5</v>
      </c>
      <c r="BB101" s="51">
        <v>0.5</v>
      </c>
      <c r="BC101" s="51">
        <v>0.5</v>
      </c>
      <c r="BD101" s="51">
        <v>0.5</v>
      </c>
      <c r="BE101" s="51">
        <v>0.5</v>
      </c>
      <c r="BF101" s="51">
        <v>0.5</v>
      </c>
      <c r="BG101" s="51">
        <v>0.5</v>
      </c>
      <c r="BH101" s="51">
        <v>0.5</v>
      </c>
      <c r="BI101" s="51">
        <v>0.5</v>
      </c>
      <c r="BJ101" s="51">
        <v>0.5</v>
      </c>
      <c r="BK101" s="51">
        <v>0.5</v>
      </c>
      <c r="BL101" s="51">
        <v>0.5</v>
      </c>
      <c r="BM101" s="51">
        <v>0.5</v>
      </c>
      <c r="BN101" s="51">
        <v>0.5</v>
      </c>
      <c r="BO101" s="51">
        <v>0.5</v>
      </c>
      <c r="BP101" s="51">
        <v>0.5</v>
      </c>
      <c r="BQ101" s="51">
        <v>0.5</v>
      </c>
      <c r="BR101" s="51">
        <v>0.5</v>
      </c>
      <c r="BS101" s="51">
        <v>0.5</v>
      </c>
      <c r="BT101" s="51">
        <v>0.5</v>
      </c>
      <c r="BU101" s="51">
        <v>0.5</v>
      </c>
      <c r="BV101" s="51">
        <v>0.5</v>
      </c>
      <c r="BW101" s="51">
        <v>0.5</v>
      </c>
      <c r="BX101" s="51">
        <v>0.5</v>
      </c>
      <c r="BY101" s="51">
        <v>0.5</v>
      </c>
      <c r="BZ101" s="51">
        <v>0.5</v>
      </c>
      <c r="CA101" s="51">
        <v>0.5</v>
      </c>
      <c r="CB101" s="51">
        <v>0.5</v>
      </c>
      <c r="CC101" s="51">
        <v>0.5</v>
      </c>
      <c r="CD101" s="51">
        <v>0.5</v>
      </c>
      <c r="CE101" s="51">
        <v>0.5</v>
      </c>
      <c r="CF101" s="51">
        <v>0.5</v>
      </c>
      <c r="CG101" s="51">
        <v>0.5</v>
      </c>
      <c r="CH101" s="51">
        <v>0.5</v>
      </c>
      <c r="CI101" s="51">
        <v>0.5</v>
      </c>
      <c r="CJ101" s="51">
        <v>0.5</v>
      </c>
      <c r="CK101" s="51">
        <v>0.5</v>
      </c>
      <c r="CL101" s="51">
        <v>0.5</v>
      </c>
      <c r="CM101" s="51">
        <v>0.5</v>
      </c>
      <c r="CN101" s="51">
        <v>0.5</v>
      </c>
      <c r="CO101" s="51">
        <v>0.5</v>
      </c>
      <c r="CP101" s="51">
        <v>0.5</v>
      </c>
      <c r="CQ101" s="51">
        <v>0.5</v>
      </c>
      <c r="CR101" s="51">
        <v>0.5</v>
      </c>
      <c r="CS101" s="51">
        <v>0.5</v>
      </c>
      <c r="CT101" s="51">
        <v>0.5</v>
      </c>
      <c r="CU101" s="51">
        <v>0.5</v>
      </c>
      <c r="CV101" s="51">
        <v>0.5</v>
      </c>
      <c r="CW101" s="51">
        <v>0.5</v>
      </c>
      <c r="CX101" s="55">
        <v>0.5</v>
      </c>
      <c r="CY101" s="53">
        <v>0.5</v>
      </c>
    </row>
    <row r="102" spans="1:103" ht="15.75">
      <c r="A102" s="54">
        <v>120</v>
      </c>
      <c r="B102" s="55">
        <v>1</v>
      </c>
      <c r="C102" s="55">
        <v>1</v>
      </c>
      <c r="D102" s="55">
        <v>1</v>
      </c>
      <c r="E102" s="55">
        <v>1</v>
      </c>
      <c r="F102" s="55">
        <v>1</v>
      </c>
      <c r="G102" s="55">
        <v>1</v>
      </c>
      <c r="H102" s="55">
        <v>1</v>
      </c>
      <c r="I102" s="55">
        <v>1</v>
      </c>
      <c r="J102" s="55">
        <v>1</v>
      </c>
      <c r="K102" s="55">
        <v>1</v>
      </c>
      <c r="L102" s="55">
        <v>1</v>
      </c>
      <c r="M102" s="55">
        <v>1</v>
      </c>
      <c r="N102" s="55">
        <v>1</v>
      </c>
      <c r="O102" s="55">
        <v>1</v>
      </c>
      <c r="P102" s="55">
        <v>1</v>
      </c>
      <c r="Q102" s="55">
        <v>1</v>
      </c>
      <c r="R102" s="55">
        <v>1</v>
      </c>
      <c r="S102" s="55">
        <v>1</v>
      </c>
      <c r="T102" s="55">
        <v>1</v>
      </c>
      <c r="U102" s="51">
        <v>1</v>
      </c>
      <c r="V102" s="51">
        <v>1</v>
      </c>
      <c r="W102" s="51">
        <v>1</v>
      </c>
      <c r="X102" s="51">
        <v>1</v>
      </c>
      <c r="Y102" s="51">
        <v>1</v>
      </c>
      <c r="Z102" s="51">
        <v>1</v>
      </c>
      <c r="AA102" s="51">
        <v>1</v>
      </c>
      <c r="AB102" s="51">
        <v>1</v>
      </c>
      <c r="AC102" s="51">
        <v>1</v>
      </c>
      <c r="AD102" s="51">
        <v>1</v>
      </c>
      <c r="AE102" s="51">
        <v>1</v>
      </c>
      <c r="AF102" s="51">
        <v>1</v>
      </c>
      <c r="AG102" s="51">
        <v>1</v>
      </c>
      <c r="AH102" s="51">
        <v>1</v>
      </c>
      <c r="AI102" s="51">
        <v>1</v>
      </c>
      <c r="AJ102" s="51">
        <v>1</v>
      </c>
      <c r="AK102" s="51">
        <v>1</v>
      </c>
      <c r="AL102" s="51">
        <v>1</v>
      </c>
      <c r="AM102" s="51">
        <v>1</v>
      </c>
      <c r="AN102" s="51">
        <v>1</v>
      </c>
      <c r="AO102" s="51">
        <v>1</v>
      </c>
      <c r="AP102" s="51">
        <v>1</v>
      </c>
      <c r="AQ102" s="51">
        <v>1</v>
      </c>
      <c r="AR102" s="51">
        <v>1</v>
      </c>
      <c r="AS102" s="51">
        <v>1</v>
      </c>
      <c r="AT102" s="51">
        <v>1</v>
      </c>
      <c r="AU102" s="51">
        <v>1</v>
      </c>
      <c r="AV102" s="51">
        <v>1</v>
      </c>
      <c r="AW102" s="51">
        <v>1</v>
      </c>
      <c r="AX102" s="51">
        <v>1</v>
      </c>
      <c r="AY102" s="51">
        <v>1</v>
      </c>
      <c r="AZ102" s="51">
        <v>1</v>
      </c>
      <c r="BA102" s="51">
        <v>1</v>
      </c>
      <c r="BB102" s="51">
        <v>1</v>
      </c>
      <c r="BC102" s="51">
        <v>1</v>
      </c>
      <c r="BD102" s="51">
        <v>1</v>
      </c>
      <c r="BE102" s="51">
        <v>1</v>
      </c>
      <c r="BF102" s="51">
        <v>1</v>
      </c>
      <c r="BG102" s="51">
        <v>1</v>
      </c>
      <c r="BH102" s="51">
        <v>1</v>
      </c>
      <c r="BI102" s="51">
        <v>1</v>
      </c>
      <c r="BJ102" s="51">
        <v>1</v>
      </c>
      <c r="BK102" s="51">
        <v>1</v>
      </c>
      <c r="BL102" s="51">
        <v>1</v>
      </c>
      <c r="BM102" s="51">
        <v>1</v>
      </c>
      <c r="BN102" s="51">
        <v>1</v>
      </c>
      <c r="BO102" s="51">
        <v>1</v>
      </c>
      <c r="BP102" s="51">
        <v>1</v>
      </c>
      <c r="BQ102" s="51">
        <v>1</v>
      </c>
      <c r="BR102" s="51">
        <v>1</v>
      </c>
      <c r="BS102" s="51">
        <v>1</v>
      </c>
      <c r="BT102" s="51">
        <v>1</v>
      </c>
      <c r="BU102" s="51">
        <v>1</v>
      </c>
      <c r="BV102" s="51">
        <v>1</v>
      </c>
      <c r="BW102" s="51">
        <v>1</v>
      </c>
      <c r="BX102" s="51">
        <v>1</v>
      </c>
      <c r="BY102" s="51">
        <v>1</v>
      </c>
      <c r="BZ102" s="51">
        <v>1</v>
      </c>
      <c r="CA102" s="51">
        <v>1</v>
      </c>
      <c r="CB102" s="51">
        <v>1</v>
      </c>
      <c r="CC102" s="51">
        <v>1</v>
      </c>
      <c r="CD102" s="51">
        <v>1</v>
      </c>
      <c r="CE102" s="51">
        <v>1</v>
      </c>
      <c r="CF102" s="51">
        <v>1</v>
      </c>
      <c r="CG102" s="51">
        <v>1</v>
      </c>
      <c r="CH102" s="51">
        <v>1</v>
      </c>
      <c r="CI102" s="51">
        <v>1</v>
      </c>
      <c r="CJ102" s="51">
        <v>1</v>
      </c>
      <c r="CK102" s="51">
        <v>1</v>
      </c>
      <c r="CL102" s="51">
        <v>1</v>
      </c>
      <c r="CM102" s="51">
        <v>1</v>
      </c>
      <c r="CN102" s="51">
        <v>1</v>
      </c>
      <c r="CO102" s="51">
        <v>1</v>
      </c>
      <c r="CP102" s="51">
        <v>1</v>
      </c>
      <c r="CQ102" s="51">
        <v>1</v>
      </c>
      <c r="CR102" s="51">
        <v>1</v>
      </c>
      <c r="CS102" s="51">
        <v>1</v>
      </c>
      <c r="CT102" s="51">
        <v>1</v>
      </c>
      <c r="CU102" s="51">
        <v>1</v>
      </c>
      <c r="CV102" s="51">
        <v>1</v>
      </c>
      <c r="CW102" s="51">
        <v>1</v>
      </c>
      <c r="CX102" s="55">
        <v>1</v>
      </c>
      <c r="CY102" s="5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CY102"/>
  <sheetViews>
    <sheetView topLeftCell="A8" workbookViewId="0">
      <selection activeCell="H25" sqref="H25"/>
    </sheetView>
  </sheetViews>
  <sheetFormatPr defaultColWidth="9.75" defaultRowHeight="15"/>
  <cols>
    <col min="1" max="16384" width="9.75" style="53"/>
  </cols>
  <sheetData>
    <row r="1" spans="1:103" ht="15.75">
      <c r="A1" s="57" t="s">
        <v>84</v>
      </c>
      <c r="B1" s="57">
        <v>2014</v>
      </c>
      <c r="C1" s="57">
        <v>2015</v>
      </c>
      <c r="D1" s="57">
        <v>2016</v>
      </c>
      <c r="E1" s="57">
        <v>2017</v>
      </c>
      <c r="F1" s="57">
        <v>2018</v>
      </c>
      <c r="G1" s="57">
        <v>2019</v>
      </c>
      <c r="H1" s="57">
        <v>2020</v>
      </c>
      <c r="I1" s="57">
        <v>2021</v>
      </c>
      <c r="J1" s="57">
        <v>2022</v>
      </c>
      <c r="K1" s="57">
        <v>2023</v>
      </c>
      <c r="L1" s="57">
        <v>2024</v>
      </c>
      <c r="M1" s="57">
        <v>2025</v>
      </c>
      <c r="N1" s="57">
        <v>2026</v>
      </c>
      <c r="O1" s="57">
        <v>2027</v>
      </c>
      <c r="P1" s="57">
        <v>2028</v>
      </c>
      <c r="Q1" s="57">
        <v>2029</v>
      </c>
      <c r="R1" s="57">
        <v>2030</v>
      </c>
      <c r="S1" s="57">
        <v>2031</v>
      </c>
      <c r="T1" s="58">
        <v>2032</v>
      </c>
      <c r="U1" s="58">
        <v>2033</v>
      </c>
      <c r="V1" s="58">
        <v>2034</v>
      </c>
      <c r="W1" s="58">
        <v>2035</v>
      </c>
      <c r="X1" s="58">
        <v>2036</v>
      </c>
      <c r="Y1" s="58">
        <v>2037</v>
      </c>
      <c r="Z1" s="58">
        <v>2038</v>
      </c>
      <c r="AA1" s="58">
        <v>2039</v>
      </c>
      <c r="AB1" s="58">
        <v>2040</v>
      </c>
      <c r="AC1" s="58">
        <v>2041</v>
      </c>
      <c r="AD1" s="58">
        <v>2042</v>
      </c>
      <c r="AE1" s="58">
        <v>2043</v>
      </c>
      <c r="AF1" s="58">
        <v>2044</v>
      </c>
      <c r="AG1" s="58">
        <v>2045</v>
      </c>
      <c r="AH1" s="58">
        <v>2046</v>
      </c>
      <c r="AI1" s="58">
        <v>2047</v>
      </c>
      <c r="AJ1" s="58">
        <v>2048</v>
      </c>
      <c r="AK1" s="58">
        <v>2049</v>
      </c>
      <c r="AL1" s="58">
        <v>2050</v>
      </c>
      <c r="AM1" s="58">
        <v>2051</v>
      </c>
      <c r="AN1" s="58">
        <v>2052</v>
      </c>
      <c r="AO1" s="58">
        <v>2053</v>
      </c>
      <c r="AP1" s="58">
        <v>2054</v>
      </c>
      <c r="AQ1" s="58">
        <v>2055</v>
      </c>
      <c r="AR1" s="58">
        <v>2056</v>
      </c>
      <c r="AS1" s="58">
        <v>2057</v>
      </c>
      <c r="AT1" s="58">
        <v>2058</v>
      </c>
      <c r="AU1" s="58">
        <v>2059</v>
      </c>
      <c r="AV1" s="58">
        <v>2060</v>
      </c>
      <c r="AW1" s="58">
        <v>2061</v>
      </c>
      <c r="AX1" s="58">
        <v>2062</v>
      </c>
      <c r="AY1" s="58">
        <v>2063</v>
      </c>
      <c r="AZ1" s="58">
        <v>2064</v>
      </c>
      <c r="BA1" s="58">
        <v>2065</v>
      </c>
      <c r="BB1" s="58">
        <v>2066</v>
      </c>
      <c r="BC1" s="58">
        <v>2067</v>
      </c>
      <c r="BD1" s="58">
        <v>2068</v>
      </c>
      <c r="BE1" s="58">
        <v>2069</v>
      </c>
      <c r="BF1" s="58">
        <v>2070</v>
      </c>
      <c r="BG1" s="58">
        <v>2071</v>
      </c>
      <c r="BH1" s="58">
        <v>2072</v>
      </c>
      <c r="BI1" s="58">
        <v>2073</v>
      </c>
      <c r="BJ1" s="58">
        <v>2074</v>
      </c>
      <c r="BK1" s="58">
        <v>2075</v>
      </c>
      <c r="BL1" s="58">
        <v>2076</v>
      </c>
      <c r="BM1" s="58">
        <v>2077</v>
      </c>
      <c r="BN1" s="58">
        <v>2078</v>
      </c>
      <c r="BO1" s="58">
        <v>2079</v>
      </c>
      <c r="BP1" s="58">
        <v>2080</v>
      </c>
      <c r="BQ1" s="58">
        <v>2081</v>
      </c>
      <c r="BR1" s="58">
        <v>2082</v>
      </c>
      <c r="BS1" s="58">
        <v>2083</v>
      </c>
      <c r="BT1" s="58">
        <v>2084</v>
      </c>
      <c r="BU1" s="58">
        <v>2085</v>
      </c>
      <c r="BV1" s="58">
        <v>2086</v>
      </c>
      <c r="BW1" s="58">
        <v>2087</v>
      </c>
      <c r="BX1" s="58">
        <v>2088</v>
      </c>
      <c r="BY1" s="58">
        <v>2089</v>
      </c>
      <c r="BZ1" s="58">
        <v>2090</v>
      </c>
      <c r="CA1" s="58">
        <v>2091</v>
      </c>
      <c r="CB1" s="58">
        <v>2092</v>
      </c>
      <c r="CC1" s="58">
        <v>2093</v>
      </c>
      <c r="CD1" s="58">
        <v>2094</v>
      </c>
      <c r="CE1" s="58">
        <v>2095</v>
      </c>
      <c r="CF1" s="58">
        <v>2096</v>
      </c>
      <c r="CG1" s="58">
        <v>2097</v>
      </c>
      <c r="CH1" s="58">
        <v>2098</v>
      </c>
      <c r="CI1" s="58">
        <v>2099</v>
      </c>
      <c r="CJ1" s="58">
        <v>2100</v>
      </c>
      <c r="CK1" s="58">
        <v>2101</v>
      </c>
      <c r="CL1" s="58">
        <v>2102</v>
      </c>
      <c r="CM1" s="58">
        <v>2103</v>
      </c>
      <c r="CN1" s="58">
        <v>2104</v>
      </c>
      <c r="CO1" s="58">
        <v>2105</v>
      </c>
      <c r="CP1" s="58">
        <v>2106</v>
      </c>
      <c r="CQ1" s="58">
        <v>2107</v>
      </c>
      <c r="CR1" s="58">
        <v>2108</v>
      </c>
      <c r="CS1" s="58">
        <v>2109</v>
      </c>
      <c r="CT1" s="58">
        <v>2110</v>
      </c>
      <c r="CU1" s="58">
        <v>2111</v>
      </c>
      <c r="CV1" s="58">
        <v>2112</v>
      </c>
      <c r="CW1" s="59">
        <v>2113</v>
      </c>
      <c r="CX1" s="59">
        <v>2114</v>
      </c>
      <c r="CY1" s="53">
        <v>2115</v>
      </c>
    </row>
    <row r="2" spans="1:103" ht="15.75">
      <c r="A2" s="60" t="s">
        <v>82</v>
      </c>
      <c r="B2" s="60">
        <v>1.6200000000000001E-4</v>
      </c>
      <c r="C2" s="60">
        <v>1.642356E-4</v>
      </c>
      <c r="D2" s="60">
        <v>1.6632139212E-4</v>
      </c>
      <c r="E2" s="60">
        <v>1.6813429529410797E-4</v>
      </c>
      <c r="F2" s="60">
        <v>1.6959706366316671E-4</v>
      </c>
      <c r="G2" s="60">
        <v>1.7066552516424466E-4</v>
      </c>
      <c r="H2" s="60">
        <v>1.713140541598688E-4</v>
      </c>
      <c r="I2" s="60">
        <v>1.7153676243027665E-4</v>
      </c>
      <c r="J2" s="60">
        <v>1.713823793440894E-4</v>
      </c>
      <c r="K2" s="60">
        <v>1.7091964691986035E-4</v>
      </c>
      <c r="L2" s="60">
        <v>1.7025306029687289E-4</v>
      </c>
      <c r="M2" s="60">
        <v>1.6943584560744789E-4</v>
      </c>
      <c r="N2" s="60">
        <v>1.6847006128748544E-4</v>
      </c>
      <c r="O2" s="60">
        <v>1.6735815888298803E-4</v>
      </c>
      <c r="P2" s="60">
        <v>1.6611970850725392E-4</v>
      </c>
      <c r="Q2" s="60">
        <v>1.6477413886834517E-4</v>
      </c>
      <c r="R2" s="60">
        <v>1.6334060386019058E-4</v>
      </c>
      <c r="S2" s="60">
        <v>1.6182153624429081E-4</v>
      </c>
      <c r="T2" s="61">
        <v>1.602518673427212E-4</v>
      </c>
      <c r="U2" s="61">
        <v>1.5866537385602825E-4</v>
      </c>
      <c r="V2" s="61">
        <v>1.5707872011746796E-4</v>
      </c>
      <c r="W2" s="61">
        <v>1.5550793291629328E-4</v>
      </c>
      <c r="X2" s="61">
        <v>1.5395285358713035E-4</v>
      </c>
      <c r="Y2" s="61">
        <v>1.5241332505125905E-4</v>
      </c>
      <c r="Z2" s="61">
        <v>1.5088919180074645E-4</v>
      </c>
      <c r="AA2" s="61">
        <v>1.4938029988273899E-4</v>
      </c>
      <c r="AB2" s="61">
        <v>1.4788649688391161E-4</v>
      </c>
      <c r="AC2" s="61">
        <v>1.464076319150725E-4</v>
      </c>
      <c r="AD2" s="61">
        <v>1.4494355559592178E-4</v>
      </c>
      <c r="AE2" s="61">
        <v>1.4349412003996257E-4</v>
      </c>
      <c r="AF2" s="61">
        <v>1.4205917883956294E-4</v>
      </c>
      <c r="AG2" s="61">
        <v>1.4063858705116731E-4</v>
      </c>
      <c r="AH2" s="61">
        <v>1.3923220118065564E-4</v>
      </c>
      <c r="AI2" s="61">
        <v>1.3783987916884908E-4</v>
      </c>
      <c r="AJ2" s="61">
        <v>1.364614803771606E-4</v>
      </c>
      <c r="AK2" s="61">
        <v>1.35096865573389E-4</v>
      </c>
      <c r="AL2" s="61">
        <v>1.3374589691765511E-4</v>
      </c>
      <c r="AM2" s="61">
        <v>1.3240843794847854E-4</v>
      </c>
      <c r="AN2" s="61">
        <v>1.3108435356899375E-4</v>
      </c>
      <c r="AO2" s="61">
        <v>1.297735100333038E-4</v>
      </c>
      <c r="AP2" s="61">
        <v>1.2847577493297076E-4</v>
      </c>
      <c r="AQ2" s="61">
        <v>1.2719101718364106E-4</v>
      </c>
      <c r="AR2" s="61">
        <v>1.2591910701180466E-4</v>
      </c>
      <c r="AS2" s="61">
        <v>1.2465991594168662E-4</v>
      </c>
      <c r="AT2" s="61">
        <v>1.2341331678226975E-4</v>
      </c>
      <c r="AU2" s="61">
        <v>1.2217918361444704E-4</v>
      </c>
      <c r="AV2" s="61">
        <v>1.2095739177830256E-4</v>
      </c>
      <c r="AW2" s="61">
        <v>1.1974781786051953E-4</v>
      </c>
      <c r="AX2" s="61">
        <v>1.1855033968191433E-4</v>
      </c>
      <c r="AY2" s="61">
        <v>1.1736483628509519E-4</v>
      </c>
      <c r="AZ2" s="61">
        <v>1.1619118792224424E-4</v>
      </c>
      <c r="BA2" s="61">
        <v>1.150292760430218E-4</v>
      </c>
      <c r="BB2" s="61">
        <v>1.1387898328259158E-4</v>
      </c>
      <c r="BC2" s="61">
        <v>1.1274019344976565E-4</v>
      </c>
      <c r="BD2" s="61">
        <v>1.11612791515268E-4</v>
      </c>
      <c r="BE2" s="61">
        <v>1.1049666360011532E-4</v>
      </c>
      <c r="BF2" s="61">
        <v>1.0939169696411417E-4</v>
      </c>
      <c r="BG2" s="61">
        <v>1.0829777999447303E-4</v>
      </c>
      <c r="BH2" s="61">
        <v>1.072148021945283E-4</v>
      </c>
      <c r="BI2" s="61">
        <v>1.0614265417258302E-4</v>
      </c>
      <c r="BJ2" s="61">
        <v>1.0508122763085719E-4</v>
      </c>
      <c r="BK2" s="61">
        <v>1.0403041535454861E-4</v>
      </c>
      <c r="BL2" s="61">
        <v>1.0299011120100312E-4</v>
      </c>
      <c r="BM2" s="61">
        <v>1.0196021008899308E-4</v>
      </c>
      <c r="BN2" s="61">
        <v>1.0094060798810315E-4</v>
      </c>
      <c r="BO2" s="61">
        <v>9.9931201908222118E-5</v>
      </c>
      <c r="BP2" s="61">
        <v>9.8931889889139894E-5</v>
      </c>
      <c r="BQ2" s="61">
        <v>9.7942570990248496E-5</v>
      </c>
      <c r="BR2" s="61">
        <v>9.6963145280346008E-5</v>
      </c>
      <c r="BS2" s="61">
        <v>9.599351382754254E-5</v>
      </c>
      <c r="BT2" s="61">
        <v>9.5033578689267115E-5</v>
      </c>
      <c r="BU2" s="61">
        <v>9.4083242902374443E-5</v>
      </c>
      <c r="BV2" s="61">
        <v>9.31424104733507E-5</v>
      </c>
      <c r="BW2" s="61">
        <v>9.2210986368617196E-5</v>
      </c>
      <c r="BX2" s="61">
        <v>9.1288876504931024E-5</v>
      </c>
      <c r="BY2" s="61">
        <v>9.0375987739881708E-5</v>
      </c>
      <c r="BZ2" s="61">
        <v>8.9472227862482897E-5</v>
      </c>
      <c r="CA2" s="61">
        <v>8.8577505583858066E-5</v>
      </c>
      <c r="CB2" s="61">
        <v>8.769173052801949E-5</v>
      </c>
      <c r="CC2" s="61">
        <v>8.6814813222739297E-5</v>
      </c>
      <c r="CD2" s="61">
        <v>8.59466650905119E-5</v>
      </c>
      <c r="CE2" s="61">
        <v>8.5087198439606781E-5</v>
      </c>
      <c r="CF2" s="61">
        <v>8.4236326455210708E-5</v>
      </c>
      <c r="CG2" s="61">
        <v>8.3393963190658599E-5</v>
      </c>
      <c r="CH2" s="61">
        <v>8.2560023558752018E-5</v>
      </c>
      <c r="CI2" s="61">
        <v>8.17344233231645E-5</v>
      </c>
      <c r="CJ2" s="61">
        <v>8.0917079089932857E-5</v>
      </c>
      <c r="CK2" s="61">
        <v>8.0107908299033531E-5</v>
      </c>
      <c r="CL2" s="61">
        <v>7.9306829216043191E-5</v>
      </c>
      <c r="CM2" s="61">
        <v>7.8513760923882753E-5</v>
      </c>
      <c r="CN2" s="61">
        <v>7.772862331464393E-5</v>
      </c>
      <c r="CO2" s="61">
        <v>7.6951337081497496E-5</v>
      </c>
      <c r="CP2" s="61">
        <v>7.6181823710682516E-5</v>
      </c>
      <c r="CQ2" s="61">
        <v>7.5420005473575687E-5</v>
      </c>
      <c r="CR2" s="61">
        <v>7.466580541883993E-5</v>
      </c>
      <c r="CS2" s="61">
        <v>7.3919147364651536E-5</v>
      </c>
      <c r="CT2" s="61">
        <v>7.317995589100502E-5</v>
      </c>
      <c r="CU2" s="61">
        <v>7.2448156332094969E-5</v>
      </c>
      <c r="CV2" s="61">
        <v>7.1723674768774023E-5</v>
      </c>
      <c r="CW2" s="62">
        <v>7.1006438021086284E-5</v>
      </c>
      <c r="CX2" s="62">
        <v>7.0296373640875421E-5</v>
      </c>
      <c r="CY2" s="53">
        <v>6.9593409904466661E-5</v>
      </c>
    </row>
    <row r="3" spans="1:103">
      <c r="A3" s="60">
        <v>21</v>
      </c>
      <c r="B3" s="60">
        <v>1.6200000000000001E-4</v>
      </c>
      <c r="C3" s="60">
        <v>1.6438139999999998E-4</v>
      </c>
      <c r="D3" s="60">
        <v>1.6658411076E-4</v>
      </c>
      <c r="E3" s="60">
        <v>1.68516486444816E-4</v>
      </c>
      <c r="F3" s="60">
        <v>1.7008368976875279E-4</v>
      </c>
      <c r="G3" s="60">
        <v>1.7122325049020342E-4</v>
      </c>
      <c r="H3" s="60">
        <v>1.7192526581721326E-4</v>
      </c>
      <c r="I3" s="60">
        <v>1.7218315371593908E-4</v>
      </c>
      <c r="J3" s="60">
        <v>1.7204540719296631E-4</v>
      </c>
      <c r="K3" s="60">
        <v>1.7158088459354529E-4</v>
      </c>
      <c r="L3" s="60">
        <v>1.7091171914363046E-4</v>
      </c>
      <c r="M3" s="60">
        <v>1.7009134289174102E-4</v>
      </c>
      <c r="N3" s="60">
        <v>1.6912182223725809E-4</v>
      </c>
      <c r="O3" s="60">
        <v>1.6800561821049217E-4</v>
      </c>
      <c r="P3" s="60">
        <v>1.6676237663573455E-4</v>
      </c>
      <c r="Q3" s="60">
        <v>1.654116013849851E-4</v>
      </c>
      <c r="R3" s="60">
        <v>1.6397252045293571E-4</v>
      </c>
      <c r="S3" s="60">
        <v>1.6244757601272341E-4</v>
      </c>
      <c r="T3" s="61">
        <v>1.608718345254E-4</v>
      </c>
      <c r="U3" s="61">
        <v>1.5927920336359852E-4</v>
      </c>
      <c r="V3" s="61">
        <v>1.5768641132996253E-4</v>
      </c>
      <c r="W3" s="61">
        <v>1.5610954721666291E-4</v>
      </c>
      <c r="X3" s="61">
        <v>1.5454845174449629E-4</v>
      </c>
      <c r="Y3" s="61">
        <v>1.5300296722705131E-4</v>
      </c>
      <c r="Z3" s="61">
        <v>1.5147293755478079E-4</v>
      </c>
      <c r="AA3" s="61">
        <v>1.4995820817923297E-4</v>
      </c>
      <c r="AB3" s="61">
        <v>1.4845862609744065E-4</v>
      </c>
      <c r="AC3" s="61">
        <v>1.4697403983646623E-4</v>
      </c>
      <c r="AD3" s="61">
        <v>1.4550429943810156E-4</v>
      </c>
      <c r="AE3" s="61">
        <v>1.4404925644372055E-4</v>
      </c>
      <c r="AF3" s="61">
        <v>1.4260876387928336E-4</v>
      </c>
      <c r="AG3" s="61">
        <v>1.4118267624049053E-4</v>
      </c>
      <c r="AH3" s="61">
        <v>1.3977084947808561E-4</v>
      </c>
      <c r="AI3" s="61">
        <v>1.3837314098330474E-4</v>
      </c>
      <c r="AJ3" s="61">
        <v>1.3698940957347169E-4</v>
      </c>
      <c r="AK3" s="61">
        <v>1.3561951547773698E-4</v>
      </c>
      <c r="AL3" s="61">
        <v>1.3426332032295962E-4</v>
      </c>
      <c r="AM3" s="61">
        <v>1.3292068711973003E-4</v>
      </c>
      <c r="AN3" s="61">
        <v>1.3159148024853272E-4</v>
      </c>
      <c r="AO3" s="61">
        <v>1.3027556544604739E-4</v>
      </c>
      <c r="AP3" s="61">
        <v>1.2897280979158691E-4</v>
      </c>
      <c r="AQ3" s="61">
        <v>1.2768308169367102E-4</v>
      </c>
      <c r="AR3" s="61">
        <v>1.2640625087673431E-4</v>
      </c>
      <c r="AS3" s="61">
        <v>1.2514218836796697E-4</v>
      </c>
      <c r="AT3" s="61">
        <v>1.2389076648428729E-4</v>
      </c>
      <c r="AU3" s="61">
        <v>1.2265185881944442E-4</v>
      </c>
      <c r="AV3" s="61">
        <v>1.2142534023124998E-4</v>
      </c>
      <c r="AW3" s="61">
        <v>1.2021108682893748E-4</v>
      </c>
      <c r="AX3" s="61">
        <v>1.190089759606481E-4</v>
      </c>
      <c r="AY3" s="61">
        <v>1.1781888620104162E-4</v>
      </c>
      <c r="AZ3" s="61">
        <v>1.166406973390312E-4</v>
      </c>
      <c r="BA3" s="61">
        <v>1.1547429036564089E-4</v>
      </c>
      <c r="BB3" s="61">
        <v>1.1431954746198448E-4</v>
      </c>
      <c r="BC3" s="61">
        <v>1.1317635198736463E-4</v>
      </c>
      <c r="BD3" s="61">
        <v>1.1204458846749099E-4</v>
      </c>
      <c r="BE3" s="61">
        <v>1.1092414258281608E-4</v>
      </c>
      <c r="BF3" s="61">
        <v>1.0981490115698791E-4</v>
      </c>
      <c r="BG3" s="61">
        <v>1.0871675214541803E-4</v>
      </c>
      <c r="BH3" s="61">
        <v>1.0762958462396385E-4</v>
      </c>
      <c r="BI3" s="61">
        <v>1.0655328877772421E-4</v>
      </c>
      <c r="BJ3" s="61">
        <v>1.0548775588994696E-4</v>
      </c>
      <c r="BK3" s="61">
        <v>1.0443287833104749E-4</v>
      </c>
      <c r="BL3" s="61">
        <v>1.0338854954773702E-4</v>
      </c>
      <c r="BM3" s="61">
        <v>1.0235466405225965E-4</v>
      </c>
      <c r="BN3" s="61">
        <v>1.0133111741173705E-4</v>
      </c>
      <c r="BO3" s="61">
        <v>1.0031780623761968E-4</v>
      </c>
      <c r="BP3" s="61">
        <v>9.9314628175243489E-5</v>
      </c>
      <c r="BQ3" s="61">
        <v>9.8321481893491049E-5</v>
      </c>
      <c r="BR3" s="61">
        <v>9.7338267074556137E-5</v>
      </c>
      <c r="BS3" s="61">
        <v>9.6364884403810576E-5</v>
      </c>
      <c r="BT3" s="61">
        <v>9.540123555977247E-5</v>
      </c>
      <c r="BU3" s="61">
        <v>9.4447223204174746E-5</v>
      </c>
      <c r="BV3" s="61">
        <v>9.3502750972133004E-5</v>
      </c>
      <c r="BW3" s="61">
        <v>9.2567723462411679E-5</v>
      </c>
      <c r="BX3" s="61">
        <v>9.1642046227787563E-5</v>
      </c>
      <c r="BY3" s="61">
        <v>9.0725625765509691E-5</v>
      </c>
      <c r="BZ3" s="61">
        <v>8.9818369507854598E-5</v>
      </c>
      <c r="CA3" s="61">
        <v>8.892018581277605E-5</v>
      </c>
      <c r="CB3" s="61">
        <v>8.8030983954648292E-5</v>
      </c>
      <c r="CC3" s="61">
        <v>8.7150674115101811E-5</v>
      </c>
      <c r="CD3" s="61">
        <v>8.6279167373950791E-5</v>
      </c>
      <c r="CE3" s="61">
        <v>8.5416375700211281E-5</v>
      </c>
      <c r="CF3" s="61">
        <v>8.4562211943209166E-5</v>
      </c>
      <c r="CG3" s="61">
        <v>8.3716589823777069E-5</v>
      </c>
      <c r="CH3" s="61">
        <v>8.2879423925539302E-5</v>
      </c>
      <c r="CI3" s="61">
        <v>8.2050629686283911E-5</v>
      </c>
      <c r="CJ3" s="61">
        <v>8.1230123389421069E-5</v>
      </c>
      <c r="CK3" s="61">
        <v>8.0417822155526858E-5</v>
      </c>
      <c r="CL3" s="61">
        <v>7.9613643933971586E-5</v>
      </c>
      <c r="CM3" s="61">
        <v>7.8817507494631864E-5</v>
      </c>
      <c r="CN3" s="61">
        <v>7.802933241968555E-5</v>
      </c>
      <c r="CO3" s="61">
        <v>7.7249039095488693E-5</v>
      </c>
      <c r="CP3" s="61">
        <v>7.6476548704533799E-5</v>
      </c>
      <c r="CQ3" s="61">
        <v>7.5711783217488458E-5</v>
      </c>
      <c r="CR3" s="61">
        <v>7.4954665385313567E-5</v>
      </c>
      <c r="CS3" s="61">
        <v>7.4205118731460426E-5</v>
      </c>
      <c r="CT3" s="61">
        <v>7.3463067544145825E-5</v>
      </c>
      <c r="CU3" s="61">
        <v>7.2728436868704365E-5</v>
      </c>
      <c r="CV3" s="61">
        <v>7.2001152500017325E-5</v>
      </c>
      <c r="CW3" s="61">
        <v>7.1281140975017153E-5</v>
      </c>
      <c r="CX3" s="61">
        <v>7.0568329565266983E-5</v>
      </c>
      <c r="CY3" s="53">
        <v>6.9862646269614311E-5</v>
      </c>
    </row>
    <row r="4" spans="1:103">
      <c r="A4" s="60">
        <v>22</v>
      </c>
      <c r="B4" s="60">
        <v>1.6200000000000001E-4</v>
      </c>
      <c r="C4" s="60">
        <v>1.6465680000000001E-4</v>
      </c>
      <c r="D4" s="60">
        <v>1.6701139224000001E-4</v>
      </c>
      <c r="E4" s="60">
        <v>1.6906563236455201E-4</v>
      </c>
      <c r="F4" s="60">
        <v>1.7073938212496109E-4</v>
      </c>
      <c r="G4" s="60">
        <v>1.7196870567626082E-4</v>
      </c>
      <c r="H4" s="60">
        <v>1.7272536798123637E-4</v>
      </c>
      <c r="I4" s="60">
        <v>1.7301900110680449E-4</v>
      </c>
      <c r="J4" s="60">
        <v>1.7289788780602971E-4</v>
      </c>
      <c r="K4" s="60">
        <v>1.7244835329773402E-4</v>
      </c>
      <c r="L4" s="60">
        <v>1.7177580471987287E-4</v>
      </c>
      <c r="M4" s="60">
        <v>1.7095128085721747E-4</v>
      </c>
      <c r="N4" s="60">
        <v>1.6997685855633132E-4</v>
      </c>
      <c r="O4" s="60">
        <v>1.6885501128985952E-4</v>
      </c>
      <c r="P4" s="60">
        <v>1.6760548420631456E-4</v>
      </c>
      <c r="Q4" s="60">
        <v>1.662478797842434E-4</v>
      </c>
      <c r="R4" s="60">
        <v>1.6480152323012048E-4</v>
      </c>
      <c r="S4" s="60">
        <v>1.6326886906408035E-4</v>
      </c>
      <c r="T4" s="61">
        <v>1.6168516103415875E-4</v>
      </c>
      <c r="U4" s="61">
        <v>1.6008447793992058E-4</v>
      </c>
      <c r="V4" s="61">
        <v>1.5848363316052139E-4</v>
      </c>
      <c r="W4" s="61">
        <v>1.5689879682891618E-4</v>
      </c>
      <c r="X4" s="61">
        <v>1.5532980886062703E-4</v>
      </c>
      <c r="Y4" s="61">
        <v>1.5377651077202076E-4</v>
      </c>
      <c r="Z4" s="61">
        <v>1.5223874566430056E-4</v>
      </c>
      <c r="AA4" s="61">
        <v>1.5071635820765756E-4</v>
      </c>
      <c r="AB4" s="61">
        <v>1.4920919462558098E-4</v>
      </c>
      <c r="AC4" s="61">
        <v>1.4771710267932517E-4</v>
      </c>
      <c r="AD4" s="61">
        <v>1.4623993165253192E-4</v>
      </c>
      <c r="AE4" s="61">
        <v>1.4477753233600659E-4</v>
      </c>
      <c r="AF4" s="61">
        <v>1.4332975701264653E-4</v>
      </c>
      <c r="AG4" s="61">
        <v>1.4189645944252008E-4</v>
      </c>
      <c r="AH4" s="61">
        <v>1.4047749484809486E-4</v>
      </c>
      <c r="AI4" s="61">
        <v>1.3907271989961392E-4</v>
      </c>
      <c r="AJ4" s="61">
        <v>1.3768199270061779E-4</v>
      </c>
      <c r="AK4" s="61">
        <v>1.3630517277361161E-4</v>
      </c>
      <c r="AL4" s="61">
        <v>1.3494212104587548E-4</v>
      </c>
      <c r="AM4" s="61">
        <v>1.3359269983541673E-4</v>
      </c>
      <c r="AN4" s="61">
        <v>1.3225677283706255E-4</v>
      </c>
      <c r="AO4" s="61">
        <v>1.3093420510869192E-4</v>
      </c>
      <c r="AP4" s="61">
        <v>1.2962486305760499E-4</v>
      </c>
      <c r="AQ4" s="61">
        <v>1.2832861442702893E-4</v>
      </c>
      <c r="AR4" s="61">
        <v>1.2704532828275864E-4</v>
      </c>
      <c r="AS4" s="61">
        <v>1.2577487499993106E-4</v>
      </c>
      <c r="AT4" s="61">
        <v>1.2451712624993175E-4</v>
      </c>
      <c r="AU4" s="61">
        <v>1.2327195498743244E-4</v>
      </c>
      <c r="AV4" s="61">
        <v>1.2203923543755812E-4</v>
      </c>
      <c r="AW4" s="61">
        <v>1.2081884308318254E-4</v>
      </c>
      <c r="AX4" s="61">
        <v>1.1961065465235071E-4</v>
      </c>
      <c r="AY4" s="61">
        <v>1.184145481058272E-4</v>
      </c>
      <c r="AZ4" s="61">
        <v>1.1723040262476892E-4</v>
      </c>
      <c r="BA4" s="61">
        <v>1.1605809859852123E-4</v>
      </c>
      <c r="BB4" s="61">
        <v>1.1489751761253601E-4</v>
      </c>
      <c r="BC4" s="61">
        <v>1.1374854243641064E-4</v>
      </c>
      <c r="BD4" s="61">
        <v>1.1261105701204654E-4</v>
      </c>
      <c r="BE4" s="61">
        <v>1.1148494644192607E-4</v>
      </c>
      <c r="BF4" s="61">
        <v>1.1037009697750681E-4</v>
      </c>
      <c r="BG4" s="61">
        <v>1.0926639600773174E-4</v>
      </c>
      <c r="BH4" s="61">
        <v>1.0817373204765442E-4</v>
      </c>
      <c r="BI4" s="61">
        <v>1.0709199472717787E-4</v>
      </c>
      <c r="BJ4" s="61">
        <v>1.060210747799061E-4</v>
      </c>
      <c r="BK4" s="61">
        <v>1.0496086403210704E-4</v>
      </c>
      <c r="BL4" s="61">
        <v>1.0391125539178597E-4</v>
      </c>
      <c r="BM4" s="61">
        <v>1.0287214283786811E-4</v>
      </c>
      <c r="BN4" s="61">
        <v>1.0184342140948942E-4</v>
      </c>
      <c r="BO4" s="61">
        <v>1.0082498719539453E-4</v>
      </c>
      <c r="BP4" s="61">
        <v>9.9816737323440592E-5</v>
      </c>
      <c r="BQ4" s="61">
        <v>9.8818569950206186E-5</v>
      </c>
      <c r="BR4" s="61">
        <v>9.7830384250704121E-5</v>
      </c>
      <c r="BS4" s="61">
        <v>9.6852080408197082E-5</v>
      </c>
      <c r="BT4" s="61">
        <v>9.5883559604115112E-5</v>
      </c>
      <c r="BU4" s="61">
        <v>9.4924724008073954E-5</v>
      </c>
      <c r="BV4" s="61">
        <v>9.3975476767993216E-5</v>
      </c>
      <c r="BW4" s="61">
        <v>9.3035722000313288E-5</v>
      </c>
      <c r="BX4" s="61">
        <v>9.2105364780310152E-5</v>
      </c>
      <c r="BY4" s="61">
        <v>9.1184311132507046E-5</v>
      </c>
      <c r="BZ4" s="61">
        <v>9.0272468021181969E-5</v>
      </c>
      <c r="CA4" s="61">
        <v>8.9369743340970148E-5</v>
      </c>
      <c r="CB4" s="61">
        <v>8.8476045907560452E-5</v>
      </c>
      <c r="CC4" s="61">
        <v>8.7591285448484845E-5</v>
      </c>
      <c r="CD4" s="61">
        <v>8.6715372593999991E-5</v>
      </c>
      <c r="CE4" s="61">
        <v>8.5848218868059996E-5</v>
      </c>
      <c r="CF4" s="61">
        <v>8.49897366793794E-5</v>
      </c>
      <c r="CG4" s="61">
        <v>8.4139839312585607E-5</v>
      </c>
      <c r="CH4" s="61">
        <v>8.3298440919459744E-5</v>
      </c>
      <c r="CI4" s="61">
        <v>8.2465456510265141E-5</v>
      </c>
      <c r="CJ4" s="61">
        <v>8.1640801945162482E-5</v>
      </c>
      <c r="CK4" s="61">
        <v>8.0824393925710855E-5</v>
      </c>
      <c r="CL4" s="61">
        <v>8.0016149986453746E-5</v>
      </c>
      <c r="CM4" s="61">
        <v>7.9215988486589206E-5</v>
      </c>
      <c r="CN4" s="61">
        <v>7.8423828601723318E-5</v>
      </c>
      <c r="CO4" s="61">
        <v>7.7639590315706087E-5</v>
      </c>
      <c r="CP4" s="61">
        <v>7.686319441254902E-5</v>
      </c>
      <c r="CQ4" s="61">
        <v>7.6094562468423529E-5</v>
      </c>
      <c r="CR4" s="61">
        <v>7.5333616843739287E-5</v>
      </c>
      <c r="CS4" s="61">
        <v>7.4580280675301896E-5</v>
      </c>
      <c r="CT4" s="61">
        <v>7.3834477868548875E-5</v>
      </c>
      <c r="CU4" s="61">
        <v>7.3096133089863382E-5</v>
      </c>
      <c r="CV4" s="61">
        <v>7.2365171758964747E-5</v>
      </c>
      <c r="CW4" s="61">
        <v>7.1641520041375103E-5</v>
      </c>
      <c r="CX4" s="61">
        <v>7.0925104840961355E-5</v>
      </c>
      <c r="CY4" s="53">
        <v>7.0215853792551745E-5</v>
      </c>
    </row>
    <row r="5" spans="1:103">
      <c r="A5" s="60">
        <v>23</v>
      </c>
      <c r="B5" s="60">
        <v>1.66E-4</v>
      </c>
      <c r="C5" s="60">
        <v>1.690378E-4</v>
      </c>
      <c r="D5" s="60">
        <v>1.7174240480000001E-4</v>
      </c>
      <c r="E5" s="60">
        <v>1.7399223030288002E-4</v>
      </c>
      <c r="F5" s="60">
        <v>1.7583654794409053E-4</v>
      </c>
      <c r="G5" s="60">
        <v>1.7719048936326004E-4</v>
      </c>
      <c r="H5" s="60">
        <v>1.7804100371220368E-4</v>
      </c>
      <c r="I5" s="60">
        <v>1.7837928161925688E-4</v>
      </c>
      <c r="J5" s="60">
        <v>1.7827225405028533E-4</v>
      </c>
      <c r="K5" s="60">
        <v>1.7780874618975457E-4</v>
      </c>
      <c r="L5" s="60">
        <v>1.7711529207961452E-4</v>
      </c>
      <c r="M5" s="60">
        <v>1.7626513867763236E-4</v>
      </c>
      <c r="N5" s="60">
        <v>1.7526042738716984E-4</v>
      </c>
      <c r="O5" s="60">
        <v>1.7410370856641452E-4</v>
      </c>
      <c r="P5" s="60">
        <v>1.7281534112302305E-4</v>
      </c>
      <c r="Q5" s="60">
        <v>1.7141553685992656E-4</v>
      </c>
      <c r="R5" s="60">
        <v>1.699242216892452E-4</v>
      </c>
      <c r="S5" s="60">
        <v>1.6834392642753522E-4</v>
      </c>
      <c r="T5" s="61">
        <v>1.6671099034118811E-4</v>
      </c>
      <c r="U5" s="61">
        <v>1.6506055153681033E-4</v>
      </c>
      <c r="V5" s="61">
        <v>1.6340994602144222E-4</v>
      </c>
      <c r="W5" s="61">
        <v>1.6177584656122779E-4</v>
      </c>
      <c r="X5" s="61">
        <v>1.601580880956155E-4</v>
      </c>
      <c r="Y5" s="61">
        <v>1.5855650721465934E-4</v>
      </c>
      <c r="Z5" s="61">
        <v>1.5697094214251275E-4</v>
      </c>
      <c r="AA5" s="61">
        <v>1.5540123272108762E-4</v>
      </c>
      <c r="AB5" s="61">
        <v>1.5384722039387674E-4</v>
      </c>
      <c r="AC5" s="61">
        <v>1.5230874818993796E-4</v>
      </c>
      <c r="AD5" s="61">
        <v>1.5078566070803859E-4</v>
      </c>
      <c r="AE5" s="61">
        <v>1.492778041009582E-4</v>
      </c>
      <c r="AF5" s="61">
        <v>1.477850260599486E-4</v>
      </c>
      <c r="AG5" s="61">
        <v>1.4630717579934912E-4</v>
      </c>
      <c r="AH5" s="61">
        <v>1.4484410404135562E-4</v>
      </c>
      <c r="AI5" s="61">
        <v>1.4339566300094206E-4</v>
      </c>
      <c r="AJ5" s="61">
        <v>1.4196170637093263E-4</v>
      </c>
      <c r="AK5" s="61">
        <v>1.405420893072233E-4</v>
      </c>
      <c r="AL5" s="61">
        <v>1.3913666841415106E-4</v>
      </c>
      <c r="AM5" s="61">
        <v>1.3774530173000954E-4</v>
      </c>
      <c r="AN5" s="61">
        <v>1.3636784871270944E-4</v>
      </c>
      <c r="AO5" s="61">
        <v>1.3500417022558234E-4</v>
      </c>
      <c r="AP5" s="61">
        <v>1.3365412852332651E-4</v>
      </c>
      <c r="AQ5" s="61">
        <v>1.3231758723809324E-4</v>
      </c>
      <c r="AR5" s="61">
        <v>1.309944113657123E-4</v>
      </c>
      <c r="AS5" s="61">
        <v>1.2968446725205516E-4</v>
      </c>
      <c r="AT5" s="61">
        <v>1.283876225795346E-4</v>
      </c>
      <c r="AU5" s="61">
        <v>1.2710374635373925E-4</v>
      </c>
      <c r="AV5" s="61">
        <v>1.2583270889020187E-4</v>
      </c>
      <c r="AW5" s="61">
        <v>1.2457438180129985E-4</v>
      </c>
      <c r="AX5" s="61">
        <v>1.2332863798328686E-4</v>
      </c>
      <c r="AY5" s="61">
        <v>1.22095351603454E-4</v>
      </c>
      <c r="AZ5" s="61">
        <v>1.2087439808741946E-4</v>
      </c>
      <c r="BA5" s="61">
        <v>1.1966565410654525E-4</v>
      </c>
      <c r="BB5" s="61">
        <v>1.184689975654798E-4</v>
      </c>
      <c r="BC5" s="61">
        <v>1.17284307589825E-4</v>
      </c>
      <c r="BD5" s="61">
        <v>1.1611146451392675E-4</v>
      </c>
      <c r="BE5" s="61">
        <v>1.1495034986878748E-4</v>
      </c>
      <c r="BF5" s="61">
        <v>1.138008463700996E-4</v>
      </c>
      <c r="BG5" s="61">
        <v>1.126628379063986E-4</v>
      </c>
      <c r="BH5" s="61">
        <v>1.1153620952733462E-4</v>
      </c>
      <c r="BI5" s="61">
        <v>1.1042084743206127E-4</v>
      </c>
      <c r="BJ5" s="61">
        <v>1.0931663895774065E-4</v>
      </c>
      <c r="BK5" s="61">
        <v>1.0822347256816324E-4</v>
      </c>
      <c r="BL5" s="61">
        <v>1.0714123784248161E-4</v>
      </c>
      <c r="BM5" s="61">
        <v>1.060698254640568E-4</v>
      </c>
      <c r="BN5" s="61">
        <v>1.0500912720941623E-4</v>
      </c>
      <c r="BO5" s="61">
        <v>1.0395903593732206E-4</v>
      </c>
      <c r="BP5" s="61">
        <v>1.0291944557794884E-4</v>
      </c>
      <c r="BQ5" s="61">
        <v>1.0189025112216935E-4</v>
      </c>
      <c r="BR5" s="61">
        <v>1.0087134861094766E-4</v>
      </c>
      <c r="BS5" s="61">
        <v>9.986263512483818E-5</v>
      </c>
      <c r="BT5" s="61">
        <v>9.8864008773589799E-5</v>
      </c>
      <c r="BU5" s="61">
        <v>9.7875368685853894E-5</v>
      </c>
      <c r="BV5" s="61">
        <v>9.6896614998995349E-5</v>
      </c>
      <c r="BW5" s="61">
        <v>9.59276488490054E-5</v>
      </c>
      <c r="BX5" s="61">
        <v>9.4968372360515349E-5</v>
      </c>
      <c r="BY5" s="61">
        <v>9.4018688636910198E-5</v>
      </c>
      <c r="BZ5" s="61">
        <v>9.3078501750541091E-5</v>
      </c>
      <c r="CA5" s="61">
        <v>9.2147716733035685E-5</v>
      </c>
      <c r="CB5" s="61">
        <v>9.1226239565705324E-5</v>
      </c>
      <c r="CC5" s="61">
        <v>9.0313977170048275E-5</v>
      </c>
      <c r="CD5" s="61">
        <v>8.9410837398347793E-5</v>
      </c>
      <c r="CE5" s="61">
        <v>8.8516729024364318E-5</v>
      </c>
      <c r="CF5" s="61">
        <v>8.7631561734120673E-5</v>
      </c>
      <c r="CG5" s="61">
        <v>8.6755246116779468E-5</v>
      </c>
      <c r="CH5" s="61">
        <v>8.5887693655611668E-5</v>
      </c>
      <c r="CI5" s="61">
        <v>8.5028816719055558E-5</v>
      </c>
      <c r="CJ5" s="61">
        <v>8.4178528551865001E-5</v>
      </c>
      <c r="CK5" s="61">
        <v>8.3336743266346355E-5</v>
      </c>
      <c r="CL5" s="61">
        <v>8.2503375833682893E-5</v>
      </c>
      <c r="CM5" s="61">
        <v>8.1678342075346063E-5</v>
      </c>
      <c r="CN5" s="61">
        <v>8.0861558654592595E-5</v>
      </c>
      <c r="CO5" s="61">
        <v>8.0052943068046668E-5</v>
      </c>
      <c r="CP5" s="61">
        <v>7.92524136373662E-5</v>
      </c>
      <c r="CQ5" s="61">
        <v>7.8459889500992532E-5</v>
      </c>
      <c r="CR5" s="61">
        <v>7.7675290605982601E-5</v>
      </c>
      <c r="CS5" s="61">
        <v>7.6898537699922776E-5</v>
      </c>
      <c r="CT5" s="61">
        <v>7.6129552322923551E-5</v>
      </c>
      <c r="CU5" s="61">
        <v>7.5368256799694317E-5</v>
      </c>
      <c r="CV5" s="61">
        <v>7.4614574231697376E-5</v>
      </c>
      <c r="CW5" s="61">
        <v>7.3868428489380403E-5</v>
      </c>
      <c r="CX5" s="61">
        <v>7.3129744204486594E-5</v>
      </c>
      <c r="CY5" s="53">
        <v>7.2398446762441732E-5</v>
      </c>
    </row>
    <row r="6" spans="1:103">
      <c r="A6" s="60">
        <v>24</v>
      </c>
      <c r="B6" s="60">
        <v>1.6899999999999999E-4</v>
      </c>
      <c r="C6" s="60">
        <v>1.7244759999999999E-4</v>
      </c>
      <c r="D6" s="60">
        <v>1.7553441204E-4</v>
      </c>
      <c r="E6" s="60">
        <v>1.7813232133819198E-4</v>
      </c>
      <c r="F6" s="60">
        <v>1.8014521656931358E-4</v>
      </c>
      <c r="G6" s="60">
        <v>1.8164042186683888E-4</v>
      </c>
      <c r="H6" s="60">
        <v>1.8258495206054646E-4</v>
      </c>
      <c r="I6" s="60">
        <v>1.8298663895507965E-4</v>
      </c>
      <c r="J6" s="60">
        <v>1.8289514563560213E-4</v>
      </c>
      <c r="K6" s="60">
        <v>1.8241961825694956E-4</v>
      </c>
      <c r="L6" s="60">
        <v>1.8170818174574746E-4</v>
      </c>
      <c r="M6" s="60">
        <v>1.8083598247336786E-4</v>
      </c>
      <c r="N6" s="60">
        <v>1.7980521737326967E-4</v>
      </c>
      <c r="O6" s="60">
        <v>1.7861850293860609E-4</v>
      </c>
      <c r="P6" s="60">
        <v>1.7729672601686042E-4</v>
      </c>
      <c r="Q6" s="60">
        <v>1.7586062253612385E-4</v>
      </c>
      <c r="R6" s="60">
        <v>1.7433063512005956E-4</v>
      </c>
      <c r="S6" s="60">
        <v>1.7270936021344301E-4</v>
      </c>
      <c r="T6" s="61">
        <v>1.7103407941937261E-4</v>
      </c>
      <c r="U6" s="61">
        <v>1.6934084203312083E-4</v>
      </c>
      <c r="V6" s="61">
        <v>1.6764743361278963E-4</v>
      </c>
      <c r="W6" s="61">
        <v>1.6597095927666172E-4</v>
      </c>
      <c r="X6" s="61">
        <v>1.6431124968389511E-4</v>
      </c>
      <c r="Y6" s="61">
        <v>1.6266813718705616E-4</v>
      </c>
      <c r="Z6" s="61">
        <v>1.610414558151856E-4</v>
      </c>
      <c r="AA6" s="61">
        <v>1.5943104125703373E-4</v>
      </c>
      <c r="AB6" s="61">
        <v>1.5783673084446338E-4</v>
      </c>
      <c r="AC6" s="61">
        <v>1.5625836353601875E-4</v>
      </c>
      <c r="AD6" s="61">
        <v>1.5469577990065856E-4</v>
      </c>
      <c r="AE6" s="61">
        <v>1.5314882210165198E-4</v>
      </c>
      <c r="AF6" s="61">
        <v>1.5161733388063546E-4</v>
      </c>
      <c r="AG6" s="61">
        <v>1.501011605418291E-4</v>
      </c>
      <c r="AH6" s="61">
        <v>1.4860014893641082E-4</v>
      </c>
      <c r="AI6" s="61">
        <v>1.4711414744704671E-4</v>
      </c>
      <c r="AJ6" s="61">
        <v>1.4564300597257624E-4</v>
      </c>
      <c r="AK6" s="61">
        <v>1.4418657591285048E-4</v>
      </c>
      <c r="AL6" s="61">
        <v>1.4274471015372197E-4</v>
      </c>
      <c r="AM6" s="61">
        <v>1.4131726305218476E-4</v>
      </c>
      <c r="AN6" s="61">
        <v>1.3990409042166291E-4</v>
      </c>
      <c r="AO6" s="61">
        <v>1.3850504951744627E-4</v>
      </c>
      <c r="AP6" s="61">
        <v>1.3711999902227181E-4</v>
      </c>
      <c r="AQ6" s="61">
        <v>1.3574879903204909E-4</v>
      </c>
      <c r="AR6" s="61">
        <v>1.343913110417286E-4</v>
      </c>
      <c r="AS6" s="61">
        <v>1.3304739793131132E-4</v>
      </c>
      <c r="AT6" s="61">
        <v>1.317169239519982E-4</v>
      </c>
      <c r="AU6" s="61">
        <v>1.303997547124782E-4</v>
      </c>
      <c r="AV6" s="61">
        <v>1.2909575716535342E-4</v>
      </c>
      <c r="AW6" s="61">
        <v>1.2780479959369987E-4</v>
      </c>
      <c r="AX6" s="61">
        <v>1.2652675159776288E-4</v>
      </c>
      <c r="AY6" s="61">
        <v>1.2526148408178526E-4</v>
      </c>
      <c r="AZ6" s="61">
        <v>1.240088692409674E-4</v>
      </c>
      <c r="BA6" s="61">
        <v>1.2276878054855771E-4</v>
      </c>
      <c r="BB6" s="61">
        <v>1.2154109274307214E-4</v>
      </c>
      <c r="BC6" s="61">
        <v>1.2032568181564142E-4</v>
      </c>
      <c r="BD6" s="61">
        <v>1.19122424997485E-4</v>
      </c>
      <c r="BE6" s="61">
        <v>1.1793120074751015E-4</v>
      </c>
      <c r="BF6" s="61">
        <v>1.1675188874003505E-4</v>
      </c>
      <c r="BG6" s="61">
        <v>1.1558436985263469E-4</v>
      </c>
      <c r="BH6" s="61">
        <v>1.1442852615410834E-4</v>
      </c>
      <c r="BI6" s="61">
        <v>1.1328424089256725E-4</v>
      </c>
      <c r="BJ6" s="61">
        <v>1.1215139848364158E-4</v>
      </c>
      <c r="BK6" s="61">
        <v>1.1102988449880517E-4</v>
      </c>
      <c r="BL6" s="61">
        <v>1.0991958565381711E-4</v>
      </c>
      <c r="BM6" s="61">
        <v>1.0882038979727895E-4</v>
      </c>
      <c r="BN6" s="61">
        <v>1.0773218589930615E-4</v>
      </c>
      <c r="BO6" s="61">
        <v>1.0665486404031309E-4</v>
      </c>
      <c r="BP6" s="61">
        <v>1.0558831539990996E-4</v>
      </c>
      <c r="BQ6" s="61">
        <v>1.0453243224591085E-4</v>
      </c>
      <c r="BR6" s="61">
        <v>1.0348710792345174E-4</v>
      </c>
      <c r="BS6" s="61">
        <v>1.0245223684421723E-4</v>
      </c>
      <c r="BT6" s="61">
        <v>1.0142771447577506E-4</v>
      </c>
      <c r="BU6" s="61">
        <v>1.0041343733101731E-4</v>
      </c>
      <c r="BV6" s="61">
        <v>9.9409302957707135E-5</v>
      </c>
      <c r="BW6" s="61">
        <v>9.8415209928130068E-5</v>
      </c>
      <c r="BX6" s="61">
        <v>9.7431057828848761E-5</v>
      </c>
      <c r="BY6" s="61">
        <v>9.645674725056027E-5</v>
      </c>
      <c r="BZ6" s="61">
        <v>9.5492179778054666E-5</v>
      </c>
      <c r="CA6" s="61">
        <v>9.4537257980274113E-5</v>
      </c>
      <c r="CB6" s="61">
        <v>9.359188540047137E-5</v>
      </c>
      <c r="CC6" s="61">
        <v>9.2655966546466656E-5</v>
      </c>
      <c r="CD6" s="61">
        <v>9.1729406881001983E-5</v>
      </c>
      <c r="CE6" s="61">
        <v>9.0812112812191958E-5</v>
      </c>
      <c r="CF6" s="61">
        <v>8.9903991684070036E-5</v>
      </c>
      <c r="CG6" s="61">
        <v>8.9004951767229337E-5</v>
      </c>
      <c r="CH6" s="61">
        <v>8.8114902249557039E-5</v>
      </c>
      <c r="CI6" s="61">
        <v>8.7233753227061462E-5</v>
      </c>
      <c r="CJ6" s="61">
        <v>8.6361415694790841E-5</v>
      </c>
      <c r="CK6" s="61">
        <v>8.5497801537842932E-5</v>
      </c>
      <c r="CL6" s="61">
        <v>8.4642823522464503E-5</v>
      </c>
      <c r="CM6" s="61">
        <v>8.3796395287239853E-5</v>
      </c>
      <c r="CN6" s="61">
        <v>8.2958431334367448E-5</v>
      </c>
      <c r="CO6" s="61">
        <v>8.2128847021023779E-5</v>
      </c>
      <c r="CP6" s="61">
        <v>8.1307558550813537E-5</v>
      </c>
      <c r="CQ6" s="61">
        <v>8.0494482965305395E-5</v>
      </c>
      <c r="CR6" s="61">
        <v>7.9689538135652334E-5</v>
      </c>
      <c r="CS6" s="61">
        <v>7.8892642754295808E-5</v>
      </c>
      <c r="CT6" s="61">
        <v>7.8103716326752845E-5</v>
      </c>
      <c r="CU6" s="61">
        <v>7.7322679163485314E-5</v>
      </c>
      <c r="CV6" s="61">
        <v>7.6549452371850457E-5</v>
      </c>
      <c r="CW6" s="61">
        <v>7.5783957848131949E-5</v>
      </c>
      <c r="CX6" s="61">
        <v>7.5026118269650634E-5</v>
      </c>
      <c r="CY6" s="53">
        <v>7.4275857086954133E-5</v>
      </c>
    </row>
    <row r="7" spans="1:103">
      <c r="A7" s="60">
        <v>25</v>
      </c>
      <c r="B7" s="60">
        <v>1.73E-4</v>
      </c>
      <c r="C7" s="60">
        <v>1.7692709999999999E-4</v>
      </c>
      <c r="D7" s="60">
        <v>1.8044794928999999E-4</v>
      </c>
      <c r="E7" s="60">
        <v>1.8344338524821398E-4</v>
      </c>
      <c r="F7" s="60">
        <v>1.857914605793911E-4</v>
      </c>
      <c r="G7" s="60">
        <v>1.8742642543248972E-4</v>
      </c>
      <c r="H7" s="60">
        <v>1.8847601341491168E-4</v>
      </c>
      <c r="I7" s="60">
        <v>1.8892835584710747E-4</v>
      </c>
      <c r="J7" s="60">
        <v>1.8887167734035334E-4</v>
      </c>
      <c r="K7" s="60">
        <v>1.8839949814700247E-4</v>
      </c>
      <c r="L7" s="60">
        <v>1.8766474010422916E-4</v>
      </c>
      <c r="M7" s="60">
        <v>1.8676394935172885E-4</v>
      </c>
      <c r="N7" s="60">
        <v>1.85699394840424E-4</v>
      </c>
      <c r="O7" s="60">
        <v>1.8447377883447718E-4</v>
      </c>
      <c r="P7" s="60">
        <v>1.8310867287110207E-4</v>
      </c>
      <c r="Q7" s="60">
        <v>1.8162549262084614E-4</v>
      </c>
      <c r="R7" s="60">
        <v>1.8004535083504479E-4</v>
      </c>
      <c r="S7" s="60">
        <v>1.7837092907227887E-4</v>
      </c>
      <c r="T7" s="61">
        <v>1.7664073106027776E-4</v>
      </c>
      <c r="U7" s="61">
        <v>1.74891987822781E-4</v>
      </c>
      <c r="V7" s="61">
        <v>1.731430679445532E-4</v>
      </c>
      <c r="W7" s="61">
        <v>1.7141163726510766E-4</v>
      </c>
      <c r="X7" s="61">
        <v>1.6969752089245657E-4</v>
      </c>
      <c r="Y7" s="61">
        <v>1.6800054568353199E-4</v>
      </c>
      <c r="Z7" s="61">
        <v>1.6632054022669668E-4</v>
      </c>
      <c r="AA7" s="61">
        <v>1.646573348244297E-4</v>
      </c>
      <c r="AB7" s="61">
        <v>1.6301076147618541E-4</v>
      </c>
      <c r="AC7" s="61">
        <v>1.6138065386142356E-4</v>
      </c>
      <c r="AD7" s="61">
        <v>1.5976684732280932E-4</v>
      </c>
      <c r="AE7" s="61">
        <v>1.5816917884958122E-4</v>
      </c>
      <c r="AF7" s="61">
        <v>1.5658748706108542E-4</v>
      </c>
      <c r="AG7" s="61">
        <v>1.5502161219047456E-4</v>
      </c>
      <c r="AH7" s="61">
        <v>1.5347139606856981E-4</v>
      </c>
      <c r="AI7" s="61">
        <v>1.5193668210788412E-4</v>
      </c>
      <c r="AJ7" s="61">
        <v>1.5041731528680528E-4</v>
      </c>
      <c r="AK7" s="61">
        <v>1.4891314213393722E-4</v>
      </c>
      <c r="AL7" s="61">
        <v>1.4742401071259783E-4</v>
      </c>
      <c r="AM7" s="61">
        <v>1.4594977060547186E-4</v>
      </c>
      <c r="AN7" s="61">
        <v>1.4449027289941714E-4</v>
      </c>
      <c r="AO7" s="61">
        <v>1.4304537017042297E-4</v>
      </c>
      <c r="AP7" s="61">
        <v>1.4161491646871873E-4</v>
      </c>
      <c r="AQ7" s="61">
        <v>1.4019876730403155E-4</v>
      </c>
      <c r="AR7" s="61">
        <v>1.3879677963099123E-4</v>
      </c>
      <c r="AS7" s="61">
        <v>1.3740881183468132E-4</v>
      </c>
      <c r="AT7" s="61">
        <v>1.3603472371633449E-4</v>
      </c>
      <c r="AU7" s="61">
        <v>1.3467437647917115E-4</v>
      </c>
      <c r="AV7" s="61">
        <v>1.3332763271437943E-4</v>
      </c>
      <c r="AW7" s="61">
        <v>1.3199435638723564E-4</v>
      </c>
      <c r="AX7" s="61">
        <v>1.3067441282336328E-4</v>
      </c>
      <c r="AY7" s="61">
        <v>1.2936766869512965E-4</v>
      </c>
      <c r="AZ7" s="61">
        <v>1.2807399200817835E-4</v>
      </c>
      <c r="BA7" s="61">
        <v>1.2679325208809656E-4</v>
      </c>
      <c r="BB7" s="61">
        <v>1.255253195672156E-4</v>
      </c>
      <c r="BC7" s="61">
        <v>1.2427006637154343E-4</v>
      </c>
      <c r="BD7" s="61">
        <v>1.2302736570782801E-4</v>
      </c>
      <c r="BE7" s="61">
        <v>1.2179709205074973E-4</v>
      </c>
      <c r="BF7" s="61">
        <v>1.2057912113024223E-4</v>
      </c>
      <c r="BG7" s="61">
        <v>1.1937332991893981E-4</v>
      </c>
      <c r="BH7" s="61">
        <v>1.1817959661975041E-4</v>
      </c>
      <c r="BI7" s="61">
        <v>1.169978006535529E-4</v>
      </c>
      <c r="BJ7" s="61">
        <v>1.1582782264701737E-4</v>
      </c>
      <c r="BK7" s="61">
        <v>1.146695444205472E-4</v>
      </c>
      <c r="BL7" s="61">
        <v>1.1352284897634173E-4</v>
      </c>
      <c r="BM7" s="61">
        <v>1.1238762048657832E-4</v>
      </c>
      <c r="BN7" s="61">
        <v>1.1126374428171254E-4</v>
      </c>
      <c r="BO7" s="61">
        <v>1.1015110683889541E-4</v>
      </c>
      <c r="BP7" s="61">
        <v>1.0904959577050645E-4</v>
      </c>
      <c r="BQ7" s="61">
        <v>1.0795909981280138E-4</v>
      </c>
      <c r="BR7" s="61">
        <v>1.0687950881467336E-4</v>
      </c>
      <c r="BS7" s="61">
        <v>1.0581071372652662E-4</v>
      </c>
      <c r="BT7" s="61">
        <v>1.0475260658926135E-4</v>
      </c>
      <c r="BU7" s="61">
        <v>1.0370508052336875E-4</v>
      </c>
      <c r="BV7" s="61">
        <v>1.0266802971813506E-4</v>
      </c>
      <c r="BW7" s="61">
        <v>1.016413494209537E-4</v>
      </c>
      <c r="BX7" s="61">
        <v>1.0062493592674416E-4</v>
      </c>
      <c r="BY7" s="61">
        <v>9.961868656747672E-5</v>
      </c>
      <c r="BZ7" s="61">
        <v>9.8622499701801956E-5</v>
      </c>
      <c r="CA7" s="61">
        <v>9.7636274704783929E-5</v>
      </c>
      <c r="CB7" s="61">
        <v>9.665991195773609E-5</v>
      </c>
      <c r="CC7" s="61">
        <v>9.5693312838158732E-5</v>
      </c>
      <c r="CD7" s="61">
        <v>9.4736379709777139E-5</v>
      </c>
      <c r="CE7" s="61">
        <v>9.378901591267937E-5</v>
      </c>
      <c r="CF7" s="61">
        <v>9.2851125753552573E-5</v>
      </c>
      <c r="CG7" s="61">
        <v>9.1922614496017051E-5</v>
      </c>
      <c r="CH7" s="61">
        <v>9.1003388351056875E-5</v>
      </c>
      <c r="CI7" s="61">
        <v>9.0093354467546305E-5</v>
      </c>
      <c r="CJ7" s="61">
        <v>8.9192420922870841E-5</v>
      </c>
      <c r="CK7" s="61">
        <v>8.8300496713642133E-5</v>
      </c>
      <c r="CL7" s="61">
        <v>8.7417491746505705E-5</v>
      </c>
      <c r="CM7" s="61">
        <v>8.6543316829040652E-5</v>
      </c>
      <c r="CN7" s="61">
        <v>8.5677883660750245E-5</v>
      </c>
      <c r="CO7" s="61">
        <v>8.482110482414274E-5</v>
      </c>
      <c r="CP7" s="61">
        <v>8.3972893775901314E-5</v>
      </c>
      <c r="CQ7" s="61">
        <v>8.31331648381423E-5</v>
      </c>
      <c r="CR7" s="61">
        <v>8.2301833189760875E-5</v>
      </c>
      <c r="CS7" s="61">
        <v>8.1478814857863268E-5</v>
      </c>
      <c r="CT7" s="61">
        <v>8.0664026709284631E-5</v>
      </c>
      <c r="CU7" s="61">
        <v>7.9857386442191782E-5</v>
      </c>
      <c r="CV7" s="61">
        <v>7.905881257776987E-5</v>
      </c>
      <c r="CW7" s="61">
        <v>7.8268224451992166E-5</v>
      </c>
      <c r="CX7" s="61">
        <v>7.7485542207472247E-5</v>
      </c>
      <c r="CY7" s="53">
        <v>7.671068678539753E-5</v>
      </c>
    </row>
    <row r="8" spans="1:103">
      <c r="A8" s="60">
        <v>26</v>
      </c>
      <c r="B8" s="60">
        <v>1.7899999999999999E-4</v>
      </c>
      <c r="C8" s="60">
        <v>1.8347499999999997E-4</v>
      </c>
      <c r="D8" s="60">
        <v>1.8752979749999998E-4</v>
      </c>
      <c r="E8" s="60">
        <v>1.9099909875374999E-4</v>
      </c>
      <c r="F8" s="60">
        <v>1.9374948577580397E-4</v>
      </c>
      <c r="G8" s="60">
        <v>1.9570635558213961E-4</v>
      </c>
      <c r="H8" s="60">
        <v>1.9688059371563246E-4</v>
      </c>
      <c r="I8" s="60">
        <v>1.9741217131866466E-4</v>
      </c>
      <c r="J8" s="60">
        <v>1.9737268888440093E-4</v>
      </c>
      <c r="K8" s="60">
        <v>1.9687925716218994E-4</v>
      </c>
      <c r="L8" s="60">
        <v>1.961114280592574E-4</v>
      </c>
      <c r="M8" s="60">
        <v>1.9517009320457296E-4</v>
      </c>
      <c r="N8" s="60">
        <v>1.9405762367330688E-4</v>
      </c>
      <c r="O8" s="60">
        <v>1.9277684335706303E-4</v>
      </c>
      <c r="P8" s="60">
        <v>1.9135029471622076E-4</v>
      </c>
      <c r="Q8" s="60">
        <v>1.8980035732901938E-4</v>
      </c>
      <c r="R8" s="60">
        <v>1.881490942202569E-4</v>
      </c>
      <c r="S8" s="60">
        <v>1.8639930764400851E-4</v>
      </c>
      <c r="T8" s="61">
        <v>1.8459123435986163E-4</v>
      </c>
      <c r="U8" s="61">
        <v>1.82763781139699E-4</v>
      </c>
      <c r="V8" s="61">
        <v>1.80936143328302E-4</v>
      </c>
      <c r="W8" s="61">
        <v>1.7912678189501899E-4</v>
      </c>
      <c r="X8" s="61">
        <v>1.773355140760688E-4</v>
      </c>
      <c r="Y8" s="61">
        <v>1.7556215893530812E-4</v>
      </c>
      <c r="Z8" s="61">
        <v>1.7380653734595504E-4</v>
      </c>
      <c r="AA8" s="61">
        <v>1.7206847197249548E-4</v>
      </c>
      <c r="AB8" s="61">
        <v>1.7034778725277052E-4</v>
      </c>
      <c r="AC8" s="61">
        <v>1.686443093802428E-4</v>
      </c>
      <c r="AD8" s="61">
        <v>1.6695786628644036E-4</v>
      </c>
      <c r="AE8" s="61">
        <v>1.6528828762357595E-4</v>
      </c>
      <c r="AF8" s="61">
        <v>1.6363540474734019E-4</v>
      </c>
      <c r="AG8" s="61">
        <v>1.619990506998668E-4</v>
      </c>
      <c r="AH8" s="61">
        <v>1.6037906019286812E-4</v>
      </c>
      <c r="AI8" s="61">
        <v>1.5877526959093944E-4</v>
      </c>
      <c r="AJ8" s="61">
        <v>1.5718751689503004E-4</v>
      </c>
      <c r="AK8" s="61">
        <v>1.5561564172607975E-4</v>
      </c>
      <c r="AL8" s="61">
        <v>1.5405948530881897E-4</v>
      </c>
      <c r="AM8" s="61">
        <v>1.5251889045573078E-4</v>
      </c>
      <c r="AN8" s="61">
        <v>1.5099370155117347E-4</v>
      </c>
      <c r="AO8" s="61">
        <v>1.4948376453566173E-4</v>
      </c>
      <c r="AP8" s="61">
        <v>1.4798892689030512E-4</v>
      </c>
      <c r="AQ8" s="61">
        <v>1.4650903762140208E-4</v>
      </c>
      <c r="AR8" s="61">
        <v>1.4504394724518805E-4</v>
      </c>
      <c r="AS8" s="61">
        <v>1.4359350777273618E-4</v>
      </c>
      <c r="AT8" s="61">
        <v>1.4215757269500881E-4</v>
      </c>
      <c r="AU8" s="61">
        <v>1.4073599696805871E-4</v>
      </c>
      <c r="AV8" s="61">
        <v>1.3932863699837812E-4</v>
      </c>
      <c r="AW8" s="61">
        <v>1.3793535062839435E-4</v>
      </c>
      <c r="AX8" s="61">
        <v>1.3655599712211039E-4</v>
      </c>
      <c r="AY8" s="61">
        <v>1.3519043715088928E-4</v>
      </c>
      <c r="AZ8" s="61">
        <v>1.338385327793804E-4</v>
      </c>
      <c r="BA8" s="61">
        <v>1.3250014745158661E-4</v>
      </c>
      <c r="BB8" s="61">
        <v>1.3117514597707074E-4</v>
      </c>
      <c r="BC8" s="61">
        <v>1.2986339451730004E-4</v>
      </c>
      <c r="BD8" s="61">
        <v>1.2856476057212705E-4</v>
      </c>
      <c r="BE8" s="61">
        <v>1.2727911296640579E-4</v>
      </c>
      <c r="BF8" s="61">
        <v>1.2600632183674173E-4</v>
      </c>
      <c r="BG8" s="61">
        <v>1.2474625861837432E-4</v>
      </c>
      <c r="BH8" s="61">
        <v>1.2349879603219057E-4</v>
      </c>
      <c r="BI8" s="61">
        <v>1.2226380807186865E-4</v>
      </c>
      <c r="BJ8" s="61">
        <v>1.2104116999114996E-4</v>
      </c>
      <c r="BK8" s="61">
        <v>1.1983075829123846E-4</v>
      </c>
      <c r="BL8" s="61">
        <v>1.1863245070832607E-4</v>
      </c>
      <c r="BM8" s="61">
        <v>1.1744612620124282E-4</v>
      </c>
      <c r="BN8" s="61">
        <v>1.1627166493923038E-4</v>
      </c>
      <c r="BO8" s="61">
        <v>1.1510894828983808E-4</v>
      </c>
      <c r="BP8" s="61">
        <v>1.139578588069397E-4</v>
      </c>
      <c r="BQ8" s="61">
        <v>1.128182802188703E-4</v>
      </c>
      <c r="BR8" s="61">
        <v>1.116900974166816E-4</v>
      </c>
      <c r="BS8" s="61">
        <v>1.1057319644251477E-4</v>
      </c>
      <c r="BT8" s="61">
        <v>1.0946746447808963E-4</v>
      </c>
      <c r="BU8" s="61">
        <v>1.0837278983330873E-4</v>
      </c>
      <c r="BV8" s="61">
        <v>1.0728906193497564E-4</v>
      </c>
      <c r="BW8" s="61">
        <v>1.0621617131562588E-4</v>
      </c>
      <c r="BX8" s="61">
        <v>1.0515400960246962E-4</v>
      </c>
      <c r="BY8" s="61">
        <v>1.0410246950644493E-4</v>
      </c>
      <c r="BZ8" s="61">
        <v>1.0306144481138047E-4</v>
      </c>
      <c r="CA8" s="61">
        <v>1.0203083036326667E-4</v>
      </c>
      <c r="CB8" s="61">
        <v>1.01010522059634E-4</v>
      </c>
      <c r="CC8" s="61">
        <v>1.0000041683903766E-4</v>
      </c>
      <c r="CD8" s="61">
        <v>9.9000412670647282E-5</v>
      </c>
      <c r="CE8" s="61">
        <v>9.8010408543940802E-5</v>
      </c>
      <c r="CF8" s="61">
        <v>9.703030445850139E-5</v>
      </c>
      <c r="CG8" s="61">
        <v>9.6060001413916373E-5</v>
      </c>
      <c r="CH8" s="61">
        <v>9.5099401399777205E-5</v>
      </c>
      <c r="CI8" s="61">
        <v>9.4148407385779428E-5</v>
      </c>
      <c r="CJ8" s="61">
        <v>9.3206923311921631E-5</v>
      </c>
      <c r="CK8" s="61">
        <v>9.227485407880241E-5</v>
      </c>
      <c r="CL8" s="61">
        <v>9.1352105538014379E-5</v>
      </c>
      <c r="CM8" s="61">
        <v>9.0438584482634238E-5</v>
      </c>
      <c r="CN8" s="61">
        <v>8.953419863780789E-5</v>
      </c>
      <c r="CO8" s="61">
        <v>8.8638856651429806E-5</v>
      </c>
      <c r="CP8" s="61">
        <v>8.775246808491551E-5</v>
      </c>
      <c r="CQ8" s="61">
        <v>8.6874943404066356E-5</v>
      </c>
      <c r="CR8" s="61">
        <v>8.6006193970025686E-5</v>
      </c>
      <c r="CS8" s="61">
        <v>8.5146132030325435E-5</v>
      </c>
      <c r="CT8" s="61">
        <v>8.4294670710022179E-5</v>
      </c>
      <c r="CU8" s="61">
        <v>8.3451724002921957E-5</v>
      </c>
      <c r="CV8" s="61">
        <v>8.2617206762892735E-5</v>
      </c>
      <c r="CW8" s="61">
        <v>8.179103469526381E-5</v>
      </c>
      <c r="CX8" s="61">
        <v>8.0973124348311174E-5</v>
      </c>
      <c r="CY8" s="53">
        <v>8.0163393104828065E-5</v>
      </c>
    </row>
    <row r="9" spans="1:103">
      <c r="A9" s="60">
        <v>27</v>
      </c>
      <c r="B9" s="60">
        <v>1.8699999999999999E-4</v>
      </c>
      <c r="C9" s="60">
        <v>1.9210510000000001E-4</v>
      </c>
      <c r="D9" s="60">
        <v>1.9675404342000001E-4</v>
      </c>
      <c r="E9" s="60">
        <v>2.0076782590576801E-4</v>
      </c>
      <c r="F9" s="60">
        <v>2.0400018790285088E-4</v>
      </c>
      <c r="G9" s="60">
        <v>2.0634619006373368E-4</v>
      </c>
      <c r="H9" s="60">
        <v>2.0781124801318621E-4</v>
      </c>
      <c r="I9" s="60">
        <v>2.0841390063242442E-4</v>
      </c>
      <c r="J9" s="60">
        <v>2.0839305924236117E-4</v>
      </c>
      <c r="K9" s="60">
        <v>2.0787207659425528E-4</v>
      </c>
      <c r="L9" s="60">
        <v>2.0706137549553769E-4</v>
      </c>
      <c r="M9" s="60">
        <v>2.0606748089315911E-4</v>
      </c>
      <c r="N9" s="60">
        <v>2.0489289625206809E-4</v>
      </c>
      <c r="O9" s="60">
        <v>2.0354060313680444E-4</v>
      </c>
      <c r="P9" s="60">
        <v>2.0203440267359209E-4</v>
      </c>
      <c r="Q9" s="60">
        <v>2.00397924011936E-4</v>
      </c>
      <c r="R9" s="60">
        <v>1.9865446207303214E-4</v>
      </c>
      <c r="S9" s="60">
        <v>1.9680697557575294E-4</v>
      </c>
      <c r="T9" s="61">
        <v>1.9489794791266812E-4</v>
      </c>
      <c r="U9" s="61">
        <v>1.9296845822833271E-4</v>
      </c>
      <c r="V9" s="61">
        <v>1.9103877364604939E-4</v>
      </c>
      <c r="W9" s="61">
        <v>1.8912838590958889E-4</v>
      </c>
      <c r="X9" s="61">
        <v>1.8723710205049301E-4</v>
      </c>
      <c r="Y9" s="61">
        <v>1.8536473102998807E-4</v>
      </c>
      <c r="Z9" s="61">
        <v>1.8351108371968819E-4</v>
      </c>
      <c r="AA9" s="61">
        <v>1.8167597288249129E-4</v>
      </c>
      <c r="AB9" s="61">
        <v>1.7985921315366639E-4</v>
      </c>
      <c r="AC9" s="61">
        <v>1.7806062102212973E-4</v>
      </c>
      <c r="AD9" s="61">
        <v>1.7628001481190844E-4</v>
      </c>
      <c r="AE9" s="61">
        <v>1.7451721466378936E-4</v>
      </c>
      <c r="AF9" s="61">
        <v>1.7277204251715147E-4</v>
      </c>
      <c r="AG9" s="61">
        <v>1.7104432209197996E-4</v>
      </c>
      <c r="AH9" s="61">
        <v>1.6933387887106016E-4</v>
      </c>
      <c r="AI9" s="61">
        <v>1.6764054008234954E-4</v>
      </c>
      <c r="AJ9" s="61">
        <v>1.6596413468152605E-4</v>
      </c>
      <c r="AK9" s="61">
        <v>1.6430449333471077E-4</v>
      </c>
      <c r="AL9" s="61">
        <v>1.6266144840136365E-4</v>
      </c>
      <c r="AM9" s="61">
        <v>1.6103483391735003E-4</v>
      </c>
      <c r="AN9" s="61">
        <v>1.5942448557817651E-4</v>
      </c>
      <c r="AO9" s="61">
        <v>1.5783024072239476E-4</v>
      </c>
      <c r="AP9" s="61">
        <v>1.5625193831517081E-4</v>
      </c>
      <c r="AQ9" s="61">
        <v>1.546894189320191E-4</v>
      </c>
      <c r="AR9" s="61">
        <v>1.5314252474269891E-4</v>
      </c>
      <c r="AS9" s="61">
        <v>1.5161109949527192E-4</v>
      </c>
      <c r="AT9" s="61">
        <v>1.500949885003192E-4</v>
      </c>
      <c r="AU9" s="61">
        <v>1.4859403861531602E-4</v>
      </c>
      <c r="AV9" s="61">
        <v>1.4710809822916286E-4</v>
      </c>
      <c r="AW9" s="61">
        <v>1.4563701724687122E-4</v>
      </c>
      <c r="AX9" s="61">
        <v>1.4418064707440252E-4</v>
      </c>
      <c r="AY9" s="61">
        <v>1.4273884060365849E-4</v>
      </c>
      <c r="AZ9" s="61">
        <v>1.4131145219762191E-4</v>
      </c>
      <c r="BA9" s="61">
        <v>1.398983376756457E-4</v>
      </c>
      <c r="BB9" s="61">
        <v>1.3849935429888923E-4</v>
      </c>
      <c r="BC9" s="61">
        <v>1.3711436075590033E-4</v>
      </c>
      <c r="BD9" s="61">
        <v>1.3574321714834132E-4</v>
      </c>
      <c r="BE9" s="61">
        <v>1.343857849768579E-4</v>
      </c>
      <c r="BF9" s="61">
        <v>1.3304192712708932E-4</v>
      </c>
      <c r="BG9" s="61">
        <v>1.3171150785581842E-4</v>
      </c>
      <c r="BH9" s="61">
        <v>1.3039439277726025E-4</v>
      </c>
      <c r="BI9" s="61">
        <v>1.2909044884948763E-4</v>
      </c>
      <c r="BJ9" s="61">
        <v>1.2779954436099275E-4</v>
      </c>
      <c r="BK9" s="61">
        <v>1.2652154891738281E-4</v>
      </c>
      <c r="BL9" s="61">
        <v>1.2525633342820897E-4</v>
      </c>
      <c r="BM9" s="61">
        <v>1.2400377009392689E-4</v>
      </c>
      <c r="BN9" s="61">
        <v>1.2276373239298761E-4</v>
      </c>
      <c r="BO9" s="61">
        <v>1.2153609506905774E-4</v>
      </c>
      <c r="BP9" s="61">
        <v>1.2032073411836716E-4</v>
      </c>
      <c r="BQ9" s="61">
        <v>1.1911752677718348E-4</v>
      </c>
      <c r="BR9" s="61">
        <v>1.1792635150941165E-4</v>
      </c>
      <c r="BS9" s="61">
        <v>1.1674708799431753E-4</v>
      </c>
      <c r="BT9" s="61">
        <v>1.1557961711437436E-4</v>
      </c>
      <c r="BU9" s="61">
        <v>1.1442382094323062E-4</v>
      </c>
      <c r="BV9" s="61">
        <v>1.1327958273379831E-4</v>
      </c>
      <c r="BW9" s="61">
        <v>1.1214678690646033E-4</v>
      </c>
      <c r="BX9" s="61">
        <v>1.1102531903739572E-4</v>
      </c>
      <c r="BY9" s="61">
        <v>1.0991506584702176E-4</v>
      </c>
      <c r="BZ9" s="61">
        <v>1.0881591518855154E-4</v>
      </c>
      <c r="CA9" s="61">
        <v>1.0772775603666602E-4</v>
      </c>
      <c r="CB9" s="61">
        <v>1.0665047847629936E-4</v>
      </c>
      <c r="CC9" s="61">
        <v>1.0558397369153636E-4</v>
      </c>
      <c r="CD9" s="61">
        <v>1.04528133954621E-4</v>
      </c>
      <c r="CE9" s="61">
        <v>1.0348285261507478E-4</v>
      </c>
      <c r="CF9" s="61">
        <v>1.0244802408892403E-4</v>
      </c>
      <c r="CG9" s="61">
        <v>1.0142354384803478E-4</v>
      </c>
      <c r="CH9" s="61">
        <v>1.0040930840955444E-4</v>
      </c>
      <c r="CI9" s="61">
        <v>9.9405215325458894E-5</v>
      </c>
      <c r="CJ9" s="61">
        <v>9.8411163172204308E-5</v>
      </c>
      <c r="CK9" s="61">
        <v>9.7427051540482264E-5</v>
      </c>
      <c r="CL9" s="61">
        <v>9.6452781025077434E-5</v>
      </c>
      <c r="CM9" s="61">
        <v>9.5488253214826661E-5</v>
      </c>
      <c r="CN9" s="61">
        <v>9.4533370682678398E-5</v>
      </c>
      <c r="CO9" s="61">
        <v>9.3588036975851606E-5</v>
      </c>
      <c r="CP9" s="61">
        <v>9.265215660609309E-5</v>
      </c>
      <c r="CQ9" s="61">
        <v>9.1725635040032163E-5</v>
      </c>
      <c r="CR9" s="61">
        <v>9.0808378689631846E-5</v>
      </c>
      <c r="CS9" s="61">
        <v>8.9900294902735522E-5</v>
      </c>
      <c r="CT9" s="61">
        <v>8.9001291953708168E-5</v>
      </c>
      <c r="CU9" s="61">
        <v>8.8111279034171092E-5</v>
      </c>
      <c r="CV9" s="61">
        <v>8.7230166243829375E-5</v>
      </c>
      <c r="CW9" s="61">
        <v>8.6357864581391086E-5</v>
      </c>
      <c r="CX9" s="61">
        <v>8.5494285935577168E-5</v>
      </c>
      <c r="CY9" s="53">
        <v>8.463934307622139E-5</v>
      </c>
    </row>
    <row r="10" spans="1:103">
      <c r="A10" s="60">
        <v>28</v>
      </c>
      <c r="B10" s="60">
        <v>1.9599999999999999E-4</v>
      </c>
      <c r="C10" s="60">
        <v>2.0178200000000001E-4</v>
      </c>
      <c r="D10" s="60">
        <v>2.071090448E-4</v>
      </c>
      <c r="E10" s="60">
        <v>2.1172757649904001E-4</v>
      </c>
      <c r="F10" s="60">
        <v>2.1549632736072292E-4</v>
      </c>
      <c r="G10" s="60">
        <v>2.1827622998367622E-4</v>
      </c>
      <c r="H10" s="60">
        <v>2.2006609506954237E-4</v>
      </c>
      <c r="I10" s="60">
        <v>2.2090234623080665E-4</v>
      </c>
      <c r="J10" s="60">
        <v>2.2090234623080665E-4</v>
      </c>
      <c r="K10" s="60">
        <v>2.2037218059985271E-4</v>
      </c>
      <c r="L10" s="60">
        <v>2.1951272909551329E-4</v>
      </c>
      <c r="M10" s="60">
        <v>2.1845906799585483E-4</v>
      </c>
      <c r="N10" s="60">
        <v>2.1721385130827844E-4</v>
      </c>
      <c r="O10" s="60">
        <v>2.1578023988964379E-4</v>
      </c>
      <c r="P10" s="60">
        <v>2.1418346611446043E-4</v>
      </c>
      <c r="Q10" s="60">
        <v>2.1244858003893329E-4</v>
      </c>
      <c r="R10" s="60">
        <v>2.1060027739259457E-4</v>
      </c>
      <c r="S10" s="60">
        <v>2.0864169481284343E-4</v>
      </c>
      <c r="T10" s="61">
        <v>2.0661787037315883E-4</v>
      </c>
      <c r="U10" s="61">
        <v>2.0457235345646454E-4</v>
      </c>
      <c r="V10" s="61">
        <v>2.025266299218999E-4</v>
      </c>
      <c r="W10" s="61">
        <v>2.0050136362268089E-4</v>
      </c>
      <c r="X10" s="61">
        <v>1.9849634998645406E-4</v>
      </c>
      <c r="Y10" s="61">
        <v>1.9651138648658952E-4</v>
      </c>
      <c r="Z10" s="61">
        <v>1.9454627262172362E-4</v>
      </c>
      <c r="AA10" s="61">
        <v>1.9260080989550639E-4</v>
      </c>
      <c r="AB10" s="61">
        <v>1.9067480179655132E-4</v>
      </c>
      <c r="AC10" s="61">
        <v>1.887680537785858E-4</v>
      </c>
      <c r="AD10" s="61">
        <v>1.8688037324079995E-4</v>
      </c>
      <c r="AE10" s="61">
        <v>1.8501156950839195E-4</v>
      </c>
      <c r="AF10" s="61">
        <v>1.8316145381330802E-4</v>
      </c>
      <c r="AG10" s="61">
        <v>1.8132983927517495E-4</v>
      </c>
      <c r="AH10" s="61">
        <v>1.7951654088242319E-4</v>
      </c>
      <c r="AI10" s="61">
        <v>1.7772137547359895E-4</v>
      </c>
      <c r="AJ10" s="61">
        <v>1.7594416171886297E-4</v>
      </c>
      <c r="AK10" s="61">
        <v>1.7418472010167433E-4</v>
      </c>
      <c r="AL10" s="61">
        <v>1.724428729006576E-4</v>
      </c>
      <c r="AM10" s="61">
        <v>1.7071844417165103E-4</v>
      </c>
      <c r="AN10" s="61">
        <v>1.6901125972993453E-4</v>
      </c>
      <c r="AO10" s="61">
        <v>1.6732114713263518E-4</v>
      </c>
      <c r="AP10" s="61">
        <v>1.6564793566130884E-4</v>
      </c>
      <c r="AQ10" s="61">
        <v>1.6399145630469577E-4</v>
      </c>
      <c r="AR10" s="61">
        <v>1.6235154174164881E-4</v>
      </c>
      <c r="AS10" s="61">
        <v>1.6072802632423233E-4</v>
      </c>
      <c r="AT10" s="61">
        <v>1.5912074606099001E-4</v>
      </c>
      <c r="AU10" s="61">
        <v>1.5752953860038012E-4</v>
      </c>
      <c r="AV10" s="61">
        <v>1.5595424321437632E-4</v>
      </c>
      <c r="AW10" s="61">
        <v>1.5439470078223256E-4</v>
      </c>
      <c r="AX10" s="61">
        <v>1.5285075377441024E-4</v>
      </c>
      <c r="AY10" s="61">
        <v>1.5132224623666613E-4</v>
      </c>
      <c r="AZ10" s="61">
        <v>1.4980902377429947E-4</v>
      </c>
      <c r="BA10" s="61">
        <v>1.4831093353655648E-4</v>
      </c>
      <c r="BB10" s="61">
        <v>1.4682782420119092E-4</v>
      </c>
      <c r="BC10" s="61">
        <v>1.45359545959179E-4</v>
      </c>
      <c r="BD10" s="61">
        <v>1.4390595049958721E-4</v>
      </c>
      <c r="BE10" s="61">
        <v>1.4246689099459134E-4</v>
      </c>
      <c r="BF10" s="61">
        <v>1.4104222208464543E-4</v>
      </c>
      <c r="BG10" s="61">
        <v>1.3963179986379898E-4</v>
      </c>
      <c r="BH10" s="61">
        <v>1.3823548186516098E-4</v>
      </c>
      <c r="BI10" s="61">
        <v>1.3685312704650937E-4</v>
      </c>
      <c r="BJ10" s="61">
        <v>1.3548459577604428E-4</v>
      </c>
      <c r="BK10" s="61">
        <v>1.3412974981828383E-4</v>
      </c>
      <c r="BL10" s="61">
        <v>1.32788452320101E-4</v>
      </c>
      <c r="BM10" s="61">
        <v>1.3146056779689998E-4</v>
      </c>
      <c r="BN10" s="61">
        <v>1.3014596211893099E-4</v>
      </c>
      <c r="BO10" s="61">
        <v>1.2884450249774169E-4</v>
      </c>
      <c r="BP10" s="61">
        <v>1.2755605747276428E-4</v>
      </c>
      <c r="BQ10" s="61">
        <v>1.2628049689803665E-4</v>
      </c>
      <c r="BR10" s="61">
        <v>1.2501769192905629E-4</v>
      </c>
      <c r="BS10" s="61">
        <v>1.2376751500976573E-4</v>
      </c>
      <c r="BT10" s="61">
        <v>1.2252983985966808E-4</v>
      </c>
      <c r="BU10" s="61">
        <v>1.2130454146107139E-4</v>
      </c>
      <c r="BV10" s="61">
        <v>1.2009149604646067E-4</v>
      </c>
      <c r="BW10" s="61">
        <v>1.1889058108599606E-4</v>
      </c>
      <c r="BX10" s="61">
        <v>1.177016752751361E-4</v>
      </c>
      <c r="BY10" s="61">
        <v>1.1652465852238475E-4</v>
      </c>
      <c r="BZ10" s="61">
        <v>1.153594119371609E-4</v>
      </c>
      <c r="CA10" s="61">
        <v>1.1420581781778929E-4</v>
      </c>
      <c r="CB10" s="61">
        <v>1.130637596396114E-4</v>
      </c>
      <c r="CC10" s="61">
        <v>1.1193312204321528E-4</v>
      </c>
      <c r="CD10" s="61">
        <v>1.1081379082278312E-4</v>
      </c>
      <c r="CE10" s="61">
        <v>1.0970565291455529E-4</v>
      </c>
      <c r="CF10" s="61">
        <v>1.0860859638540974E-4</v>
      </c>
      <c r="CG10" s="61">
        <v>1.0752251042155564E-4</v>
      </c>
      <c r="CH10" s="61">
        <v>1.0644728531734009E-4</v>
      </c>
      <c r="CI10" s="61">
        <v>1.0538281246416668E-4</v>
      </c>
      <c r="CJ10" s="61">
        <v>1.04328984339525E-4</v>
      </c>
      <c r="CK10" s="61">
        <v>1.0328569449612975E-4</v>
      </c>
      <c r="CL10" s="61">
        <v>1.0225283755116846E-4</v>
      </c>
      <c r="CM10" s="61">
        <v>1.0123030917565677E-4</v>
      </c>
      <c r="CN10" s="61">
        <v>1.0021800608390021E-4</v>
      </c>
      <c r="CO10" s="61">
        <v>9.9215826023061208E-5</v>
      </c>
      <c r="CP10" s="61">
        <v>9.8223667762830597E-5</v>
      </c>
      <c r="CQ10" s="61">
        <v>9.7241431085202284E-5</v>
      </c>
      <c r="CR10" s="61">
        <v>9.6269016774350256E-5</v>
      </c>
      <c r="CS10" s="61">
        <v>9.5306326606606749E-5</v>
      </c>
      <c r="CT10" s="61">
        <v>9.4353263340540681E-5</v>
      </c>
      <c r="CU10" s="61">
        <v>9.3409730707135275E-5</v>
      </c>
      <c r="CV10" s="61">
        <v>9.2475633400063923E-5</v>
      </c>
      <c r="CW10" s="61">
        <v>9.1550877066063279E-5</v>
      </c>
      <c r="CX10" s="61">
        <v>9.0635368295402641E-5</v>
      </c>
      <c r="CY10" s="53">
        <v>8.9729014612448615E-5</v>
      </c>
    </row>
    <row r="11" spans="1:103">
      <c r="A11" s="60">
        <v>29</v>
      </c>
      <c r="B11" s="60">
        <v>2.0599999999999999E-4</v>
      </c>
      <c r="C11" s="60">
        <v>2.12489E-4</v>
      </c>
      <c r="D11" s="60">
        <v>2.185236876E-4</v>
      </c>
      <c r="E11" s="60">
        <v>2.2381196083992E-4</v>
      </c>
      <c r="F11" s="60">
        <v>2.2815391288021446E-4</v>
      </c>
      <c r="G11" s="60">
        <v>2.3141651383440154E-4</v>
      </c>
      <c r="H11" s="60">
        <v>2.335686874130615E-4</v>
      </c>
      <c r="I11" s="60">
        <v>2.3466646024390288E-4</v>
      </c>
      <c r="J11" s="60">
        <v>2.3483072676607359E-4</v>
      </c>
      <c r="K11" s="60">
        <v>2.3426713302183503E-4</v>
      </c>
      <c r="L11" s="60">
        <v>2.3335349120304986E-4</v>
      </c>
      <c r="M11" s="60">
        <v>2.3223339444527523E-4</v>
      </c>
      <c r="N11" s="60">
        <v>2.3090966409693714E-4</v>
      </c>
      <c r="O11" s="60">
        <v>2.2938566031389734E-4</v>
      </c>
      <c r="P11" s="60">
        <v>2.276882064275745E-4</v>
      </c>
      <c r="Q11" s="60">
        <v>2.2584393195551115E-4</v>
      </c>
      <c r="R11" s="60">
        <v>2.2387908974749819E-4</v>
      </c>
      <c r="S11" s="60">
        <v>2.2179701421284645E-4</v>
      </c>
      <c r="T11" s="61">
        <v>2.1964558317498183E-4</v>
      </c>
      <c r="U11" s="61">
        <v>2.174710919015495E-4</v>
      </c>
      <c r="V11" s="61">
        <v>2.1529638098253401E-4</v>
      </c>
      <c r="W11" s="61">
        <v>2.1314341717270865E-4</v>
      </c>
      <c r="X11" s="61">
        <v>2.1101198300098157E-4</v>
      </c>
      <c r="Y11" s="61">
        <v>2.0890186317097176E-4</v>
      </c>
      <c r="Z11" s="61">
        <v>2.0681284453926205E-4</v>
      </c>
      <c r="AA11" s="61">
        <v>2.0474471609386943E-4</v>
      </c>
      <c r="AB11" s="61">
        <v>2.0269726893293072E-4</v>
      </c>
      <c r="AC11" s="61">
        <v>2.0067029624360142E-4</v>
      </c>
      <c r="AD11" s="61">
        <v>1.986635932811654E-4</v>
      </c>
      <c r="AE11" s="61">
        <v>1.9667695734835373E-4</v>
      </c>
      <c r="AF11" s="61">
        <v>1.9471018777487021E-4</v>
      </c>
      <c r="AG11" s="61">
        <v>1.9276308589712151E-4</v>
      </c>
      <c r="AH11" s="61">
        <v>1.9083545503815029E-4</v>
      </c>
      <c r="AI11" s="61">
        <v>1.889271004877688E-4</v>
      </c>
      <c r="AJ11" s="61">
        <v>1.870378294828911E-4</v>
      </c>
      <c r="AK11" s="61">
        <v>1.851674511880622E-4</v>
      </c>
      <c r="AL11" s="61">
        <v>1.8331577667618157E-4</v>
      </c>
      <c r="AM11" s="61">
        <v>1.8148261890941976E-4</v>
      </c>
      <c r="AN11" s="61">
        <v>1.7966779272032555E-4</v>
      </c>
      <c r="AO11" s="61">
        <v>1.7787111479312229E-4</v>
      </c>
      <c r="AP11" s="61">
        <v>1.7609240364519106E-4</v>
      </c>
      <c r="AQ11" s="61">
        <v>1.7433147960873915E-4</v>
      </c>
      <c r="AR11" s="61">
        <v>1.7258816481265175E-4</v>
      </c>
      <c r="AS11" s="61">
        <v>1.7086228316452523E-4</v>
      </c>
      <c r="AT11" s="61">
        <v>1.6915366033287997E-4</v>
      </c>
      <c r="AU11" s="61">
        <v>1.6746212372955116E-4</v>
      </c>
      <c r="AV11" s="61">
        <v>1.6578750249225565E-4</v>
      </c>
      <c r="AW11" s="61">
        <v>1.6412962746733308E-4</v>
      </c>
      <c r="AX11" s="61">
        <v>1.6248833119265974E-4</v>
      </c>
      <c r="AY11" s="61">
        <v>1.6086344788073315E-4</v>
      </c>
      <c r="AZ11" s="61">
        <v>1.5925481340192581E-4</v>
      </c>
      <c r="BA11" s="61">
        <v>1.5766226526790655E-4</v>
      </c>
      <c r="BB11" s="61">
        <v>1.5608564261522748E-4</v>
      </c>
      <c r="BC11" s="61">
        <v>1.545247861890752E-4</v>
      </c>
      <c r="BD11" s="61">
        <v>1.5297953832718445E-4</v>
      </c>
      <c r="BE11" s="61">
        <v>1.5144974294391261E-4</v>
      </c>
      <c r="BF11" s="61">
        <v>1.4993524551447349E-4</v>
      </c>
      <c r="BG11" s="61">
        <v>1.4843589305932876E-4</v>
      </c>
      <c r="BH11" s="61">
        <v>1.4695153412873547E-4</v>
      </c>
      <c r="BI11" s="61">
        <v>1.4548201878744811E-4</v>
      </c>
      <c r="BJ11" s="61">
        <v>1.4402719859957363E-4</v>
      </c>
      <c r="BK11" s="61">
        <v>1.4258692661357788E-4</v>
      </c>
      <c r="BL11" s="61">
        <v>1.4116105734744209E-4</v>
      </c>
      <c r="BM11" s="61">
        <v>1.3974944677396767E-4</v>
      </c>
      <c r="BN11" s="61">
        <v>1.3835195230622798E-4</v>
      </c>
      <c r="BO11" s="61">
        <v>1.369684327831657E-4</v>
      </c>
      <c r="BP11" s="61">
        <v>1.3559874845533404E-4</v>
      </c>
      <c r="BQ11" s="61">
        <v>1.3424276097078071E-4</v>
      </c>
      <c r="BR11" s="61">
        <v>1.3290033336107291E-4</v>
      </c>
      <c r="BS11" s="61">
        <v>1.3157133002746218E-4</v>
      </c>
      <c r="BT11" s="61">
        <v>1.3025561672718757E-4</v>
      </c>
      <c r="BU11" s="61">
        <v>1.2895306055991568E-4</v>
      </c>
      <c r="BV11" s="61">
        <v>1.2766352995431652E-4</v>
      </c>
      <c r="BW11" s="61">
        <v>1.2638689465477334E-4</v>
      </c>
      <c r="BX11" s="61">
        <v>1.251230257082256E-4</v>
      </c>
      <c r="BY11" s="61">
        <v>1.2387179545114336E-4</v>
      </c>
      <c r="BZ11" s="61">
        <v>1.2263307749663192E-4</v>
      </c>
      <c r="CA11" s="61">
        <v>1.214067467216656E-4</v>
      </c>
      <c r="CB11" s="61">
        <v>1.2019267925444894E-4</v>
      </c>
      <c r="CC11" s="61">
        <v>1.1899075246190446E-4</v>
      </c>
      <c r="CD11" s="61">
        <v>1.1780084493728541E-4</v>
      </c>
      <c r="CE11" s="61">
        <v>1.1662283648791256E-4</v>
      </c>
      <c r="CF11" s="61">
        <v>1.1545660812303343E-4</v>
      </c>
      <c r="CG11" s="61">
        <v>1.1430204204180309E-4</v>
      </c>
      <c r="CH11" s="61">
        <v>1.1315902162138507E-4</v>
      </c>
      <c r="CI11" s="61">
        <v>1.1202743140517122E-4</v>
      </c>
      <c r="CJ11" s="61">
        <v>1.109071570911195E-4</v>
      </c>
      <c r="CK11" s="61">
        <v>1.0979808552020831E-4</v>
      </c>
      <c r="CL11" s="61">
        <v>1.0870010466500623E-4</v>
      </c>
      <c r="CM11" s="61">
        <v>1.0761310361835617E-4</v>
      </c>
      <c r="CN11" s="61">
        <v>1.0653697258217261E-4</v>
      </c>
      <c r="CO11" s="61">
        <v>1.0547160285635088E-4</v>
      </c>
      <c r="CP11" s="61">
        <v>1.0441688682778736E-4</v>
      </c>
      <c r="CQ11" s="61">
        <v>1.0337271795950948E-4</v>
      </c>
      <c r="CR11" s="61">
        <v>1.0233899077991439E-4</v>
      </c>
      <c r="CS11" s="61">
        <v>1.0131560087211525E-4</v>
      </c>
      <c r="CT11" s="61">
        <v>1.0030244486339409E-4</v>
      </c>
      <c r="CU11" s="61">
        <v>9.9299420414760147E-5</v>
      </c>
      <c r="CV11" s="61">
        <v>9.8306426210612542E-5</v>
      </c>
      <c r="CW11" s="61">
        <v>9.7323361948506421E-5</v>
      </c>
      <c r="CX11" s="61">
        <v>9.6350128329021357E-5</v>
      </c>
      <c r="CY11" s="53">
        <v>9.5386627045731146E-5</v>
      </c>
    </row>
    <row r="12" spans="1:103">
      <c r="A12" s="60">
        <v>30</v>
      </c>
      <c r="B12" s="60">
        <v>2.1800000000000001E-4</v>
      </c>
      <c r="C12" s="60">
        <v>2.252376E-4</v>
      </c>
      <c r="D12" s="60">
        <v>2.3201725176E-4</v>
      </c>
      <c r="E12" s="60">
        <v>2.3802649858058401E-4</v>
      </c>
      <c r="F12" s="60">
        <v>2.4302505505077626E-4</v>
      </c>
      <c r="G12" s="60">
        <v>2.4684054841507346E-4</v>
      </c>
      <c r="H12" s="60">
        <v>2.4943237417343172E-4</v>
      </c>
      <c r="I12" s="60">
        <v>2.5082919546880298E-4</v>
      </c>
      <c r="J12" s="60">
        <v>2.5115527342291243E-4</v>
      </c>
      <c r="K12" s="60">
        <v>2.5067807840340887E-4</v>
      </c>
      <c r="L12" s="60">
        <v>2.4970043389763559E-4</v>
      </c>
      <c r="M12" s="60">
        <v>2.4850187181492693E-4</v>
      </c>
      <c r="N12" s="60">
        <v>2.4708541114558185E-4</v>
      </c>
      <c r="O12" s="60">
        <v>2.4545464743202101E-4</v>
      </c>
      <c r="P12" s="60">
        <v>2.4363828304102406E-4</v>
      </c>
      <c r="Q12" s="60">
        <v>2.4166481294839176E-4</v>
      </c>
      <c r="R12" s="60">
        <v>2.3956232907574075E-4</v>
      </c>
      <c r="S12" s="60">
        <v>2.3733439941533635E-4</v>
      </c>
      <c r="T12" s="61">
        <v>2.3503225574100759E-4</v>
      </c>
      <c r="U12" s="61">
        <v>2.3270543640917162E-4</v>
      </c>
      <c r="V12" s="61">
        <v>2.3037838204507989E-4</v>
      </c>
      <c r="W12" s="61">
        <v>2.2807459822462908E-4</v>
      </c>
      <c r="X12" s="61">
        <v>2.257938522423828E-4</v>
      </c>
      <c r="Y12" s="61">
        <v>2.2353591371995895E-4</v>
      </c>
      <c r="Z12" s="61">
        <v>2.2130055458275937E-4</v>
      </c>
      <c r="AA12" s="61">
        <v>2.1908754903693177E-4</v>
      </c>
      <c r="AB12" s="61">
        <v>2.1689667354656244E-4</v>
      </c>
      <c r="AC12" s="61">
        <v>2.1472770681109683E-4</v>
      </c>
      <c r="AD12" s="61">
        <v>2.1258042974298585E-4</v>
      </c>
      <c r="AE12" s="61">
        <v>2.10454625445556E-4</v>
      </c>
      <c r="AF12" s="61">
        <v>2.0835007919110042E-4</v>
      </c>
      <c r="AG12" s="61">
        <v>2.0626657839918942E-4</v>
      </c>
      <c r="AH12" s="61">
        <v>2.0420391261519752E-4</v>
      </c>
      <c r="AI12" s="61">
        <v>2.0216187348904554E-4</v>
      </c>
      <c r="AJ12" s="61">
        <v>2.001402547541551E-4</v>
      </c>
      <c r="AK12" s="61">
        <v>1.9813885220661354E-4</v>
      </c>
      <c r="AL12" s="61">
        <v>1.9615746368454741E-4</v>
      </c>
      <c r="AM12" s="61">
        <v>1.9419588904770195E-4</v>
      </c>
      <c r="AN12" s="61">
        <v>1.9225393015722493E-4</v>
      </c>
      <c r="AO12" s="61">
        <v>1.9033139085565268E-4</v>
      </c>
      <c r="AP12" s="61">
        <v>1.8842807694709616E-4</v>
      </c>
      <c r="AQ12" s="61">
        <v>1.8654379617762519E-4</v>
      </c>
      <c r="AR12" s="61">
        <v>1.8467835821584893E-4</v>
      </c>
      <c r="AS12" s="61">
        <v>1.8283157463369046E-4</v>
      </c>
      <c r="AT12" s="61">
        <v>1.8100325888735356E-4</v>
      </c>
      <c r="AU12" s="61">
        <v>1.7919322629848003E-4</v>
      </c>
      <c r="AV12" s="61">
        <v>1.7740129403549522E-4</v>
      </c>
      <c r="AW12" s="61">
        <v>1.7562728109514025E-4</v>
      </c>
      <c r="AX12" s="61">
        <v>1.7387100828418885E-4</v>
      </c>
      <c r="AY12" s="61">
        <v>1.7213229820134697E-4</v>
      </c>
      <c r="AZ12" s="61">
        <v>1.704109752193335E-4</v>
      </c>
      <c r="BA12" s="61">
        <v>1.6870686546714017E-4</v>
      </c>
      <c r="BB12" s="61">
        <v>1.6701979681246876E-4</v>
      </c>
      <c r="BC12" s="61">
        <v>1.6534959884434406E-4</v>
      </c>
      <c r="BD12" s="61">
        <v>1.6369610285590062E-4</v>
      </c>
      <c r="BE12" s="61">
        <v>1.6205914182734161E-4</v>
      </c>
      <c r="BF12" s="61">
        <v>1.604385504090682E-4</v>
      </c>
      <c r="BG12" s="61">
        <v>1.5883416490497751E-4</v>
      </c>
      <c r="BH12" s="61">
        <v>1.5724582325592773E-4</v>
      </c>
      <c r="BI12" s="61">
        <v>1.5567336502336846E-4</v>
      </c>
      <c r="BJ12" s="61">
        <v>1.5411663137313478E-4</v>
      </c>
      <c r="BK12" s="61">
        <v>1.5257546505940343E-4</v>
      </c>
      <c r="BL12" s="61">
        <v>1.5104971040880939E-4</v>
      </c>
      <c r="BM12" s="61">
        <v>1.4953921330472129E-4</v>
      </c>
      <c r="BN12" s="61">
        <v>1.4804382117167408E-4</v>
      </c>
      <c r="BO12" s="61">
        <v>1.4656338295995734E-4</v>
      </c>
      <c r="BP12" s="61">
        <v>1.4509774913035777E-4</v>
      </c>
      <c r="BQ12" s="61">
        <v>1.4364677163905421E-4</v>
      </c>
      <c r="BR12" s="61">
        <v>1.4221030392266366E-4</v>
      </c>
      <c r="BS12" s="61">
        <v>1.4078820088343701E-4</v>
      </c>
      <c r="BT12" s="61">
        <v>1.3938031887460265E-4</v>
      </c>
      <c r="BU12" s="61">
        <v>1.3798651568585661E-4</v>
      </c>
      <c r="BV12" s="61">
        <v>1.3660665052899805E-4</v>
      </c>
      <c r="BW12" s="61">
        <v>1.3524058402370807E-4</v>
      </c>
      <c r="BX12" s="61">
        <v>1.3388817818347099E-4</v>
      </c>
      <c r="BY12" s="61">
        <v>1.3254929640163629E-4</v>
      </c>
      <c r="BZ12" s="61">
        <v>1.3122380343761993E-4</v>
      </c>
      <c r="CA12" s="61">
        <v>1.2991156540324372E-4</v>
      </c>
      <c r="CB12" s="61">
        <v>1.286124497492113E-4</v>
      </c>
      <c r="CC12" s="61">
        <v>1.2732632525171917E-4</v>
      </c>
      <c r="CD12" s="61">
        <v>1.2605306199920199E-4</v>
      </c>
      <c r="CE12" s="61">
        <v>1.2479253137920998E-4</v>
      </c>
      <c r="CF12" s="61">
        <v>1.2354460606541789E-4</v>
      </c>
      <c r="CG12" s="61">
        <v>1.2230916000476369E-4</v>
      </c>
      <c r="CH12" s="61">
        <v>1.2108606840471605E-4</v>
      </c>
      <c r="CI12" s="61">
        <v>1.198752077206689E-4</v>
      </c>
      <c r="CJ12" s="61">
        <v>1.1867645564346221E-4</v>
      </c>
      <c r="CK12" s="61">
        <v>1.1748969108702758E-4</v>
      </c>
      <c r="CL12" s="61">
        <v>1.163147941761573E-4</v>
      </c>
      <c r="CM12" s="61">
        <v>1.1515164623439573E-4</v>
      </c>
      <c r="CN12" s="61">
        <v>1.1400012977205177E-4</v>
      </c>
      <c r="CO12" s="61">
        <v>1.1286012847433124E-4</v>
      </c>
      <c r="CP12" s="61">
        <v>1.1173152718958793E-4</v>
      </c>
      <c r="CQ12" s="61">
        <v>1.1061421191769205E-4</v>
      </c>
      <c r="CR12" s="61">
        <v>1.0950806979851512E-4</v>
      </c>
      <c r="CS12" s="61">
        <v>1.0841298910052997E-4</v>
      </c>
      <c r="CT12" s="61">
        <v>1.0732885920952467E-4</v>
      </c>
      <c r="CU12" s="61">
        <v>1.0625557061742942E-4</v>
      </c>
      <c r="CV12" s="61">
        <v>1.0519301491125513E-4</v>
      </c>
      <c r="CW12" s="61">
        <v>1.0414108476214257E-4</v>
      </c>
      <c r="CX12" s="61">
        <v>1.0309967391452114E-4</v>
      </c>
      <c r="CY12" s="53">
        <v>1.0206867717537593E-4</v>
      </c>
    </row>
    <row r="13" spans="1:103">
      <c r="A13" s="60">
        <v>31</v>
      </c>
      <c r="B13" s="60">
        <v>2.31E-4</v>
      </c>
      <c r="C13" s="60">
        <v>2.3899260000000001E-4</v>
      </c>
      <c r="D13" s="60">
        <v>2.4654476616000004E-4</v>
      </c>
      <c r="E13" s="60">
        <v>2.5330009275278405E-4</v>
      </c>
      <c r="F13" s="60">
        <v>2.5897401483044642E-4</v>
      </c>
      <c r="G13" s="60">
        <v>2.63376573082564E-4</v>
      </c>
      <c r="H13" s="60">
        <v>2.6643174133032175E-4</v>
      </c>
      <c r="I13" s="60">
        <v>2.6816354764896884E-4</v>
      </c>
      <c r="J13" s="60">
        <v>2.6872669109903168E-4</v>
      </c>
      <c r="K13" s="60">
        <v>2.6835047373149304E-4</v>
      </c>
      <c r="L13" s="60">
        <v>2.6741124707343284E-4</v>
      </c>
      <c r="M13" s="60">
        <v>2.6612767308748035E-4</v>
      </c>
      <c r="N13" s="60">
        <v>2.6461074535088168E-4</v>
      </c>
      <c r="O13" s="60">
        <v>2.6286431443156588E-4</v>
      </c>
      <c r="P13" s="60">
        <v>2.6091911850477232E-4</v>
      </c>
      <c r="Q13" s="60">
        <v>2.5880567364488366E-4</v>
      </c>
      <c r="R13" s="60">
        <v>2.5655406428417318E-4</v>
      </c>
      <c r="S13" s="60">
        <v>2.541681114863304E-4</v>
      </c>
      <c r="T13" s="61">
        <v>2.5170268080491301E-4</v>
      </c>
      <c r="U13" s="61">
        <v>2.4921082426494437E-4</v>
      </c>
      <c r="V13" s="61">
        <v>2.4671871602229494E-4</v>
      </c>
      <c r="W13" s="61">
        <v>2.4425152886207199E-4</v>
      </c>
      <c r="X13" s="61">
        <v>2.4180901357345126E-4</v>
      </c>
      <c r="Y13" s="61">
        <v>2.3939092343771675E-4</v>
      </c>
      <c r="Z13" s="61">
        <v>2.3699701420333959E-4</v>
      </c>
      <c r="AA13" s="61">
        <v>2.346270440613062E-4</v>
      </c>
      <c r="AB13" s="61">
        <v>2.3228077362069313E-4</v>
      </c>
      <c r="AC13" s="61">
        <v>2.299579658844862E-4</v>
      </c>
      <c r="AD13" s="61">
        <v>2.2765838622564133E-4</v>
      </c>
      <c r="AE13" s="61">
        <v>2.2538180236338491E-4</v>
      </c>
      <c r="AF13" s="61">
        <v>2.2312798433975106E-4</v>
      </c>
      <c r="AG13" s="61">
        <v>2.2089670449635355E-4</v>
      </c>
      <c r="AH13" s="61">
        <v>2.1868773745139001E-4</v>
      </c>
      <c r="AI13" s="61">
        <v>2.165008600768761E-4</v>
      </c>
      <c r="AJ13" s="61">
        <v>2.1433585147610733E-4</v>
      </c>
      <c r="AK13" s="61">
        <v>2.1219249296134624E-4</v>
      </c>
      <c r="AL13" s="61">
        <v>2.1007056803173279E-4</v>
      </c>
      <c r="AM13" s="61">
        <v>2.0796986235141547E-4</v>
      </c>
      <c r="AN13" s="61">
        <v>2.0589016372790132E-4</v>
      </c>
      <c r="AO13" s="61">
        <v>2.0383126209062231E-4</v>
      </c>
      <c r="AP13" s="61">
        <v>2.0179294946971607E-4</v>
      </c>
      <c r="AQ13" s="61">
        <v>1.9977501997501892E-4</v>
      </c>
      <c r="AR13" s="61">
        <v>1.9777726977526872E-4</v>
      </c>
      <c r="AS13" s="61">
        <v>1.9579949707751603E-4</v>
      </c>
      <c r="AT13" s="61">
        <v>1.9384150210674086E-4</v>
      </c>
      <c r="AU13" s="61">
        <v>1.9190308708567344E-4</v>
      </c>
      <c r="AV13" s="61">
        <v>1.8998405621481671E-4</v>
      </c>
      <c r="AW13" s="61">
        <v>1.8808421565266853E-4</v>
      </c>
      <c r="AX13" s="61">
        <v>1.8620337349614183E-4</v>
      </c>
      <c r="AY13" s="61">
        <v>1.843413397611804E-4</v>
      </c>
      <c r="AZ13" s="61">
        <v>1.8249792636356859E-4</v>
      </c>
      <c r="BA13" s="61">
        <v>1.806729470999329E-4</v>
      </c>
      <c r="BB13" s="61">
        <v>1.7886621762893356E-4</v>
      </c>
      <c r="BC13" s="61">
        <v>1.7707755545264421E-4</v>
      </c>
      <c r="BD13" s="61">
        <v>1.7530677989811776E-4</v>
      </c>
      <c r="BE13" s="61">
        <v>1.7355371209913658E-4</v>
      </c>
      <c r="BF13" s="61">
        <v>1.7181817497814521E-4</v>
      </c>
      <c r="BG13" s="61">
        <v>1.7009999322836376E-4</v>
      </c>
      <c r="BH13" s="61">
        <v>1.6839899329608012E-4</v>
      </c>
      <c r="BI13" s="61">
        <v>1.6671500336311933E-4</v>
      </c>
      <c r="BJ13" s="61">
        <v>1.6504785332948813E-4</v>
      </c>
      <c r="BK13" s="61">
        <v>1.6339737479619326E-4</v>
      </c>
      <c r="BL13" s="61">
        <v>1.6176340104823132E-4</v>
      </c>
      <c r="BM13" s="61">
        <v>1.6014576703774901E-4</v>
      </c>
      <c r="BN13" s="61">
        <v>1.5854430936737153E-4</v>
      </c>
      <c r="BO13" s="61">
        <v>1.5695886627369781E-4</v>
      </c>
      <c r="BP13" s="61">
        <v>1.5538927761096083E-4</v>
      </c>
      <c r="BQ13" s="61">
        <v>1.5383538483485122E-4</v>
      </c>
      <c r="BR13" s="61">
        <v>1.5229703098650272E-4</v>
      </c>
      <c r="BS13" s="61">
        <v>1.5077406067663768E-4</v>
      </c>
      <c r="BT13" s="61">
        <v>1.492663200698713E-4</v>
      </c>
      <c r="BU13" s="61">
        <v>1.4777365686917258E-4</v>
      </c>
      <c r="BV13" s="61">
        <v>1.4629592030048085E-4</v>
      </c>
      <c r="BW13" s="61">
        <v>1.4483296109747603E-4</v>
      </c>
      <c r="BX13" s="61">
        <v>1.4338463148650128E-4</v>
      </c>
      <c r="BY13" s="61">
        <v>1.4195078517163627E-4</v>
      </c>
      <c r="BZ13" s="61">
        <v>1.405312773199199E-4</v>
      </c>
      <c r="CA13" s="61">
        <v>1.3912596454672071E-4</v>
      </c>
      <c r="CB13" s="61">
        <v>1.377347049012535E-4</v>
      </c>
      <c r="CC13" s="61">
        <v>1.3635735785224096E-4</v>
      </c>
      <c r="CD13" s="61">
        <v>1.3499378427371856E-4</v>
      </c>
      <c r="CE13" s="61">
        <v>1.3364384643098137E-4</v>
      </c>
      <c r="CF13" s="61">
        <v>1.3230740796667156E-4</v>
      </c>
      <c r="CG13" s="61">
        <v>1.3098433388700485E-4</v>
      </c>
      <c r="CH13" s="61">
        <v>1.2967449054813481E-4</v>
      </c>
      <c r="CI13" s="61">
        <v>1.2837774564265346E-4</v>
      </c>
      <c r="CJ13" s="61">
        <v>1.2709396818622693E-4</v>
      </c>
      <c r="CK13" s="61">
        <v>1.2582302850436467E-4</v>
      </c>
      <c r="CL13" s="61">
        <v>1.2456479821932101E-4</v>
      </c>
      <c r="CM13" s="61">
        <v>1.233191502371278E-4</v>
      </c>
      <c r="CN13" s="61">
        <v>1.2208595873475651E-4</v>
      </c>
      <c r="CO13" s="61">
        <v>1.2086509914740894E-4</v>
      </c>
      <c r="CP13" s="61">
        <v>1.1965644815593486E-4</v>
      </c>
      <c r="CQ13" s="61">
        <v>1.1845988367437551E-4</v>
      </c>
      <c r="CR13" s="61">
        <v>1.1727528483763176E-4</v>
      </c>
      <c r="CS13" s="61">
        <v>1.1610253198925544E-4</v>
      </c>
      <c r="CT13" s="61">
        <v>1.1494150666936289E-4</v>
      </c>
      <c r="CU13" s="61">
        <v>1.1379209160266925E-4</v>
      </c>
      <c r="CV13" s="61">
        <v>1.1265417068664256E-4</v>
      </c>
      <c r="CW13" s="61">
        <v>1.1152762897977613E-4</v>
      </c>
      <c r="CX13" s="61">
        <v>1.1041235268997836E-4</v>
      </c>
      <c r="CY13" s="53">
        <v>1.0930822916307857E-4</v>
      </c>
    </row>
    <row r="14" spans="1:103">
      <c r="A14" s="60">
        <v>32</v>
      </c>
      <c r="B14" s="60">
        <v>2.4399999999999999E-4</v>
      </c>
      <c r="C14" s="60">
        <v>2.5263760000000004E-4</v>
      </c>
      <c r="D14" s="60">
        <v>2.6087358576000003E-4</v>
      </c>
      <c r="E14" s="60">
        <v>2.6830848295416004E-4</v>
      </c>
      <c r="F14" s="60">
        <v>2.7464056315187825E-4</v>
      </c>
      <c r="G14" s="60">
        <v>2.7961155734492724E-4</v>
      </c>
      <c r="H14" s="60">
        <v>2.8313466296747328E-4</v>
      </c>
      <c r="I14" s="60">
        <v>2.852298594734326E-4</v>
      </c>
      <c r="J14" s="60">
        <v>2.8602850307995819E-4</v>
      </c>
      <c r="K14" s="60">
        <v>2.8579968027749421E-4</v>
      </c>
      <c r="L14" s="60">
        <v>2.8494228123666172E-4</v>
      </c>
      <c r="M14" s="60">
        <v>2.8366004097109677E-4</v>
      </c>
      <c r="N14" s="60">
        <v>2.8204317873756153E-4</v>
      </c>
      <c r="O14" s="60">
        <v>2.8018169375789359E-4</v>
      </c>
      <c r="P14" s="60">
        <v>2.781083492240852E-4</v>
      </c>
      <c r="Q14" s="60">
        <v>2.7585567159537012E-4</v>
      </c>
      <c r="R14" s="60">
        <v>2.7345572725249041E-4</v>
      </c>
      <c r="S14" s="60">
        <v>2.7091258898904227E-4</v>
      </c>
      <c r="T14" s="61">
        <v>2.6828473687584857E-4</v>
      </c>
      <c r="U14" s="61">
        <v>2.6562871798077765E-4</v>
      </c>
      <c r="V14" s="61">
        <v>2.6297243080096986E-4</v>
      </c>
      <c r="W14" s="61">
        <v>2.6034270649296016E-4</v>
      </c>
      <c r="X14" s="61">
        <v>2.5773927942803057E-4</v>
      </c>
      <c r="Y14" s="61">
        <v>2.5516188663375026E-4</v>
      </c>
      <c r="Z14" s="61">
        <v>2.5261026776741274E-4</v>
      </c>
      <c r="AA14" s="61">
        <v>2.5008416508973862E-4</v>
      </c>
      <c r="AB14" s="61">
        <v>2.4758332343884125E-4</v>
      </c>
      <c r="AC14" s="61">
        <v>2.4510749020445282E-4</v>
      </c>
      <c r="AD14" s="61">
        <v>2.426564153024083E-4</v>
      </c>
      <c r="AE14" s="61">
        <v>2.4022985114938422E-4</v>
      </c>
      <c r="AF14" s="61">
        <v>2.3782755263789036E-4</v>
      </c>
      <c r="AG14" s="61">
        <v>2.3544927711151146E-4</v>
      </c>
      <c r="AH14" s="61">
        <v>2.3309478434039633E-4</v>
      </c>
      <c r="AI14" s="61">
        <v>2.3076383649699237E-4</v>
      </c>
      <c r="AJ14" s="61">
        <v>2.2845619813202244E-4</v>
      </c>
      <c r="AK14" s="61">
        <v>2.2617163615070221E-4</v>
      </c>
      <c r="AL14" s="61">
        <v>2.2390991978919519E-4</v>
      </c>
      <c r="AM14" s="61">
        <v>2.2167082059130325E-4</v>
      </c>
      <c r="AN14" s="61">
        <v>2.1945411238539022E-4</v>
      </c>
      <c r="AO14" s="61">
        <v>2.1725957126153631E-4</v>
      </c>
      <c r="AP14" s="61">
        <v>2.1508697554892094E-4</v>
      </c>
      <c r="AQ14" s="61">
        <v>2.1293610579343174E-4</v>
      </c>
      <c r="AR14" s="61">
        <v>2.1080674473549741E-4</v>
      </c>
      <c r="AS14" s="61">
        <v>2.0869867728814243E-4</v>
      </c>
      <c r="AT14" s="61">
        <v>2.0661169051526101E-4</v>
      </c>
      <c r="AU14" s="61">
        <v>2.045455736101084E-4</v>
      </c>
      <c r="AV14" s="61">
        <v>2.0250011787400731E-4</v>
      </c>
      <c r="AW14" s="61">
        <v>2.0047511669526723E-4</v>
      </c>
      <c r="AX14" s="61">
        <v>1.9847036552831456E-4</v>
      </c>
      <c r="AY14" s="61">
        <v>1.9648566187303141E-4</v>
      </c>
      <c r="AZ14" s="61">
        <v>1.9452080525430109E-4</v>
      </c>
      <c r="BA14" s="61">
        <v>1.9257559720175808E-4</v>
      </c>
      <c r="BB14" s="61">
        <v>1.906498412297405E-4</v>
      </c>
      <c r="BC14" s="61">
        <v>1.8874334281744309E-4</v>
      </c>
      <c r="BD14" s="61">
        <v>1.8685590938926865E-4</v>
      </c>
      <c r="BE14" s="61">
        <v>1.8498735029537597E-4</v>
      </c>
      <c r="BF14" s="61">
        <v>1.8313747679242221E-4</v>
      </c>
      <c r="BG14" s="61">
        <v>1.8130610202449798E-4</v>
      </c>
      <c r="BH14" s="61">
        <v>1.79493041004253E-4</v>
      </c>
      <c r="BI14" s="61">
        <v>1.7769811059421047E-4</v>
      </c>
      <c r="BJ14" s="61">
        <v>1.7592112948826836E-4</v>
      </c>
      <c r="BK14" s="61">
        <v>1.7416191819338568E-4</v>
      </c>
      <c r="BL14" s="61">
        <v>1.7242029901145181E-4</v>
      </c>
      <c r="BM14" s="61">
        <v>1.7069609602133728E-4</v>
      </c>
      <c r="BN14" s="61">
        <v>1.6898913506112391E-4</v>
      </c>
      <c r="BO14" s="61">
        <v>1.6729924371051267E-4</v>
      </c>
      <c r="BP14" s="61">
        <v>1.6562625127340753E-4</v>
      </c>
      <c r="BQ14" s="61">
        <v>1.6396998876067346E-4</v>
      </c>
      <c r="BR14" s="61">
        <v>1.6233028887306672E-4</v>
      </c>
      <c r="BS14" s="61">
        <v>1.6070698598433605E-4</v>
      </c>
      <c r="BT14" s="61">
        <v>1.5909991612449268E-4</v>
      </c>
      <c r="BU14" s="61">
        <v>1.5750891696324776E-4</v>
      </c>
      <c r="BV14" s="61">
        <v>1.5593382779361528E-4</v>
      </c>
      <c r="BW14" s="61">
        <v>1.5437448951567914E-4</v>
      </c>
      <c r="BX14" s="61">
        <v>1.5283074462052234E-4</v>
      </c>
      <c r="BY14" s="61">
        <v>1.5130243717431712E-4</v>
      </c>
      <c r="BZ14" s="61">
        <v>1.4978941280257394E-4</v>
      </c>
      <c r="CA14" s="61">
        <v>1.4829151867454821E-4</v>
      </c>
      <c r="CB14" s="61">
        <v>1.4680860348780273E-4</v>
      </c>
      <c r="CC14" s="61">
        <v>1.4534051745292471E-4</v>
      </c>
      <c r="CD14" s="61">
        <v>1.4388711227839547E-4</v>
      </c>
      <c r="CE14" s="61">
        <v>1.4244824115561153E-4</v>
      </c>
      <c r="CF14" s="61">
        <v>1.410237587440554E-4</v>
      </c>
      <c r="CG14" s="61">
        <v>1.3961352115661485E-4</v>
      </c>
      <c r="CH14" s="61">
        <v>1.382173859450487E-4</v>
      </c>
      <c r="CI14" s="61">
        <v>1.3683521208559822E-4</v>
      </c>
      <c r="CJ14" s="61">
        <v>1.3546685996474223E-4</v>
      </c>
      <c r="CK14" s="61">
        <v>1.3411219136509481E-4</v>
      </c>
      <c r="CL14" s="61">
        <v>1.3277106945144387E-4</v>
      </c>
      <c r="CM14" s="61">
        <v>1.3144335875692943E-4</v>
      </c>
      <c r="CN14" s="61">
        <v>1.3012892516936015E-4</v>
      </c>
      <c r="CO14" s="61">
        <v>1.2882763591766654E-4</v>
      </c>
      <c r="CP14" s="61">
        <v>1.2753935955848986E-4</v>
      </c>
      <c r="CQ14" s="61">
        <v>1.2626396596290495E-4</v>
      </c>
      <c r="CR14" s="61">
        <v>1.2500132630327589E-4</v>
      </c>
      <c r="CS14" s="61">
        <v>1.2375131304024313E-4</v>
      </c>
      <c r="CT14" s="61">
        <v>1.2251379990984069E-4</v>
      </c>
      <c r="CU14" s="61">
        <v>1.2128866191074228E-4</v>
      </c>
      <c r="CV14" s="61">
        <v>1.2007577529163485E-4</v>
      </c>
      <c r="CW14" s="61">
        <v>1.188750175387185E-4</v>
      </c>
      <c r="CX14" s="61">
        <v>1.1768626736333131E-4</v>
      </c>
      <c r="CY14" s="53">
        <v>1.16509404689698E-4</v>
      </c>
    </row>
    <row r="15" spans="1:103">
      <c r="A15" s="60">
        <v>33</v>
      </c>
      <c r="B15" s="60">
        <v>2.5799999999999998E-4</v>
      </c>
      <c r="C15" s="60">
        <v>2.6721059999999997E-4</v>
      </c>
      <c r="D15" s="60">
        <v>2.7605527085999994E-4</v>
      </c>
      <c r="E15" s="60">
        <v>2.8411608476911192E-4</v>
      </c>
      <c r="F15" s="60">
        <v>2.9104851723747824E-4</v>
      </c>
      <c r="G15" s="60">
        <v>2.9657843906499029E-4</v>
      </c>
      <c r="H15" s="60">
        <v>3.0058224799236767E-4</v>
      </c>
      <c r="I15" s="60">
        <v>3.0304702242590507E-4</v>
      </c>
      <c r="J15" s="60">
        <v>3.0413799170663836E-4</v>
      </c>
      <c r="K15" s="60">
        <v>3.0410757790746772E-4</v>
      </c>
      <c r="L15" s="60">
        <v>3.0334730896269905E-4</v>
      </c>
      <c r="M15" s="60">
        <v>3.0210358499595198E-4</v>
      </c>
      <c r="N15" s="60">
        <v>3.0047222563697387E-4</v>
      </c>
      <c r="O15" s="60">
        <v>2.9848910894776984E-4</v>
      </c>
      <c r="P15" s="60">
        <v>2.9628028954155637E-4</v>
      </c>
      <c r="Q15" s="60">
        <v>2.9388041919626976E-4</v>
      </c>
      <c r="R15" s="60">
        <v>2.9132365954926223E-4</v>
      </c>
      <c r="S15" s="60">
        <v>2.8861434951545409E-4</v>
      </c>
      <c r="T15" s="61">
        <v>2.8581479032515418E-4</v>
      </c>
      <c r="U15" s="61">
        <v>2.8298522390093515E-4</v>
      </c>
      <c r="V15" s="61">
        <v>2.8015537166192577E-4</v>
      </c>
      <c r="W15" s="61">
        <v>2.7735381794530652E-4</v>
      </c>
      <c r="X15" s="61">
        <v>2.7458027976585346E-4</v>
      </c>
      <c r="Y15" s="61">
        <v>2.7183447696819491E-4</v>
      </c>
      <c r="Z15" s="61">
        <v>2.6911613219851295E-4</v>
      </c>
      <c r="AA15" s="61">
        <v>2.664249708765278E-4</v>
      </c>
      <c r="AB15" s="61">
        <v>2.6376072116776253E-4</v>
      </c>
      <c r="AC15" s="61">
        <v>2.611231139560849E-4</v>
      </c>
      <c r="AD15" s="61">
        <v>2.5851188281652405E-4</v>
      </c>
      <c r="AE15" s="61">
        <v>2.5592676398835881E-4</v>
      </c>
      <c r="AF15" s="61">
        <v>2.5336749634847523E-4</v>
      </c>
      <c r="AG15" s="61">
        <v>2.5083382138499046E-4</v>
      </c>
      <c r="AH15" s="61">
        <v>2.4832548317114055E-4</v>
      </c>
      <c r="AI15" s="61">
        <v>2.4584222833942915E-4</v>
      </c>
      <c r="AJ15" s="61">
        <v>2.4338380605603486E-4</v>
      </c>
      <c r="AK15" s="61">
        <v>2.4094996799547451E-4</v>
      </c>
      <c r="AL15" s="61">
        <v>2.3854046831551975E-4</v>
      </c>
      <c r="AM15" s="61">
        <v>2.3615506363236456E-4</v>
      </c>
      <c r="AN15" s="61">
        <v>2.337935129960409E-4</v>
      </c>
      <c r="AO15" s="61">
        <v>2.3145557786608049E-4</v>
      </c>
      <c r="AP15" s="61">
        <v>2.2914102208741968E-4</v>
      </c>
      <c r="AQ15" s="61">
        <v>2.2684961186654549E-4</v>
      </c>
      <c r="AR15" s="61">
        <v>2.2458111574788004E-4</v>
      </c>
      <c r="AS15" s="61">
        <v>2.2233530459040123E-4</v>
      </c>
      <c r="AT15" s="61">
        <v>2.2011195154449722E-4</v>
      </c>
      <c r="AU15" s="61">
        <v>2.1791083202905224E-4</v>
      </c>
      <c r="AV15" s="61">
        <v>2.1573172370876171E-4</v>
      </c>
      <c r="AW15" s="61">
        <v>2.1357440647167409E-4</v>
      </c>
      <c r="AX15" s="61">
        <v>2.1143866240695735E-4</v>
      </c>
      <c r="AY15" s="61">
        <v>2.0932427578288778E-4</v>
      </c>
      <c r="AZ15" s="61">
        <v>2.0723103302505889E-4</v>
      </c>
      <c r="BA15" s="61">
        <v>2.0515872269480831E-4</v>
      </c>
      <c r="BB15" s="61">
        <v>2.0310713546786022E-4</v>
      </c>
      <c r="BC15" s="61">
        <v>2.010760641131816E-4</v>
      </c>
      <c r="BD15" s="61">
        <v>1.9906530347204977E-4</v>
      </c>
      <c r="BE15" s="61">
        <v>1.9707465043732926E-4</v>
      </c>
      <c r="BF15" s="61">
        <v>1.9510390393295596E-4</v>
      </c>
      <c r="BG15" s="61">
        <v>1.931528648936264E-4</v>
      </c>
      <c r="BH15" s="61">
        <v>1.9122133624469012E-4</v>
      </c>
      <c r="BI15" s="61">
        <v>1.8930912288224323E-4</v>
      </c>
      <c r="BJ15" s="61">
        <v>1.8741603165342078E-4</v>
      </c>
      <c r="BK15" s="61">
        <v>1.8554187133688657E-4</v>
      </c>
      <c r="BL15" s="61">
        <v>1.836864526235177E-4</v>
      </c>
      <c r="BM15" s="61">
        <v>1.8184958809728253E-4</v>
      </c>
      <c r="BN15" s="61">
        <v>1.8003109221630971E-4</v>
      </c>
      <c r="BO15" s="61">
        <v>1.7823078129414663E-4</v>
      </c>
      <c r="BP15" s="61">
        <v>1.7644847348120515E-4</v>
      </c>
      <c r="BQ15" s="61">
        <v>1.746839887463931E-4</v>
      </c>
      <c r="BR15" s="61">
        <v>1.7293714885892916E-4</v>
      </c>
      <c r="BS15" s="61">
        <v>1.7120777737033985E-4</v>
      </c>
      <c r="BT15" s="61">
        <v>1.6949569959663646E-4</v>
      </c>
      <c r="BU15" s="61">
        <v>1.678007426006701E-4</v>
      </c>
      <c r="BV15" s="61">
        <v>1.6612273517466338E-4</v>
      </c>
      <c r="BW15" s="61">
        <v>1.6446150782291674E-4</v>
      </c>
      <c r="BX15" s="61">
        <v>1.6281689274468756E-4</v>
      </c>
      <c r="BY15" s="61">
        <v>1.611887238172407E-4</v>
      </c>
      <c r="BZ15" s="61">
        <v>1.5957683657906829E-4</v>
      </c>
      <c r="CA15" s="61">
        <v>1.579810682132776E-4</v>
      </c>
      <c r="CB15" s="61">
        <v>1.5640125753114482E-4</v>
      </c>
      <c r="CC15" s="61">
        <v>1.5483724495583338E-4</v>
      </c>
      <c r="CD15" s="61">
        <v>1.5328887250627503E-4</v>
      </c>
      <c r="CE15" s="61">
        <v>1.5175598378121228E-4</v>
      </c>
      <c r="CF15" s="61">
        <v>1.5023842394340015E-4</v>
      </c>
      <c r="CG15" s="61">
        <v>1.4873603970396614E-4</v>
      </c>
      <c r="CH15" s="61">
        <v>1.4724867930692649E-4</v>
      </c>
      <c r="CI15" s="61">
        <v>1.4577619251385723E-4</v>
      </c>
      <c r="CJ15" s="61">
        <v>1.4431843058871865E-4</v>
      </c>
      <c r="CK15" s="61">
        <v>1.4287524628283147E-4</v>
      </c>
      <c r="CL15" s="61">
        <v>1.4144649382000316E-4</v>
      </c>
      <c r="CM15" s="61">
        <v>1.4003202888180312E-4</v>
      </c>
      <c r="CN15" s="61">
        <v>1.3863170859298508E-4</v>
      </c>
      <c r="CO15" s="61">
        <v>1.3724539150705521E-4</v>
      </c>
      <c r="CP15" s="61">
        <v>1.3587293759198467E-4</v>
      </c>
      <c r="CQ15" s="61">
        <v>1.3451420821606483E-4</v>
      </c>
      <c r="CR15" s="61">
        <v>1.3316906613390416E-4</v>
      </c>
      <c r="CS15" s="61">
        <v>1.3183737547256511E-4</v>
      </c>
      <c r="CT15" s="61">
        <v>1.3051900171783947E-4</v>
      </c>
      <c r="CU15" s="61">
        <v>1.2921381170066107E-4</v>
      </c>
      <c r="CV15" s="61">
        <v>1.2792167358365445E-4</v>
      </c>
      <c r="CW15" s="61">
        <v>1.266424568478179E-4</v>
      </c>
      <c r="CX15" s="61">
        <v>1.2537603227933972E-4</v>
      </c>
      <c r="CY15" s="53">
        <v>1.2412227195654631E-4</v>
      </c>
    </row>
    <row r="16" spans="1:103">
      <c r="A16" s="60">
        <v>34</v>
      </c>
      <c r="B16" s="60">
        <v>2.72E-4</v>
      </c>
      <c r="C16" s="60">
        <v>2.8157439999999996E-4</v>
      </c>
      <c r="D16" s="60">
        <v>2.9089451263999993E-4</v>
      </c>
      <c r="E16" s="60">
        <v>2.9947590076287998E-4</v>
      </c>
      <c r="F16" s="60">
        <v>3.0693285069187566E-4</v>
      </c>
      <c r="G16" s="60">
        <v>3.1294873456543643E-4</v>
      </c>
      <c r="H16" s="60">
        <v>3.1739260659626562E-4</v>
      </c>
      <c r="I16" s="60">
        <v>3.2024914005563196E-4</v>
      </c>
      <c r="J16" s="60">
        <v>3.2162621135787119E-4</v>
      </c>
      <c r="K16" s="60">
        <v>3.2178702446355008E-4</v>
      </c>
      <c r="L16" s="60">
        <v>3.21143450414623E-4</v>
      </c>
      <c r="M16" s="60">
        <v>3.1998733399313034E-4</v>
      </c>
      <c r="N16" s="60">
        <v>3.183553985897654E-4</v>
      </c>
      <c r="O16" s="60">
        <v>3.1634975957864987E-4</v>
      </c>
      <c r="P16" s="60">
        <v>3.1400877135776787E-4</v>
      </c>
      <c r="Q16" s="60">
        <v>3.1146530030976997E-4</v>
      </c>
      <c r="R16" s="60">
        <v>3.0875555219707498E-4</v>
      </c>
      <c r="S16" s="60">
        <v>3.0588412556164217E-4</v>
      </c>
      <c r="T16" s="61">
        <v>3.0291704954369422E-4</v>
      </c>
      <c r="U16" s="61">
        <v>2.9991817075321163E-4</v>
      </c>
      <c r="V16" s="61">
        <v>2.9691898904567952E-4</v>
      </c>
      <c r="W16" s="61">
        <v>2.9394979915522274E-4</v>
      </c>
      <c r="X16" s="61">
        <v>2.9101030116367052E-4</v>
      </c>
      <c r="Y16" s="61">
        <v>2.881001981520338E-4</v>
      </c>
      <c r="Z16" s="61">
        <v>2.8521919617051345E-4</v>
      </c>
      <c r="AA16" s="61">
        <v>2.8236700420880833E-4</v>
      </c>
      <c r="AB16" s="61">
        <v>2.7954333416672022E-4</v>
      </c>
      <c r="AC16" s="61">
        <v>2.7674790082505299E-4</v>
      </c>
      <c r="AD16" s="61">
        <v>2.7398042181680246E-4</v>
      </c>
      <c r="AE16" s="61">
        <v>2.7124061759863446E-4</v>
      </c>
      <c r="AF16" s="61">
        <v>2.6852821142264813E-4</v>
      </c>
      <c r="AG16" s="61">
        <v>2.6584292930842163E-4</v>
      </c>
      <c r="AH16" s="61">
        <v>2.6318450001533742E-4</v>
      </c>
      <c r="AI16" s="61">
        <v>2.6055265501518407E-4</v>
      </c>
      <c r="AJ16" s="61">
        <v>2.5794712846503225E-4</v>
      </c>
      <c r="AK16" s="61">
        <v>2.5536765718038194E-4</v>
      </c>
      <c r="AL16" s="61">
        <v>2.5281398060857812E-4</v>
      </c>
      <c r="AM16" s="61">
        <v>2.5028584080249235E-4</v>
      </c>
      <c r="AN16" s="61">
        <v>2.4778298239446742E-4</v>
      </c>
      <c r="AO16" s="61">
        <v>2.4530515257052275E-4</v>
      </c>
      <c r="AP16" s="61">
        <v>2.4285210104481753E-4</v>
      </c>
      <c r="AQ16" s="61">
        <v>2.4042358003436936E-4</v>
      </c>
      <c r="AR16" s="61">
        <v>2.3801934423402566E-4</v>
      </c>
      <c r="AS16" s="61">
        <v>2.356391507916854E-4</v>
      </c>
      <c r="AT16" s="61">
        <v>2.3328275928376853E-4</v>
      </c>
      <c r="AU16" s="61">
        <v>2.3094993169093085E-4</v>
      </c>
      <c r="AV16" s="61">
        <v>2.2864043237402155E-4</v>
      </c>
      <c r="AW16" s="61">
        <v>2.2635402805028132E-4</v>
      </c>
      <c r="AX16" s="61">
        <v>2.2409048776977851E-4</v>
      </c>
      <c r="AY16" s="61">
        <v>2.2184958289208072E-4</v>
      </c>
      <c r="AZ16" s="61">
        <v>2.196310870631599E-4</v>
      </c>
      <c r="BA16" s="61">
        <v>2.1743477619252829E-4</v>
      </c>
      <c r="BB16" s="61">
        <v>2.15260428430603E-4</v>
      </c>
      <c r="BC16" s="61">
        <v>2.1310782414629697E-4</v>
      </c>
      <c r="BD16" s="61">
        <v>2.10976745904834E-4</v>
      </c>
      <c r="BE16" s="61">
        <v>2.0886697844578564E-4</v>
      </c>
      <c r="BF16" s="61">
        <v>2.067783086613278E-4</v>
      </c>
      <c r="BG16" s="61">
        <v>2.0471052557471451E-4</v>
      </c>
      <c r="BH16" s="61">
        <v>2.0266342031896736E-4</v>
      </c>
      <c r="BI16" s="61">
        <v>2.0063678611577769E-4</v>
      </c>
      <c r="BJ16" s="61">
        <v>1.9863041825461992E-4</v>
      </c>
      <c r="BK16" s="61">
        <v>1.9664411407207372E-4</v>
      </c>
      <c r="BL16" s="61">
        <v>1.9467767293135298E-4</v>
      </c>
      <c r="BM16" s="61">
        <v>1.9273089620203945E-4</v>
      </c>
      <c r="BN16" s="61">
        <v>1.9080358724001906E-4</v>
      </c>
      <c r="BO16" s="61">
        <v>1.8889555136761887E-4</v>
      </c>
      <c r="BP16" s="61">
        <v>1.8700659585394269E-4</v>
      </c>
      <c r="BQ16" s="61">
        <v>1.8513652989540327E-4</v>
      </c>
      <c r="BR16" s="61">
        <v>1.8328516459644923E-4</v>
      </c>
      <c r="BS16" s="61">
        <v>1.8145231295048472E-4</v>
      </c>
      <c r="BT16" s="61">
        <v>1.7963778982097987E-4</v>
      </c>
      <c r="BU16" s="61">
        <v>1.7784141192277007E-4</v>
      </c>
      <c r="BV16" s="61">
        <v>1.7606299780354237E-4</v>
      </c>
      <c r="BW16" s="61">
        <v>1.7430236782550694E-4</v>
      </c>
      <c r="BX16" s="61">
        <v>1.7255934414725187E-4</v>
      </c>
      <c r="BY16" s="61">
        <v>1.7083375070577934E-4</v>
      </c>
      <c r="BZ16" s="61">
        <v>1.6912541319872155E-4</v>
      </c>
      <c r="CA16" s="61">
        <v>1.6743415906673434E-4</v>
      </c>
      <c r="CB16" s="61">
        <v>1.6575981747606698E-4</v>
      </c>
      <c r="CC16" s="61">
        <v>1.6410221930130632E-4</v>
      </c>
      <c r="CD16" s="61">
        <v>1.6246119710829326E-4</v>
      </c>
      <c r="CE16" s="61">
        <v>1.6083658513721034E-4</v>
      </c>
      <c r="CF16" s="61">
        <v>1.5922821928583824E-4</v>
      </c>
      <c r="CG16" s="61">
        <v>1.5763593709297986E-4</v>
      </c>
      <c r="CH16" s="61">
        <v>1.5605957772205005E-4</v>
      </c>
      <c r="CI16" s="61">
        <v>1.5449898194482955E-4</v>
      </c>
      <c r="CJ16" s="61">
        <v>1.5295399212538125E-4</v>
      </c>
      <c r="CK16" s="61">
        <v>1.5142445220412743E-4</v>
      </c>
      <c r="CL16" s="61">
        <v>1.4991020768208616E-4</v>
      </c>
      <c r="CM16" s="61">
        <v>1.484111056052653E-4</v>
      </c>
      <c r="CN16" s="61">
        <v>1.4692699454921265E-4</v>
      </c>
      <c r="CO16" s="61">
        <v>1.4545772460372052E-4</v>
      </c>
      <c r="CP16" s="61">
        <v>1.4400314735768332E-4</v>
      </c>
      <c r="CQ16" s="61">
        <v>1.4256311588410649E-4</v>
      </c>
      <c r="CR16" s="61">
        <v>1.4113748472526543E-4</v>
      </c>
      <c r="CS16" s="61">
        <v>1.3972610987801279E-4</v>
      </c>
      <c r="CT16" s="61">
        <v>1.3832884877923267E-4</v>
      </c>
      <c r="CU16" s="61">
        <v>1.3694556029144033E-4</v>
      </c>
      <c r="CV16" s="61">
        <v>1.3557610468852593E-4</v>
      </c>
      <c r="CW16" s="61">
        <v>1.3422034364164067E-4</v>
      </c>
      <c r="CX16" s="61">
        <v>1.3287814020522426E-4</v>
      </c>
      <c r="CY16" s="53">
        <v>1.3154935880317203E-4</v>
      </c>
    </row>
    <row r="17" spans="1:103">
      <c r="A17" s="60">
        <v>35</v>
      </c>
      <c r="B17" s="60">
        <v>2.8600000000000001E-4</v>
      </c>
      <c r="C17" s="60">
        <v>2.9572400000000003E-4</v>
      </c>
      <c r="D17" s="60">
        <v>3.0527588520000003E-4</v>
      </c>
      <c r="E17" s="60">
        <v>3.1415941345932E-4</v>
      </c>
      <c r="F17" s="60">
        <v>3.2195056691311112E-4</v>
      </c>
      <c r="G17" s="60">
        <v>3.2835738319468203E-4</v>
      </c>
      <c r="H17" s="60">
        <v>3.3318423672764382E-4</v>
      </c>
      <c r="I17" s="60">
        <v>3.3638280540022924E-4</v>
      </c>
      <c r="J17" s="60">
        <v>3.3806471942723036E-4</v>
      </c>
      <c r="K17" s="60">
        <v>3.3847039709054307E-4</v>
      </c>
      <c r="L17" s="60">
        <v>3.3799653853461634E-4</v>
      </c>
      <c r="M17" s="60">
        <v>3.3691494961130556E-4</v>
      </c>
      <c r="N17" s="60">
        <v>3.353314493481324E-4</v>
      </c>
      <c r="O17" s="60">
        <v>3.3328592750710877E-4</v>
      </c>
      <c r="P17" s="60">
        <v>3.3088626882905761E-4</v>
      </c>
      <c r="Q17" s="60">
        <v>3.2820609005154223E-4</v>
      </c>
      <c r="R17" s="60">
        <v>3.2535069706809381E-4</v>
      </c>
      <c r="S17" s="60">
        <v>3.2232493558536057E-4</v>
      </c>
      <c r="T17" s="61">
        <v>3.1919838371018258E-4</v>
      </c>
      <c r="U17" s="61">
        <v>3.1603831971145174E-4</v>
      </c>
      <c r="V17" s="61">
        <v>3.128779365143372E-4</v>
      </c>
      <c r="W17" s="61">
        <v>3.0974915714919384E-4</v>
      </c>
      <c r="X17" s="61">
        <v>3.0665166557770191E-4</v>
      </c>
      <c r="Y17" s="61">
        <v>3.0358514892192491E-4</v>
      </c>
      <c r="Z17" s="61">
        <v>3.0054929743270563E-4</v>
      </c>
      <c r="AA17" s="61">
        <v>2.9754380445837859E-4</v>
      </c>
      <c r="AB17" s="61">
        <v>2.945683664137948E-4</v>
      </c>
      <c r="AC17" s="61">
        <v>2.9162268274965684E-4</v>
      </c>
      <c r="AD17" s="61">
        <v>2.8870645592216028E-4</v>
      </c>
      <c r="AE17" s="61">
        <v>2.8581939136293867E-4</v>
      </c>
      <c r="AF17" s="61">
        <v>2.8296119744930927E-4</v>
      </c>
      <c r="AG17" s="61">
        <v>2.8013158547481618E-4</v>
      </c>
      <c r="AH17" s="61">
        <v>2.7733026962006803E-4</v>
      </c>
      <c r="AI17" s="61">
        <v>2.7455696692386733E-4</v>
      </c>
      <c r="AJ17" s="61">
        <v>2.7181139725462866E-4</v>
      </c>
      <c r="AK17" s="61">
        <v>2.690932832820824E-4</v>
      </c>
      <c r="AL17" s="61">
        <v>2.6640235044926157E-4</v>
      </c>
      <c r="AM17" s="61">
        <v>2.6373832694476896E-4</v>
      </c>
      <c r="AN17" s="61">
        <v>2.6110094367532127E-4</v>
      </c>
      <c r="AO17" s="61">
        <v>2.5848993423856806E-4</v>
      </c>
      <c r="AP17" s="61">
        <v>2.5590503489618236E-4</v>
      </c>
      <c r="AQ17" s="61">
        <v>2.5334598454722053E-4</v>
      </c>
      <c r="AR17" s="61">
        <v>2.508125247017483E-4</v>
      </c>
      <c r="AS17" s="61">
        <v>2.4830439945473082E-4</v>
      </c>
      <c r="AT17" s="61">
        <v>2.4582135546018349E-4</v>
      </c>
      <c r="AU17" s="61">
        <v>2.4336314190558165E-4</v>
      </c>
      <c r="AV17" s="61">
        <v>2.4092951048652582E-4</v>
      </c>
      <c r="AW17" s="61">
        <v>2.3852021538166057E-4</v>
      </c>
      <c r="AX17" s="61">
        <v>2.3613501322784395E-4</v>
      </c>
      <c r="AY17" s="61">
        <v>2.3377366309556552E-4</v>
      </c>
      <c r="AZ17" s="61">
        <v>2.3143592646460986E-4</v>
      </c>
      <c r="BA17" s="61">
        <v>2.2912156719996375E-4</v>
      </c>
      <c r="BB17" s="61">
        <v>2.2683035152796409E-4</v>
      </c>
      <c r="BC17" s="61">
        <v>2.2456204801268444E-4</v>
      </c>
      <c r="BD17" s="61">
        <v>2.2231642753255761E-4</v>
      </c>
      <c r="BE17" s="61">
        <v>2.2009326325723202E-4</v>
      </c>
      <c r="BF17" s="61">
        <v>2.178923306246597E-4</v>
      </c>
      <c r="BG17" s="61">
        <v>2.157134073184131E-4</v>
      </c>
      <c r="BH17" s="61">
        <v>2.1355627324522896E-4</v>
      </c>
      <c r="BI17" s="61">
        <v>2.1142071051277666E-4</v>
      </c>
      <c r="BJ17" s="61">
        <v>2.0930650340764888E-4</v>
      </c>
      <c r="BK17" s="61">
        <v>2.072134383735724E-4</v>
      </c>
      <c r="BL17" s="61">
        <v>2.0514130398983666E-4</v>
      </c>
      <c r="BM17" s="61">
        <v>2.030898909499383E-4</v>
      </c>
      <c r="BN17" s="61">
        <v>2.0105899204043892E-4</v>
      </c>
      <c r="BO17" s="61">
        <v>1.9904840212003452E-4</v>
      </c>
      <c r="BP17" s="61">
        <v>1.9705791809883417E-4</v>
      </c>
      <c r="BQ17" s="61">
        <v>1.9508733891784584E-4</v>
      </c>
      <c r="BR17" s="61">
        <v>1.9313646552866737E-4</v>
      </c>
      <c r="BS17" s="61">
        <v>1.912051008733807E-4</v>
      </c>
      <c r="BT17" s="61">
        <v>1.8929304986464688E-4</v>
      </c>
      <c r="BU17" s="61">
        <v>1.874001193660004E-4</v>
      </c>
      <c r="BV17" s="61">
        <v>1.8552611817234039E-4</v>
      </c>
      <c r="BW17" s="61">
        <v>1.8367085699061699E-4</v>
      </c>
      <c r="BX17" s="61">
        <v>1.8183414842071083E-4</v>
      </c>
      <c r="BY17" s="61">
        <v>1.8001580693650373E-4</v>
      </c>
      <c r="BZ17" s="61">
        <v>1.7821564886713869E-4</v>
      </c>
      <c r="CA17" s="61">
        <v>1.764334923784673E-4</v>
      </c>
      <c r="CB17" s="61">
        <v>1.7466915745468264E-4</v>
      </c>
      <c r="CC17" s="61">
        <v>1.7292246588013582E-4</v>
      </c>
      <c r="CD17" s="61">
        <v>1.7119324122133445E-4</v>
      </c>
      <c r="CE17" s="61">
        <v>1.694813088091211E-4</v>
      </c>
      <c r="CF17" s="61">
        <v>1.6778649572102988E-4</v>
      </c>
      <c r="CG17" s="61">
        <v>1.6610863076381958E-4</v>
      </c>
      <c r="CH17" s="61">
        <v>1.6444754445618139E-4</v>
      </c>
      <c r="CI17" s="61">
        <v>1.6280306901161957E-4</v>
      </c>
      <c r="CJ17" s="61">
        <v>1.6117503832150339E-4</v>
      </c>
      <c r="CK17" s="61">
        <v>1.5956328793828836E-4</v>
      </c>
      <c r="CL17" s="61">
        <v>1.5796765505890546E-4</v>
      </c>
      <c r="CM17" s="61">
        <v>1.5638797850831641E-4</v>
      </c>
      <c r="CN17" s="61">
        <v>1.5482409872323325E-4</v>
      </c>
      <c r="CO17" s="61">
        <v>1.532758577360009E-4</v>
      </c>
      <c r="CP17" s="61">
        <v>1.5174309915864088E-4</v>
      </c>
      <c r="CQ17" s="61">
        <v>1.5022566816705446E-4</v>
      </c>
      <c r="CR17" s="61">
        <v>1.4872341148538393E-4</v>
      </c>
      <c r="CS17" s="61">
        <v>1.4723617737053007E-4</v>
      </c>
      <c r="CT17" s="61">
        <v>1.4576381559682476E-4</v>
      </c>
      <c r="CU17" s="61">
        <v>1.4430617744085652E-4</v>
      </c>
      <c r="CV17" s="61">
        <v>1.4286311566644795E-4</v>
      </c>
      <c r="CW17" s="61">
        <v>1.4143448450978346E-4</v>
      </c>
      <c r="CX17" s="61">
        <v>1.4002013966468564E-4</v>
      </c>
      <c r="CY17" s="53">
        <v>1.3861993826803877E-4</v>
      </c>
    </row>
    <row r="18" spans="1:103">
      <c r="A18" s="60">
        <v>36</v>
      </c>
      <c r="B18" s="60">
        <v>2.9999999999999997E-4</v>
      </c>
      <c r="C18" s="60">
        <v>3.0962999999999997E-4</v>
      </c>
      <c r="D18" s="60">
        <v>3.1916660399999993E-4</v>
      </c>
      <c r="E18" s="60">
        <v>3.2813518557239991E-4</v>
      </c>
      <c r="F18" s="60">
        <v>3.3610887058180923E-4</v>
      </c>
      <c r="G18" s="60">
        <v>3.4276382621932906E-4</v>
      </c>
      <c r="H18" s="60">
        <v>3.4787100722999701E-4</v>
      </c>
      <c r="I18" s="60">
        <v>3.5134971730229697E-4</v>
      </c>
      <c r="J18" s="60">
        <v>3.5328214074745965E-4</v>
      </c>
      <c r="K18" s="60">
        <v>3.5391804860080507E-4</v>
      </c>
      <c r="L18" s="60">
        <v>3.536349141619244E-4</v>
      </c>
      <c r="M18" s="60">
        <v>3.526800998936872E-4</v>
      </c>
      <c r="N18" s="60">
        <v>3.5112830745415499E-4</v>
      </c>
      <c r="O18" s="60">
        <v>3.4909176327092091E-4</v>
      </c>
      <c r="P18" s="60">
        <v>3.4664812092802445E-4</v>
      </c>
      <c r="Q18" s="60">
        <v>3.4387493596060024E-4</v>
      </c>
      <c r="R18" s="60">
        <v>3.4088322401774299E-4</v>
      </c>
      <c r="S18" s="60">
        <v>3.3771301003437802E-4</v>
      </c>
      <c r="T18" s="61">
        <v>3.3443719383704454E-4</v>
      </c>
      <c r="U18" s="61">
        <v>3.3112626561805777E-4</v>
      </c>
      <c r="V18" s="61">
        <v>3.2781500296187718E-4</v>
      </c>
      <c r="W18" s="61">
        <v>3.245368529322584E-4</v>
      </c>
      <c r="X18" s="61">
        <v>3.2129148440293581E-4</v>
      </c>
      <c r="Y18" s="61">
        <v>3.1807856955890645E-4</v>
      </c>
      <c r="Z18" s="61">
        <v>3.1489778386331737E-4</v>
      </c>
      <c r="AA18" s="61">
        <v>3.1174880602468421E-4</v>
      </c>
      <c r="AB18" s="61">
        <v>3.0863131796443735E-4</v>
      </c>
      <c r="AC18" s="61">
        <v>3.0554500478479295E-4</v>
      </c>
      <c r="AD18" s="61">
        <v>3.0248955473694504E-4</v>
      </c>
      <c r="AE18" s="61">
        <v>2.9946465918957558E-4</v>
      </c>
      <c r="AF18" s="61">
        <v>2.964700125976798E-4</v>
      </c>
      <c r="AG18" s="61">
        <v>2.9350531247170297E-4</v>
      </c>
      <c r="AH18" s="61">
        <v>2.9057025934698592E-4</v>
      </c>
      <c r="AI18" s="61">
        <v>2.8766455675351604E-4</v>
      </c>
      <c r="AJ18" s="61">
        <v>2.8478791118598088E-4</v>
      </c>
      <c r="AK18" s="61">
        <v>2.8194003207412108E-4</v>
      </c>
      <c r="AL18" s="61">
        <v>2.7912063175337986E-4</v>
      </c>
      <c r="AM18" s="61">
        <v>2.7632942543584607E-4</v>
      </c>
      <c r="AN18" s="61">
        <v>2.7356613118148759E-4</v>
      </c>
      <c r="AO18" s="61">
        <v>2.7083046986967269E-4</v>
      </c>
      <c r="AP18" s="61">
        <v>2.6812216517097594E-4</v>
      </c>
      <c r="AQ18" s="61">
        <v>2.6544094351926617E-4</v>
      </c>
      <c r="AR18" s="61">
        <v>2.627865340840735E-4</v>
      </c>
      <c r="AS18" s="61">
        <v>2.6015866874323274E-4</v>
      </c>
      <c r="AT18" s="61">
        <v>2.5755708205580041E-4</v>
      </c>
      <c r="AU18" s="61">
        <v>2.5498151123524239E-4</v>
      </c>
      <c r="AV18" s="61">
        <v>2.5243169612288997E-4</v>
      </c>
      <c r="AW18" s="61">
        <v>2.4990737916166106E-4</v>
      </c>
      <c r="AX18" s="61">
        <v>2.4740830537004442E-4</v>
      </c>
      <c r="AY18" s="61">
        <v>2.4493422231634397E-4</v>
      </c>
      <c r="AZ18" s="61">
        <v>2.4248488009318052E-4</v>
      </c>
      <c r="BA18" s="61">
        <v>2.4006003129224872E-4</v>
      </c>
      <c r="BB18" s="61">
        <v>2.3765943097932624E-4</v>
      </c>
      <c r="BC18" s="61">
        <v>2.3528283666953299E-4</v>
      </c>
      <c r="BD18" s="61">
        <v>2.3293000830283765E-4</v>
      </c>
      <c r="BE18" s="61">
        <v>2.3060070821980926E-4</v>
      </c>
      <c r="BF18" s="61">
        <v>2.2829470113761117E-4</v>
      </c>
      <c r="BG18" s="61">
        <v>2.2601175412623504E-4</v>
      </c>
      <c r="BH18" s="61">
        <v>2.2375163658497268E-4</v>
      </c>
      <c r="BI18" s="61">
        <v>2.2151412021912295E-4</v>
      </c>
      <c r="BJ18" s="61">
        <v>2.1929897901693172E-4</v>
      </c>
      <c r="BK18" s="61">
        <v>2.171059892267624E-4</v>
      </c>
      <c r="BL18" s="61">
        <v>2.1493492933449476E-4</v>
      </c>
      <c r="BM18" s="61">
        <v>2.127855800411498E-4</v>
      </c>
      <c r="BN18" s="61">
        <v>2.1065772424073829E-4</v>
      </c>
      <c r="BO18" s="61">
        <v>2.085511469983309E-4</v>
      </c>
      <c r="BP18" s="61">
        <v>2.0646563552834758E-4</v>
      </c>
      <c r="BQ18" s="61">
        <v>2.0440097917306409E-4</v>
      </c>
      <c r="BR18" s="61">
        <v>2.0235696938133345E-4</v>
      </c>
      <c r="BS18" s="61">
        <v>2.0033339968752011E-4</v>
      </c>
      <c r="BT18" s="61">
        <v>1.9833006569064491E-4</v>
      </c>
      <c r="BU18" s="61">
        <v>1.9634676503373845E-4</v>
      </c>
      <c r="BV18" s="61">
        <v>1.9438329738340107E-4</v>
      </c>
      <c r="BW18" s="61">
        <v>1.9243946440956704E-4</v>
      </c>
      <c r="BX18" s="61">
        <v>1.9051506976547138E-4</v>
      </c>
      <c r="BY18" s="61">
        <v>1.8860991906781668E-4</v>
      </c>
      <c r="BZ18" s="61">
        <v>1.8672381987713851E-4</v>
      </c>
      <c r="CA18" s="61">
        <v>1.8485658167836713E-4</v>
      </c>
      <c r="CB18" s="61">
        <v>1.8300801586158344E-4</v>
      </c>
      <c r="CC18" s="61">
        <v>1.8117793570296761E-4</v>
      </c>
      <c r="CD18" s="61">
        <v>1.7936615634593794E-4</v>
      </c>
      <c r="CE18" s="61">
        <v>1.7757249478247855E-4</v>
      </c>
      <c r="CF18" s="61">
        <v>1.7579676983465377E-4</v>
      </c>
      <c r="CG18" s="61">
        <v>1.7403880213630722E-4</v>
      </c>
      <c r="CH18" s="61">
        <v>1.7229841411494414E-4</v>
      </c>
      <c r="CI18" s="61">
        <v>1.705754299737947E-4</v>
      </c>
      <c r="CJ18" s="61">
        <v>1.6886967567405676E-4</v>
      </c>
      <c r="CK18" s="61">
        <v>1.6718097891731619E-4</v>
      </c>
      <c r="CL18" s="61">
        <v>1.6550916912814304E-4</v>
      </c>
      <c r="CM18" s="61">
        <v>1.6385407743686162E-4</v>
      </c>
      <c r="CN18" s="61">
        <v>1.6221553666249299E-4</v>
      </c>
      <c r="CO18" s="61">
        <v>1.6059338129586806E-4</v>
      </c>
      <c r="CP18" s="61">
        <v>1.5898744748290937E-4</v>
      </c>
      <c r="CQ18" s="61">
        <v>1.5739757300808029E-4</v>
      </c>
      <c r="CR18" s="61">
        <v>1.5582359727799949E-4</v>
      </c>
      <c r="CS18" s="61">
        <v>1.542653613052195E-4</v>
      </c>
      <c r="CT18" s="61">
        <v>1.5272270769216731E-4</v>
      </c>
      <c r="CU18" s="61">
        <v>1.5119548061524565E-4</v>
      </c>
      <c r="CV18" s="61">
        <v>1.4968352580909319E-4</v>
      </c>
      <c r="CW18" s="61">
        <v>1.4818669055100225E-4</v>
      </c>
      <c r="CX18" s="61">
        <v>1.4670482364549222E-4</v>
      </c>
      <c r="CY18" s="53">
        <v>1.4523777540903729E-4</v>
      </c>
    </row>
    <row r="19" spans="1:103">
      <c r="A19" s="60">
        <v>37</v>
      </c>
      <c r="B19" s="60">
        <v>3.1799999999999998E-4</v>
      </c>
      <c r="C19" s="60">
        <v>3.2734920000000001E-4</v>
      </c>
      <c r="D19" s="60">
        <v>3.3671138712000002E-4</v>
      </c>
      <c r="E19" s="60">
        <v>3.4563423887868001E-4</v>
      </c>
      <c r="F19" s="60">
        <v>3.536875166445533E-4</v>
      </c>
      <c r="G19" s="60">
        <v>3.6047831696412879E-4</v>
      </c>
      <c r="H19" s="60">
        <v>3.6581339605519785E-4</v>
      </c>
      <c r="I19" s="60">
        <v>3.6954469269496088E-4</v>
      </c>
      <c r="J19" s="60">
        <v>3.7176196085113067E-4</v>
      </c>
      <c r="K19" s="60">
        <v>3.7265418955717338E-4</v>
      </c>
      <c r="L19" s="60">
        <v>3.7257965871926197E-4</v>
      </c>
      <c r="M19" s="60">
        <v>3.7175998347007961E-4</v>
      </c>
      <c r="N19" s="60">
        <v>3.7031011953454632E-4</v>
      </c>
      <c r="O19" s="60">
        <v>3.6827341387710632E-4</v>
      </c>
      <c r="P19" s="60">
        <v>3.6576915466274198E-4</v>
      </c>
      <c r="Q19" s="60">
        <v>3.6291615525637256E-4</v>
      </c>
      <c r="R19" s="60">
        <v>3.5975878470564211E-4</v>
      </c>
      <c r="S19" s="60">
        <v>3.5641302800787963E-4</v>
      </c>
      <c r="T19" s="61">
        <v>3.529558216362032E-4</v>
      </c>
      <c r="U19" s="61">
        <v>3.4946155900200481E-4</v>
      </c>
      <c r="V19" s="61">
        <v>3.4596694341198478E-4</v>
      </c>
      <c r="W19" s="61">
        <v>3.4250727397786495E-4</v>
      </c>
      <c r="X19" s="61">
        <v>3.390822012380863E-4</v>
      </c>
      <c r="Y19" s="61">
        <v>3.3569137922570541E-4</v>
      </c>
      <c r="Z19" s="61">
        <v>3.3233446543344834E-4</v>
      </c>
      <c r="AA19" s="61">
        <v>3.2901112077911385E-4</v>
      </c>
      <c r="AB19" s="61">
        <v>3.2572100957132269E-4</v>
      </c>
      <c r="AC19" s="61">
        <v>3.2246379947560946E-4</v>
      </c>
      <c r="AD19" s="61">
        <v>3.1923916148085334E-4</v>
      </c>
      <c r="AE19" s="61">
        <v>3.1604676986604483E-4</v>
      </c>
      <c r="AF19" s="61">
        <v>3.1288630216738439E-4</v>
      </c>
      <c r="AG19" s="61">
        <v>3.0975743914571054E-4</v>
      </c>
      <c r="AH19" s="61">
        <v>3.0665986475425343E-4</v>
      </c>
      <c r="AI19" s="61">
        <v>3.0359326610671089E-4</v>
      </c>
      <c r="AJ19" s="61">
        <v>3.0055733344564378E-4</v>
      </c>
      <c r="AK19" s="61">
        <v>2.9755176011118733E-4</v>
      </c>
      <c r="AL19" s="61">
        <v>2.9457624251007545E-4</v>
      </c>
      <c r="AM19" s="61">
        <v>2.9163048008497467E-4</v>
      </c>
      <c r="AN19" s="61">
        <v>2.8871417528412492E-4</v>
      </c>
      <c r="AO19" s="61">
        <v>2.8582703353128365E-4</v>
      </c>
      <c r="AP19" s="61">
        <v>2.8296876319597081E-4</v>
      </c>
      <c r="AQ19" s="61">
        <v>2.801390755640111E-4</v>
      </c>
      <c r="AR19" s="61">
        <v>2.7733768480837098E-4</v>
      </c>
      <c r="AS19" s="61">
        <v>2.745643079602873E-4</v>
      </c>
      <c r="AT19" s="61">
        <v>2.7181866488068442E-4</v>
      </c>
      <c r="AU19" s="61">
        <v>2.6910047823187758E-4</v>
      </c>
      <c r="AV19" s="61">
        <v>2.664094734495588E-4</v>
      </c>
      <c r="AW19" s="61">
        <v>2.6374537871506323E-4</v>
      </c>
      <c r="AX19" s="61">
        <v>2.6110792492791259E-4</v>
      </c>
      <c r="AY19" s="61">
        <v>2.5849684567863344E-4</v>
      </c>
      <c r="AZ19" s="61">
        <v>2.5591187722184713E-4</v>
      </c>
      <c r="BA19" s="61">
        <v>2.5335275844962866E-4</v>
      </c>
      <c r="BB19" s="61">
        <v>2.5081923086513235E-4</v>
      </c>
      <c r="BC19" s="61">
        <v>2.4831103855648101E-4</v>
      </c>
      <c r="BD19" s="61">
        <v>2.4582792817091621E-4</v>
      </c>
      <c r="BE19" s="61">
        <v>2.4336964888920705E-4</v>
      </c>
      <c r="BF19" s="61">
        <v>2.4093595240031498E-4</v>
      </c>
      <c r="BG19" s="61">
        <v>2.3852659287631182E-4</v>
      </c>
      <c r="BH19" s="61">
        <v>2.3614132694754869E-4</v>
      </c>
      <c r="BI19" s="61">
        <v>2.3377991367807321E-4</v>
      </c>
      <c r="BJ19" s="61">
        <v>2.3144211454129246E-4</v>
      </c>
      <c r="BK19" s="61">
        <v>2.2912769339587954E-4</v>
      </c>
      <c r="BL19" s="61">
        <v>2.2683641646192073E-4</v>
      </c>
      <c r="BM19" s="61">
        <v>2.2456805229730152E-4</v>
      </c>
      <c r="BN19" s="61">
        <v>2.223223717743285E-4</v>
      </c>
      <c r="BO19" s="61">
        <v>2.2009914805658522E-4</v>
      </c>
      <c r="BP19" s="61">
        <v>2.1789815657601936E-4</v>
      </c>
      <c r="BQ19" s="61">
        <v>2.1571917501025917E-4</v>
      </c>
      <c r="BR19" s="61">
        <v>2.1356198326015659E-4</v>
      </c>
      <c r="BS19" s="61">
        <v>2.1142636342755502E-4</v>
      </c>
      <c r="BT19" s="61">
        <v>2.0931209979327948E-4</v>
      </c>
      <c r="BU19" s="61">
        <v>2.0721897879534667E-4</v>
      </c>
      <c r="BV19" s="61">
        <v>2.0514678900739321E-4</v>
      </c>
      <c r="BW19" s="61">
        <v>2.0309532111731926E-4</v>
      </c>
      <c r="BX19" s="61">
        <v>2.0106436790614607E-4</v>
      </c>
      <c r="BY19" s="61">
        <v>1.9905372422708461E-4</v>
      </c>
      <c r="BZ19" s="61">
        <v>1.9706318698481376E-4</v>
      </c>
      <c r="CA19" s="61">
        <v>1.9509255511496561E-4</v>
      </c>
      <c r="CB19" s="61">
        <v>1.9314162956381596E-4</v>
      </c>
      <c r="CC19" s="61">
        <v>1.9121021326817778E-4</v>
      </c>
      <c r="CD19" s="61">
        <v>1.89298111135496E-4</v>
      </c>
      <c r="CE19" s="61">
        <v>1.8740513002414103E-4</v>
      </c>
      <c r="CF19" s="61">
        <v>1.8553107872389961E-4</v>
      </c>
      <c r="CG19" s="61">
        <v>1.8367576793666061E-4</v>
      </c>
      <c r="CH19" s="61">
        <v>1.81839010257294E-4</v>
      </c>
      <c r="CI19" s="61">
        <v>1.8002062015472106E-4</v>
      </c>
      <c r="CJ19" s="61">
        <v>1.7822041395317386E-4</v>
      </c>
      <c r="CK19" s="61">
        <v>1.7643820981364211E-4</v>
      </c>
      <c r="CL19" s="61">
        <v>1.7467382771550567E-4</v>
      </c>
      <c r="CM19" s="61">
        <v>1.7292708943835063E-4</v>
      </c>
      <c r="CN19" s="61">
        <v>1.7119781854396711E-4</v>
      </c>
      <c r="CO19" s="61">
        <v>1.6948584035852743E-4</v>
      </c>
      <c r="CP19" s="61">
        <v>1.6779098195494215E-4</v>
      </c>
      <c r="CQ19" s="61">
        <v>1.6611307213539272E-4</v>
      </c>
      <c r="CR19" s="61">
        <v>1.6445194141403879E-4</v>
      </c>
      <c r="CS19" s="61">
        <v>1.6280742199989841E-4</v>
      </c>
      <c r="CT19" s="61">
        <v>1.6117934777989943E-4</v>
      </c>
      <c r="CU19" s="61">
        <v>1.5956755430210042E-4</v>
      </c>
      <c r="CV19" s="61">
        <v>1.5797187875907942E-4</v>
      </c>
      <c r="CW19" s="61">
        <v>1.5639215997148863E-4</v>
      </c>
      <c r="CX19" s="61">
        <v>1.5482823837177374E-4</v>
      </c>
      <c r="CY19" s="53">
        <v>1.53279955988056E-4</v>
      </c>
    </row>
    <row r="20" spans="1:103">
      <c r="A20" s="60">
        <v>38</v>
      </c>
      <c r="B20" s="60">
        <v>3.39E-4</v>
      </c>
      <c r="C20" s="60">
        <v>3.47814E-4</v>
      </c>
      <c r="D20" s="60">
        <v>3.5678760120000001E-4</v>
      </c>
      <c r="E20" s="60">
        <v>3.6545753990915999E-4</v>
      </c>
      <c r="F20" s="60">
        <v>3.733879685251888E-4</v>
      </c>
      <c r="G20" s="60">
        <v>3.8022096834919972E-4</v>
      </c>
      <c r="H20" s="60">
        <v>3.8565812819659325E-4</v>
      </c>
      <c r="I20" s="60">
        <v>3.895918411041985E-4</v>
      </c>
      <c r="J20" s="60">
        <v>3.9204626970315494E-4</v>
      </c>
      <c r="K20" s="60">
        <v>3.9318320388529403E-4</v>
      </c>
      <c r="L20" s="60">
        <v>3.9330115884645962E-4</v>
      </c>
      <c r="M20" s="60">
        <v>3.9263254687642063E-4</v>
      </c>
      <c r="N20" s="60">
        <v>3.9125833296235318E-4</v>
      </c>
      <c r="O20" s="60">
        <v>3.8922378963094896E-4</v>
      </c>
      <c r="P20" s="60">
        <v>3.8669383499834783E-4</v>
      </c>
      <c r="Q20" s="60">
        <v>3.8371629246886053E-4</v>
      </c>
      <c r="R20" s="60">
        <v>3.804163323536283E-4</v>
      </c>
      <c r="S20" s="60">
        <v>3.7691650209597491E-4</v>
      </c>
      <c r="T20" s="61">
        <v>3.7326041202564395E-4</v>
      </c>
      <c r="U20" s="61">
        <v>3.6956513394659007E-4</v>
      </c>
      <c r="V20" s="61">
        <v>3.6586948260712419E-4</v>
      </c>
      <c r="W20" s="61">
        <v>3.6221078778105292E-4</v>
      </c>
      <c r="X20" s="61">
        <v>3.5858867990324239E-4</v>
      </c>
      <c r="Y20" s="61">
        <v>3.5500279310420995E-4</v>
      </c>
      <c r="Z20" s="61">
        <v>3.5145276517316786E-4</v>
      </c>
      <c r="AA20" s="61">
        <v>3.4793823752143617E-4</v>
      </c>
      <c r="AB20" s="61">
        <v>3.4445885514622181E-4</v>
      </c>
      <c r="AC20" s="61">
        <v>3.4101426659475961E-4</v>
      </c>
      <c r="AD20" s="61">
        <v>3.3760412392881201E-4</v>
      </c>
      <c r="AE20" s="61">
        <v>3.342280826895239E-4</v>
      </c>
      <c r="AF20" s="61">
        <v>3.3088580186262865E-4</v>
      </c>
      <c r="AG20" s="61">
        <v>3.2757694384400235E-4</v>
      </c>
      <c r="AH20" s="61">
        <v>3.2430117440556235E-4</v>
      </c>
      <c r="AI20" s="61">
        <v>3.210581626615067E-4</v>
      </c>
      <c r="AJ20" s="61">
        <v>3.1784758103489165E-4</v>
      </c>
      <c r="AK20" s="61">
        <v>3.1466910522454273E-4</v>
      </c>
      <c r="AL20" s="61">
        <v>3.1152241417229732E-4</v>
      </c>
      <c r="AM20" s="61">
        <v>3.0840719003057436E-4</v>
      </c>
      <c r="AN20" s="61">
        <v>3.0532311813026862E-4</v>
      </c>
      <c r="AO20" s="61">
        <v>3.0226988694896591E-4</v>
      </c>
      <c r="AP20" s="61">
        <v>2.9924718807947624E-4</v>
      </c>
      <c r="AQ20" s="61">
        <v>2.962547161986815E-4</v>
      </c>
      <c r="AR20" s="61">
        <v>2.932921690366947E-4</v>
      </c>
      <c r="AS20" s="61">
        <v>2.9035924734632774E-4</v>
      </c>
      <c r="AT20" s="61">
        <v>2.8745565487286448E-4</v>
      </c>
      <c r="AU20" s="61">
        <v>2.8458109832413584E-4</v>
      </c>
      <c r="AV20" s="61">
        <v>2.8173528734089448E-4</v>
      </c>
      <c r="AW20" s="61">
        <v>2.7891793446748554E-4</v>
      </c>
      <c r="AX20" s="61">
        <v>2.7612875512281069E-4</v>
      </c>
      <c r="AY20" s="61">
        <v>2.7336746757158258E-4</v>
      </c>
      <c r="AZ20" s="61">
        <v>2.7063379289586674E-4</v>
      </c>
      <c r="BA20" s="61">
        <v>2.6792745496690806E-4</v>
      </c>
      <c r="BB20" s="61">
        <v>2.6524818041723897E-4</v>
      </c>
      <c r="BC20" s="61">
        <v>2.6259569861306661E-4</v>
      </c>
      <c r="BD20" s="61">
        <v>2.5996974162693595E-4</v>
      </c>
      <c r="BE20" s="61">
        <v>2.5737004421066658E-4</v>
      </c>
      <c r="BF20" s="61">
        <v>2.547963437685599E-4</v>
      </c>
      <c r="BG20" s="61">
        <v>2.5224838033087433E-4</v>
      </c>
      <c r="BH20" s="61">
        <v>2.4972589652756558E-4</v>
      </c>
      <c r="BI20" s="61">
        <v>2.4722863756228991E-4</v>
      </c>
      <c r="BJ20" s="61">
        <v>2.4475635118666699E-4</v>
      </c>
      <c r="BK20" s="61">
        <v>2.423087876748003E-4</v>
      </c>
      <c r="BL20" s="61">
        <v>2.3988569979805231E-4</v>
      </c>
      <c r="BM20" s="61">
        <v>2.3748684280007178E-4</v>
      </c>
      <c r="BN20" s="61">
        <v>2.3511197437207107E-4</v>
      </c>
      <c r="BO20" s="61">
        <v>2.3276085462835036E-4</v>
      </c>
      <c r="BP20" s="61">
        <v>2.3043324608206685E-4</v>
      </c>
      <c r="BQ20" s="61">
        <v>2.2812891362124617E-4</v>
      </c>
      <c r="BR20" s="61">
        <v>2.2584762448503372E-4</v>
      </c>
      <c r="BS20" s="61">
        <v>2.2358914824018337E-4</v>
      </c>
      <c r="BT20" s="61">
        <v>2.2135325675778155E-4</v>
      </c>
      <c r="BU20" s="61">
        <v>2.1913972419020374E-4</v>
      </c>
      <c r="BV20" s="61">
        <v>2.1694832694830169E-4</v>
      </c>
      <c r="BW20" s="61">
        <v>2.1477884367881867E-4</v>
      </c>
      <c r="BX20" s="61">
        <v>2.1263105524203048E-4</v>
      </c>
      <c r="BY20" s="61">
        <v>2.1050474468961016E-4</v>
      </c>
      <c r="BZ20" s="61">
        <v>2.0839969724271407E-4</v>
      </c>
      <c r="CA20" s="61">
        <v>2.0631570027028693E-4</v>
      </c>
      <c r="CB20" s="61">
        <v>2.0425254326758406E-4</v>
      </c>
      <c r="CC20" s="61">
        <v>2.0221001783490822E-4</v>
      </c>
      <c r="CD20" s="61">
        <v>2.0018791765655914E-4</v>
      </c>
      <c r="CE20" s="61">
        <v>1.9818603847999354E-4</v>
      </c>
      <c r="CF20" s="61">
        <v>1.962041780951936E-4</v>
      </c>
      <c r="CG20" s="61">
        <v>1.9424213631424167E-4</v>
      </c>
      <c r="CH20" s="61">
        <v>1.9229971495109927E-4</v>
      </c>
      <c r="CI20" s="61">
        <v>1.9037671780158826E-4</v>
      </c>
      <c r="CJ20" s="61">
        <v>1.8847295062357237E-4</v>
      </c>
      <c r="CK20" s="61">
        <v>1.8658822111733664E-4</v>
      </c>
      <c r="CL20" s="61">
        <v>1.8472233890616326E-4</v>
      </c>
      <c r="CM20" s="61">
        <v>1.8287511551710162E-4</v>
      </c>
      <c r="CN20" s="61">
        <v>1.810463643619306E-4</v>
      </c>
      <c r="CO20" s="61">
        <v>1.792359007183113E-4</v>
      </c>
      <c r="CP20" s="61">
        <v>1.7744354171112819E-4</v>
      </c>
      <c r="CQ20" s="61">
        <v>1.756691062940169E-4</v>
      </c>
      <c r="CR20" s="61">
        <v>1.7391241523107673E-4</v>
      </c>
      <c r="CS20" s="61">
        <v>1.7217329107876596E-4</v>
      </c>
      <c r="CT20" s="61">
        <v>1.7045155816797829E-4</v>
      </c>
      <c r="CU20" s="61">
        <v>1.6874704258629852E-4</v>
      </c>
      <c r="CV20" s="61">
        <v>1.6705957216043554E-4</v>
      </c>
      <c r="CW20" s="61">
        <v>1.6538897643883119E-4</v>
      </c>
      <c r="CX20" s="61">
        <v>1.6373508667444288E-4</v>
      </c>
      <c r="CY20" s="53">
        <v>1.6209773580769845E-4</v>
      </c>
    </row>
    <row r="21" spans="1:103">
      <c r="A21" s="60">
        <v>39</v>
      </c>
      <c r="B21" s="60">
        <v>3.6499999999999998E-4</v>
      </c>
      <c r="C21" s="60">
        <v>3.7306649999999998E-4</v>
      </c>
      <c r="D21" s="60">
        <v>3.8142318959999996E-4</v>
      </c>
      <c r="E21" s="60">
        <v>3.8962378817639998E-4</v>
      </c>
      <c r="F21" s="60">
        <v>3.9726041442465743E-4</v>
      </c>
      <c r="G21" s="60">
        <v>4.039741154284341E-4</v>
      </c>
      <c r="H21" s="60">
        <v>4.0946816339826081E-4</v>
      </c>
      <c r="I21" s="60">
        <v>4.1356284503224342E-4</v>
      </c>
      <c r="J21" s="60">
        <v>4.1625100352495298E-4</v>
      </c>
      <c r="K21" s="60">
        <v>4.1762463183658534E-4</v>
      </c>
      <c r="L21" s="60">
        <v>4.1795873154205459E-4</v>
      </c>
      <c r="M21" s="60">
        <v>4.1745718106420414E-4</v>
      </c>
      <c r="N21" s="60">
        <v>4.1616306380290512E-4</v>
      </c>
      <c r="O21" s="60">
        <v>4.1416548109665115E-4</v>
      </c>
      <c r="P21" s="60">
        <v>4.1155623856574229E-4</v>
      </c>
      <c r="Q21" s="60">
        <v>4.0846956677649922E-4</v>
      </c>
      <c r="R21" s="60">
        <v>4.0503842241557662E-4</v>
      </c>
      <c r="S21" s="60">
        <v>4.013120689293533E-4</v>
      </c>
      <c r="T21" s="61">
        <v>3.9745947306763147E-4</v>
      </c>
      <c r="U21" s="61">
        <v>3.9352462428426189E-4</v>
      </c>
      <c r="V21" s="61">
        <v>3.8958937804141927E-4</v>
      </c>
      <c r="W21" s="61">
        <v>3.856934842610051E-4</v>
      </c>
      <c r="X21" s="61">
        <v>3.8183654941839504E-4</v>
      </c>
      <c r="Y21" s="61">
        <v>3.7801818392421108E-4</v>
      </c>
      <c r="Z21" s="61">
        <v>3.7423800208496896E-4</v>
      </c>
      <c r="AA21" s="61">
        <v>3.7049562206411927E-4</v>
      </c>
      <c r="AB21" s="61">
        <v>3.6679066584347809E-4</v>
      </c>
      <c r="AC21" s="61">
        <v>3.6312275918504329E-4</v>
      </c>
      <c r="AD21" s="61">
        <v>3.5949153159319284E-4</v>
      </c>
      <c r="AE21" s="61">
        <v>3.5589661627726091E-4</v>
      </c>
      <c r="AF21" s="61">
        <v>3.5233765011448827E-4</v>
      </c>
      <c r="AG21" s="61">
        <v>3.4881427361334338E-4</v>
      </c>
      <c r="AH21" s="61">
        <v>3.4532613087720997E-4</v>
      </c>
      <c r="AI21" s="61">
        <v>3.4187286956843788E-4</v>
      </c>
      <c r="AJ21" s="61">
        <v>3.3845414087275348E-4</v>
      </c>
      <c r="AK21" s="61">
        <v>3.3506959946402596E-4</v>
      </c>
      <c r="AL21" s="61">
        <v>3.3171890346938567E-4</v>
      </c>
      <c r="AM21" s="61">
        <v>3.2840171443469183E-4</v>
      </c>
      <c r="AN21" s="61">
        <v>3.2511769729034491E-4</v>
      </c>
      <c r="AO21" s="61">
        <v>3.2186652031744145E-4</v>
      </c>
      <c r="AP21" s="61">
        <v>3.1864785511426702E-4</v>
      </c>
      <c r="AQ21" s="61">
        <v>3.1546137656312433E-4</v>
      </c>
      <c r="AR21" s="61">
        <v>3.1230676279749307E-4</v>
      </c>
      <c r="AS21" s="61">
        <v>3.0918369516951813E-4</v>
      </c>
      <c r="AT21" s="61">
        <v>3.0609185821782296E-4</v>
      </c>
      <c r="AU21" s="61">
        <v>3.0303093963564471E-4</v>
      </c>
      <c r="AV21" s="61">
        <v>3.0000063023928825E-4</v>
      </c>
      <c r="AW21" s="61">
        <v>2.9700062393689538E-4</v>
      </c>
      <c r="AX21" s="61">
        <v>2.940306176975264E-4</v>
      </c>
      <c r="AY21" s="61">
        <v>2.9109031152055114E-4</v>
      </c>
      <c r="AZ21" s="61">
        <v>2.8817940840534563E-4</v>
      </c>
      <c r="BA21" s="61">
        <v>2.8529761432129219E-4</v>
      </c>
      <c r="BB21" s="61">
        <v>2.8244463817807925E-4</v>
      </c>
      <c r="BC21" s="61">
        <v>2.7962019179629847E-4</v>
      </c>
      <c r="BD21" s="61">
        <v>2.7682398987833548E-4</v>
      </c>
      <c r="BE21" s="61">
        <v>2.7405574997955214E-4</v>
      </c>
      <c r="BF21" s="61">
        <v>2.7131519247975663E-4</v>
      </c>
      <c r="BG21" s="61">
        <v>2.6860204055495908E-4</v>
      </c>
      <c r="BH21" s="61">
        <v>2.6591602014940948E-4</v>
      </c>
      <c r="BI21" s="61">
        <v>2.6325685994791536E-4</v>
      </c>
      <c r="BJ21" s="61">
        <v>2.606242913484362E-4</v>
      </c>
      <c r="BK21" s="61">
        <v>2.5801804843495185E-4</v>
      </c>
      <c r="BL21" s="61">
        <v>2.554378679506023E-4</v>
      </c>
      <c r="BM21" s="61">
        <v>2.5288348927109626E-4</v>
      </c>
      <c r="BN21" s="61">
        <v>2.503546543783853E-4</v>
      </c>
      <c r="BO21" s="61">
        <v>2.4785110783460143E-4</v>
      </c>
      <c r="BP21" s="61">
        <v>2.4537259675625541E-4</v>
      </c>
      <c r="BQ21" s="61">
        <v>2.4291887078869284E-4</v>
      </c>
      <c r="BR21" s="61">
        <v>2.4048968208080591E-4</v>
      </c>
      <c r="BS21" s="61">
        <v>2.3808478525999785E-4</v>
      </c>
      <c r="BT21" s="61">
        <v>2.3570393740739786E-4</v>
      </c>
      <c r="BU21" s="61">
        <v>2.3334689803332386E-4</v>
      </c>
      <c r="BV21" s="61">
        <v>2.3101342905299061E-4</v>
      </c>
      <c r="BW21" s="61">
        <v>2.2870329476246069E-4</v>
      </c>
      <c r="BX21" s="61">
        <v>2.264162618148361E-4</v>
      </c>
      <c r="BY21" s="61">
        <v>2.2415209919668773E-4</v>
      </c>
      <c r="BZ21" s="61">
        <v>2.2191057820472086E-4</v>
      </c>
      <c r="CA21" s="61">
        <v>2.1969147242267365E-4</v>
      </c>
      <c r="CB21" s="61">
        <v>2.174945576984469E-4</v>
      </c>
      <c r="CC21" s="61">
        <v>2.1531961212146243E-4</v>
      </c>
      <c r="CD21" s="61">
        <v>2.131664160002478E-4</v>
      </c>
      <c r="CE21" s="61">
        <v>2.1103475184024531E-4</v>
      </c>
      <c r="CF21" s="61">
        <v>2.0892440432184286E-4</v>
      </c>
      <c r="CG21" s="61">
        <v>2.0683516027862443E-4</v>
      </c>
      <c r="CH21" s="61">
        <v>2.0476680867583818E-4</v>
      </c>
      <c r="CI21" s="61">
        <v>2.0271914058907979E-4</v>
      </c>
      <c r="CJ21" s="61">
        <v>2.0069194918318899E-4</v>
      </c>
      <c r="CK21" s="61">
        <v>1.9868502969135711E-4</v>
      </c>
      <c r="CL21" s="61">
        <v>1.9669817939444353E-4</v>
      </c>
      <c r="CM21" s="61">
        <v>1.947311976004991E-4</v>
      </c>
      <c r="CN21" s="61">
        <v>1.9278388562449412E-4</v>
      </c>
      <c r="CO21" s="61">
        <v>1.9085604676824918E-4</v>
      </c>
      <c r="CP21" s="61">
        <v>1.8894748630056667E-4</v>
      </c>
      <c r="CQ21" s="61">
        <v>1.8705801143756101E-4</v>
      </c>
      <c r="CR21" s="61">
        <v>1.8518743132318538E-4</v>
      </c>
      <c r="CS21" s="61">
        <v>1.8333555700995353E-4</v>
      </c>
      <c r="CT21" s="61">
        <v>1.81502201439854E-4</v>
      </c>
      <c r="CU21" s="61">
        <v>1.7968717942545547E-4</v>
      </c>
      <c r="CV21" s="61">
        <v>1.7789030763120091E-4</v>
      </c>
      <c r="CW21" s="61">
        <v>1.7611140455488889E-4</v>
      </c>
      <c r="CX21" s="61">
        <v>1.7435029050934001E-4</v>
      </c>
      <c r="CY21" s="53">
        <v>1.7260678760424661E-4</v>
      </c>
    </row>
    <row r="22" spans="1:103">
      <c r="A22" s="60">
        <v>40</v>
      </c>
      <c r="B22" s="60">
        <v>3.9599999999999998E-4</v>
      </c>
      <c r="C22" s="60">
        <v>4.0304879999999998E-4</v>
      </c>
      <c r="D22" s="60">
        <v>4.1050520279999997E-4</v>
      </c>
      <c r="E22" s="60">
        <v>4.1801744801123994E-4</v>
      </c>
      <c r="F22" s="60">
        <v>4.251655463722321E-4</v>
      </c>
      <c r="G22" s="60">
        <v>4.3158554612245277E-4</v>
      </c>
      <c r="H22" s="60">
        <v>4.3698036544898342E-4</v>
      </c>
      <c r="I22" s="60">
        <v>4.4113167892074876E-4</v>
      </c>
      <c r="J22" s="60">
        <v>4.4395492166584156E-4</v>
      </c>
      <c r="K22" s="60">
        <v>4.455531593838386E-4</v>
      </c>
      <c r="L22" s="60">
        <v>4.4608782317509922E-4</v>
      </c>
      <c r="M22" s="60">
        <v>4.4573095291655911E-4</v>
      </c>
      <c r="N22" s="60">
        <v>4.4452747934368438E-4</v>
      </c>
      <c r="O22" s="60">
        <v>4.4252710568663784E-4</v>
      </c>
      <c r="P22" s="60">
        <v>4.3987194305251801E-4</v>
      </c>
      <c r="Q22" s="60">
        <v>4.3666087786823466E-4</v>
      </c>
      <c r="R22" s="60">
        <v>4.3303659258192833E-4</v>
      </c>
      <c r="S22" s="60">
        <v>4.2909595958943276E-4</v>
      </c>
      <c r="T22" s="61">
        <v>4.2497663837737416E-4</v>
      </c>
      <c r="U22" s="61">
        <v>4.2076936965743816E-4</v>
      </c>
      <c r="V22" s="61">
        <v>4.1656167596086375E-4</v>
      </c>
      <c r="W22" s="61">
        <v>4.123960592012551E-4</v>
      </c>
      <c r="X22" s="61">
        <v>4.0827209860924257E-4</v>
      </c>
      <c r="Y22" s="61">
        <v>4.0418937762315015E-4</v>
      </c>
      <c r="Z22" s="61">
        <v>4.0014748384691864E-4</v>
      </c>
      <c r="AA22" s="61">
        <v>3.9614600900844947E-4</v>
      </c>
      <c r="AB22" s="61">
        <v>3.9218454891836498E-4</v>
      </c>
      <c r="AC22" s="61">
        <v>3.8826270342918134E-4</v>
      </c>
      <c r="AD22" s="61">
        <v>3.8438007639488952E-4</v>
      </c>
      <c r="AE22" s="61">
        <v>3.805362756309406E-4</v>
      </c>
      <c r="AF22" s="61">
        <v>3.7673091287463117E-4</v>
      </c>
      <c r="AG22" s="61">
        <v>3.7296360374588486E-4</v>
      </c>
      <c r="AH22" s="61">
        <v>3.6923396770842599E-4</v>
      </c>
      <c r="AI22" s="61">
        <v>3.6554162803134171E-4</v>
      </c>
      <c r="AJ22" s="61">
        <v>3.6188621175102829E-4</v>
      </c>
      <c r="AK22" s="61">
        <v>3.58267349633518E-4</v>
      </c>
      <c r="AL22" s="61">
        <v>3.5468467613718283E-4</v>
      </c>
      <c r="AM22" s="61">
        <v>3.5113782937581099E-4</v>
      </c>
      <c r="AN22" s="61">
        <v>3.4762645108205286E-4</v>
      </c>
      <c r="AO22" s="61">
        <v>3.4415018657123236E-4</v>
      </c>
      <c r="AP22" s="61">
        <v>3.4070868470552004E-4</v>
      </c>
      <c r="AQ22" s="61">
        <v>3.3730159785846486E-4</v>
      </c>
      <c r="AR22" s="61">
        <v>3.3392858187988021E-4</v>
      </c>
      <c r="AS22" s="61">
        <v>3.3058929606108141E-4</v>
      </c>
      <c r="AT22" s="61">
        <v>3.2728340310047058E-4</v>
      </c>
      <c r="AU22" s="61">
        <v>3.2401056906946588E-4</v>
      </c>
      <c r="AV22" s="61">
        <v>3.2077046337877123E-4</v>
      </c>
      <c r="AW22" s="61">
        <v>3.1756275874498353E-4</v>
      </c>
      <c r="AX22" s="61">
        <v>3.1438713115753368E-4</v>
      </c>
      <c r="AY22" s="61">
        <v>3.1124325984595834E-4</v>
      </c>
      <c r="AZ22" s="61">
        <v>3.0813082724749874E-4</v>
      </c>
      <c r="BA22" s="61">
        <v>3.0504951897502376E-4</v>
      </c>
      <c r="BB22" s="61">
        <v>3.0199902378527351E-4</v>
      </c>
      <c r="BC22" s="61">
        <v>2.9897903354742075E-4</v>
      </c>
      <c r="BD22" s="61">
        <v>2.9598924321194654E-4</v>
      </c>
      <c r="BE22" s="61">
        <v>2.9302935077982705E-4</v>
      </c>
      <c r="BF22" s="61">
        <v>2.900990572720288E-4</v>
      </c>
      <c r="BG22" s="61">
        <v>2.8719806669930852E-4</v>
      </c>
      <c r="BH22" s="61">
        <v>2.8432608603231544E-4</v>
      </c>
      <c r="BI22" s="61">
        <v>2.8148282517199226E-4</v>
      </c>
      <c r="BJ22" s="61">
        <v>2.7866799692027232E-4</v>
      </c>
      <c r="BK22" s="61">
        <v>2.7588131695106962E-4</v>
      </c>
      <c r="BL22" s="61">
        <v>2.7312250378155894E-4</v>
      </c>
      <c r="BM22" s="61">
        <v>2.7039127874374334E-4</v>
      </c>
      <c r="BN22" s="61">
        <v>2.6768736595630591E-4</v>
      </c>
      <c r="BO22" s="61">
        <v>2.6501049229674285E-4</v>
      </c>
      <c r="BP22" s="61">
        <v>2.6236038737377542E-4</v>
      </c>
      <c r="BQ22" s="61">
        <v>2.5973678350003768E-4</v>
      </c>
      <c r="BR22" s="61">
        <v>2.5713941566503731E-4</v>
      </c>
      <c r="BS22" s="61">
        <v>2.5456802150838692E-4</v>
      </c>
      <c r="BT22" s="61">
        <v>2.5202234129330305E-4</v>
      </c>
      <c r="BU22" s="61">
        <v>2.4950211788037004E-4</v>
      </c>
      <c r="BV22" s="61">
        <v>2.4700709670156634E-4</v>
      </c>
      <c r="BW22" s="61">
        <v>2.4453702573455069E-4</v>
      </c>
      <c r="BX22" s="61">
        <v>2.4209165547720517E-4</v>
      </c>
      <c r="BY22" s="61">
        <v>2.3967073892243313E-4</v>
      </c>
      <c r="BZ22" s="61">
        <v>2.3727403153320879E-4</v>
      </c>
      <c r="CA22" s="61">
        <v>2.349012912178767E-4</v>
      </c>
      <c r="CB22" s="61">
        <v>2.3255227830569792E-4</v>
      </c>
      <c r="CC22" s="61">
        <v>2.3022675552264094E-4</v>
      </c>
      <c r="CD22" s="61">
        <v>2.2792448796741453E-4</v>
      </c>
      <c r="CE22" s="61">
        <v>2.2564524308774038E-4</v>
      </c>
      <c r="CF22" s="61">
        <v>2.2338879065686296E-4</v>
      </c>
      <c r="CG22" s="61">
        <v>2.2115490275029432E-4</v>
      </c>
      <c r="CH22" s="61">
        <v>2.1894335372279138E-4</v>
      </c>
      <c r="CI22" s="61">
        <v>2.1675392018556346E-4</v>
      </c>
      <c r="CJ22" s="61">
        <v>2.1458638098370783E-4</v>
      </c>
      <c r="CK22" s="61">
        <v>2.1244051717387075E-4</v>
      </c>
      <c r="CL22" s="61">
        <v>2.1031611200213204E-4</v>
      </c>
      <c r="CM22" s="61">
        <v>2.0821295088211073E-4</v>
      </c>
      <c r="CN22" s="61">
        <v>2.0613082137328962E-4</v>
      </c>
      <c r="CO22" s="61">
        <v>2.0406951315955673E-4</v>
      </c>
      <c r="CP22" s="61">
        <v>2.0202881802796116E-4</v>
      </c>
      <c r="CQ22" s="61">
        <v>2.0000852984768154E-4</v>
      </c>
      <c r="CR22" s="61">
        <v>1.9800844454920472E-4</v>
      </c>
      <c r="CS22" s="61">
        <v>1.9602836010371266E-4</v>
      </c>
      <c r="CT22" s="61">
        <v>1.9406807650267555E-4</v>
      </c>
      <c r="CU22" s="61">
        <v>1.9212739573764879E-4</v>
      </c>
      <c r="CV22" s="61">
        <v>1.9020612178027228E-4</v>
      </c>
      <c r="CW22" s="61">
        <v>1.8830406056246957E-4</v>
      </c>
      <c r="CX22" s="61">
        <v>1.8642101995684486E-4</v>
      </c>
      <c r="CY22" s="53">
        <v>1.8455680975727642E-4</v>
      </c>
    </row>
    <row r="23" spans="1:103">
      <c r="A23" s="60">
        <v>41</v>
      </c>
      <c r="B23" s="60">
        <v>4.3300000000000001E-4</v>
      </c>
      <c r="C23" s="60">
        <v>4.3875890000000007E-4</v>
      </c>
      <c r="D23" s="60">
        <v>4.4507702816000004E-4</v>
      </c>
      <c r="E23" s="60">
        <v>4.5161966047395201E-4</v>
      </c>
      <c r="F23" s="60">
        <v>4.5803265965268212E-4</v>
      </c>
      <c r="G23" s="60">
        <v>4.6394128096220169E-4</v>
      </c>
      <c r="H23" s="60">
        <v>4.6904463505278586E-4</v>
      </c>
      <c r="I23" s="60">
        <v>4.7312532337774507E-4</v>
      </c>
      <c r="J23" s="60">
        <v>4.7605870038268708E-4</v>
      </c>
      <c r="K23" s="60">
        <v>4.7782011757410302E-4</v>
      </c>
      <c r="L23" s="60">
        <v>4.7853684775046418E-4</v>
      </c>
      <c r="M23" s="60">
        <v>4.7829757932658896E-4</v>
      </c>
      <c r="N23" s="60">
        <v>4.7714966513620518E-4</v>
      </c>
      <c r="O23" s="60">
        <v>4.7514563654263312E-4</v>
      </c>
      <c r="P23" s="60">
        <v>4.723897918506858E-4</v>
      </c>
      <c r="Q23" s="60">
        <v>4.6903582432854593E-4</v>
      </c>
      <c r="R23" s="60">
        <v>4.6518973056905184E-4</v>
      </c>
      <c r="S23" s="60">
        <v>4.6100302299393036E-4</v>
      </c>
      <c r="T23" s="61">
        <v>4.565773939731886E-4</v>
      </c>
      <c r="U23" s="61">
        <v>4.5205727777285405E-4</v>
      </c>
      <c r="V23" s="61">
        <v>4.4753670499512549E-4</v>
      </c>
      <c r="W23" s="61">
        <v>4.4306133794517425E-4</v>
      </c>
      <c r="X23" s="61">
        <v>4.3863072456572249E-4</v>
      </c>
      <c r="Y23" s="61">
        <v>4.3424441732006525E-4</v>
      </c>
      <c r="Z23" s="61">
        <v>4.2990197314686458E-4</v>
      </c>
      <c r="AA23" s="61">
        <v>4.2560295341539592E-4</v>
      </c>
      <c r="AB23" s="61">
        <v>4.2134692388124198E-4</v>
      </c>
      <c r="AC23" s="61">
        <v>4.1713345464242953E-4</v>
      </c>
      <c r="AD23" s="61">
        <v>4.1296212009600525E-4</v>
      </c>
      <c r="AE23" s="61">
        <v>4.0883249889504521E-4</v>
      </c>
      <c r="AF23" s="61">
        <v>4.0474417390609478E-4</v>
      </c>
      <c r="AG23" s="61">
        <v>4.0069673216703384E-4</v>
      </c>
      <c r="AH23" s="61">
        <v>3.9668976484536351E-4</v>
      </c>
      <c r="AI23" s="61">
        <v>3.9272286719690985E-4</v>
      </c>
      <c r="AJ23" s="61">
        <v>3.8879563852494076E-4</v>
      </c>
      <c r="AK23" s="61">
        <v>3.8490768213969134E-4</v>
      </c>
      <c r="AL23" s="61">
        <v>3.8105860531829444E-4</v>
      </c>
      <c r="AM23" s="61">
        <v>3.7724801926511148E-4</v>
      </c>
      <c r="AN23" s="61">
        <v>3.7347553907246035E-4</v>
      </c>
      <c r="AO23" s="61">
        <v>3.6974078368173574E-4</v>
      </c>
      <c r="AP23" s="61">
        <v>3.6604337584491837E-4</v>
      </c>
      <c r="AQ23" s="61">
        <v>3.6238294208646918E-4</v>
      </c>
      <c r="AR23" s="61">
        <v>3.5875911266560449E-4</v>
      </c>
      <c r="AS23" s="61">
        <v>3.5517152153894847E-4</v>
      </c>
      <c r="AT23" s="61">
        <v>3.5161980632355898E-4</v>
      </c>
      <c r="AU23" s="61">
        <v>3.481036082603234E-4</v>
      </c>
      <c r="AV23" s="61">
        <v>3.4462257217772018E-4</v>
      </c>
      <c r="AW23" s="61">
        <v>3.4117634645594298E-4</v>
      </c>
      <c r="AX23" s="61">
        <v>3.3776458299138358E-4</v>
      </c>
      <c r="AY23" s="61">
        <v>3.3438693716146973E-4</v>
      </c>
      <c r="AZ23" s="61">
        <v>3.3104306778985505E-4</v>
      </c>
      <c r="BA23" s="61">
        <v>3.2773263711195652E-4</v>
      </c>
      <c r="BB23" s="61">
        <v>3.2445531074083695E-4</v>
      </c>
      <c r="BC23" s="61">
        <v>3.2121075763342859E-4</v>
      </c>
      <c r="BD23" s="61">
        <v>3.1799865005709431E-4</v>
      </c>
      <c r="BE23" s="61">
        <v>3.1481866355652339E-4</v>
      </c>
      <c r="BF23" s="61">
        <v>3.1167047692095813E-4</v>
      </c>
      <c r="BG23" s="61">
        <v>3.0855377215174856E-4</v>
      </c>
      <c r="BH23" s="61">
        <v>3.0546823443023107E-4</v>
      </c>
      <c r="BI23" s="61">
        <v>3.0241355208592875E-4</v>
      </c>
      <c r="BJ23" s="61">
        <v>2.9938941656506944E-4</v>
      </c>
      <c r="BK23" s="61">
        <v>2.9639552239941872E-4</v>
      </c>
      <c r="BL23" s="61">
        <v>2.9343156717542455E-4</v>
      </c>
      <c r="BM23" s="61">
        <v>2.9049725150367029E-4</v>
      </c>
      <c r="BN23" s="61">
        <v>2.8759227898863361E-4</v>
      </c>
      <c r="BO23" s="61">
        <v>2.8471635619874727E-4</v>
      </c>
      <c r="BP23" s="61">
        <v>2.8186919263675981E-4</v>
      </c>
      <c r="BQ23" s="61">
        <v>2.7905050071039224E-4</v>
      </c>
      <c r="BR23" s="61">
        <v>2.7625999570328832E-4</v>
      </c>
      <c r="BS23" s="61">
        <v>2.7349739574625541E-4</v>
      </c>
      <c r="BT23" s="61">
        <v>2.7076242178879288E-4</v>
      </c>
      <c r="BU23" s="61">
        <v>2.6805479757090493E-4</v>
      </c>
      <c r="BV23" s="61">
        <v>2.6537424959519588E-4</v>
      </c>
      <c r="BW23" s="61">
        <v>2.6272050709924392E-4</v>
      </c>
      <c r="BX23" s="61">
        <v>2.6009330202825145E-4</v>
      </c>
      <c r="BY23" s="61">
        <v>2.5749236900796894E-4</v>
      </c>
      <c r="BZ23" s="61">
        <v>2.5491744531788924E-4</v>
      </c>
      <c r="CA23" s="61">
        <v>2.5236827086471032E-4</v>
      </c>
      <c r="CB23" s="61">
        <v>2.4984458815606323E-4</v>
      </c>
      <c r="CC23" s="61">
        <v>2.4734614227450258E-4</v>
      </c>
      <c r="CD23" s="61">
        <v>2.4487268085175755E-4</v>
      </c>
      <c r="CE23" s="61">
        <v>2.4242395404323996E-4</v>
      </c>
      <c r="CF23" s="61">
        <v>2.3999971450280755E-4</v>
      </c>
      <c r="CG23" s="61">
        <v>2.3759971735777947E-4</v>
      </c>
      <c r="CH23" s="61">
        <v>2.3522372018420167E-4</v>
      </c>
      <c r="CI23" s="61">
        <v>2.3287148298235965E-4</v>
      </c>
      <c r="CJ23" s="61">
        <v>2.3054276815253605E-4</v>
      </c>
      <c r="CK23" s="61">
        <v>2.2823734047101068E-4</v>
      </c>
      <c r="CL23" s="61">
        <v>2.2595496706630057E-4</v>
      </c>
      <c r="CM23" s="61">
        <v>2.2369541739563758E-4</v>
      </c>
      <c r="CN23" s="61">
        <v>2.2145846322168121E-4</v>
      </c>
      <c r="CO23" s="61">
        <v>2.1924387858946438E-4</v>
      </c>
      <c r="CP23" s="61">
        <v>2.1705143980356974E-4</v>
      </c>
      <c r="CQ23" s="61">
        <v>2.1488092540553402E-4</v>
      </c>
      <c r="CR23" s="61">
        <v>2.1273211615147869E-4</v>
      </c>
      <c r="CS23" s="61">
        <v>2.1060479498996389E-4</v>
      </c>
      <c r="CT23" s="61">
        <v>2.0849874704006424E-4</v>
      </c>
      <c r="CU23" s="61">
        <v>2.0641375956966359E-4</v>
      </c>
      <c r="CV23" s="61">
        <v>2.0434962197396695E-4</v>
      </c>
      <c r="CW23" s="61">
        <v>2.0230612575422729E-4</v>
      </c>
      <c r="CX23" s="61">
        <v>2.00283064496685E-4</v>
      </c>
      <c r="CY23" s="53">
        <v>1.9828023385171816E-4</v>
      </c>
    </row>
    <row r="24" spans="1:103">
      <c r="A24" s="60">
        <v>42</v>
      </c>
      <c r="B24" s="60">
        <v>4.7699999999999999E-4</v>
      </c>
      <c r="C24" s="60">
        <v>4.8124529999999993E-4</v>
      </c>
      <c r="D24" s="60">
        <v>4.8620212658999991E-4</v>
      </c>
      <c r="E24" s="60">
        <v>4.9155034998248982E-4</v>
      </c>
      <c r="F24" s="60">
        <v>4.9700655886729546E-4</v>
      </c>
      <c r="G24" s="60">
        <v>5.0222512773540203E-4</v>
      </c>
      <c r="H24" s="60">
        <v>5.0689582142334128E-4</v>
      </c>
      <c r="I24" s="60">
        <v>5.1079891924830098E-4</v>
      </c>
      <c r="J24" s="60">
        <v>5.1371047308801637E-4</v>
      </c>
      <c r="K24" s="60">
        <v>5.1555983079113322E-4</v>
      </c>
      <c r="L24" s="60">
        <v>5.1638472652039901E-4</v>
      </c>
      <c r="M24" s="60">
        <v>5.1628144957509498E-4</v>
      </c>
      <c r="N24" s="60">
        <v>5.1519725853098732E-4</v>
      </c>
      <c r="O24" s="60">
        <v>5.1318798922271645E-4</v>
      </c>
      <c r="P24" s="60">
        <v>5.1036545528199151E-4</v>
      </c>
      <c r="Q24" s="60">
        <v>5.0684393364054572E-4</v>
      </c>
      <c r="R24" s="60">
        <v>5.0273849777805735E-4</v>
      </c>
      <c r="S24" s="60">
        <v>4.9821385129805479E-4</v>
      </c>
      <c r="T24" s="61">
        <v>4.9343099832559341E-4</v>
      </c>
      <c r="U24" s="61">
        <v>4.8854603144217002E-4</v>
      </c>
      <c r="V24" s="61">
        <v>4.836605711277483E-4</v>
      </c>
      <c r="W24" s="61">
        <v>4.788239654164708E-4</v>
      </c>
      <c r="X24" s="61">
        <v>4.7403572576230609E-4</v>
      </c>
      <c r="Y24" s="61">
        <v>4.6929536850468304E-4</v>
      </c>
      <c r="Z24" s="61">
        <v>4.6460241481963621E-4</v>
      </c>
      <c r="AA24" s="61">
        <v>4.5995639067143983E-4</v>
      </c>
      <c r="AB24" s="61">
        <v>4.5535682676472544E-4</v>
      </c>
      <c r="AC24" s="61">
        <v>4.5080325849707818E-4</v>
      </c>
      <c r="AD24" s="61">
        <v>4.4629522591210742E-4</v>
      </c>
      <c r="AE24" s="61">
        <v>4.4183227365298636E-4</v>
      </c>
      <c r="AF24" s="61">
        <v>4.3741395091645647E-4</v>
      </c>
      <c r="AG24" s="61">
        <v>4.3303981140729191E-4</v>
      </c>
      <c r="AH24" s="61">
        <v>4.2870941329321898E-4</v>
      </c>
      <c r="AI24" s="61">
        <v>4.2442231916028678E-4</v>
      </c>
      <c r="AJ24" s="61">
        <v>4.201780959686839E-4</v>
      </c>
      <c r="AK24" s="61">
        <v>4.1597631500899705E-4</v>
      </c>
      <c r="AL24" s="61">
        <v>4.1181655185890706E-4</v>
      </c>
      <c r="AM24" s="61">
        <v>4.0769838634031799E-4</v>
      </c>
      <c r="AN24" s="61">
        <v>4.0362140247691481E-4</v>
      </c>
      <c r="AO24" s="61">
        <v>3.9958518845214564E-4</v>
      </c>
      <c r="AP24" s="61">
        <v>3.955893365676242E-4</v>
      </c>
      <c r="AQ24" s="61">
        <v>3.9163344320194797E-4</v>
      </c>
      <c r="AR24" s="61">
        <v>3.8771710876992849E-4</v>
      </c>
      <c r="AS24" s="61">
        <v>3.8383993768222919E-4</v>
      </c>
      <c r="AT24" s="61">
        <v>3.8000153830540691E-4</v>
      </c>
      <c r="AU24" s="61">
        <v>3.7620152292235282E-4</v>
      </c>
      <c r="AV24" s="61">
        <v>3.7243950769312931E-4</v>
      </c>
      <c r="AW24" s="61">
        <v>3.6871511261619803E-4</v>
      </c>
      <c r="AX24" s="61">
        <v>3.6502796149003605E-4</v>
      </c>
      <c r="AY24" s="61">
        <v>3.6137768187513569E-4</v>
      </c>
      <c r="AZ24" s="61">
        <v>3.5776390505638431E-4</v>
      </c>
      <c r="BA24" s="61">
        <v>3.5418626600582049E-4</v>
      </c>
      <c r="BB24" s="61">
        <v>3.5064440334576228E-4</v>
      </c>
      <c r="BC24" s="61">
        <v>3.4713795931230464E-4</v>
      </c>
      <c r="BD24" s="61">
        <v>3.4366657971918158E-4</v>
      </c>
      <c r="BE24" s="61">
        <v>3.4022991392198979E-4</v>
      </c>
      <c r="BF24" s="61">
        <v>3.3682761478276988E-4</v>
      </c>
      <c r="BG24" s="61">
        <v>3.3345933863494217E-4</v>
      </c>
      <c r="BH24" s="61">
        <v>3.3012474524859276E-4</v>
      </c>
      <c r="BI24" s="61">
        <v>3.2682349779610681E-4</v>
      </c>
      <c r="BJ24" s="61">
        <v>3.2355526281814572E-4</v>
      </c>
      <c r="BK24" s="61">
        <v>3.2031971018996424E-4</v>
      </c>
      <c r="BL24" s="61">
        <v>3.1711651308806459E-4</v>
      </c>
      <c r="BM24" s="61">
        <v>3.1394534795718394E-4</v>
      </c>
      <c r="BN24" s="61">
        <v>3.1080589447761209E-4</v>
      </c>
      <c r="BO24" s="61">
        <v>3.0769783553283596E-4</v>
      </c>
      <c r="BP24" s="61">
        <v>3.046208571775076E-4</v>
      </c>
      <c r="BQ24" s="61">
        <v>3.0157464860573253E-4</v>
      </c>
      <c r="BR24" s="61">
        <v>2.9855890211967522E-4</v>
      </c>
      <c r="BS24" s="61">
        <v>2.9557331309847844E-4</v>
      </c>
      <c r="BT24" s="61">
        <v>2.9261757996749363E-4</v>
      </c>
      <c r="BU24" s="61">
        <v>2.8969140416781869E-4</v>
      </c>
      <c r="BV24" s="61">
        <v>2.8679449012614051E-4</v>
      </c>
      <c r="BW24" s="61">
        <v>2.8392654522487913E-4</v>
      </c>
      <c r="BX24" s="61">
        <v>2.8108727977263032E-4</v>
      </c>
      <c r="BY24" s="61">
        <v>2.7827640697490402E-4</v>
      </c>
      <c r="BZ24" s="61">
        <v>2.7549364290515498E-4</v>
      </c>
      <c r="CA24" s="61">
        <v>2.7273870647610344E-4</v>
      </c>
      <c r="CB24" s="61">
        <v>2.7001131941134239E-4</v>
      </c>
      <c r="CC24" s="61">
        <v>2.6731120621722895E-4</v>
      </c>
      <c r="CD24" s="61">
        <v>2.6463809415505667E-4</v>
      </c>
      <c r="CE24" s="61">
        <v>2.619917132135061E-4</v>
      </c>
      <c r="CF24" s="61">
        <v>2.5937179608137101E-4</v>
      </c>
      <c r="CG24" s="61">
        <v>2.5677807812055732E-4</v>
      </c>
      <c r="CH24" s="61">
        <v>2.5421029733935176E-4</v>
      </c>
      <c r="CI24" s="61">
        <v>2.5166819436595825E-4</v>
      </c>
      <c r="CJ24" s="61">
        <v>2.4915151242229869E-4</v>
      </c>
      <c r="CK24" s="61">
        <v>2.466599972980757E-4</v>
      </c>
      <c r="CL24" s="61">
        <v>2.4419339732509494E-4</v>
      </c>
      <c r="CM24" s="61">
        <v>2.4175146335184399E-4</v>
      </c>
      <c r="CN24" s="61">
        <v>2.3933394871832555E-4</v>
      </c>
      <c r="CO24" s="61">
        <v>2.3694060923114228E-4</v>
      </c>
      <c r="CP24" s="61">
        <v>2.3457120313883086E-4</v>
      </c>
      <c r="CQ24" s="61">
        <v>2.3222549110744255E-4</v>
      </c>
      <c r="CR24" s="61">
        <v>2.2990323619636813E-4</v>
      </c>
      <c r="CS24" s="61">
        <v>2.2760420383440445E-4</v>
      </c>
      <c r="CT24" s="61">
        <v>2.2532816179606039E-4</v>
      </c>
      <c r="CU24" s="61">
        <v>2.2307488017809978E-4</v>
      </c>
      <c r="CV24" s="61">
        <v>2.2084413137631877E-4</v>
      </c>
      <c r="CW24" s="61">
        <v>2.1863569006255558E-4</v>
      </c>
      <c r="CX24" s="61">
        <v>2.1644933316193002E-4</v>
      </c>
      <c r="CY24" s="53">
        <v>2.1428483983031073E-4</v>
      </c>
    </row>
    <row r="25" spans="1:103">
      <c r="A25" s="60">
        <v>43</v>
      </c>
      <c r="B25" s="60">
        <v>5.2899999999999996E-4</v>
      </c>
      <c r="C25" s="60">
        <v>5.3159209999999993E-4</v>
      </c>
      <c r="D25" s="60">
        <v>5.3494113022999989E-4</v>
      </c>
      <c r="E25" s="60">
        <v>5.3889969459370191E-4</v>
      </c>
      <c r="F25" s="60">
        <v>5.4315700218099221E-4</v>
      </c>
      <c r="G25" s="60">
        <v>5.474479424982221E-4</v>
      </c>
      <c r="H25" s="60">
        <v>5.5149905727270904E-4</v>
      </c>
      <c r="I25" s="60">
        <v>5.5502865123925431E-4</v>
      </c>
      <c r="J25" s="60">
        <v>5.577482916303266E-4</v>
      </c>
      <c r="K25" s="60">
        <v>5.5958886099270668E-4</v>
      </c>
      <c r="L25" s="60">
        <v>5.6048420317029502E-4</v>
      </c>
      <c r="M25" s="60">
        <v>5.6042815474997799E-4</v>
      </c>
      <c r="N25" s="60">
        <v>5.5936334125595308E-4</v>
      </c>
      <c r="O25" s="60">
        <v>5.5729369689330602E-4</v>
      </c>
      <c r="P25" s="60">
        <v>5.543400402997715E-4</v>
      </c>
      <c r="Q25" s="60">
        <v>5.5057052802573306E-4</v>
      </c>
      <c r="R25" s="60">
        <v>5.4616596380152723E-4</v>
      </c>
      <c r="S25" s="60">
        <v>5.4130508672369361E-4</v>
      </c>
      <c r="T25" s="61">
        <v>5.3616268839981856E-4</v>
      </c>
      <c r="U25" s="61">
        <v>5.308546777846603E-4</v>
      </c>
      <c r="V25" s="61">
        <v>5.2554613100681369E-4</v>
      </c>
      <c r="W25" s="61">
        <v>5.2029066969674551E-4</v>
      </c>
      <c r="X25" s="61">
        <v>5.1508776299977806E-4</v>
      </c>
      <c r="Y25" s="61">
        <v>5.0993688536978032E-4</v>
      </c>
      <c r="Z25" s="61">
        <v>5.0483751651608246E-4</v>
      </c>
      <c r="AA25" s="61">
        <v>4.9978914135092158E-4</v>
      </c>
      <c r="AB25" s="61">
        <v>4.9479124993741231E-4</v>
      </c>
      <c r="AC25" s="61">
        <v>4.8984333743803813E-4</v>
      </c>
      <c r="AD25" s="61">
        <v>4.8494490406365777E-4</v>
      </c>
      <c r="AE25" s="61">
        <v>4.8009545502302121E-4</v>
      </c>
      <c r="AF25" s="61">
        <v>4.75294500472791E-4</v>
      </c>
      <c r="AG25" s="61">
        <v>4.7054155546806309E-4</v>
      </c>
      <c r="AH25" s="61">
        <v>4.6583613991338244E-4</v>
      </c>
      <c r="AI25" s="61">
        <v>4.6117777851424862E-4</v>
      </c>
      <c r="AJ25" s="61">
        <v>4.5656600072910611E-4</v>
      </c>
      <c r="AK25" s="61">
        <v>4.5200034072181506E-4</v>
      </c>
      <c r="AL25" s="61">
        <v>4.4748033731459693E-4</v>
      </c>
      <c r="AM25" s="61">
        <v>4.4300553394145095E-4</v>
      </c>
      <c r="AN25" s="61">
        <v>4.3857547860203644E-4</v>
      </c>
      <c r="AO25" s="61">
        <v>4.3418972381601605E-4</v>
      </c>
      <c r="AP25" s="61">
        <v>4.2984782657785588E-4</v>
      </c>
      <c r="AQ25" s="61">
        <v>4.2554934831207732E-4</v>
      </c>
      <c r="AR25" s="61">
        <v>4.2129385482895653E-4</v>
      </c>
      <c r="AS25" s="61">
        <v>4.1708091628066697E-4</v>
      </c>
      <c r="AT25" s="61">
        <v>4.1291010711786032E-4</v>
      </c>
      <c r="AU25" s="61">
        <v>4.087810060466817E-4</v>
      </c>
      <c r="AV25" s="61">
        <v>4.0469319598621486E-4</v>
      </c>
      <c r="AW25" s="61">
        <v>4.006462640263527E-4</v>
      </c>
      <c r="AX25" s="61">
        <v>3.9663980138608917E-4</v>
      </c>
      <c r="AY25" s="61">
        <v>3.9267340337222826E-4</v>
      </c>
      <c r="AZ25" s="61">
        <v>3.8874666933850599E-4</v>
      </c>
      <c r="BA25" s="61">
        <v>3.8485920264512094E-4</v>
      </c>
      <c r="BB25" s="61">
        <v>3.8101061061866971E-4</v>
      </c>
      <c r="BC25" s="61">
        <v>3.7720050451248301E-4</v>
      </c>
      <c r="BD25" s="61">
        <v>3.7342849946735818E-4</v>
      </c>
      <c r="BE25" s="61">
        <v>3.6969421447268462E-4</v>
      </c>
      <c r="BF25" s="61">
        <v>3.6599727232795778E-4</v>
      </c>
      <c r="BG25" s="61">
        <v>3.6233729960467821E-4</v>
      </c>
      <c r="BH25" s="61">
        <v>3.5871392660863144E-4</v>
      </c>
      <c r="BI25" s="61">
        <v>3.551267873425451E-4</v>
      </c>
      <c r="BJ25" s="61">
        <v>3.5157551946911965E-4</v>
      </c>
      <c r="BK25" s="61">
        <v>3.4805976427442848E-4</v>
      </c>
      <c r="BL25" s="61">
        <v>3.4457916663168417E-4</v>
      </c>
      <c r="BM25" s="61">
        <v>3.4113337496536732E-4</v>
      </c>
      <c r="BN25" s="61">
        <v>3.3772204121571367E-4</v>
      </c>
      <c r="BO25" s="61">
        <v>3.3434482080355651E-4</v>
      </c>
      <c r="BP25" s="61">
        <v>3.3100137259552094E-4</v>
      </c>
      <c r="BQ25" s="61">
        <v>3.276913588695657E-4</v>
      </c>
      <c r="BR25" s="61">
        <v>3.2441444528087004E-4</v>
      </c>
      <c r="BS25" s="61">
        <v>3.2117030082806132E-4</v>
      </c>
      <c r="BT25" s="61">
        <v>3.1795859781978068E-4</v>
      </c>
      <c r="BU25" s="61">
        <v>3.1477901184158289E-4</v>
      </c>
      <c r="BV25" s="61">
        <v>3.1163122172316705E-4</v>
      </c>
      <c r="BW25" s="61">
        <v>3.0851490950593538E-4</v>
      </c>
      <c r="BX25" s="61">
        <v>3.05429760410876E-4</v>
      </c>
      <c r="BY25" s="61">
        <v>3.0237546280676721E-4</v>
      </c>
      <c r="BZ25" s="61">
        <v>2.9935170817869955E-4</v>
      </c>
      <c r="CA25" s="61">
        <v>2.9635819109691253E-4</v>
      </c>
      <c r="CB25" s="61">
        <v>2.9339460918594338E-4</v>
      </c>
      <c r="CC25" s="61">
        <v>2.9046066309408396E-4</v>
      </c>
      <c r="CD25" s="61">
        <v>2.8755605646314314E-4</v>
      </c>
      <c r="CE25" s="61">
        <v>2.846804958985117E-4</v>
      </c>
      <c r="CF25" s="61">
        <v>2.8183369093952656E-4</v>
      </c>
      <c r="CG25" s="61">
        <v>2.790153540301313E-4</v>
      </c>
      <c r="CH25" s="61">
        <v>2.7622520048982998E-4</v>
      </c>
      <c r="CI25" s="61">
        <v>2.7346294848493169E-4</v>
      </c>
      <c r="CJ25" s="61">
        <v>2.7072831900008234E-4</v>
      </c>
      <c r="CK25" s="61">
        <v>2.6802103581008153E-4</v>
      </c>
      <c r="CL25" s="61">
        <v>2.6534082545198073E-4</v>
      </c>
      <c r="CM25" s="61">
        <v>2.6268741719746093E-4</v>
      </c>
      <c r="CN25" s="61">
        <v>2.6006054302548634E-4</v>
      </c>
      <c r="CO25" s="61">
        <v>2.5745993759523146E-4</v>
      </c>
      <c r="CP25" s="61">
        <v>2.5488533821927913E-4</v>
      </c>
      <c r="CQ25" s="61">
        <v>2.5233648483708636E-4</v>
      </c>
      <c r="CR25" s="61">
        <v>2.4981311998871551E-4</v>
      </c>
      <c r="CS25" s="61">
        <v>2.4731498878882837E-4</v>
      </c>
      <c r="CT25" s="61">
        <v>2.4484183890094007E-4</v>
      </c>
      <c r="CU25" s="61">
        <v>2.4239342051193068E-4</v>
      </c>
      <c r="CV25" s="61">
        <v>2.3996948630681137E-4</v>
      </c>
      <c r="CW25" s="61">
        <v>2.3756979144374325E-4</v>
      </c>
      <c r="CX25" s="61">
        <v>2.3519409352930581E-4</v>
      </c>
      <c r="CY25" s="53">
        <v>2.3284215259401276E-4</v>
      </c>
    </row>
    <row r="26" spans="1:103">
      <c r="A26" s="60">
        <v>44</v>
      </c>
      <c r="B26" s="60">
        <v>5.8900000000000001E-4</v>
      </c>
      <c r="C26" s="60">
        <v>5.8976570000000004E-4</v>
      </c>
      <c r="D26" s="60">
        <v>5.9135806738999999E-4</v>
      </c>
      <c r="E26" s="60">
        <v>5.9366436385282096E-4</v>
      </c>
      <c r="F26" s="60">
        <v>5.965139527993145E-4</v>
      </c>
      <c r="G26" s="60">
        <v>5.9967547674915093E-4</v>
      </c>
      <c r="H26" s="60">
        <v>6.0285375677592153E-4</v>
      </c>
      <c r="I26" s="60">
        <v>6.058077401841235E-4</v>
      </c>
      <c r="J26" s="60">
        <v>6.0823097114486003E-4</v>
      </c>
      <c r="K26" s="60">
        <v>6.0993401786406561E-4</v>
      </c>
      <c r="L26" s="60">
        <v>6.1078792548907536E-4</v>
      </c>
      <c r="M26" s="60">
        <v>6.107268466965265E-4</v>
      </c>
      <c r="N26" s="60">
        <v>6.0962753837247275E-4</v>
      </c>
      <c r="O26" s="60">
        <v>6.0749384198816915E-4</v>
      </c>
      <c r="P26" s="60">
        <v>6.0433487400983065E-4</v>
      </c>
      <c r="Q26" s="60">
        <v>6.0034626384136572E-4</v>
      </c>
      <c r="R26" s="60">
        <v>5.9560352835701894E-4</v>
      </c>
      <c r="S26" s="60">
        <v>5.9036221730747712E-4</v>
      </c>
      <c r="T26" s="61">
        <v>5.8475377624305608E-4</v>
      </c>
      <c r="U26" s="61">
        <v>5.7896471385824981E-4</v>
      </c>
      <c r="V26" s="61">
        <v>5.7317506671966732E-4</v>
      </c>
      <c r="W26" s="61">
        <v>5.6744331605247059E-4</v>
      </c>
      <c r="X26" s="61">
        <v>5.6176888289194589E-4</v>
      </c>
      <c r="Y26" s="61">
        <v>5.5615119406302645E-4</v>
      </c>
      <c r="Z26" s="61">
        <v>5.505896821223962E-4</v>
      </c>
      <c r="AA26" s="61">
        <v>5.4508378530117221E-4</v>
      </c>
      <c r="AB26" s="61">
        <v>5.3963294744816047E-4</v>
      </c>
      <c r="AC26" s="61">
        <v>5.3423661797367885E-4</v>
      </c>
      <c r="AD26" s="61">
        <v>5.2889425179394206E-4</v>
      </c>
      <c r="AE26" s="61">
        <v>5.2360530927600261E-4</v>
      </c>
      <c r="AF26" s="61">
        <v>5.1836925618324256E-4</v>
      </c>
      <c r="AG26" s="61">
        <v>5.1318556362141016E-4</v>
      </c>
      <c r="AH26" s="61">
        <v>5.0805370798519603E-4</v>
      </c>
      <c r="AI26" s="61">
        <v>5.0297317090534411E-4</v>
      </c>
      <c r="AJ26" s="61">
        <v>4.979434391962907E-4</v>
      </c>
      <c r="AK26" s="61">
        <v>4.9296400480432776E-4</v>
      </c>
      <c r="AL26" s="61">
        <v>4.8803436475628446E-4</v>
      </c>
      <c r="AM26" s="61">
        <v>4.8315402110872161E-4</v>
      </c>
      <c r="AN26" s="61">
        <v>4.7832248089763437E-4</v>
      </c>
      <c r="AO26" s="61">
        <v>4.7353925608865802E-4</v>
      </c>
      <c r="AP26" s="61">
        <v>4.6880386352777143E-4</v>
      </c>
      <c r="AQ26" s="61">
        <v>4.6411582489249369E-4</v>
      </c>
      <c r="AR26" s="61">
        <v>4.5947466664356877E-4</v>
      </c>
      <c r="AS26" s="61">
        <v>4.548799199771331E-4</v>
      </c>
      <c r="AT26" s="61">
        <v>4.5033112077736174E-4</v>
      </c>
      <c r="AU26" s="61">
        <v>4.4582780956958811E-4</v>
      </c>
      <c r="AV26" s="61">
        <v>4.4136953147389223E-4</v>
      </c>
      <c r="AW26" s="61">
        <v>4.369558361591533E-4</v>
      </c>
      <c r="AX26" s="61">
        <v>4.3258627779756175E-4</v>
      </c>
      <c r="AY26" s="61">
        <v>4.282604150195861E-4</v>
      </c>
      <c r="AZ26" s="61">
        <v>4.2397781086939021E-4</v>
      </c>
      <c r="BA26" s="61">
        <v>4.1973803276069629E-4</v>
      </c>
      <c r="BB26" s="61">
        <v>4.1554065243308932E-4</v>
      </c>
      <c r="BC26" s="61">
        <v>4.1138524590875842E-4</v>
      </c>
      <c r="BD26" s="61">
        <v>4.0727139344967086E-4</v>
      </c>
      <c r="BE26" s="61">
        <v>4.0319867951517412E-4</v>
      </c>
      <c r="BF26" s="61">
        <v>3.9916669272002236E-4</v>
      </c>
      <c r="BG26" s="61">
        <v>3.9517502579282214E-4</v>
      </c>
      <c r="BH26" s="61">
        <v>3.912232755348939E-4</v>
      </c>
      <c r="BI26" s="61">
        <v>3.8731104277954498E-4</v>
      </c>
      <c r="BJ26" s="61">
        <v>3.8343793235174955E-4</v>
      </c>
      <c r="BK26" s="61">
        <v>3.7960355302823205E-4</v>
      </c>
      <c r="BL26" s="61">
        <v>3.7580751749794974E-4</v>
      </c>
      <c r="BM26" s="61">
        <v>3.7204944232297024E-4</v>
      </c>
      <c r="BN26" s="61">
        <v>3.6832894789974054E-4</v>
      </c>
      <c r="BO26" s="61">
        <v>3.6464565842074314E-4</v>
      </c>
      <c r="BP26" s="61">
        <v>3.6099920183653569E-4</v>
      </c>
      <c r="BQ26" s="61">
        <v>3.5738920981817033E-4</v>
      </c>
      <c r="BR26" s="61">
        <v>3.5381531771998861E-4</v>
      </c>
      <c r="BS26" s="61">
        <v>3.502771645427887E-4</v>
      </c>
      <c r="BT26" s="61">
        <v>3.467743928973608E-4</v>
      </c>
      <c r="BU26" s="61">
        <v>3.433066489683872E-4</v>
      </c>
      <c r="BV26" s="61">
        <v>3.3987358247870332E-4</v>
      </c>
      <c r="BW26" s="61">
        <v>3.3647484665391626E-4</v>
      </c>
      <c r="BX26" s="61">
        <v>3.3311009818737708E-4</v>
      </c>
      <c r="BY26" s="61">
        <v>3.2977899720550331E-4</v>
      </c>
      <c r="BZ26" s="61">
        <v>3.2648120723344828E-4</v>
      </c>
      <c r="CA26" s="61">
        <v>3.2321639516111377E-4</v>
      </c>
      <c r="CB26" s="61">
        <v>3.1998423120950265E-4</v>
      </c>
      <c r="CC26" s="61">
        <v>3.1678438889740763E-4</v>
      </c>
      <c r="CD26" s="61">
        <v>3.1361654500843353E-4</v>
      </c>
      <c r="CE26" s="61">
        <v>3.1048037955834918E-4</v>
      </c>
      <c r="CF26" s="61">
        <v>3.0737557576276567E-4</v>
      </c>
      <c r="CG26" s="61">
        <v>3.04301820005138E-4</v>
      </c>
      <c r="CH26" s="61">
        <v>3.0125880180508662E-4</v>
      </c>
      <c r="CI26" s="61">
        <v>2.9824621378703577E-4</v>
      </c>
      <c r="CJ26" s="61">
        <v>2.9526375164916542E-4</v>
      </c>
      <c r="CK26" s="61">
        <v>2.9231111413267376E-4</v>
      </c>
      <c r="CL26" s="61">
        <v>2.8938800299134704E-4</v>
      </c>
      <c r="CM26" s="61">
        <v>2.8649412296143355E-4</v>
      </c>
      <c r="CN26" s="61">
        <v>2.8362918173181924E-4</v>
      </c>
      <c r="CO26" s="61">
        <v>2.8079288991450106E-4</v>
      </c>
      <c r="CP26" s="61">
        <v>2.7798496101535605E-4</v>
      </c>
      <c r="CQ26" s="61">
        <v>2.7520511140520249E-4</v>
      </c>
      <c r="CR26" s="61">
        <v>2.7245306029115046E-4</v>
      </c>
      <c r="CS26" s="61">
        <v>2.6972852968823897E-4</v>
      </c>
      <c r="CT26" s="61">
        <v>2.6703124439135658E-4</v>
      </c>
      <c r="CU26" s="61">
        <v>2.6436093194744304E-4</v>
      </c>
      <c r="CV26" s="61">
        <v>2.6171732262796863E-4</v>
      </c>
      <c r="CW26" s="61">
        <v>2.5910014940168895E-4</v>
      </c>
      <c r="CX26" s="61">
        <v>2.5650914790767204E-4</v>
      </c>
      <c r="CY26" s="53">
        <v>2.5394405642859534E-4</v>
      </c>
    </row>
    <row r="27" spans="1:103">
      <c r="A27" s="60">
        <v>45</v>
      </c>
      <c r="B27" s="60">
        <v>6.5700000000000003E-4</v>
      </c>
      <c r="C27" s="60">
        <v>6.559488E-4</v>
      </c>
      <c r="D27" s="60">
        <v>6.5568642048000004E-4</v>
      </c>
      <c r="E27" s="60">
        <v>6.5627653825843198E-4</v>
      </c>
      <c r="F27" s="60">
        <v>6.5752346368112304E-4</v>
      </c>
      <c r="G27" s="60">
        <v>6.5936452937943011E-4</v>
      </c>
      <c r="H27" s="60">
        <v>6.6147449587344431E-4</v>
      </c>
      <c r="I27" s="60">
        <v>6.6359121426023938E-4</v>
      </c>
      <c r="J27" s="60">
        <v>6.6544926966016803E-4</v>
      </c>
      <c r="K27" s="60">
        <v>6.6684671312645439E-4</v>
      </c>
      <c r="L27" s="60">
        <v>6.6751355983958073E-4</v>
      </c>
      <c r="M27" s="60">
        <v>6.6731330577162883E-4</v>
      </c>
      <c r="N27" s="60">
        <v>6.6611214182123993E-4</v>
      </c>
      <c r="O27" s="60">
        <v>6.6384736053904769E-4</v>
      </c>
      <c r="P27" s="60">
        <v>6.605281237363524E-4</v>
      </c>
      <c r="Q27" s="60">
        <v>6.5623469093206612E-4</v>
      </c>
      <c r="R27" s="60">
        <v>6.5111606034279595E-4</v>
      </c>
      <c r="S27" s="60">
        <v>6.4545135061781355E-4</v>
      </c>
      <c r="T27" s="61">
        <v>6.3931956278694439E-4</v>
      </c>
      <c r="U27" s="61">
        <v>6.3299029911535363E-4</v>
      </c>
      <c r="V27" s="61">
        <v>6.2666039612420009E-4</v>
      </c>
      <c r="W27" s="61">
        <v>6.2039379216295807E-4</v>
      </c>
      <c r="X27" s="61">
        <v>6.1418985424132851E-4</v>
      </c>
      <c r="Y27" s="61">
        <v>6.080479556989152E-4</v>
      </c>
      <c r="Z27" s="61">
        <v>6.0196747614192604E-4</v>
      </c>
      <c r="AA27" s="61">
        <v>5.9594780138050676E-4</v>
      </c>
      <c r="AB27" s="61">
        <v>5.8998832336670164E-4</v>
      </c>
      <c r="AC27" s="61">
        <v>5.8408844013303459E-4</v>
      </c>
      <c r="AD27" s="61">
        <v>5.7824755573170419E-4</v>
      </c>
      <c r="AE27" s="61">
        <v>5.7246508017438718E-4</v>
      </c>
      <c r="AF27" s="61">
        <v>5.6674042937264327E-4</v>
      </c>
      <c r="AG27" s="61">
        <v>5.6107302507891685E-4</v>
      </c>
      <c r="AH27" s="61">
        <v>5.5546229482812768E-4</v>
      </c>
      <c r="AI27" s="61">
        <v>5.4990767187984644E-4</v>
      </c>
      <c r="AJ27" s="61">
        <v>5.4440859516104796E-4</v>
      </c>
      <c r="AK27" s="61">
        <v>5.3896450920943749E-4</v>
      </c>
      <c r="AL27" s="61">
        <v>5.3357486411734309E-4</v>
      </c>
      <c r="AM27" s="61">
        <v>5.2823911547616965E-4</v>
      </c>
      <c r="AN27" s="61">
        <v>5.2295672432140796E-4</v>
      </c>
      <c r="AO27" s="61">
        <v>5.1772715707819382E-4</v>
      </c>
      <c r="AP27" s="61">
        <v>5.1254988550741192E-4</v>
      </c>
      <c r="AQ27" s="61">
        <v>5.0742438665233778E-4</v>
      </c>
      <c r="AR27" s="61">
        <v>5.0235014278581435E-4</v>
      </c>
      <c r="AS27" s="61">
        <v>4.9732664135795619E-4</v>
      </c>
      <c r="AT27" s="61">
        <v>4.9235337494437661E-4</v>
      </c>
      <c r="AU27" s="61">
        <v>4.8742984119493283E-4</v>
      </c>
      <c r="AV27" s="61">
        <v>4.8255554278298351E-4</v>
      </c>
      <c r="AW27" s="61">
        <v>4.7772998735515367E-4</v>
      </c>
      <c r="AX27" s="61">
        <v>4.7295268748160214E-4</v>
      </c>
      <c r="AY27" s="61">
        <v>4.682231606067861E-4</v>
      </c>
      <c r="AZ27" s="61">
        <v>4.6354092900071823E-4</v>
      </c>
      <c r="BA27" s="61">
        <v>4.5890551971071106E-4</v>
      </c>
      <c r="BB27" s="61">
        <v>4.5431646451360392E-4</v>
      </c>
      <c r="BC27" s="61">
        <v>4.4977329986846788E-4</v>
      </c>
      <c r="BD27" s="61">
        <v>4.4527556686978318E-4</v>
      </c>
      <c r="BE27" s="61">
        <v>4.4082281120108536E-4</v>
      </c>
      <c r="BF27" s="61">
        <v>4.3641458308907451E-4</v>
      </c>
      <c r="BG27" s="61">
        <v>4.3205043725818377E-4</v>
      </c>
      <c r="BH27" s="61">
        <v>4.2772993288560195E-4</v>
      </c>
      <c r="BI27" s="61">
        <v>4.2345263355674591E-4</v>
      </c>
      <c r="BJ27" s="61">
        <v>4.1921810722117845E-4</v>
      </c>
      <c r="BK27" s="61">
        <v>4.1502592614896667E-4</v>
      </c>
      <c r="BL27" s="61">
        <v>4.1087566688747699E-4</v>
      </c>
      <c r="BM27" s="61">
        <v>4.0676691021860223E-4</v>
      </c>
      <c r="BN27" s="61">
        <v>4.0269924111641618E-4</v>
      </c>
      <c r="BO27" s="61">
        <v>3.9867224870525201E-4</v>
      </c>
      <c r="BP27" s="61">
        <v>3.9468552621819947E-4</v>
      </c>
      <c r="BQ27" s="61">
        <v>3.9073867095601748E-4</v>
      </c>
      <c r="BR27" s="61">
        <v>3.8683128424645729E-4</v>
      </c>
      <c r="BS27" s="61">
        <v>3.8296297140399271E-4</v>
      </c>
      <c r="BT27" s="61">
        <v>3.7913334168995278E-4</v>
      </c>
      <c r="BU27" s="61">
        <v>3.7534200827305328E-4</v>
      </c>
      <c r="BV27" s="61">
        <v>3.7158858819032274E-4</v>
      </c>
      <c r="BW27" s="61">
        <v>3.6787270230841953E-4</v>
      </c>
      <c r="BX27" s="61">
        <v>3.6419397528533531E-4</v>
      </c>
      <c r="BY27" s="61">
        <v>3.6055203553248195E-4</v>
      </c>
      <c r="BZ27" s="61">
        <v>3.5694651517715714E-4</v>
      </c>
      <c r="CA27" s="61">
        <v>3.5337705002538557E-4</v>
      </c>
      <c r="CB27" s="61">
        <v>3.4984327952513168E-4</v>
      </c>
      <c r="CC27" s="61">
        <v>3.4634484672988039E-4</v>
      </c>
      <c r="CD27" s="61">
        <v>3.4288139826258156E-4</v>
      </c>
      <c r="CE27" s="61">
        <v>3.3945258427995576E-4</v>
      </c>
      <c r="CF27" s="61">
        <v>3.3605805843715618E-4</v>
      </c>
      <c r="CG27" s="61">
        <v>3.3269747785278459E-4</v>
      </c>
      <c r="CH27" s="61">
        <v>3.2937050307425673E-4</v>
      </c>
      <c r="CI27" s="61">
        <v>3.2607679804351415E-4</v>
      </c>
      <c r="CJ27" s="61">
        <v>3.22816030063079E-4</v>
      </c>
      <c r="CK27" s="61">
        <v>3.1958786976244818E-4</v>
      </c>
      <c r="CL27" s="61">
        <v>3.163919910648237E-4</v>
      </c>
      <c r="CM27" s="61">
        <v>3.1322807115417546E-4</v>
      </c>
      <c r="CN27" s="61">
        <v>3.1009579044263369E-4</v>
      </c>
      <c r="CO27" s="61">
        <v>3.0699483253820737E-4</v>
      </c>
      <c r="CP27" s="61">
        <v>3.0392488421282531E-4</v>
      </c>
      <c r="CQ27" s="61">
        <v>3.0088563537069706E-4</v>
      </c>
      <c r="CR27" s="61">
        <v>2.9787677901699011E-4</v>
      </c>
      <c r="CS27" s="61">
        <v>2.9489801122682018E-4</v>
      </c>
      <c r="CT27" s="61">
        <v>2.9194903111455197E-4</v>
      </c>
      <c r="CU27" s="61">
        <v>2.8902954080340645E-4</v>
      </c>
      <c r="CV27" s="61">
        <v>2.861392453953724E-4</v>
      </c>
      <c r="CW27" s="61">
        <v>2.8327785294141868E-4</v>
      </c>
      <c r="CX27" s="61">
        <v>2.8044507441200449E-4</v>
      </c>
      <c r="CY27" s="53">
        <v>2.7764062366788443E-4</v>
      </c>
    </row>
    <row r="28" spans="1:103">
      <c r="A28" s="60">
        <v>46</v>
      </c>
      <c r="B28" s="60">
        <v>7.3300000000000004E-4</v>
      </c>
      <c r="C28" s="60">
        <v>7.3028790000000002E-4</v>
      </c>
      <c r="D28" s="60">
        <v>7.2824309387999997E-4</v>
      </c>
      <c r="E28" s="60">
        <v>7.2700508062040398E-4</v>
      </c>
      <c r="F28" s="60">
        <v>7.2664157808009387E-4</v>
      </c>
      <c r="G28" s="60">
        <v>7.2693223471132591E-4</v>
      </c>
      <c r="H28" s="60">
        <v>7.2780455339297953E-4</v>
      </c>
      <c r="I28" s="60">
        <v>7.2889626022306904E-4</v>
      </c>
      <c r="J28" s="60">
        <v>7.2998960461340373E-4</v>
      </c>
      <c r="K28" s="60">
        <v>7.3079259317847852E-4</v>
      </c>
      <c r="L28" s="60">
        <v>7.3108491021574989E-4</v>
      </c>
      <c r="M28" s="60">
        <v>7.3064625926962036E-4</v>
      </c>
      <c r="N28" s="60">
        <v>7.2918496675108112E-4</v>
      </c>
      <c r="O28" s="60">
        <v>7.2663281936745242E-4</v>
      </c>
      <c r="P28" s="60">
        <v>7.2299965527061511E-4</v>
      </c>
      <c r="Q28" s="60">
        <v>7.183724574768832E-4</v>
      </c>
      <c r="R28" s="60">
        <v>7.1284098955431117E-4</v>
      </c>
      <c r="S28" s="60">
        <v>7.0663927294518859E-4</v>
      </c>
      <c r="T28" s="61">
        <v>6.999968637795038E-4</v>
      </c>
      <c r="U28" s="61">
        <v>6.9306689482808673E-4</v>
      </c>
      <c r="V28" s="61">
        <v>6.861362258798058E-4</v>
      </c>
      <c r="W28" s="61">
        <v>6.7927486362100772E-4</v>
      </c>
      <c r="X28" s="61">
        <v>6.7248211498479769E-4</v>
      </c>
      <c r="Y28" s="61">
        <v>6.6575729383494976E-4</v>
      </c>
      <c r="Z28" s="61">
        <v>6.5909972089660024E-4</v>
      </c>
      <c r="AA28" s="61">
        <v>6.5250872368763423E-4</v>
      </c>
      <c r="AB28" s="61">
        <v>6.4598363645075791E-4</v>
      </c>
      <c r="AC28" s="61">
        <v>6.3952380008625031E-4</v>
      </c>
      <c r="AD28" s="61">
        <v>6.3312856208538784E-4</v>
      </c>
      <c r="AE28" s="61">
        <v>6.26797276464534E-4</v>
      </c>
      <c r="AF28" s="61">
        <v>6.2052930369988868E-4</v>
      </c>
      <c r="AG28" s="61">
        <v>6.1432401066288981E-4</v>
      </c>
      <c r="AH28" s="61">
        <v>6.0818077055626088E-4</v>
      </c>
      <c r="AI28" s="61">
        <v>6.0209896285069828E-4</v>
      </c>
      <c r="AJ28" s="61">
        <v>5.9607797322219129E-4</v>
      </c>
      <c r="AK28" s="61">
        <v>5.9011719348996941E-4</v>
      </c>
      <c r="AL28" s="61">
        <v>5.8421602155506972E-4</v>
      </c>
      <c r="AM28" s="61">
        <v>5.78373861339519E-4</v>
      </c>
      <c r="AN28" s="61">
        <v>5.7259012272612385E-4</v>
      </c>
      <c r="AO28" s="61">
        <v>5.6686422149886259E-4</v>
      </c>
      <c r="AP28" s="61">
        <v>5.6119557928387392E-4</v>
      </c>
      <c r="AQ28" s="61">
        <v>5.5558362349103518E-4</v>
      </c>
      <c r="AR28" s="61">
        <v>5.5002778725612479E-4</v>
      </c>
      <c r="AS28" s="61">
        <v>5.4452750938356349E-4</v>
      </c>
      <c r="AT28" s="61">
        <v>5.3908223428972789E-4</v>
      </c>
      <c r="AU28" s="61">
        <v>5.3369141194683058E-4</v>
      </c>
      <c r="AV28" s="61">
        <v>5.2835449782736232E-4</v>
      </c>
      <c r="AW28" s="61">
        <v>5.2307095284908874E-4</v>
      </c>
      <c r="AX28" s="61">
        <v>5.1784024332059782E-4</v>
      </c>
      <c r="AY28" s="61">
        <v>5.1266184088739181E-4</v>
      </c>
      <c r="AZ28" s="61">
        <v>5.0753522247851785E-4</v>
      </c>
      <c r="BA28" s="61">
        <v>5.0245987025373271E-4</v>
      </c>
      <c r="BB28" s="61">
        <v>4.9743527155119533E-4</v>
      </c>
      <c r="BC28" s="61">
        <v>4.9246091883568333E-4</v>
      </c>
      <c r="BD28" s="61">
        <v>4.875363096473265E-4</v>
      </c>
      <c r="BE28" s="61">
        <v>4.826609465508532E-4</v>
      </c>
      <c r="BF28" s="61">
        <v>4.7783433708534467E-4</v>
      </c>
      <c r="BG28" s="61">
        <v>4.7305599371449123E-4</v>
      </c>
      <c r="BH28" s="61">
        <v>4.683254337773463E-4</v>
      </c>
      <c r="BI28" s="61">
        <v>4.6364217943957285E-4</v>
      </c>
      <c r="BJ28" s="61">
        <v>4.5900575764517713E-4</v>
      </c>
      <c r="BK28" s="61">
        <v>4.5441570006872538E-4</v>
      </c>
      <c r="BL28" s="61">
        <v>4.4987154306803815E-4</v>
      </c>
      <c r="BM28" s="61">
        <v>4.4537282763735777E-4</v>
      </c>
      <c r="BN28" s="61">
        <v>4.4091909936098419E-4</v>
      </c>
      <c r="BO28" s="61">
        <v>4.3650990836737434E-4</v>
      </c>
      <c r="BP28" s="61">
        <v>4.3214480928370057E-4</v>
      </c>
      <c r="BQ28" s="61">
        <v>4.2782336119086354E-4</v>
      </c>
      <c r="BR28" s="61">
        <v>4.2354512757895489E-4</v>
      </c>
      <c r="BS28" s="61">
        <v>4.1930967630316536E-4</v>
      </c>
      <c r="BT28" s="61">
        <v>4.151165795401337E-4</v>
      </c>
      <c r="BU28" s="61">
        <v>4.1096541374473238E-4</v>
      </c>
      <c r="BV28" s="61">
        <v>4.0685575960728508E-4</v>
      </c>
      <c r="BW28" s="61">
        <v>4.0278720201121222E-4</v>
      </c>
      <c r="BX28" s="61">
        <v>3.9875932999110009E-4</v>
      </c>
      <c r="BY28" s="61">
        <v>3.947717366911891E-4</v>
      </c>
      <c r="BZ28" s="61">
        <v>3.9082401932427722E-4</v>
      </c>
      <c r="CA28" s="61">
        <v>3.8691577913103442E-4</v>
      </c>
      <c r="CB28" s="61">
        <v>3.8304662133972409E-4</v>
      </c>
      <c r="CC28" s="61">
        <v>3.7921615512632686E-4</v>
      </c>
      <c r="CD28" s="61">
        <v>3.7542399357506359E-4</v>
      </c>
      <c r="CE28" s="61">
        <v>3.7166975363931294E-4</v>
      </c>
      <c r="CF28" s="61">
        <v>3.679530561029198E-4</v>
      </c>
      <c r="CG28" s="61">
        <v>3.6427352554189058E-4</v>
      </c>
      <c r="CH28" s="61">
        <v>3.6063079028647165E-4</v>
      </c>
      <c r="CI28" s="61">
        <v>3.5702448238360691E-4</v>
      </c>
      <c r="CJ28" s="61">
        <v>3.5345423755977085E-4</v>
      </c>
      <c r="CK28" s="61">
        <v>3.4991969518417316E-4</v>
      </c>
      <c r="CL28" s="61">
        <v>3.4642049823233143E-4</v>
      </c>
      <c r="CM28" s="61">
        <v>3.429562932500081E-4</v>
      </c>
      <c r="CN28" s="61">
        <v>3.3952673031750801E-4</v>
      </c>
      <c r="CO28" s="61">
        <v>3.3613146301433291E-4</v>
      </c>
      <c r="CP28" s="61">
        <v>3.3277014838418957E-4</v>
      </c>
      <c r="CQ28" s="61">
        <v>3.2944244690034767E-4</v>
      </c>
      <c r="CR28" s="61">
        <v>3.2614802243134417E-4</v>
      </c>
      <c r="CS28" s="61">
        <v>3.2288654220703072E-4</v>
      </c>
      <c r="CT28" s="61">
        <v>3.1965767678496042E-4</v>
      </c>
      <c r="CU28" s="61">
        <v>3.1646110001711084E-4</v>
      </c>
      <c r="CV28" s="61">
        <v>3.132964890169397E-4</v>
      </c>
      <c r="CW28" s="61">
        <v>3.1016352412677032E-4</v>
      </c>
      <c r="CX28" s="61">
        <v>3.070618888855026E-4</v>
      </c>
      <c r="CY28" s="53">
        <v>3.0399126999664758E-4</v>
      </c>
    </row>
    <row r="29" spans="1:103">
      <c r="A29" s="60">
        <v>47</v>
      </c>
      <c r="B29" s="60">
        <v>8.1599999999999999E-4</v>
      </c>
      <c r="C29" s="60">
        <v>8.1200160000000001E-4</v>
      </c>
      <c r="D29" s="60">
        <v>8.0850999311999998E-4</v>
      </c>
      <c r="E29" s="60">
        <v>8.0568020814408001E-4</v>
      </c>
      <c r="F29" s="60">
        <v>8.035854396029054E-4</v>
      </c>
      <c r="G29" s="60">
        <v>8.0229970289954068E-4</v>
      </c>
      <c r="H29" s="60">
        <v>8.0173809310751093E-4</v>
      </c>
      <c r="I29" s="60">
        <v>8.0165791929820017E-4</v>
      </c>
      <c r="J29" s="60">
        <v>8.0173808509013001E-4</v>
      </c>
      <c r="K29" s="60">
        <v>8.0173808509013001E-4</v>
      </c>
      <c r="L29" s="60">
        <v>8.0141738985609404E-4</v>
      </c>
      <c r="M29" s="60">
        <v>8.0053583072725229E-4</v>
      </c>
      <c r="N29" s="60">
        <v>7.9869459831657962E-4</v>
      </c>
      <c r="O29" s="60">
        <v>7.9581929776263987E-4</v>
      </c>
      <c r="P29" s="60">
        <v>7.9184020127382663E-4</v>
      </c>
      <c r="Q29" s="60">
        <v>7.8677242398567419E-4</v>
      </c>
      <c r="R29" s="60">
        <v>7.8079295356338297E-4</v>
      </c>
      <c r="S29" s="60">
        <v>7.7407813416273787E-4</v>
      </c>
      <c r="T29" s="61">
        <v>7.6680179970160811E-4</v>
      </c>
      <c r="U29" s="61">
        <v>7.5921046188456214E-4</v>
      </c>
      <c r="V29" s="61">
        <v>7.5161835726571648E-4</v>
      </c>
      <c r="W29" s="61">
        <v>7.4410217369305935E-4</v>
      </c>
      <c r="X29" s="61">
        <v>7.3666115195612878E-4</v>
      </c>
      <c r="Y29" s="61">
        <v>7.2929454043656747E-4</v>
      </c>
      <c r="Z29" s="61">
        <v>7.2200159503220179E-4</v>
      </c>
      <c r="AA29" s="61">
        <v>7.1478157908187972E-4</v>
      </c>
      <c r="AB29" s="61">
        <v>7.0763376329106094E-4</v>
      </c>
      <c r="AC29" s="61">
        <v>7.0055742565815031E-4</v>
      </c>
      <c r="AD29" s="61">
        <v>6.9355185140156875E-4</v>
      </c>
      <c r="AE29" s="61">
        <v>6.8661633288755305E-4</v>
      </c>
      <c r="AF29" s="61">
        <v>6.7975016955867755E-4</v>
      </c>
      <c r="AG29" s="61">
        <v>6.7295266786309078E-4</v>
      </c>
      <c r="AH29" s="61">
        <v>6.6622314118445982E-4</v>
      </c>
      <c r="AI29" s="61">
        <v>6.5956090977261521E-4</v>
      </c>
      <c r="AJ29" s="61">
        <v>6.529653006748891E-4</v>
      </c>
      <c r="AK29" s="61">
        <v>6.4643564766814026E-4</v>
      </c>
      <c r="AL29" s="61">
        <v>6.3997129119145889E-4</v>
      </c>
      <c r="AM29" s="61">
        <v>6.3357157827954424E-4</v>
      </c>
      <c r="AN29" s="61">
        <v>6.2723586249674879E-4</v>
      </c>
      <c r="AO29" s="61">
        <v>6.2096350387178131E-4</v>
      </c>
      <c r="AP29" s="61">
        <v>6.1475386883306344E-4</v>
      </c>
      <c r="AQ29" s="61">
        <v>6.0860633014473277E-4</v>
      </c>
      <c r="AR29" s="61">
        <v>6.0252026684328548E-4</v>
      </c>
      <c r="AS29" s="61">
        <v>5.9649506417485266E-4</v>
      </c>
      <c r="AT29" s="61">
        <v>5.9053011353310417E-4</v>
      </c>
      <c r="AU29" s="61">
        <v>5.8462481239777314E-4</v>
      </c>
      <c r="AV29" s="61">
        <v>5.7877856427379539E-4</v>
      </c>
      <c r="AW29" s="61">
        <v>5.7299077863105742E-4</v>
      </c>
      <c r="AX29" s="61">
        <v>5.6726087084474689E-4</v>
      </c>
      <c r="AY29" s="61">
        <v>5.6158826213629945E-4</v>
      </c>
      <c r="AZ29" s="61">
        <v>5.5597237951493647E-4</v>
      </c>
      <c r="BA29" s="61">
        <v>5.5041265571978708E-4</v>
      </c>
      <c r="BB29" s="61">
        <v>5.4490852916258916E-4</v>
      </c>
      <c r="BC29" s="61">
        <v>5.3945944387096326E-4</v>
      </c>
      <c r="BD29" s="61">
        <v>5.340648494322536E-4</v>
      </c>
      <c r="BE29" s="61">
        <v>5.2872420093793106E-4</v>
      </c>
      <c r="BF29" s="61">
        <v>5.2343695892855175E-4</v>
      </c>
      <c r="BG29" s="61">
        <v>5.1820258933926624E-4</v>
      </c>
      <c r="BH29" s="61">
        <v>5.1302056344587361E-4</v>
      </c>
      <c r="BI29" s="61">
        <v>5.0789035781141482E-4</v>
      </c>
      <c r="BJ29" s="61">
        <v>5.0281145423330064E-4</v>
      </c>
      <c r="BK29" s="61">
        <v>4.9778333969096764E-4</v>
      </c>
      <c r="BL29" s="61">
        <v>4.9280550629405792E-4</v>
      </c>
      <c r="BM29" s="61">
        <v>4.8787745123111731E-4</v>
      </c>
      <c r="BN29" s="61">
        <v>4.8299867671880615E-4</v>
      </c>
      <c r="BO29" s="61">
        <v>4.7816868995161809E-4</v>
      </c>
      <c r="BP29" s="61">
        <v>4.7338700305210189E-4</v>
      </c>
      <c r="BQ29" s="61">
        <v>4.6865313302158087E-4</v>
      </c>
      <c r="BR29" s="61">
        <v>4.6396660169136504E-4</v>
      </c>
      <c r="BS29" s="61">
        <v>4.5932693567445136E-4</v>
      </c>
      <c r="BT29" s="61">
        <v>4.5473366631770682E-4</v>
      </c>
      <c r="BU29" s="61">
        <v>4.5018632965452974E-4</v>
      </c>
      <c r="BV29" s="61">
        <v>4.4568446635798441E-4</v>
      </c>
      <c r="BW29" s="61">
        <v>4.4122762169440454E-4</v>
      </c>
      <c r="BX29" s="61">
        <v>4.3681534547746051E-4</v>
      </c>
      <c r="BY29" s="61">
        <v>4.3244719202268592E-4</v>
      </c>
      <c r="BZ29" s="61">
        <v>4.2812272010245907E-4</v>
      </c>
      <c r="CA29" s="61">
        <v>4.2384149290143445E-4</v>
      </c>
      <c r="CB29" s="61">
        <v>4.1960307797242008E-4</v>
      </c>
      <c r="CC29" s="61">
        <v>4.1540704719269589E-4</v>
      </c>
      <c r="CD29" s="61">
        <v>4.1125297672076891E-4</v>
      </c>
      <c r="CE29" s="61">
        <v>4.0714044695356119E-4</v>
      </c>
      <c r="CF29" s="61">
        <v>4.0306904248402556E-4</v>
      </c>
      <c r="CG29" s="61">
        <v>3.990383520591853E-4</v>
      </c>
      <c r="CH29" s="61">
        <v>3.9504796853859344E-4</v>
      </c>
      <c r="CI29" s="61">
        <v>3.9109748885320751E-4</v>
      </c>
      <c r="CJ29" s="61">
        <v>3.8718651396467543E-4</v>
      </c>
      <c r="CK29" s="61">
        <v>3.8331464882502869E-4</v>
      </c>
      <c r="CL29" s="61">
        <v>3.7948150233677838E-4</v>
      </c>
      <c r="CM29" s="61">
        <v>3.7568668731341058E-4</v>
      </c>
      <c r="CN29" s="61">
        <v>3.7192982044027649E-4</v>
      </c>
      <c r="CO29" s="61">
        <v>3.6821052223587374E-4</v>
      </c>
      <c r="CP29" s="61">
        <v>3.64528417013515E-4</v>
      </c>
      <c r="CQ29" s="61">
        <v>3.6088313284337984E-4</v>
      </c>
      <c r="CR29" s="61">
        <v>3.5727430151494602E-4</v>
      </c>
      <c r="CS29" s="61">
        <v>3.5370155849979653E-4</v>
      </c>
      <c r="CT29" s="61">
        <v>3.5016454291479854E-4</v>
      </c>
      <c r="CU29" s="61">
        <v>3.4666289748565054E-4</v>
      </c>
      <c r="CV29" s="61">
        <v>3.4319626851079404E-4</v>
      </c>
      <c r="CW29" s="61">
        <v>3.3976430582568611E-4</v>
      </c>
      <c r="CX29" s="61">
        <v>3.3636666276742926E-4</v>
      </c>
      <c r="CY29" s="53">
        <v>3.3300299613975499E-4</v>
      </c>
    </row>
    <row r="30" spans="1:103">
      <c r="A30" s="60">
        <v>48</v>
      </c>
      <c r="B30" s="60">
        <v>9.0600000000000001E-4</v>
      </c>
      <c r="C30" s="60">
        <v>9.0137940000000003E-4</v>
      </c>
      <c r="D30" s="60">
        <v>8.96872503E-4</v>
      </c>
      <c r="E30" s="60">
        <v>8.9274688948620001E-4</v>
      </c>
      <c r="F30" s="60">
        <v>8.8917590192825525E-4</v>
      </c>
      <c r="G30" s="60">
        <v>8.863305390420849E-4</v>
      </c>
      <c r="H30" s="60">
        <v>8.8420334574838388E-4</v>
      </c>
      <c r="I30" s="60">
        <v>8.8270020006061157E-4</v>
      </c>
      <c r="J30" s="60">
        <v>8.8155268980053285E-4</v>
      </c>
      <c r="K30" s="60">
        <v>8.8049482657277225E-4</v>
      </c>
      <c r="L30" s="60">
        <v>8.7935018329822771E-4</v>
      </c>
      <c r="M30" s="60">
        <v>8.7776735296829088E-4</v>
      </c>
      <c r="N30" s="60">
        <v>8.7539738111527647E-4</v>
      </c>
      <c r="O30" s="60">
        <v>8.7207087106703845E-4</v>
      </c>
      <c r="P30" s="60">
        <v>8.6762330962459656E-4</v>
      </c>
      <c r="Q30" s="60">
        <v>8.6207052044299918E-4</v>
      </c>
      <c r="R30" s="60">
        <v>8.5551878448763229E-4</v>
      </c>
      <c r="S30" s="60">
        <v>8.4816132294103866E-4</v>
      </c>
      <c r="T30" s="61">
        <v>8.4018860650539296E-4</v>
      </c>
      <c r="U30" s="61">
        <v>8.3195475816164011E-4</v>
      </c>
      <c r="V30" s="61">
        <v>8.2363521058002366E-4</v>
      </c>
      <c r="W30" s="61">
        <v>8.1539885847422341E-4</v>
      </c>
      <c r="X30" s="61">
        <v>8.0724486988948112E-4</v>
      </c>
      <c r="Y30" s="61">
        <v>7.9917242119058633E-4</v>
      </c>
      <c r="Z30" s="61">
        <v>7.9118069697868044E-4</v>
      </c>
      <c r="AA30" s="61">
        <v>7.8326889000889367E-4</v>
      </c>
      <c r="AB30" s="61">
        <v>7.7543620110880475E-4</v>
      </c>
      <c r="AC30" s="61">
        <v>7.6768183909771664E-4</v>
      </c>
      <c r="AD30" s="61">
        <v>7.600050207067395E-4</v>
      </c>
      <c r="AE30" s="61">
        <v>7.5240497049967208E-4</v>
      </c>
      <c r="AF30" s="61">
        <v>7.4488092079467538E-4</v>
      </c>
      <c r="AG30" s="61">
        <v>7.3743211158672857E-4</v>
      </c>
      <c r="AH30" s="61">
        <v>7.3005779047086129E-4</v>
      </c>
      <c r="AI30" s="61">
        <v>7.227572125661527E-4</v>
      </c>
      <c r="AJ30" s="61">
        <v>7.1552964044049113E-4</v>
      </c>
      <c r="AK30" s="61">
        <v>7.0837434403608619E-4</v>
      </c>
      <c r="AL30" s="61">
        <v>7.0129060059572531E-4</v>
      </c>
      <c r="AM30" s="61">
        <v>6.9427769458976806E-4</v>
      </c>
      <c r="AN30" s="61">
        <v>6.8733491764387034E-4</v>
      </c>
      <c r="AO30" s="61">
        <v>6.8046156846743159E-4</v>
      </c>
      <c r="AP30" s="61">
        <v>6.7365695278275722E-4</v>
      </c>
      <c r="AQ30" s="61">
        <v>6.6692038325492963E-4</v>
      </c>
      <c r="AR30" s="61">
        <v>6.6025117942238032E-4</v>
      </c>
      <c r="AS30" s="61">
        <v>6.5364866762815648E-4</v>
      </c>
      <c r="AT30" s="61">
        <v>6.4711218095187494E-4</v>
      </c>
      <c r="AU30" s="61">
        <v>6.4064105914235622E-4</v>
      </c>
      <c r="AV30" s="61">
        <v>6.342346485509327E-4</v>
      </c>
      <c r="AW30" s="61">
        <v>6.2789230206542336E-4</v>
      </c>
      <c r="AX30" s="61">
        <v>6.2161337904476912E-4</v>
      </c>
      <c r="AY30" s="61">
        <v>6.1539724525432147E-4</v>
      </c>
      <c r="AZ30" s="61">
        <v>6.0924327280177822E-4</v>
      </c>
      <c r="BA30" s="61">
        <v>6.0315084007376044E-4</v>
      </c>
      <c r="BB30" s="61">
        <v>5.9711933167302283E-4</v>
      </c>
      <c r="BC30" s="61">
        <v>5.9114813835629257E-4</v>
      </c>
      <c r="BD30" s="61">
        <v>5.8523665697272963E-4</v>
      </c>
      <c r="BE30" s="61">
        <v>5.7938429040300238E-4</v>
      </c>
      <c r="BF30" s="61">
        <v>5.7359044749897236E-4</v>
      </c>
      <c r="BG30" s="61">
        <v>5.6785454302398267E-4</v>
      </c>
      <c r="BH30" s="61">
        <v>5.6217599759374279E-4</v>
      </c>
      <c r="BI30" s="61">
        <v>5.5655423761780533E-4</v>
      </c>
      <c r="BJ30" s="61">
        <v>5.5098869524162727E-4</v>
      </c>
      <c r="BK30" s="61">
        <v>5.4547880828921102E-4</v>
      </c>
      <c r="BL30" s="61">
        <v>5.4002402020631888E-4</v>
      </c>
      <c r="BM30" s="61">
        <v>5.3462378000425565E-4</v>
      </c>
      <c r="BN30" s="61">
        <v>5.2927754220421304E-4</v>
      </c>
      <c r="BO30" s="61">
        <v>5.2398476678217087E-4</v>
      </c>
      <c r="BP30" s="61">
        <v>5.187449191143491E-4</v>
      </c>
      <c r="BQ30" s="61">
        <v>5.1355746992320559E-4</v>
      </c>
      <c r="BR30" s="61">
        <v>5.0842189522397351E-4</v>
      </c>
      <c r="BS30" s="61">
        <v>5.0333767627173379E-4</v>
      </c>
      <c r="BT30" s="61">
        <v>4.9830429950901642E-4</v>
      </c>
      <c r="BU30" s="61">
        <v>4.9332125651392622E-4</v>
      </c>
      <c r="BV30" s="61">
        <v>4.8838804394878697E-4</v>
      </c>
      <c r="BW30" s="61">
        <v>4.8350416350929909E-4</v>
      </c>
      <c r="BX30" s="61">
        <v>4.7866912187420607E-4</v>
      </c>
      <c r="BY30" s="61">
        <v>4.73882430655464E-4</v>
      </c>
      <c r="BZ30" s="61">
        <v>4.6914360634890933E-4</v>
      </c>
      <c r="CA30" s="61">
        <v>4.6445217028542022E-4</v>
      </c>
      <c r="CB30" s="61">
        <v>4.5980764858256603E-4</v>
      </c>
      <c r="CC30" s="61">
        <v>4.5520957209674035E-4</v>
      </c>
      <c r="CD30" s="61">
        <v>4.5065747637577295E-4</v>
      </c>
      <c r="CE30" s="61">
        <v>4.4615090161201522E-4</v>
      </c>
      <c r="CF30" s="61">
        <v>4.4168939259589508E-4</v>
      </c>
      <c r="CG30" s="61">
        <v>4.3727249866993612E-4</v>
      </c>
      <c r="CH30" s="61">
        <v>4.3289977368323677E-4</v>
      </c>
      <c r="CI30" s="61">
        <v>4.2857077594640438E-4</v>
      </c>
      <c r="CJ30" s="61">
        <v>4.2428506818694035E-4</v>
      </c>
      <c r="CK30" s="61">
        <v>4.2004221750507095E-4</v>
      </c>
      <c r="CL30" s="61">
        <v>4.1584179533002023E-4</v>
      </c>
      <c r="CM30" s="61">
        <v>4.1168337737672002E-4</v>
      </c>
      <c r="CN30" s="61">
        <v>4.0756654360295285E-4</v>
      </c>
      <c r="CO30" s="61">
        <v>4.0349087816692329E-4</v>
      </c>
      <c r="CP30" s="61">
        <v>3.9945596938525404E-4</v>
      </c>
      <c r="CQ30" s="61">
        <v>3.9546140969140152E-4</v>
      </c>
      <c r="CR30" s="61">
        <v>3.915067955944875E-4</v>
      </c>
      <c r="CS30" s="61">
        <v>3.8759172763854264E-4</v>
      </c>
      <c r="CT30" s="61">
        <v>3.8371581036215723E-4</v>
      </c>
      <c r="CU30" s="61">
        <v>3.7987865225853565E-4</v>
      </c>
      <c r="CV30" s="61">
        <v>3.760798657359503E-4</v>
      </c>
      <c r="CW30" s="61">
        <v>3.7231906707859081E-4</v>
      </c>
      <c r="CX30" s="61">
        <v>3.6859587640780488E-4</v>
      </c>
      <c r="CY30" s="53">
        <v>3.6490991764372681E-4</v>
      </c>
    </row>
    <row r="31" spans="1:103">
      <c r="A31" s="60">
        <v>49</v>
      </c>
      <c r="B31" s="60">
        <v>1.0009999999999999E-3</v>
      </c>
      <c r="C31" s="60">
        <v>9.9649549999999997E-4</v>
      </c>
      <c r="D31" s="60">
        <v>9.9161267204999986E-4</v>
      </c>
      <c r="E31" s="60">
        <v>9.8665460868974987E-4</v>
      </c>
      <c r="F31" s="60">
        <v>9.8191866656803907E-4</v>
      </c>
      <c r="G31" s="60">
        <v>9.7769641630179654E-4</v>
      </c>
      <c r="H31" s="60">
        <v>9.7398116991984974E-4</v>
      </c>
      <c r="I31" s="60">
        <v>9.7086443017610621E-4</v>
      </c>
      <c r="J31" s="60">
        <v>9.682430962146307E-4</v>
      </c>
      <c r="K31" s="60">
        <v>9.6591931278371557E-4</v>
      </c>
      <c r="L31" s="60">
        <v>9.6360110643303471E-4</v>
      </c>
      <c r="M31" s="60">
        <v>9.6109574355630878E-4</v>
      </c>
      <c r="N31" s="60">
        <v>9.5802023717692856E-4</v>
      </c>
      <c r="O31" s="60">
        <v>9.5409235420450321E-4</v>
      </c>
      <c r="P31" s="60">
        <v>9.4913107396263981E-4</v>
      </c>
      <c r="Q31" s="60">
        <v>9.4305663508927897E-4</v>
      </c>
      <c r="R31" s="60">
        <v>9.3588940466260038E-4</v>
      </c>
      <c r="S31" s="60">
        <v>9.2784075578250199E-4</v>
      </c>
      <c r="T31" s="61">
        <v>9.1911905267814649E-4</v>
      </c>
      <c r="U31" s="61">
        <v>9.1011168596190058E-4</v>
      </c>
      <c r="V31" s="61">
        <v>9.0101056910228152E-4</v>
      </c>
      <c r="W31" s="61">
        <v>8.9200046341125869E-4</v>
      </c>
      <c r="X31" s="61">
        <v>8.8308045877714611E-4</v>
      </c>
      <c r="Y31" s="61">
        <v>8.7424965418937467E-4</v>
      </c>
      <c r="Z31" s="61">
        <v>8.6550715764748096E-4</v>
      </c>
      <c r="AA31" s="61">
        <v>8.5685208607100619E-4</v>
      </c>
      <c r="AB31" s="61">
        <v>8.4828356521029612E-4</v>
      </c>
      <c r="AC31" s="61">
        <v>8.3980072955819318E-4</v>
      </c>
      <c r="AD31" s="61">
        <v>8.3140272226261123E-4</v>
      </c>
      <c r="AE31" s="61">
        <v>8.2308869503998512E-4</v>
      </c>
      <c r="AF31" s="61">
        <v>8.1485780808958526E-4</v>
      </c>
      <c r="AG31" s="61">
        <v>8.0670923000868936E-4</v>
      </c>
      <c r="AH31" s="61">
        <v>7.9864213770860246E-4</v>
      </c>
      <c r="AI31" s="61">
        <v>7.9065571633151637E-4</v>
      </c>
      <c r="AJ31" s="61">
        <v>7.827491591682012E-4</v>
      </c>
      <c r="AK31" s="61">
        <v>7.7492166757651916E-4</v>
      </c>
      <c r="AL31" s="61">
        <v>7.6717245090075401E-4</v>
      </c>
      <c r="AM31" s="61">
        <v>7.5950072639174642E-4</v>
      </c>
      <c r="AN31" s="61">
        <v>7.5190571912782899E-4</v>
      </c>
      <c r="AO31" s="61">
        <v>7.443866619365507E-4</v>
      </c>
      <c r="AP31" s="61">
        <v>7.3694279531718514E-4</v>
      </c>
      <c r="AQ31" s="61">
        <v>7.295733673640133E-4</v>
      </c>
      <c r="AR31" s="61">
        <v>7.2227763369037319E-4</v>
      </c>
      <c r="AS31" s="61">
        <v>7.1505485735346948E-4</v>
      </c>
      <c r="AT31" s="61">
        <v>7.0790430877993476E-4</v>
      </c>
      <c r="AU31" s="61">
        <v>7.0082526569213537E-4</v>
      </c>
      <c r="AV31" s="61">
        <v>6.9381701303521397E-4</v>
      </c>
      <c r="AW31" s="61">
        <v>6.8687884290486183E-4</v>
      </c>
      <c r="AX31" s="61">
        <v>6.8001005447581317E-4</v>
      </c>
      <c r="AY31" s="61">
        <v>6.7320995393105505E-4</v>
      </c>
      <c r="AZ31" s="61">
        <v>6.6647785439174448E-4</v>
      </c>
      <c r="BA31" s="61">
        <v>6.5981307584782702E-4</v>
      </c>
      <c r="BB31" s="61">
        <v>6.5321494508934874E-4</v>
      </c>
      <c r="BC31" s="61">
        <v>6.4668279563845528E-4</v>
      </c>
      <c r="BD31" s="61">
        <v>6.4021596768207073E-4</v>
      </c>
      <c r="BE31" s="61">
        <v>6.3381380800525005E-4</v>
      </c>
      <c r="BF31" s="61">
        <v>6.2747566992519752E-4</v>
      </c>
      <c r="BG31" s="61">
        <v>6.2120091322594552E-4</v>
      </c>
      <c r="BH31" s="61">
        <v>6.1498890409368611E-4</v>
      </c>
      <c r="BI31" s="61">
        <v>6.0883901505274921E-4</v>
      </c>
      <c r="BJ31" s="61">
        <v>6.0275062490222175E-4</v>
      </c>
      <c r="BK31" s="61">
        <v>5.9672311865319953E-4</v>
      </c>
      <c r="BL31" s="61">
        <v>5.9075588746666753E-4</v>
      </c>
      <c r="BM31" s="61">
        <v>5.8484832859200084E-4</v>
      </c>
      <c r="BN31" s="61">
        <v>5.7899984530608085E-4</v>
      </c>
      <c r="BO31" s="61">
        <v>5.7320984685301998E-4</v>
      </c>
      <c r="BP31" s="61">
        <v>5.6747774838448973E-4</v>
      </c>
      <c r="BQ31" s="61">
        <v>5.6180297090064485E-4</v>
      </c>
      <c r="BR31" s="61">
        <v>5.5618494119163845E-4</v>
      </c>
      <c r="BS31" s="61">
        <v>5.5062309177972204E-4</v>
      </c>
      <c r="BT31" s="61">
        <v>5.4511686086192483E-4</v>
      </c>
      <c r="BU31" s="61">
        <v>5.3966569225330561E-4</v>
      </c>
      <c r="BV31" s="61">
        <v>5.3426903533077257E-4</v>
      </c>
      <c r="BW31" s="61">
        <v>5.2892634497746487E-4</v>
      </c>
      <c r="BX31" s="61">
        <v>5.2363708152769017E-4</v>
      </c>
      <c r="BY31" s="61">
        <v>5.1840071071241332E-4</v>
      </c>
      <c r="BZ31" s="61">
        <v>5.132167036052892E-4</v>
      </c>
      <c r="CA31" s="61">
        <v>5.0808453656923632E-4</v>
      </c>
      <c r="CB31" s="61">
        <v>5.0300369120354397E-4</v>
      </c>
      <c r="CC31" s="61">
        <v>4.9797365429150853E-4</v>
      </c>
      <c r="CD31" s="61">
        <v>4.9299391774859343E-4</v>
      </c>
      <c r="CE31" s="61">
        <v>4.8806397857110751E-4</v>
      </c>
      <c r="CF31" s="61">
        <v>4.8318333878539642E-4</v>
      </c>
      <c r="CG31" s="61">
        <v>4.7835150539754246E-4</v>
      </c>
      <c r="CH31" s="61">
        <v>4.7356799034356701E-4</v>
      </c>
      <c r="CI31" s="61">
        <v>4.6883231044013136E-4</v>
      </c>
      <c r="CJ31" s="61">
        <v>4.6414398733573002E-4</v>
      </c>
      <c r="CK31" s="61">
        <v>4.5950254746237272E-4</v>
      </c>
      <c r="CL31" s="61">
        <v>4.5490752198774898E-4</v>
      </c>
      <c r="CM31" s="61">
        <v>4.5035844676787149E-4</v>
      </c>
      <c r="CN31" s="61">
        <v>4.4585486230019276E-4</v>
      </c>
      <c r="CO31" s="61">
        <v>4.4139631367719082E-4</v>
      </c>
      <c r="CP31" s="61">
        <v>4.3698235054041889E-4</v>
      </c>
      <c r="CQ31" s="61">
        <v>4.3261252703501472E-4</v>
      </c>
      <c r="CR31" s="61">
        <v>4.2828640176466456E-4</v>
      </c>
      <c r="CS31" s="61">
        <v>4.2400353774701792E-4</v>
      </c>
      <c r="CT31" s="61">
        <v>4.1976350236954773E-4</v>
      </c>
      <c r="CU31" s="61">
        <v>4.1556586734585227E-4</v>
      </c>
      <c r="CV31" s="61">
        <v>4.1141020867239373E-4</v>
      </c>
      <c r="CW31" s="61">
        <v>4.0729610658566979E-4</v>
      </c>
      <c r="CX31" s="61">
        <v>4.0322314551981308E-4</v>
      </c>
      <c r="CY31" s="53">
        <v>3.9919091406461496E-4</v>
      </c>
    </row>
    <row r="32" spans="1:103">
      <c r="A32" s="60">
        <v>50</v>
      </c>
      <c r="B32" s="60">
        <v>2.7680000000000001E-3</v>
      </c>
      <c r="C32" s="60">
        <v>2.7596959999999999E-3</v>
      </c>
      <c r="D32" s="60">
        <v>2.7489331855999996E-3</v>
      </c>
      <c r="E32" s="60">
        <v>2.7362880929462396E-3</v>
      </c>
      <c r="F32" s="60">
        <v>2.7228802812908032E-3</v>
      </c>
      <c r="G32" s="60">
        <v>2.7092658798843492E-3</v>
      </c>
      <c r="H32" s="60">
        <v>2.6962614036609043E-3</v>
      </c>
      <c r="I32" s="60">
        <v>2.6843978534847966E-3</v>
      </c>
      <c r="J32" s="60">
        <v>2.6736602620708572E-3</v>
      </c>
      <c r="K32" s="60">
        <v>2.6637677191011949E-3</v>
      </c>
      <c r="L32" s="60">
        <v>2.6544445320843407E-3</v>
      </c>
      <c r="M32" s="60">
        <v>2.6451539762220458E-3</v>
      </c>
      <c r="N32" s="60">
        <v>2.6348378757147799E-3</v>
      </c>
      <c r="O32" s="60">
        <v>2.6227176214864917E-3</v>
      </c>
      <c r="P32" s="60">
        <v>2.608292674568316E-3</v>
      </c>
      <c r="Q32" s="60">
        <v>2.5910779429161651E-3</v>
      </c>
      <c r="R32" s="60">
        <v>2.5713857505500022E-3</v>
      </c>
      <c r="S32" s="60">
        <v>2.5492718330952721E-3</v>
      </c>
      <c r="T32" s="61">
        <v>2.5255636050474863E-3</v>
      </c>
      <c r="U32" s="61">
        <v>2.500813081718021E-3</v>
      </c>
      <c r="V32" s="61">
        <v>2.4758049509008406E-3</v>
      </c>
      <c r="W32" s="61">
        <v>2.451046901391832E-3</v>
      </c>
      <c r="X32" s="61">
        <v>2.4265364323779138E-3</v>
      </c>
      <c r="Y32" s="61">
        <v>2.4022710680541345E-3</v>
      </c>
      <c r="Z32" s="61">
        <v>2.3782483573735933E-3</v>
      </c>
      <c r="AA32" s="61">
        <v>2.3544658737998572E-3</v>
      </c>
      <c r="AB32" s="61">
        <v>2.3309212150618586E-3</v>
      </c>
      <c r="AC32" s="61">
        <v>2.3076120029112399E-3</v>
      </c>
      <c r="AD32" s="61">
        <v>2.2845358828821275E-3</v>
      </c>
      <c r="AE32" s="61">
        <v>2.2616905240533062E-3</v>
      </c>
      <c r="AF32" s="61">
        <v>2.239073618812773E-3</v>
      </c>
      <c r="AG32" s="61">
        <v>2.2166828826246454E-3</v>
      </c>
      <c r="AH32" s="61">
        <v>2.194516053798399E-3</v>
      </c>
      <c r="AI32" s="61">
        <v>2.1725708932604148E-3</v>
      </c>
      <c r="AJ32" s="61">
        <v>2.1508451843278106E-3</v>
      </c>
      <c r="AK32" s="61">
        <v>2.1293367324845326E-3</v>
      </c>
      <c r="AL32" s="61">
        <v>2.1080433651596872E-3</v>
      </c>
      <c r="AM32" s="61">
        <v>2.0869629315080902E-3</v>
      </c>
      <c r="AN32" s="61">
        <v>2.0660933021930091E-3</v>
      </c>
      <c r="AO32" s="61">
        <v>2.0454323691710789E-3</v>
      </c>
      <c r="AP32" s="61">
        <v>2.0249780454793683E-3</v>
      </c>
      <c r="AQ32" s="61">
        <v>2.0047282650245747E-3</v>
      </c>
      <c r="AR32" s="61">
        <v>1.984680982374329E-3</v>
      </c>
      <c r="AS32" s="61">
        <v>1.9648341725505857E-3</v>
      </c>
      <c r="AT32" s="61">
        <v>1.9451858308250798E-3</v>
      </c>
      <c r="AU32" s="61">
        <v>1.925733972516829E-3</v>
      </c>
      <c r="AV32" s="61">
        <v>1.9064766327916607E-3</v>
      </c>
      <c r="AW32" s="61">
        <v>1.8874118664637441E-3</v>
      </c>
      <c r="AX32" s="61">
        <v>1.8685377477991067E-3</v>
      </c>
      <c r="AY32" s="61">
        <v>1.8498523703211157E-3</v>
      </c>
      <c r="AZ32" s="61">
        <v>1.8313538466179044E-3</v>
      </c>
      <c r="BA32" s="61">
        <v>1.8130403081517254E-3</v>
      </c>
      <c r="BB32" s="61">
        <v>1.7949099050702081E-3</v>
      </c>
      <c r="BC32" s="61">
        <v>1.7769608060195061E-3</v>
      </c>
      <c r="BD32" s="61">
        <v>1.7591911979593111E-3</v>
      </c>
      <c r="BE32" s="61">
        <v>1.7415992859797179E-3</v>
      </c>
      <c r="BF32" s="61">
        <v>1.7241832931199207E-3</v>
      </c>
      <c r="BG32" s="61">
        <v>1.7069414601887216E-3</v>
      </c>
      <c r="BH32" s="61">
        <v>1.6898720455868343E-3</v>
      </c>
      <c r="BI32" s="61">
        <v>1.6729733251309659E-3</v>
      </c>
      <c r="BJ32" s="61">
        <v>1.6562435918796561E-3</v>
      </c>
      <c r="BK32" s="61">
        <v>1.6396811559608595E-3</v>
      </c>
      <c r="BL32" s="61">
        <v>1.6232843444012508E-3</v>
      </c>
      <c r="BM32" s="61">
        <v>1.6070515009572383E-3</v>
      </c>
      <c r="BN32" s="61">
        <v>1.5909809859476658E-3</v>
      </c>
      <c r="BO32" s="61">
        <v>1.5750711760881891E-3</v>
      </c>
      <c r="BP32" s="61">
        <v>1.5593204643273072E-3</v>
      </c>
      <c r="BQ32" s="61">
        <v>1.543727259684034E-3</v>
      </c>
      <c r="BR32" s="61">
        <v>1.5282899870871936E-3</v>
      </c>
      <c r="BS32" s="61">
        <v>1.5130070872163216E-3</v>
      </c>
      <c r="BT32" s="61">
        <v>1.4978770163441583E-3</v>
      </c>
      <c r="BU32" s="61">
        <v>1.4828982461807167E-3</v>
      </c>
      <c r="BV32" s="61">
        <v>1.4680692637189096E-3</v>
      </c>
      <c r="BW32" s="61">
        <v>1.4533885710817204E-3</v>
      </c>
      <c r="BX32" s="61">
        <v>1.4388546853709033E-3</v>
      </c>
      <c r="BY32" s="61">
        <v>1.4244661385171943E-3</v>
      </c>
      <c r="BZ32" s="61">
        <v>1.4102214771320224E-3</v>
      </c>
      <c r="CA32" s="61">
        <v>1.3961192623607021E-3</v>
      </c>
      <c r="CB32" s="61">
        <v>1.3821580697370951E-3</v>
      </c>
      <c r="CC32" s="61">
        <v>1.368336489039724E-3</v>
      </c>
      <c r="CD32" s="61">
        <v>1.3546531241493268E-3</v>
      </c>
      <c r="CE32" s="61">
        <v>1.3411065929078336E-3</v>
      </c>
      <c r="CF32" s="61">
        <v>1.3276955269787552E-3</v>
      </c>
      <c r="CG32" s="61">
        <v>1.3144185717089676E-3</v>
      </c>
      <c r="CH32" s="61">
        <v>1.3012743859918781E-3</v>
      </c>
      <c r="CI32" s="61">
        <v>1.2882616421319593E-3</v>
      </c>
      <c r="CJ32" s="61">
        <v>1.2753790257106397E-3</v>
      </c>
      <c r="CK32" s="61">
        <v>1.2626252354535333E-3</v>
      </c>
      <c r="CL32" s="61">
        <v>1.2499989830989978E-3</v>
      </c>
      <c r="CM32" s="61">
        <v>1.2374989932680078E-3</v>
      </c>
      <c r="CN32" s="61">
        <v>1.2251240033353279E-3</v>
      </c>
      <c r="CO32" s="61">
        <v>1.2128727633019746E-3</v>
      </c>
      <c r="CP32" s="61">
        <v>1.2007440356689549E-3</v>
      </c>
      <c r="CQ32" s="61">
        <v>1.1887365953122653E-3</v>
      </c>
      <c r="CR32" s="61">
        <v>1.1768492293591426E-3</v>
      </c>
      <c r="CS32" s="61">
        <v>1.1650807370655511E-3</v>
      </c>
      <c r="CT32" s="61">
        <v>1.1534299296948956E-3</v>
      </c>
      <c r="CU32" s="61">
        <v>1.1418956303979467E-3</v>
      </c>
      <c r="CV32" s="61">
        <v>1.1304766740939673E-3</v>
      </c>
      <c r="CW32" s="61">
        <v>1.1191719073530277E-3</v>
      </c>
      <c r="CX32" s="61">
        <v>1.1079801882794974E-3</v>
      </c>
      <c r="CY32" s="53">
        <v>1.0969003863967024E-3</v>
      </c>
    </row>
    <row r="33" spans="1:103">
      <c r="A33" s="60">
        <v>51</v>
      </c>
      <c r="B33" s="60">
        <v>2.905E-3</v>
      </c>
      <c r="C33" s="60">
        <v>2.9020949999999999E-3</v>
      </c>
      <c r="D33" s="60">
        <v>2.8951299720000002E-3</v>
      </c>
      <c r="E33" s="60">
        <v>2.8847075041008E-3</v>
      </c>
      <c r="F33" s="60">
        <v>2.8717263203323464E-3</v>
      </c>
      <c r="G33" s="60">
        <v>2.8570805160986514E-3</v>
      </c>
      <c r="H33" s="60">
        <v>2.8419379893633288E-3</v>
      </c>
      <c r="I33" s="60">
        <v>2.8265915242207669E-3</v>
      </c>
      <c r="J33" s="60">
        <v>2.8118932482948189E-3</v>
      </c>
      <c r="K33" s="60">
        <v>2.7981149713781745E-3</v>
      </c>
      <c r="L33" s="60">
        <v>2.7852436425098346E-3</v>
      </c>
      <c r="M33" s="60">
        <v>2.7727100461185403E-3</v>
      </c>
      <c r="N33" s="60">
        <v>2.7599555799063947E-3</v>
      </c>
      <c r="O33" s="60">
        <v>2.7458798064488722E-3</v>
      </c>
      <c r="P33" s="60">
        <v>2.7299537035714687E-3</v>
      </c>
      <c r="Q33" s="60">
        <v>2.7116630137575398E-3</v>
      </c>
      <c r="R33" s="60">
        <v>2.6907832085516065E-3</v>
      </c>
      <c r="S33" s="60">
        <v>2.6676424729580625E-3</v>
      </c>
      <c r="T33" s="61">
        <v>2.6428333979595527E-3</v>
      </c>
      <c r="U33" s="61">
        <v>2.616933630659549E-3</v>
      </c>
      <c r="V33" s="61">
        <v>2.5907642943529536E-3</v>
      </c>
      <c r="W33" s="61">
        <v>2.5648566514094241E-3</v>
      </c>
      <c r="X33" s="61">
        <v>2.5392080848953297E-3</v>
      </c>
      <c r="Y33" s="61">
        <v>2.5138160040463764E-3</v>
      </c>
      <c r="Z33" s="61">
        <v>2.4886778440059128E-3</v>
      </c>
      <c r="AA33" s="61">
        <v>2.4637910655658539E-3</v>
      </c>
      <c r="AB33" s="61">
        <v>2.4391531549101952E-3</v>
      </c>
      <c r="AC33" s="61">
        <v>2.4147616233610933E-3</v>
      </c>
      <c r="AD33" s="61">
        <v>2.3906140071274823E-3</v>
      </c>
      <c r="AE33" s="61">
        <v>2.3667078670562077E-3</v>
      </c>
      <c r="AF33" s="61">
        <v>2.3430407883856456E-3</v>
      </c>
      <c r="AG33" s="61">
        <v>2.3196103805017891E-3</v>
      </c>
      <c r="AH33" s="61">
        <v>2.2964142766967711E-3</v>
      </c>
      <c r="AI33" s="61">
        <v>2.2734501339298032E-3</v>
      </c>
      <c r="AJ33" s="61">
        <v>2.2507156325905051E-3</v>
      </c>
      <c r="AK33" s="61">
        <v>2.2282084762646E-3</v>
      </c>
      <c r="AL33" s="61">
        <v>2.2059263915019541E-3</v>
      </c>
      <c r="AM33" s="61">
        <v>2.1838671275869344E-3</v>
      </c>
      <c r="AN33" s="61">
        <v>2.1620284563110652E-3</v>
      </c>
      <c r="AO33" s="61">
        <v>2.1404081717479547E-3</v>
      </c>
      <c r="AP33" s="61">
        <v>2.1190040900304751E-3</v>
      </c>
      <c r="AQ33" s="61">
        <v>2.0978140491301703E-3</v>
      </c>
      <c r="AR33" s="61">
        <v>2.0768359086388685E-3</v>
      </c>
      <c r="AS33" s="61">
        <v>2.0560675495524799E-3</v>
      </c>
      <c r="AT33" s="61">
        <v>2.0355068740569551E-3</v>
      </c>
      <c r="AU33" s="61">
        <v>2.0151518053163854E-3</v>
      </c>
      <c r="AV33" s="61">
        <v>1.9950002872632217E-3</v>
      </c>
      <c r="AW33" s="61">
        <v>1.9750502843905895E-3</v>
      </c>
      <c r="AX33" s="61">
        <v>1.9552997815466835E-3</v>
      </c>
      <c r="AY33" s="61">
        <v>1.9357467837312166E-3</v>
      </c>
      <c r="AZ33" s="61">
        <v>1.9163893158939045E-3</v>
      </c>
      <c r="BA33" s="61">
        <v>1.8972254227349653E-3</v>
      </c>
      <c r="BB33" s="61">
        <v>1.8782531685076157E-3</v>
      </c>
      <c r="BC33" s="61">
        <v>1.8594706368225396E-3</v>
      </c>
      <c r="BD33" s="61">
        <v>1.8408759304543141E-3</v>
      </c>
      <c r="BE33" s="61">
        <v>1.8224671711497709E-3</v>
      </c>
      <c r="BF33" s="61">
        <v>1.8042424994382732E-3</v>
      </c>
      <c r="BG33" s="61">
        <v>1.7862000744438904E-3</v>
      </c>
      <c r="BH33" s="61">
        <v>1.7683380736994514E-3</v>
      </c>
      <c r="BI33" s="61">
        <v>1.7506546929624569E-3</v>
      </c>
      <c r="BJ33" s="61">
        <v>1.7331481460328322E-3</v>
      </c>
      <c r="BK33" s="61">
        <v>1.7158166645725038E-3</v>
      </c>
      <c r="BL33" s="61">
        <v>1.6986584979267788E-3</v>
      </c>
      <c r="BM33" s="61">
        <v>1.681671912947511E-3</v>
      </c>
      <c r="BN33" s="61">
        <v>1.6648551938180359E-3</v>
      </c>
      <c r="BO33" s="61">
        <v>1.6482066418798554E-3</v>
      </c>
      <c r="BP33" s="61">
        <v>1.6317245754610568E-3</v>
      </c>
      <c r="BQ33" s="61">
        <v>1.6154073297064463E-3</v>
      </c>
      <c r="BR33" s="61">
        <v>1.5992532564093819E-3</v>
      </c>
      <c r="BS33" s="61">
        <v>1.5832607238452881E-3</v>
      </c>
      <c r="BT33" s="61">
        <v>1.5674281166068353E-3</v>
      </c>
      <c r="BU33" s="61">
        <v>1.551753835440767E-3</v>
      </c>
      <c r="BV33" s="61">
        <v>1.5362362970863593E-3</v>
      </c>
      <c r="BW33" s="61">
        <v>1.5208739341154957E-3</v>
      </c>
      <c r="BX33" s="61">
        <v>1.5056651947743408E-3</v>
      </c>
      <c r="BY33" s="61">
        <v>1.4906085428265973E-3</v>
      </c>
      <c r="BZ33" s="61">
        <v>1.4757024573983314E-3</v>
      </c>
      <c r="CA33" s="61">
        <v>1.4609454328243481E-3</v>
      </c>
      <c r="CB33" s="61">
        <v>1.4463359784961047E-3</v>
      </c>
      <c r="CC33" s="61">
        <v>1.4318726187111436E-3</v>
      </c>
      <c r="CD33" s="61">
        <v>1.4175538925240321E-3</v>
      </c>
      <c r="CE33" s="61">
        <v>1.4033783535987918E-3</v>
      </c>
      <c r="CF33" s="61">
        <v>1.3893445700628039E-3</v>
      </c>
      <c r="CG33" s="61">
        <v>1.3754511243621759E-3</v>
      </c>
      <c r="CH33" s="61">
        <v>1.3616966131185541E-3</v>
      </c>
      <c r="CI33" s="61">
        <v>1.3480796469873685E-3</v>
      </c>
      <c r="CJ33" s="61">
        <v>1.3345988505174947E-3</v>
      </c>
      <c r="CK33" s="61">
        <v>1.3212528620123198E-3</v>
      </c>
      <c r="CL33" s="61">
        <v>1.3080403333921966E-3</v>
      </c>
      <c r="CM33" s="61">
        <v>1.2949599300582746E-3</v>
      </c>
      <c r="CN33" s="61">
        <v>1.2820103307576917E-3</v>
      </c>
      <c r="CO33" s="61">
        <v>1.2691902274501149E-3</v>
      </c>
      <c r="CP33" s="61">
        <v>1.2564983251756136E-3</v>
      </c>
      <c r="CQ33" s="61">
        <v>1.2439333419238575E-3</v>
      </c>
      <c r="CR33" s="61">
        <v>1.231494008504619E-3</v>
      </c>
      <c r="CS33" s="61">
        <v>1.2191790684195727E-3</v>
      </c>
      <c r="CT33" s="61">
        <v>1.2069872777353769E-3</v>
      </c>
      <c r="CU33" s="61">
        <v>1.194917404958023E-3</v>
      </c>
      <c r="CV33" s="61">
        <v>1.1829682309084427E-3</v>
      </c>
      <c r="CW33" s="61">
        <v>1.1711385485993582E-3</v>
      </c>
      <c r="CX33" s="61">
        <v>1.1594271631133646E-3</v>
      </c>
      <c r="CY33" s="53">
        <v>1.147832891482231E-3</v>
      </c>
    </row>
    <row r="34" spans="1:103">
      <c r="A34" s="60">
        <v>52</v>
      </c>
      <c r="B34" s="60">
        <v>3.0569999999999998E-3</v>
      </c>
      <c r="C34" s="60">
        <v>3.0615855000000001E-3</v>
      </c>
      <c r="D34" s="60">
        <v>3.0606670243500003E-3</v>
      </c>
      <c r="E34" s="60">
        <v>3.0545456903013002E-3</v>
      </c>
      <c r="F34" s="60">
        <v>3.0438547803852459E-3</v>
      </c>
      <c r="G34" s="60">
        <v>3.0295486629174353E-3</v>
      </c>
      <c r="H34" s="60">
        <v>3.0128861452713897E-3</v>
      </c>
      <c r="I34" s="60">
        <v>2.9948088283997614E-3</v>
      </c>
      <c r="J34" s="60">
        <v>2.9762410136636827E-3</v>
      </c>
      <c r="K34" s="60">
        <v>2.9583835675817006E-3</v>
      </c>
      <c r="L34" s="60">
        <v>2.9415207812464846E-3</v>
      </c>
      <c r="M34" s="60">
        <v>2.9256365690277539E-3</v>
      </c>
      <c r="N34" s="60">
        <v>2.909838131555004E-3</v>
      </c>
      <c r="O34" s="60">
        <v>2.8932520542051402E-3</v>
      </c>
      <c r="P34" s="60">
        <v>2.8750245662636478E-3</v>
      </c>
      <c r="Q34" s="60">
        <v>2.8548993942998022E-3</v>
      </c>
      <c r="R34" s="60">
        <v>2.8326311790242637E-3</v>
      </c>
      <c r="S34" s="60">
        <v>2.8079872877667523E-3</v>
      </c>
      <c r="T34" s="61">
        <v>2.7815922072617449E-3</v>
      </c>
      <c r="U34" s="61">
        <v>2.7543326036305799E-3</v>
      </c>
      <c r="V34" s="61">
        <v>2.7267892775942743E-3</v>
      </c>
      <c r="W34" s="61">
        <v>2.6995213848183316E-3</v>
      </c>
      <c r="X34" s="61">
        <v>2.6725261709701484E-3</v>
      </c>
      <c r="Y34" s="61">
        <v>2.6458009092604467E-3</v>
      </c>
      <c r="Z34" s="61">
        <v>2.6193429001678424E-3</v>
      </c>
      <c r="AA34" s="61">
        <v>2.5931494711661641E-3</v>
      </c>
      <c r="AB34" s="61">
        <v>2.5672179764545024E-3</v>
      </c>
      <c r="AC34" s="61">
        <v>2.5415457966899576E-3</v>
      </c>
      <c r="AD34" s="61">
        <v>2.516130338723058E-3</v>
      </c>
      <c r="AE34" s="61">
        <v>2.4909690353358271E-3</v>
      </c>
      <c r="AF34" s="61">
        <v>2.4660593449824689E-3</v>
      </c>
      <c r="AG34" s="61">
        <v>2.4413987515326443E-3</v>
      </c>
      <c r="AH34" s="61">
        <v>2.4169847640173178E-3</v>
      </c>
      <c r="AI34" s="61">
        <v>2.3928149163771448E-3</v>
      </c>
      <c r="AJ34" s="61">
        <v>2.3688867672133733E-3</v>
      </c>
      <c r="AK34" s="61">
        <v>2.3451978995412395E-3</v>
      </c>
      <c r="AL34" s="61">
        <v>2.3217459205458271E-3</v>
      </c>
      <c r="AM34" s="61">
        <v>2.2985284613403689E-3</v>
      </c>
      <c r="AN34" s="61">
        <v>2.2755431767269652E-3</v>
      </c>
      <c r="AO34" s="61">
        <v>2.2527877449596955E-3</v>
      </c>
      <c r="AP34" s="61">
        <v>2.2302598675100985E-3</v>
      </c>
      <c r="AQ34" s="61">
        <v>2.2079572688349976E-3</v>
      </c>
      <c r="AR34" s="61">
        <v>2.1858776961466478E-3</v>
      </c>
      <c r="AS34" s="61">
        <v>2.1640189191851813E-3</v>
      </c>
      <c r="AT34" s="61">
        <v>2.1423787299933296E-3</v>
      </c>
      <c r="AU34" s="61">
        <v>2.1209549426933964E-3</v>
      </c>
      <c r="AV34" s="61">
        <v>2.0997453932664624E-3</v>
      </c>
      <c r="AW34" s="61">
        <v>2.078747939333798E-3</v>
      </c>
      <c r="AX34" s="61">
        <v>2.05796045994046E-3</v>
      </c>
      <c r="AY34" s="61">
        <v>2.0373808553410555E-3</v>
      </c>
      <c r="AZ34" s="61">
        <v>2.0170070467876449E-3</v>
      </c>
      <c r="BA34" s="61">
        <v>1.9968369763197682E-3</v>
      </c>
      <c r="BB34" s="61">
        <v>1.9768686065565703E-3</v>
      </c>
      <c r="BC34" s="61">
        <v>1.9570999204910045E-3</v>
      </c>
      <c r="BD34" s="61">
        <v>1.9375289212860945E-3</v>
      </c>
      <c r="BE34" s="61">
        <v>1.9181536320732335E-3</v>
      </c>
      <c r="BF34" s="61">
        <v>1.8989720957525011E-3</v>
      </c>
      <c r="BG34" s="61">
        <v>1.879982374794976E-3</v>
      </c>
      <c r="BH34" s="61">
        <v>1.8611825510470262E-3</v>
      </c>
      <c r="BI34" s="61">
        <v>1.8425707255365559E-3</v>
      </c>
      <c r="BJ34" s="61">
        <v>1.8241450182811903E-3</v>
      </c>
      <c r="BK34" s="61">
        <v>1.8059035680983784E-3</v>
      </c>
      <c r="BL34" s="61">
        <v>1.7878445324173947E-3</v>
      </c>
      <c r="BM34" s="61">
        <v>1.7699660870932206E-3</v>
      </c>
      <c r="BN34" s="61">
        <v>1.7522664262222885E-3</v>
      </c>
      <c r="BO34" s="61">
        <v>1.7347437619600655E-3</v>
      </c>
      <c r="BP34" s="61">
        <v>1.7173963243404648E-3</v>
      </c>
      <c r="BQ34" s="61">
        <v>1.7002223610970602E-3</v>
      </c>
      <c r="BR34" s="61">
        <v>1.6832201374860896E-3</v>
      </c>
      <c r="BS34" s="61">
        <v>1.6663879361112288E-3</v>
      </c>
      <c r="BT34" s="61">
        <v>1.6497240567501165E-3</v>
      </c>
      <c r="BU34" s="61">
        <v>1.6332268161826154E-3</v>
      </c>
      <c r="BV34" s="61">
        <v>1.6168945480207891E-3</v>
      </c>
      <c r="BW34" s="61">
        <v>1.6007256025405811E-3</v>
      </c>
      <c r="BX34" s="61">
        <v>1.5847183465151752E-3</v>
      </c>
      <c r="BY34" s="61">
        <v>1.5688711630500235E-3</v>
      </c>
      <c r="BZ34" s="61">
        <v>1.5531824514195232E-3</v>
      </c>
      <c r="CA34" s="61">
        <v>1.537650626905328E-3</v>
      </c>
      <c r="CB34" s="61">
        <v>1.5222741206362747E-3</v>
      </c>
      <c r="CC34" s="61">
        <v>1.5070513794299119E-3</v>
      </c>
      <c r="CD34" s="61">
        <v>1.4919808656356128E-3</v>
      </c>
      <c r="CE34" s="61">
        <v>1.4770610569792566E-3</v>
      </c>
      <c r="CF34" s="61">
        <v>1.4622904464094641E-3</v>
      </c>
      <c r="CG34" s="61">
        <v>1.4476675419453694E-3</v>
      </c>
      <c r="CH34" s="61">
        <v>1.4331908665259157E-3</v>
      </c>
      <c r="CI34" s="61">
        <v>1.4188589578606565E-3</v>
      </c>
      <c r="CJ34" s="61">
        <v>1.40467036828205E-3</v>
      </c>
      <c r="CK34" s="61">
        <v>1.3906236645992295E-3</v>
      </c>
      <c r="CL34" s="61">
        <v>1.3767174279532373E-3</v>
      </c>
      <c r="CM34" s="61">
        <v>1.3629502536737048E-3</v>
      </c>
      <c r="CN34" s="61">
        <v>1.3493207511369677E-3</v>
      </c>
      <c r="CO34" s="61">
        <v>1.335827543625598E-3</v>
      </c>
      <c r="CP34" s="61">
        <v>1.322469268189342E-3</v>
      </c>
      <c r="CQ34" s="61">
        <v>1.3092445755074485E-3</v>
      </c>
      <c r="CR34" s="61">
        <v>1.2961521297523741E-3</v>
      </c>
      <c r="CS34" s="61">
        <v>1.2831906084548503E-3</v>
      </c>
      <c r="CT34" s="61">
        <v>1.2703587023703018E-3</v>
      </c>
      <c r="CU34" s="61">
        <v>1.2576551153465987E-3</v>
      </c>
      <c r="CV34" s="61">
        <v>1.2450785641931327E-3</v>
      </c>
      <c r="CW34" s="61">
        <v>1.2326277785512014E-3</v>
      </c>
      <c r="CX34" s="61">
        <v>1.2203015007656894E-3</v>
      </c>
      <c r="CY34" s="53">
        <v>1.2080984857580324E-3</v>
      </c>
    </row>
    <row r="35" spans="1:103">
      <c r="A35" s="60">
        <v>53</v>
      </c>
      <c r="B35" s="60">
        <v>3.225E-3</v>
      </c>
      <c r="C35" s="60">
        <v>3.2385449999999998E-3</v>
      </c>
      <c r="D35" s="60">
        <v>3.2453459444999997E-3</v>
      </c>
      <c r="E35" s="60">
        <v>3.2453459444999997E-3</v>
      </c>
      <c r="F35" s="60">
        <v>3.2385307180165497E-3</v>
      </c>
      <c r="G35" s="60">
        <v>3.2259004482162851E-3</v>
      </c>
      <c r="H35" s="60">
        <v>3.2088031758407388E-3</v>
      </c>
      <c r="I35" s="60">
        <v>3.1885877158329421E-3</v>
      </c>
      <c r="J35" s="60">
        <v>3.166905319365278E-3</v>
      </c>
      <c r="K35" s="60">
        <v>3.1447369821297208E-3</v>
      </c>
      <c r="L35" s="60">
        <v>3.1236672443494514E-3</v>
      </c>
      <c r="M35" s="60">
        <v>3.1036757739856149E-3</v>
      </c>
      <c r="N35" s="60">
        <v>3.0844329841869041E-3</v>
      </c>
      <c r="O35" s="60">
        <v>3.0650010563865269E-3</v>
      </c>
      <c r="P35" s="60">
        <v>3.0444655493087371E-3</v>
      </c>
      <c r="Q35" s="60">
        <v>3.0222409507987833E-3</v>
      </c>
      <c r="R35" s="60">
        <v>2.9980630231923929E-3</v>
      </c>
      <c r="S35" s="60">
        <v>2.9719798748906192E-3</v>
      </c>
      <c r="T35" s="61">
        <v>2.9440432640666474E-3</v>
      </c>
      <c r="U35" s="61">
        <v>2.9151916400787939E-3</v>
      </c>
      <c r="V35" s="61">
        <v>2.8860397236780059E-3</v>
      </c>
      <c r="W35" s="61">
        <v>2.8571793264412257E-3</v>
      </c>
      <c r="X35" s="61">
        <v>2.8286075331768134E-3</v>
      </c>
      <c r="Y35" s="61">
        <v>2.800321457845045E-3</v>
      </c>
      <c r="Z35" s="61">
        <v>2.7723182432665945E-3</v>
      </c>
      <c r="AA35" s="61">
        <v>2.7445950608339285E-3</v>
      </c>
      <c r="AB35" s="61">
        <v>2.7171491102255889E-3</v>
      </c>
      <c r="AC35" s="61">
        <v>2.689977619123333E-3</v>
      </c>
      <c r="AD35" s="61">
        <v>2.6630778429320998E-3</v>
      </c>
      <c r="AE35" s="61">
        <v>2.6364470645027786E-3</v>
      </c>
      <c r="AF35" s="61">
        <v>2.6100825938577508E-3</v>
      </c>
      <c r="AG35" s="61">
        <v>2.5839817679191735E-3</v>
      </c>
      <c r="AH35" s="61">
        <v>2.5581419502399816E-3</v>
      </c>
      <c r="AI35" s="61">
        <v>2.5325605307375816E-3</v>
      </c>
      <c r="AJ35" s="61">
        <v>2.5072349254302057E-3</v>
      </c>
      <c r="AK35" s="61">
        <v>2.4821625761759034E-3</v>
      </c>
      <c r="AL35" s="61">
        <v>2.4573409504141442E-3</v>
      </c>
      <c r="AM35" s="61">
        <v>2.4327675409100027E-3</v>
      </c>
      <c r="AN35" s="61">
        <v>2.4084398655009028E-3</v>
      </c>
      <c r="AO35" s="61">
        <v>2.3843554668458939E-3</v>
      </c>
      <c r="AP35" s="61">
        <v>2.3605119121774347E-3</v>
      </c>
      <c r="AQ35" s="61">
        <v>2.3369067930556603E-3</v>
      </c>
      <c r="AR35" s="61">
        <v>2.3135377251251037E-3</v>
      </c>
      <c r="AS35" s="61">
        <v>2.2904023478738525E-3</v>
      </c>
      <c r="AT35" s="61">
        <v>2.2674983243951138E-3</v>
      </c>
      <c r="AU35" s="61">
        <v>2.2448233411511628E-3</v>
      </c>
      <c r="AV35" s="61">
        <v>2.2223751077396514E-3</v>
      </c>
      <c r="AW35" s="61">
        <v>2.2001513566622549E-3</v>
      </c>
      <c r="AX35" s="61">
        <v>2.1781498430956323E-3</v>
      </c>
      <c r="AY35" s="61">
        <v>2.1563683446646758E-3</v>
      </c>
      <c r="AZ35" s="61">
        <v>2.1348046612180288E-3</v>
      </c>
      <c r="BA35" s="61">
        <v>2.1134566146058485E-3</v>
      </c>
      <c r="BB35" s="61">
        <v>2.0923220484597902E-3</v>
      </c>
      <c r="BC35" s="61">
        <v>2.0713988279751922E-3</v>
      </c>
      <c r="BD35" s="61">
        <v>2.0506848396954405E-3</v>
      </c>
      <c r="BE35" s="61">
        <v>2.0301779912984862E-3</v>
      </c>
      <c r="BF35" s="61">
        <v>2.0098762113855014E-3</v>
      </c>
      <c r="BG35" s="61">
        <v>1.9897774492716462E-3</v>
      </c>
      <c r="BH35" s="61">
        <v>1.9698796747789297E-3</v>
      </c>
      <c r="BI35" s="61">
        <v>1.9501808780311403E-3</v>
      </c>
      <c r="BJ35" s="61">
        <v>1.9306790692508288E-3</v>
      </c>
      <c r="BK35" s="61">
        <v>1.9113722785583204E-3</v>
      </c>
      <c r="BL35" s="61">
        <v>1.8922585557727373E-3</v>
      </c>
      <c r="BM35" s="61">
        <v>1.87333597021501E-3</v>
      </c>
      <c r="BN35" s="61">
        <v>1.8546026105128598E-3</v>
      </c>
      <c r="BO35" s="61">
        <v>1.8360565844077312E-3</v>
      </c>
      <c r="BP35" s="61">
        <v>1.8176960185636538E-3</v>
      </c>
      <c r="BQ35" s="61">
        <v>1.7995190583780173E-3</v>
      </c>
      <c r="BR35" s="61">
        <v>1.7815238677942372E-3</v>
      </c>
      <c r="BS35" s="61">
        <v>1.7637086291162948E-3</v>
      </c>
      <c r="BT35" s="61">
        <v>1.7460715428251317E-3</v>
      </c>
      <c r="BU35" s="61">
        <v>1.7286108273968804E-3</v>
      </c>
      <c r="BV35" s="61">
        <v>1.7113247191229116E-3</v>
      </c>
      <c r="BW35" s="61">
        <v>1.6942114719316825E-3</v>
      </c>
      <c r="BX35" s="61">
        <v>1.6772693572123657E-3</v>
      </c>
      <c r="BY35" s="61">
        <v>1.660496663640242E-3</v>
      </c>
      <c r="BZ35" s="61">
        <v>1.6438916970038396E-3</v>
      </c>
      <c r="CA35" s="61">
        <v>1.6274527800338012E-3</v>
      </c>
      <c r="CB35" s="61">
        <v>1.6111782522334631E-3</v>
      </c>
      <c r="CC35" s="61">
        <v>1.5950664697111285E-3</v>
      </c>
      <c r="CD35" s="61">
        <v>1.5791158050140171E-3</v>
      </c>
      <c r="CE35" s="61">
        <v>1.5633246469638768E-3</v>
      </c>
      <c r="CF35" s="61">
        <v>1.5476914004942382E-3</v>
      </c>
      <c r="CG35" s="61">
        <v>1.5322144864892957E-3</v>
      </c>
      <c r="CH35" s="61">
        <v>1.5168923416244027E-3</v>
      </c>
      <c r="CI35" s="61">
        <v>1.5017234182081588E-3</v>
      </c>
      <c r="CJ35" s="61">
        <v>1.4867061840260771E-3</v>
      </c>
      <c r="CK35" s="61">
        <v>1.4718391221858163E-3</v>
      </c>
      <c r="CL35" s="61">
        <v>1.4571207309639581E-3</v>
      </c>
      <c r="CM35" s="61">
        <v>1.4425495236543185E-3</v>
      </c>
      <c r="CN35" s="61">
        <v>1.4281240284177753E-3</v>
      </c>
      <c r="CO35" s="61">
        <v>1.4138427881335975E-3</v>
      </c>
      <c r="CP35" s="61">
        <v>1.3997043602522615E-3</v>
      </c>
      <c r="CQ35" s="61">
        <v>1.3857073166497389E-3</v>
      </c>
      <c r="CR35" s="61">
        <v>1.3718502434832416E-3</v>
      </c>
      <c r="CS35" s="61">
        <v>1.3581317410484091E-3</v>
      </c>
      <c r="CT35" s="61">
        <v>1.344550423637925E-3</v>
      </c>
      <c r="CU35" s="61">
        <v>1.3311049194015458E-3</v>
      </c>
      <c r="CV35" s="61">
        <v>1.3177938702075304E-3</v>
      </c>
      <c r="CW35" s="61">
        <v>1.3046159315054551E-3</v>
      </c>
      <c r="CX35" s="61">
        <v>1.2915697721904006E-3</v>
      </c>
      <c r="CY35" s="53">
        <v>1.2786540744684966E-3</v>
      </c>
    </row>
    <row r="36" spans="1:103">
      <c r="A36" s="60">
        <v>54</v>
      </c>
      <c r="B36" s="60">
        <v>3.4120000000000001E-3</v>
      </c>
      <c r="C36" s="60">
        <v>3.4352015999999999E-3</v>
      </c>
      <c r="D36" s="60">
        <v>3.4510035273599996E-3</v>
      </c>
      <c r="E36" s="60">
        <v>3.4582506347674556E-3</v>
      </c>
      <c r="F36" s="60">
        <v>3.4565215094500721E-3</v>
      </c>
      <c r="G36" s="60">
        <v>3.446843249223612E-3</v>
      </c>
      <c r="H36" s="60">
        <v>3.4302984016273386E-3</v>
      </c>
      <c r="I36" s="60">
        <v>3.4086875216970867E-3</v>
      </c>
      <c r="J36" s="60">
        <v>3.3841449715408677E-3</v>
      </c>
      <c r="K36" s="60">
        <v>3.3580870552600028E-3</v>
      </c>
      <c r="L36" s="60">
        <v>3.3325655936400265E-3</v>
      </c>
      <c r="M36" s="60">
        <v>3.3085711213658182E-3</v>
      </c>
      <c r="N36" s="60">
        <v>3.2854111235162574E-3</v>
      </c>
      <c r="O36" s="60">
        <v>3.2624132456516436E-3</v>
      </c>
      <c r="P36" s="60">
        <v>3.2389238702829519E-3</v>
      </c>
      <c r="Q36" s="60">
        <v>3.2143080488688013E-3</v>
      </c>
      <c r="R36" s="60">
        <v>3.1879507228680772E-3</v>
      </c>
      <c r="S36" s="60">
        <v>3.1598967565068382E-3</v>
      </c>
      <c r="T36" s="61">
        <v>3.130193726995674E-3</v>
      </c>
      <c r="U36" s="61">
        <v>3.0995178284711163E-3</v>
      </c>
      <c r="V36" s="61">
        <v>3.0685226501864053E-3</v>
      </c>
      <c r="W36" s="61">
        <v>3.0378374236845413E-3</v>
      </c>
      <c r="X36" s="61">
        <v>3.007459049447696E-3</v>
      </c>
      <c r="Y36" s="61">
        <v>2.9773844589532192E-3</v>
      </c>
      <c r="Z36" s="61">
        <v>2.9476106143636869E-3</v>
      </c>
      <c r="AA36" s="61">
        <v>2.91813450822005E-3</v>
      </c>
      <c r="AB36" s="61">
        <v>2.8889531631378497E-3</v>
      </c>
      <c r="AC36" s="61">
        <v>2.8600636315064712E-3</v>
      </c>
      <c r="AD36" s="61">
        <v>2.8314629951914066E-3</v>
      </c>
      <c r="AE36" s="61">
        <v>2.8031483652394924E-3</v>
      </c>
      <c r="AF36" s="61">
        <v>2.7751168815870974E-3</v>
      </c>
      <c r="AG36" s="61">
        <v>2.7473657127712265E-3</v>
      </c>
      <c r="AH36" s="61">
        <v>2.7198920556435143E-3</v>
      </c>
      <c r="AI36" s="61">
        <v>2.692693135087079E-3</v>
      </c>
      <c r="AJ36" s="61">
        <v>2.665766203736208E-3</v>
      </c>
      <c r="AK36" s="61">
        <v>2.6391085416988458E-3</v>
      </c>
      <c r="AL36" s="61">
        <v>2.6127174562818574E-3</v>
      </c>
      <c r="AM36" s="61">
        <v>2.5865902817190389E-3</v>
      </c>
      <c r="AN36" s="61">
        <v>2.5607243789018486E-3</v>
      </c>
      <c r="AO36" s="61">
        <v>2.5351171351128301E-3</v>
      </c>
      <c r="AP36" s="61">
        <v>2.5097659637617017E-3</v>
      </c>
      <c r="AQ36" s="61">
        <v>2.4846683041240846E-3</v>
      </c>
      <c r="AR36" s="61">
        <v>2.4598216210828436E-3</v>
      </c>
      <c r="AS36" s="61">
        <v>2.4352234048720151E-3</v>
      </c>
      <c r="AT36" s="61">
        <v>2.4108711708232949E-3</v>
      </c>
      <c r="AU36" s="61">
        <v>2.3867624591150621E-3</v>
      </c>
      <c r="AV36" s="61">
        <v>2.3628948345239113E-3</v>
      </c>
      <c r="AW36" s="61">
        <v>2.3392658861786722E-3</v>
      </c>
      <c r="AX36" s="61">
        <v>2.3158732273168853E-3</v>
      </c>
      <c r="AY36" s="61">
        <v>2.2927144950437165E-3</v>
      </c>
      <c r="AZ36" s="61">
        <v>2.2697873500932791E-3</v>
      </c>
      <c r="BA36" s="61">
        <v>2.2470894765923462E-3</v>
      </c>
      <c r="BB36" s="61">
        <v>2.2246185818264228E-3</v>
      </c>
      <c r="BC36" s="61">
        <v>2.2023723960081587E-3</v>
      </c>
      <c r="BD36" s="61">
        <v>2.1803486720480773E-3</v>
      </c>
      <c r="BE36" s="61">
        <v>2.1585451853275966E-3</v>
      </c>
      <c r="BF36" s="61">
        <v>2.1369597334743207E-3</v>
      </c>
      <c r="BG36" s="61">
        <v>2.1155901361395776E-3</v>
      </c>
      <c r="BH36" s="61">
        <v>2.0944342347781818E-3</v>
      </c>
      <c r="BI36" s="61">
        <v>2.0734898924304E-3</v>
      </c>
      <c r="BJ36" s="61">
        <v>2.0527549935060959E-3</v>
      </c>
      <c r="BK36" s="61">
        <v>2.0322274435710351E-3</v>
      </c>
      <c r="BL36" s="61">
        <v>2.0119051691353247E-3</v>
      </c>
      <c r="BM36" s="61">
        <v>1.9917861174439714E-3</v>
      </c>
      <c r="BN36" s="61">
        <v>1.9718682562695315E-3</v>
      </c>
      <c r="BO36" s="61">
        <v>1.9521495737068362E-3</v>
      </c>
      <c r="BP36" s="61">
        <v>1.9326280779697678E-3</v>
      </c>
      <c r="BQ36" s="61">
        <v>1.9133017971900701E-3</v>
      </c>
      <c r="BR36" s="61">
        <v>1.8941687792181695E-3</v>
      </c>
      <c r="BS36" s="61">
        <v>1.8752270914259878E-3</v>
      </c>
      <c r="BT36" s="61">
        <v>1.8564748205117279E-3</v>
      </c>
      <c r="BU36" s="61">
        <v>1.8379100723066107E-3</v>
      </c>
      <c r="BV36" s="61">
        <v>1.8195309715835445E-3</v>
      </c>
      <c r="BW36" s="61">
        <v>1.8013356618677091E-3</v>
      </c>
      <c r="BX36" s="61">
        <v>1.7833223052490319E-3</v>
      </c>
      <c r="BY36" s="61">
        <v>1.7654890821965415E-3</v>
      </c>
      <c r="BZ36" s="61">
        <v>1.7478341913745761E-3</v>
      </c>
      <c r="CA36" s="61">
        <v>1.7303558494608303E-3</v>
      </c>
      <c r="CB36" s="61">
        <v>1.7130522909662219E-3</v>
      </c>
      <c r="CC36" s="61">
        <v>1.6959217680565597E-3</v>
      </c>
      <c r="CD36" s="61">
        <v>1.6789625503759941E-3</v>
      </c>
      <c r="CE36" s="61">
        <v>1.6621729248722341E-3</v>
      </c>
      <c r="CF36" s="61">
        <v>1.6455511956235118E-3</v>
      </c>
      <c r="CG36" s="61">
        <v>1.6290956836672768E-3</v>
      </c>
      <c r="CH36" s="61">
        <v>1.612804726830604E-3</v>
      </c>
      <c r="CI36" s="61">
        <v>1.5966766795622979E-3</v>
      </c>
      <c r="CJ36" s="61">
        <v>1.580709912766675E-3</v>
      </c>
      <c r="CK36" s="61">
        <v>1.5649028136390081E-3</v>
      </c>
      <c r="CL36" s="61">
        <v>1.549253785502618E-3</v>
      </c>
      <c r="CM36" s="61">
        <v>1.5337612476475919E-3</v>
      </c>
      <c r="CN36" s="61">
        <v>1.5184236351711159E-3</v>
      </c>
      <c r="CO36" s="61">
        <v>1.5032393988194048E-3</v>
      </c>
      <c r="CP36" s="61">
        <v>1.4882070048312108E-3</v>
      </c>
      <c r="CQ36" s="61">
        <v>1.4733249347828987E-3</v>
      </c>
      <c r="CR36" s="61">
        <v>1.4585916854350698E-3</v>
      </c>
      <c r="CS36" s="61">
        <v>1.444005768580719E-3</v>
      </c>
      <c r="CT36" s="61">
        <v>1.4295657108949118E-3</v>
      </c>
      <c r="CU36" s="61">
        <v>1.4152700537859626E-3</v>
      </c>
      <c r="CV36" s="61">
        <v>1.401117353248103E-3</v>
      </c>
      <c r="CW36" s="61">
        <v>1.3871061797156219E-3</v>
      </c>
      <c r="CX36" s="61">
        <v>1.3732351179184656E-3</v>
      </c>
      <c r="CY36" s="53">
        <v>1.3595027667392809E-3</v>
      </c>
    </row>
    <row r="37" spans="1:103">
      <c r="A37" s="60">
        <v>55</v>
      </c>
      <c r="B37" s="60">
        <v>3.6219999999999998E-3</v>
      </c>
      <c r="C37" s="60">
        <v>3.6549602000000001E-3</v>
      </c>
      <c r="D37" s="60">
        <v>3.6801794253799999E-3</v>
      </c>
      <c r="E37" s="60">
        <v>3.6956361789665959E-3</v>
      </c>
      <c r="F37" s="60">
        <v>3.7004405059992526E-3</v>
      </c>
      <c r="G37" s="60">
        <v>3.6948898452402539E-3</v>
      </c>
      <c r="H37" s="60">
        <v>3.6801102858592927E-3</v>
      </c>
      <c r="I37" s="60">
        <v>3.6580296241441371E-3</v>
      </c>
      <c r="J37" s="60">
        <v>3.6309602049254706E-3</v>
      </c>
      <c r="K37" s="60">
        <v>3.6015494272655744E-3</v>
      </c>
      <c r="L37" s="60">
        <v>3.5720167219619966E-3</v>
      </c>
      <c r="M37" s="60">
        <v>3.5437977898584968E-3</v>
      </c>
      <c r="N37" s="60">
        <v>3.5165105468765862E-3</v>
      </c>
      <c r="O37" s="60">
        <v>3.4897850667203237E-3</v>
      </c>
      <c r="P37" s="60">
        <v>3.4629137217065771E-3</v>
      </c>
      <c r="Q37" s="60">
        <v>3.4352104119329246E-3</v>
      </c>
      <c r="R37" s="60">
        <v>3.4063546444726882E-3</v>
      </c>
      <c r="S37" s="60">
        <v>3.3760380881368811E-3</v>
      </c>
      <c r="T37" s="61">
        <v>3.3439657262995808E-3</v>
      </c>
      <c r="U37" s="61">
        <v>3.311194862181845E-3</v>
      </c>
      <c r="V37" s="61">
        <v>3.2780829135600265E-3</v>
      </c>
      <c r="W37" s="61">
        <v>3.245302084424426E-3</v>
      </c>
      <c r="X37" s="61">
        <v>3.2128490635801817E-3</v>
      </c>
      <c r="Y37" s="61">
        <v>3.18072057294438E-3</v>
      </c>
      <c r="Z37" s="61">
        <v>3.1489133672149361E-3</v>
      </c>
      <c r="AA37" s="61">
        <v>3.1174242335427868E-3</v>
      </c>
      <c r="AB37" s="61">
        <v>3.0862499912073589E-3</v>
      </c>
      <c r="AC37" s="61">
        <v>3.0553874912952854E-3</v>
      </c>
      <c r="AD37" s="61">
        <v>3.0248336163823325E-3</v>
      </c>
      <c r="AE37" s="61">
        <v>2.9945852802185091E-3</v>
      </c>
      <c r="AF37" s="61">
        <v>2.9646394274163239E-3</v>
      </c>
      <c r="AG37" s="61">
        <v>2.9349930331421608E-3</v>
      </c>
      <c r="AH37" s="61">
        <v>2.9056431028107389E-3</v>
      </c>
      <c r="AI37" s="61">
        <v>2.8765866717826317E-3</v>
      </c>
      <c r="AJ37" s="61">
        <v>2.8478208050648052E-3</v>
      </c>
      <c r="AK37" s="61">
        <v>2.8193425970141572E-3</v>
      </c>
      <c r="AL37" s="61">
        <v>2.7911491710440155E-3</v>
      </c>
      <c r="AM37" s="61">
        <v>2.7632376793335755E-3</v>
      </c>
      <c r="AN37" s="61">
        <v>2.7356053025402397E-3</v>
      </c>
      <c r="AO37" s="61">
        <v>2.7082492495148374E-3</v>
      </c>
      <c r="AP37" s="61">
        <v>2.6811667570196891E-3</v>
      </c>
      <c r="AQ37" s="61">
        <v>2.6543550894494923E-3</v>
      </c>
      <c r="AR37" s="61">
        <v>2.6278115385549973E-3</v>
      </c>
      <c r="AS37" s="61">
        <v>2.6015334231694475E-3</v>
      </c>
      <c r="AT37" s="61">
        <v>2.5755180889377532E-3</v>
      </c>
      <c r="AU37" s="61">
        <v>2.5497629080483758E-3</v>
      </c>
      <c r="AV37" s="61">
        <v>2.5242652789678921E-3</v>
      </c>
      <c r="AW37" s="61">
        <v>2.4990226261782131E-3</v>
      </c>
      <c r="AX37" s="61">
        <v>2.4740323999164308E-3</v>
      </c>
      <c r="AY37" s="61">
        <v>2.4492920759172664E-3</v>
      </c>
      <c r="AZ37" s="61">
        <v>2.4247991551580939E-3</v>
      </c>
      <c r="BA37" s="61">
        <v>2.4005511636065128E-3</v>
      </c>
      <c r="BB37" s="61">
        <v>2.3765456519704476E-3</v>
      </c>
      <c r="BC37" s="61">
        <v>2.3527801954507429E-3</v>
      </c>
      <c r="BD37" s="61">
        <v>2.3292523934962356E-3</v>
      </c>
      <c r="BE37" s="61">
        <v>2.305959869561273E-3</v>
      </c>
      <c r="BF37" s="61">
        <v>2.2829002708656602E-3</v>
      </c>
      <c r="BG37" s="61">
        <v>2.2600712681570038E-3</v>
      </c>
      <c r="BH37" s="61">
        <v>2.2374705554754335E-3</v>
      </c>
      <c r="BI37" s="61">
        <v>2.2150958499206792E-3</v>
      </c>
      <c r="BJ37" s="61">
        <v>2.1929448914214723E-3</v>
      </c>
      <c r="BK37" s="61">
        <v>2.1710154425072575E-3</v>
      </c>
      <c r="BL37" s="61">
        <v>2.1493052880821851E-3</v>
      </c>
      <c r="BM37" s="61">
        <v>2.1278122352013634E-3</v>
      </c>
      <c r="BN37" s="61">
        <v>2.1065341128493498E-3</v>
      </c>
      <c r="BO37" s="61">
        <v>2.0854687717208565E-3</v>
      </c>
      <c r="BP37" s="61">
        <v>2.064614084003648E-3</v>
      </c>
      <c r="BQ37" s="61">
        <v>2.0439679431636113E-3</v>
      </c>
      <c r="BR37" s="61">
        <v>2.0235282637319752E-3</v>
      </c>
      <c r="BS37" s="61">
        <v>2.0032929810946554E-3</v>
      </c>
      <c r="BT37" s="61">
        <v>1.9832600512837088E-3</v>
      </c>
      <c r="BU37" s="61">
        <v>1.9634274507708718E-3</v>
      </c>
      <c r="BV37" s="61">
        <v>1.943793176263163E-3</v>
      </c>
      <c r="BW37" s="61">
        <v>1.9243552445005314E-3</v>
      </c>
      <c r="BX37" s="61">
        <v>1.9051116920555261E-3</v>
      </c>
      <c r="BY37" s="61">
        <v>1.8860605751349708E-3</v>
      </c>
      <c r="BZ37" s="61">
        <v>1.8671999693836211E-3</v>
      </c>
      <c r="CA37" s="61">
        <v>1.8485279696897848E-3</v>
      </c>
      <c r="CB37" s="61">
        <v>1.8300426899928869E-3</v>
      </c>
      <c r="CC37" s="61">
        <v>1.8117422630929579E-3</v>
      </c>
      <c r="CD37" s="61">
        <v>1.7936248404620283E-3</v>
      </c>
      <c r="CE37" s="61">
        <v>1.775688592057408E-3</v>
      </c>
      <c r="CF37" s="61">
        <v>1.7579317061368338E-3</v>
      </c>
      <c r="CG37" s="61">
        <v>1.7403523890754656E-3</v>
      </c>
      <c r="CH37" s="61">
        <v>1.722948865184711E-3</v>
      </c>
      <c r="CI37" s="61">
        <v>1.7057193765328638E-3</v>
      </c>
      <c r="CJ37" s="61">
        <v>1.6886621827675351E-3</v>
      </c>
      <c r="CK37" s="61">
        <v>1.6717755609398598E-3</v>
      </c>
      <c r="CL37" s="61">
        <v>1.6550578053304611E-3</v>
      </c>
      <c r="CM37" s="61">
        <v>1.6385072272771565E-3</v>
      </c>
      <c r="CN37" s="61">
        <v>1.6221221550043849E-3</v>
      </c>
      <c r="CO37" s="61">
        <v>1.6059009334543411E-3</v>
      </c>
      <c r="CP37" s="61">
        <v>1.5898419241197977E-3</v>
      </c>
      <c r="CQ37" s="61">
        <v>1.5739435048785996E-3</v>
      </c>
      <c r="CR37" s="61">
        <v>1.5582040698298137E-3</v>
      </c>
      <c r="CS37" s="61">
        <v>1.5426220291315156E-3</v>
      </c>
      <c r="CT37" s="61">
        <v>1.5271958088402004E-3</v>
      </c>
      <c r="CU37" s="61">
        <v>1.5119238507517983E-3</v>
      </c>
      <c r="CV37" s="61">
        <v>1.4968046122442802E-3</v>
      </c>
      <c r="CW37" s="61">
        <v>1.4818365661218374E-3</v>
      </c>
      <c r="CX37" s="61">
        <v>1.4670182004606191E-3</v>
      </c>
      <c r="CY37" s="53">
        <v>1.4523480184560128E-3</v>
      </c>
    </row>
    <row r="38" spans="1:103">
      <c r="A38" s="60">
        <v>56</v>
      </c>
      <c r="B38" s="60">
        <v>3.8579999999999999E-3</v>
      </c>
      <c r="C38" s="60">
        <v>3.9004379999999996E-3</v>
      </c>
      <c r="D38" s="60">
        <v>3.9351518981999992E-3</v>
      </c>
      <c r="E38" s="60">
        <v>3.9591563247790189E-3</v>
      </c>
      <c r="F38" s="60">
        <v>3.9710337937533553E-3</v>
      </c>
      <c r="G38" s="60">
        <v>3.9706366903739798E-3</v>
      </c>
      <c r="H38" s="60">
        <v>3.9587247803028582E-3</v>
      </c>
      <c r="I38" s="60">
        <v>3.9373476664892231E-3</v>
      </c>
      <c r="J38" s="60">
        <v>3.9089987632905006E-3</v>
      </c>
      <c r="K38" s="60">
        <v>3.8765540735551897E-3</v>
      </c>
      <c r="L38" s="60">
        <v>3.8432157085226148E-3</v>
      </c>
      <c r="M38" s="60">
        <v>3.8105483750001728E-3</v>
      </c>
      <c r="N38" s="60">
        <v>3.7789208234876716E-3</v>
      </c>
      <c r="O38" s="60">
        <v>3.7479336727350727E-3</v>
      </c>
      <c r="P38" s="60">
        <v>3.717200616618645E-3</v>
      </c>
      <c r="Q38" s="60">
        <v>3.6863478515007102E-3</v>
      </c>
      <c r="R38" s="60">
        <v>3.6546452599778038E-3</v>
      </c>
      <c r="S38" s="60">
        <v>3.6213879881120056E-3</v>
      </c>
      <c r="T38" s="61">
        <v>3.586984802224942E-3</v>
      </c>
      <c r="U38" s="61">
        <v>3.551473652682915E-3</v>
      </c>
      <c r="V38" s="61">
        <v>3.5159589161560859E-3</v>
      </c>
      <c r="W38" s="61">
        <v>3.4807993269945249E-3</v>
      </c>
      <c r="X38" s="61">
        <v>3.4459913337245795E-3</v>
      </c>
      <c r="Y38" s="61">
        <v>3.4115314203873336E-3</v>
      </c>
      <c r="Z38" s="61">
        <v>3.3774161061834603E-3</v>
      </c>
      <c r="AA38" s="61">
        <v>3.3436419451216256E-3</v>
      </c>
      <c r="AB38" s="61">
        <v>3.3102055256704092E-3</v>
      </c>
      <c r="AC38" s="61">
        <v>3.2771034704137049E-3</v>
      </c>
      <c r="AD38" s="61">
        <v>3.2443324357095678E-3</v>
      </c>
      <c r="AE38" s="61">
        <v>3.2118891113524723E-3</v>
      </c>
      <c r="AF38" s="61">
        <v>3.1797702202389475E-3</v>
      </c>
      <c r="AG38" s="61">
        <v>3.1479725180365578E-3</v>
      </c>
      <c r="AH38" s="61">
        <v>3.1164927928561924E-3</v>
      </c>
      <c r="AI38" s="61">
        <v>3.0853278649276305E-3</v>
      </c>
      <c r="AJ38" s="61">
        <v>3.0544745862783542E-3</v>
      </c>
      <c r="AK38" s="61">
        <v>3.0239298404155708E-3</v>
      </c>
      <c r="AL38" s="61">
        <v>2.9936905420114152E-3</v>
      </c>
      <c r="AM38" s="61">
        <v>2.9637536365913009E-3</v>
      </c>
      <c r="AN38" s="61">
        <v>2.934116100225388E-3</v>
      </c>
      <c r="AO38" s="61">
        <v>2.9047749392231339E-3</v>
      </c>
      <c r="AP38" s="61">
        <v>2.8757271898309025E-3</v>
      </c>
      <c r="AQ38" s="61">
        <v>2.8469699179325936E-3</v>
      </c>
      <c r="AR38" s="61">
        <v>2.8185002187532675E-3</v>
      </c>
      <c r="AS38" s="61">
        <v>2.7903152165657348E-3</v>
      </c>
      <c r="AT38" s="61">
        <v>2.7624120644000774E-3</v>
      </c>
      <c r="AU38" s="61">
        <v>2.7347879437560766E-3</v>
      </c>
      <c r="AV38" s="61">
        <v>2.707440064318516E-3</v>
      </c>
      <c r="AW38" s="61">
        <v>2.6803656636753309E-3</v>
      </c>
      <c r="AX38" s="61">
        <v>2.6535620070385776E-3</v>
      </c>
      <c r="AY38" s="61">
        <v>2.6270263869681916E-3</v>
      </c>
      <c r="AZ38" s="61">
        <v>2.6007561230985098E-3</v>
      </c>
      <c r="BA38" s="61">
        <v>2.5747485618675247E-3</v>
      </c>
      <c r="BB38" s="61">
        <v>2.5490010762488496E-3</v>
      </c>
      <c r="BC38" s="61">
        <v>2.5235110654863611E-3</v>
      </c>
      <c r="BD38" s="61">
        <v>2.4982759548314976E-3</v>
      </c>
      <c r="BE38" s="61">
        <v>2.4732931952831825E-3</v>
      </c>
      <c r="BF38" s="61">
        <v>2.4485602633303508E-3</v>
      </c>
      <c r="BG38" s="61">
        <v>2.4240746606970474E-3</v>
      </c>
      <c r="BH38" s="61">
        <v>2.3998339140900772E-3</v>
      </c>
      <c r="BI38" s="61">
        <v>2.3758355749491766E-3</v>
      </c>
      <c r="BJ38" s="61">
        <v>2.3520772191996846E-3</v>
      </c>
      <c r="BK38" s="61">
        <v>2.3285564470076877E-3</v>
      </c>
      <c r="BL38" s="61">
        <v>2.3052708825376106E-3</v>
      </c>
      <c r="BM38" s="61">
        <v>2.2822181737122346E-3</v>
      </c>
      <c r="BN38" s="61">
        <v>2.2593959919751123E-3</v>
      </c>
      <c r="BO38" s="61">
        <v>2.2368020320553609E-3</v>
      </c>
      <c r="BP38" s="61">
        <v>2.2144340117348075E-3</v>
      </c>
      <c r="BQ38" s="61">
        <v>2.1922896716174596E-3</v>
      </c>
      <c r="BR38" s="61">
        <v>2.170366774901285E-3</v>
      </c>
      <c r="BS38" s="61">
        <v>2.1486631071522722E-3</v>
      </c>
      <c r="BT38" s="61">
        <v>2.1271764760807496E-3</v>
      </c>
      <c r="BU38" s="61">
        <v>2.1059047113199422E-3</v>
      </c>
      <c r="BV38" s="61">
        <v>2.0848456642067427E-3</v>
      </c>
      <c r="BW38" s="61">
        <v>2.0639972075646752E-3</v>
      </c>
      <c r="BX38" s="61">
        <v>2.0433572354890284E-3</v>
      </c>
      <c r="BY38" s="61">
        <v>2.0229236631341381E-3</v>
      </c>
      <c r="BZ38" s="61">
        <v>2.0026944265027968E-3</v>
      </c>
      <c r="CA38" s="61">
        <v>1.9826674822377688E-3</v>
      </c>
      <c r="CB38" s="61">
        <v>1.962840807415391E-3</v>
      </c>
      <c r="CC38" s="61">
        <v>1.9432123993412371E-3</v>
      </c>
      <c r="CD38" s="61">
        <v>1.9237802753478248E-3</v>
      </c>
      <c r="CE38" s="61">
        <v>1.9045424725943464E-3</v>
      </c>
      <c r="CF38" s="61">
        <v>1.8854970478684029E-3</v>
      </c>
      <c r="CG38" s="61">
        <v>1.8666420773897189E-3</v>
      </c>
      <c r="CH38" s="61">
        <v>1.8479756566158218E-3</v>
      </c>
      <c r="CI38" s="61">
        <v>1.8294959000496635E-3</v>
      </c>
      <c r="CJ38" s="61">
        <v>1.8112009410491668E-3</v>
      </c>
      <c r="CK38" s="61">
        <v>1.793088931638675E-3</v>
      </c>
      <c r="CL38" s="61">
        <v>1.7751580423222882E-3</v>
      </c>
      <c r="CM38" s="61">
        <v>1.7574064618990654E-3</v>
      </c>
      <c r="CN38" s="61">
        <v>1.7398323972800747E-3</v>
      </c>
      <c r="CO38" s="61">
        <v>1.722434073307274E-3</v>
      </c>
      <c r="CP38" s="61">
        <v>1.7052097325742012E-3</v>
      </c>
      <c r="CQ38" s="61">
        <v>1.6881576352484591E-3</v>
      </c>
      <c r="CR38" s="61">
        <v>1.6712760588959744E-3</v>
      </c>
      <c r="CS38" s="61">
        <v>1.6545632983070147E-3</v>
      </c>
      <c r="CT38" s="61">
        <v>1.6380176653239445E-3</v>
      </c>
      <c r="CU38" s="61">
        <v>1.621637488670705E-3</v>
      </c>
      <c r="CV38" s="61">
        <v>1.605421113783998E-3</v>
      </c>
      <c r="CW38" s="61">
        <v>1.5893669026461579E-3</v>
      </c>
      <c r="CX38" s="61">
        <v>1.5734732336196964E-3</v>
      </c>
      <c r="CY38" s="53">
        <v>1.5577385012834994E-3</v>
      </c>
    </row>
    <row r="39" spans="1:103">
      <c r="A39" s="60">
        <v>57</v>
      </c>
      <c r="B39" s="60">
        <v>4.1279999999999997E-3</v>
      </c>
      <c r="C39" s="60">
        <v>4.1783615999999996E-3</v>
      </c>
      <c r="D39" s="60">
        <v>4.2213987244799998E-3</v>
      </c>
      <c r="E39" s="60">
        <v>4.2534813547860477E-3</v>
      </c>
      <c r="F39" s="60">
        <v>4.2726220208825849E-3</v>
      </c>
      <c r="G39" s="60">
        <v>4.2777491673076443E-3</v>
      </c>
      <c r="H39" s="60">
        <v>4.2696214438897595E-3</v>
      </c>
      <c r="I39" s="60">
        <v>4.2499811852478664E-3</v>
      </c>
      <c r="J39" s="60">
        <v>4.2210813131881809E-3</v>
      </c>
      <c r="K39" s="60">
        <v>4.1864684464200377E-3</v>
      </c>
      <c r="L39" s="60">
        <v>4.1496275240915413E-3</v>
      </c>
      <c r="M39" s="60">
        <v>4.1131108018795355E-3</v>
      </c>
      <c r="N39" s="60">
        <v>4.077326737903183E-3</v>
      </c>
      <c r="O39" s="60">
        <v>4.0422617279572155E-3</v>
      </c>
      <c r="P39" s="60">
        <v>4.007498277096783E-3</v>
      </c>
      <c r="Q39" s="60">
        <v>3.972633042086041E-3</v>
      </c>
      <c r="R39" s="60">
        <v>3.9372766080114753E-3</v>
      </c>
      <c r="S39" s="60">
        <v>3.90105366321777E-3</v>
      </c>
      <c r="T39" s="61">
        <v>3.8636035480508792E-3</v>
      </c>
      <c r="U39" s="61">
        <v>3.8253538729251754E-3</v>
      </c>
      <c r="V39" s="61">
        <v>3.7871003341959234E-3</v>
      </c>
      <c r="W39" s="61">
        <v>3.7492293308539642E-3</v>
      </c>
      <c r="X39" s="61">
        <v>3.7117370375454243E-3</v>
      </c>
      <c r="Y39" s="61">
        <v>3.6746196671699699E-3</v>
      </c>
      <c r="Z39" s="61">
        <v>3.6378734704982704E-3</v>
      </c>
      <c r="AA39" s="61">
        <v>3.6014947357932876E-3</v>
      </c>
      <c r="AB39" s="61">
        <v>3.5654797884353546E-3</v>
      </c>
      <c r="AC39" s="61">
        <v>3.529824990551001E-3</v>
      </c>
      <c r="AD39" s="61">
        <v>3.4945267406454911E-3</v>
      </c>
      <c r="AE39" s="61">
        <v>3.4595814732390363E-3</v>
      </c>
      <c r="AF39" s="61">
        <v>3.4249856585066457E-3</v>
      </c>
      <c r="AG39" s="61">
        <v>3.3907358019215792E-3</v>
      </c>
      <c r="AH39" s="61">
        <v>3.3568284439023633E-3</v>
      </c>
      <c r="AI39" s="61">
        <v>3.3232601594633394E-3</v>
      </c>
      <c r="AJ39" s="61">
        <v>3.2900275578687061E-3</v>
      </c>
      <c r="AK39" s="61">
        <v>3.2571272822900189E-3</v>
      </c>
      <c r="AL39" s="61">
        <v>3.2245560094671189E-3</v>
      </c>
      <c r="AM39" s="61">
        <v>3.1923104493724475E-3</v>
      </c>
      <c r="AN39" s="61">
        <v>3.160387344878723E-3</v>
      </c>
      <c r="AO39" s="61">
        <v>3.1287834714299359E-3</v>
      </c>
      <c r="AP39" s="61">
        <v>3.0974956367156364E-3</v>
      </c>
      <c r="AQ39" s="61">
        <v>3.0665206803484799E-3</v>
      </c>
      <c r="AR39" s="61">
        <v>3.0358554735449949E-3</v>
      </c>
      <c r="AS39" s="61">
        <v>3.0054969188095448E-3</v>
      </c>
      <c r="AT39" s="61">
        <v>2.9754419496214493E-3</v>
      </c>
      <c r="AU39" s="61">
        <v>2.9456875301252347E-3</v>
      </c>
      <c r="AV39" s="61">
        <v>2.9162306548239825E-3</v>
      </c>
      <c r="AW39" s="61">
        <v>2.8870683482757425E-3</v>
      </c>
      <c r="AX39" s="61">
        <v>2.8581976647929848E-3</v>
      </c>
      <c r="AY39" s="61">
        <v>2.829615688145055E-3</v>
      </c>
      <c r="AZ39" s="61">
        <v>2.8013195312636043E-3</v>
      </c>
      <c r="BA39" s="61">
        <v>2.7733063359509681E-3</v>
      </c>
      <c r="BB39" s="61">
        <v>2.7455732725914584E-3</v>
      </c>
      <c r="BC39" s="61">
        <v>2.7181175398655437E-3</v>
      </c>
      <c r="BD39" s="61">
        <v>2.6909363644668882E-3</v>
      </c>
      <c r="BE39" s="61">
        <v>2.6640270008222193E-3</v>
      </c>
      <c r="BF39" s="61">
        <v>2.6373867308139972E-3</v>
      </c>
      <c r="BG39" s="61">
        <v>2.6110128635058573E-3</v>
      </c>
      <c r="BH39" s="61">
        <v>2.5849027348707988E-3</v>
      </c>
      <c r="BI39" s="61">
        <v>2.5590537075220908E-3</v>
      </c>
      <c r="BJ39" s="61">
        <v>2.5334631704468698E-3</v>
      </c>
      <c r="BK39" s="61">
        <v>2.508128538742401E-3</v>
      </c>
      <c r="BL39" s="61">
        <v>2.4830472533549771E-3</v>
      </c>
      <c r="BM39" s="61">
        <v>2.4582167808214275E-3</v>
      </c>
      <c r="BN39" s="61">
        <v>2.4336346130132132E-3</v>
      </c>
      <c r="BO39" s="61">
        <v>2.409298266883081E-3</v>
      </c>
      <c r="BP39" s="61">
        <v>2.3852052842142503E-3</v>
      </c>
      <c r="BQ39" s="61">
        <v>2.3613532313721077E-3</v>
      </c>
      <c r="BR39" s="61">
        <v>2.3377396990583868E-3</v>
      </c>
      <c r="BS39" s="61">
        <v>2.314362302067803E-3</v>
      </c>
      <c r="BT39" s="61">
        <v>2.2912186790471248E-3</v>
      </c>
      <c r="BU39" s="61">
        <v>2.2683064922566533E-3</v>
      </c>
      <c r="BV39" s="61">
        <v>2.2456234273340869E-3</v>
      </c>
      <c r="BW39" s="61">
        <v>2.2231671930607461E-3</v>
      </c>
      <c r="BX39" s="61">
        <v>2.2009355211301384E-3</v>
      </c>
      <c r="BY39" s="61">
        <v>2.1789261659188371E-3</v>
      </c>
      <c r="BZ39" s="61">
        <v>2.1571369042596485E-3</v>
      </c>
      <c r="CA39" s="61">
        <v>2.135565535217052E-3</v>
      </c>
      <c r="CB39" s="61">
        <v>2.1142098798648816E-3</v>
      </c>
      <c r="CC39" s="61">
        <v>2.0930677810662326E-3</v>
      </c>
      <c r="CD39" s="61">
        <v>2.0721371032555703E-3</v>
      </c>
      <c r="CE39" s="61">
        <v>2.0514157322230144E-3</v>
      </c>
      <c r="CF39" s="61">
        <v>2.0309015749007844E-3</v>
      </c>
      <c r="CG39" s="61">
        <v>2.0105925591517764E-3</v>
      </c>
      <c r="CH39" s="61">
        <v>1.9904866335602586E-3</v>
      </c>
      <c r="CI39" s="61">
        <v>1.9705817672246561E-3</v>
      </c>
      <c r="CJ39" s="61">
        <v>1.9508759495524095E-3</v>
      </c>
      <c r="CK39" s="61">
        <v>1.9313671900568854E-3</v>
      </c>
      <c r="CL39" s="61">
        <v>1.9120535181563166E-3</v>
      </c>
      <c r="CM39" s="61">
        <v>1.8929329829747534E-3</v>
      </c>
      <c r="CN39" s="61">
        <v>1.8740036531450059E-3</v>
      </c>
      <c r="CO39" s="61">
        <v>1.8552636166135558E-3</v>
      </c>
      <c r="CP39" s="61">
        <v>1.8367109804474202E-3</v>
      </c>
      <c r="CQ39" s="61">
        <v>1.818343870642946E-3</v>
      </c>
      <c r="CR39" s="61">
        <v>1.8001604319365166E-3</v>
      </c>
      <c r="CS39" s="61">
        <v>1.7821588276171515E-3</v>
      </c>
      <c r="CT39" s="61">
        <v>1.7643372393409799E-3</v>
      </c>
      <c r="CU39" s="61">
        <v>1.7466938669475701E-3</v>
      </c>
      <c r="CV39" s="61">
        <v>1.7292269282780943E-3</v>
      </c>
      <c r="CW39" s="61">
        <v>1.7119346589953134E-3</v>
      </c>
      <c r="CX39" s="61">
        <v>1.6948153124053602E-3</v>
      </c>
      <c r="CY39" s="53">
        <v>1.6778671592813064E-3</v>
      </c>
    </row>
    <row r="40" spans="1:103">
      <c r="A40" s="60">
        <v>58</v>
      </c>
      <c r="B40" s="60">
        <v>4.4359999999999998E-3</v>
      </c>
      <c r="C40" s="60">
        <v>4.4914499999999993E-3</v>
      </c>
      <c r="D40" s="60">
        <v>4.5408559499999987E-3</v>
      </c>
      <c r="E40" s="60">
        <v>4.5803613967649983E-3</v>
      </c>
      <c r="F40" s="60">
        <v>4.6064694567265587E-3</v>
      </c>
      <c r="G40" s="60">
        <v>4.6175249834227022E-3</v>
      </c>
      <c r="H40" s="60">
        <v>4.6133692109376215E-3</v>
      </c>
      <c r="I40" s="60">
        <v>4.5958384079360587E-3</v>
      </c>
      <c r="J40" s="60">
        <v>4.5673442098068551E-3</v>
      </c>
      <c r="K40" s="60">
        <v>4.5312621905493813E-3</v>
      </c>
      <c r="L40" s="60">
        <v>4.4918402094916016E-3</v>
      </c>
      <c r="M40" s="60">
        <v>4.4514136476061774E-3</v>
      </c>
      <c r="N40" s="60">
        <v>4.4113509247777219E-3</v>
      </c>
      <c r="O40" s="60">
        <v>4.3716487664547223E-3</v>
      </c>
      <c r="P40" s="60">
        <v>4.3327410924332748E-3</v>
      </c>
      <c r="Q40" s="60">
        <v>4.2937464226013751E-3</v>
      </c>
      <c r="R40" s="60">
        <v>4.2546733301557027E-3</v>
      </c>
      <c r="S40" s="60">
        <v>4.2151048681852545E-3</v>
      </c>
      <c r="T40" s="61">
        <v>4.1746398614506755E-3</v>
      </c>
      <c r="U40" s="61">
        <v>4.1333109268223136E-3</v>
      </c>
      <c r="V40" s="61">
        <v>4.0919778175540905E-3</v>
      </c>
      <c r="W40" s="61">
        <v>4.0510580393785496E-3</v>
      </c>
      <c r="X40" s="61">
        <v>4.010547458984764E-3</v>
      </c>
      <c r="Y40" s="61">
        <v>3.9704419843949162E-3</v>
      </c>
      <c r="Z40" s="61">
        <v>3.9307375645509669E-3</v>
      </c>
      <c r="AA40" s="61">
        <v>3.8914301889054572E-3</v>
      </c>
      <c r="AB40" s="61">
        <v>3.8525158870164025E-3</v>
      </c>
      <c r="AC40" s="61">
        <v>3.8139907281462384E-3</v>
      </c>
      <c r="AD40" s="61">
        <v>3.7758508208647758E-3</v>
      </c>
      <c r="AE40" s="61">
        <v>3.7380923126561281E-3</v>
      </c>
      <c r="AF40" s="61">
        <v>3.7007113895295668E-3</v>
      </c>
      <c r="AG40" s="61">
        <v>3.6637042756342709E-3</v>
      </c>
      <c r="AH40" s="61">
        <v>3.6270672328779282E-3</v>
      </c>
      <c r="AI40" s="61">
        <v>3.590796560549149E-3</v>
      </c>
      <c r="AJ40" s="61">
        <v>3.5548885949436577E-3</v>
      </c>
      <c r="AK40" s="61">
        <v>3.5193397089942212E-3</v>
      </c>
      <c r="AL40" s="61">
        <v>3.4841463119042789E-3</v>
      </c>
      <c r="AM40" s="61">
        <v>3.4493048487852359E-3</v>
      </c>
      <c r="AN40" s="61">
        <v>3.4148118002973837E-3</v>
      </c>
      <c r="AO40" s="61">
        <v>3.3806636822944097E-3</v>
      </c>
      <c r="AP40" s="61">
        <v>3.3468570454714655E-3</v>
      </c>
      <c r="AQ40" s="61">
        <v>3.3133884750167508E-3</v>
      </c>
      <c r="AR40" s="61">
        <v>3.2802545902665832E-3</v>
      </c>
      <c r="AS40" s="61">
        <v>3.2474520443639176E-3</v>
      </c>
      <c r="AT40" s="61">
        <v>3.2149775239202782E-3</v>
      </c>
      <c r="AU40" s="61">
        <v>3.1828277486810755E-3</v>
      </c>
      <c r="AV40" s="61">
        <v>3.1509994711942648E-3</v>
      </c>
      <c r="AW40" s="61">
        <v>3.1194894764823224E-3</v>
      </c>
      <c r="AX40" s="61">
        <v>3.0882945817174989E-3</v>
      </c>
      <c r="AY40" s="61">
        <v>3.057411635900324E-3</v>
      </c>
      <c r="AZ40" s="61">
        <v>3.0268375195413207E-3</v>
      </c>
      <c r="BA40" s="61">
        <v>2.9965691443459073E-3</v>
      </c>
      <c r="BB40" s="61">
        <v>2.9666034529024481E-3</v>
      </c>
      <c r="BC40" s="61">
        <v>2.9369374183734237E-3</v>
      </c>
      <c r="BD40" s="61">
        <v>2.9075680441896894E-3</v>
      </c>
      <c r="BE40" s="61">
        <v>2.8784923637477926E-3</v>
      </c>
      <c r="BF40" s="61">
        <v>2.8497074401103144E-3</v>
      </c>
      <c r="BG40" s="61">
        <v>2.8212103657092114E-3</v>
      </c>
      <c r="BH40" s="61">
        <v>2.7929982620521192E-3</v>
      </c>
      <c r="BI40" s="61">
        <v>2.765068279431598E-3</v>
      </c>
      <c r="BJ40" s="61">
        <v>2.7374175966372819E-3</v>
      </c>
      <c r="BK40" s="61">
        <v>2.7100434206709092E-3</v>
      </c>
      <c r="BL40" s="61">
        <v>2.6829429864642E-3</v>
      </c>
      <c r="BM40" s="61">
        <v>2.656113556599558E-3</v>
      </c>
      <c r="BN40" s="61">
        <v>2.6295524210335625E-3</v>
      </c>
      <c r="BO40" s="61">
        <v>2.6032568968232268E-3</v>
      </c>
      <c r="BP40" s="61">
        <v>2.5772243278549944E-3</v>
      </c>
      <c r="BQ40" s="61">
        <v>2.5514520845764444E-3</v>
      </c>
      <c r="BR40" s="61">
        <v>2.52593756373068E-3</v>
      </c>
      <c r="BS40" s="61">
        <v>2.500678188093373E-3</v>
      </c>
      <c r="BT40" s="61">
        <v>2.4756714062124392E-3</v>
      </c>
      <c r="BU40" s="61">
        <v>2.4509146921503147E-3</v>
      </c>
      <c r="BV40" s="61">
        <v>2.4264055452288117E-3</v>
      </c>
      <c r="BW40" s="61">
        <v>2.4021414897765236E-3</v>
      </c>
      <c r="BX40" s="61">
        <v>2.3781200748787582E-3</v>
      </c>
      <c r="BY40" s="61">
        <v>2.3543388741299708E-3</v>
      </c>
      <c r="BZ40" s="61">
        <v>2.3307954853886712E-3</v>
      </c>
      <c r="CA40" s="61">
        <v>2.3074875305347845E-3</v>
      </c>
      <c r="CB40" s="61">
        <v>2.2844126552294367E-3</v>
      </c>
      <c r="CC40" s="61">
        <v>2.2615685286771423E-3</v>
      </c>
      <c r="CD40" s="61">
        <v>2.2389528433903708E-3</v>
      </c>
      <c r="CE40" s="61">
        <v>2.2165633149564671E-3</v>
      </c>
      <c r="CF40" s="61">
        <v>2.1943976818069024E-3</v>
      </c>
      <c r="CG40" s="61">
        <v>2.1724537049888333E-3</v>
      </c>
      <c r="CH40" s="61">
        <v>2.150729167938945E-3</v>
      </c>
      <c r="CI40" s="61">
        <v>2.1292218762595555E-3</v>
      </c>
      <c r="CJ40" s="61">
        <v>2.1079296574969598E-3</v>
      </c>
      <c r="CK40" s="61">
        <v>2.0868503609219901E-3</v>
      </c>
      <c r="CL40" s="61">
        <v>2.0659818573127704E-3</v>
      </c>
      <c r="CM40" s="61">
        <v>2.0453220387396426E-3</v>
      </c>
      <c r="CN40" s="61">
        <v>2.0248688183522462E-3</v>
      </c>
      <c r="CO40" s="61">
        <v>2.0046201301687238E-3</v>
      </c>
      <c r="CP40" s="61">
        <v>1.9845739288670366E-3</v>
      </c>
      <c r="CQ40" s="61">
        <v>1.9647281895783662E-3</v>
      </c>
      <c r="CR40" s="61">
        <v>1.9450809076825826E-3</v>
      </c>
      <c r="CS40" s="61">
        <v>1.9256300986057568E-3</v>
      </c>
      <c r="CT40" s="61">
        <v>1.9063737976196993E-3</v>
      </c>
      <c r="CU40" s="61">
        <v>1.8873100596435023E-3</v>
      </c>
      <c r="CV40" s="61">
        <v>1.8684369590470673E-3</v>
      </c>
      <c r="CW40" s="61">
        <v>1.8497525894565965E-3</v>
      </c>
      <c r="CX40" s="61">
        <v>1.8312550635620306E-3</v>
      </c>
      <c r="CY40" s="53">
        <v>1.8129425129264102E-3</v>
      </c>
    </row>
    <row r="41" spans="1:103">
      <c r="A41" s="60">
        <v>59</v>
      </c>
      <c r="B41" s="60">
        <v>4.7889999999999999E-3</v>
      </c>
      <c r="C41" s="60">
        <v>4.8469468999999994E-3</v>
      </c>
      <c r="D41" s="60">
        <v>4.9002633158999991E-3</v>
      </c>
      <c r="E41" s="60">
        <v>4.9443656857430986E-3</v>
      </c>
      <c r="F41" s="60">
        <v>4.9760096261318547E-3</v>
      </c>
      <c r="G41" s="60">
        <v>4.9924304578980901E-3</v>
      </c>
      <c r="H41" s="60">
        <v>4.9929297009438794E-3</v>
      </c>
      <c r="I41" s="60">
        <v>4.9784502048111417E-3</v>
      </c>
      <c r="J41" s="60">
        <v>4.9510687286846806E-3</v>
      </c>
      <c r="K41" s="60">
        <v>4.9144308200924141E-3</v>
      </c>
      <c r="L41" s="60">
        <v>4.8726581581216288E-3</v>
      </c>
      <c r="M41" s="60">
        <v>4.8292915005143464E-3</v>
      </c>
      <c r="N41" s="60">
        <v>4.7853449478596662E-3</v>
      </c>
      <c r="O41" s="60">
        <v>4.7413197743393573E-3</v>
      </c>
      <c r="P41" s="60">
        <v>4.6976996324154356E-3</v>
      </c>
      <c r="Q41" s="60">
        <v>4.6544807957972136E-3</v>
      </c>
      <c r="R41" s="60">
        <v>4.6111941243962996E-3</v>
      </c>
      <c r="S41" s="60">
        <v>4.5673877802145353E-3</v>
      </c>
      <c r="T41" s="61">
        <v>4.5230841187464538E-3</v>
      </c>
      <c r="U41" s="61">
        <v>4.478305585970864E-3</v>
      </c>
      <c r="V41" s="61">
        <v>4.4335225301111551E-3</v>
      </c>
      <c r="W41" s="61">
        <v>4.3891873048100436E-3</v>
      </c>
      <c r="X41" s="61">
        <v>4.3452954317619429E-3</v>
      </c>
      <c r="Y41" s="61">
        <v>4.3018424774443238E-3</v>
      </c>
      <c r="Z41" s="61">
        <v>4.2588240526698802E-3</v>
      </c>
      <c r="AA41" s="61">
        <v>4.2162358121431813E-3</v>
      </c>
      <c r="AB41" s="61">
        <v>4.1740734540217494E-3</v>
      </c>
      <c r="AC41" s="61">
        <v>4.1323327194815315E-3</v>
      </c>
      <c r="AD41" s="61">
        <v>4.0910093922867157E-3</v>
      </c>
      <c r="AE41" s="61">
        <v>4.050099298363849E-3</v>
      </c>
      <c r="AF41" s="61">
        <v>4.0095983053802103E-3</v>
      </c>
      <c r="AG41" s="61">
        <v>3.9695023223264084E-3</v>
      </c>
      <c r="AH41" s="61">
        <v>3.9298072991031446E-3</v>
      </c>
      <c r="AI41" s="61">
        <v>3.8905092261121133E-3</v>
      </c>
      <c r="AJ41" s="61">
        <v>3.8516041338509921E-3</v>
      </c>
      <c r="AK41" s="61">
        <v>3.8130880925124821E-3</v>
      </c>
      <c r="AL41" s="61">
        <v>3.7749572115873572E-3</v>
      </c>
      <c r="AM41" s="61">
        <v>3.7372076394714838E-3</v>
      </c>
      <c r="AN41" s="61">
        <v>3.6998355630767691E-3</v>
      </c>
      <c r="AO41" s="61">
        <v>3.6628372074460013E-3</v>
      </c>
      <c r="AP41" s="61">
        <v>3.6262088353715412E-3</v>
      </c>
      <c r="AQ41" s="61">
        <v>3.5899467470178257E-3</v>
      </c>
      <c r="AR41" s="61">
        <v>3.5540472795476475E-3</v>
      </c>
      <c r="AS41" s="61">
        <v>3.5185068067521709E-3</v>
      </c>
      <c r="AT41" s="61">
        <v>3.4833217386846492E-3</v>
      </c>
      <c r="AU41" s="61">
        <v>3.4484885212978027E-3</v>
      </c>
      <c r="AV41" s="61">
        <v>3.4140036360848247E-3</v>
      </c>
      <c r="AW41" s="61">
        <v>3.3798635997239765E-3</v>
      </c>
      <c r="AX41" s="61">
        <v>3.3460649637267366E-3</v>
      </c>
      <c r="AY41" s="61">
        <v>3.3126043140894691E-3</v>
      </c>
      <c r="AZ41" s="61">
        <v>3.2794782709485745E-3</v>
      </c>
      <c r="BA41" s="61">
        <v>3.2466834882390887E-3</v>
      </c>
      <c r="BB41" s="61">
        <v>3.2142166533566979E-3</v>
      </c>
      <c r="BC41" s="61">
        <v>3.1820744868231309E-3</v>
      </c>
      <c r="BD41" s="61">
        <v>3.1502537419548994E-3</v>
      </c>
      <c r="BE41" s="61">
        <v>3.1187512045353504E-3</v>
      </c>
      <c r="BF41" s="61">
        <v>3.087563692489997E-3</v>
      </c>
      <c r="BG41" s="61">
        <v>3.0566880555650969E-3</v>
      </c>
      <c r="BH41" s="61">
        <v>3.0261211750094458E-3</v>
      </c>
      <c r="BI41" s="61">
        <v>2.9958599632593512E-3</v>
      </c>
      <c r="BJ41" s="61">
        <v>2.9659013636267576E-3</v>
      </c>
      <c r="BK41" s="61">
        <v>2.9362423499904901E-3</v>
      </c>
      <c r="BL41" s="61">
        <v>2.906879926490585E-3</v>
      </c>
      <c r="BM41" s="61">
        <v>2.8778111272256793E-3</v>
      </c>
      <c r="BN41" s="61">
        <v>2.8490330159534226E-3</v>
      </c>
      <c r="BO41" s="61">
        <v>2.8205426857938884E-3</v>
      </c>
      <c r="BP41" s="61">
        <v>2.7923372589359493E-3</v>
      </c>
      <c r="BQ41" s="61">
        <v>2.7644138863465897E-3</v>
      </c>
      <c r="BR41" s="61">
        <v>2.736769747483124E-3</v>
      </c>
      <c r="BS41" s="61">
        <v>2.7094020500082927E-3</v>
      </c>
      <c r="BT41" s="61">
        <v>2.6823080295082097E-3</v>
      </c>
      <c r="BU41" s="61">
        <v>2.6554849492131274E-3</v>
      </c>
      <c r="BV41" s="61">
        <v>2.628930099720996E-3</v>
      </c>
      <c r="BW41" s="61">
        <v>2.6026407987237861E-3</v>
      </c>
      <c r="BX41" s="61">
        <v>2.5766143907365482E-3</v>
      </c>
      <c r="BY41" s="61">
        <v>2.5508482468291826E-3</v>
      </c>
      <c r="BZ41" s="61">
        <v>2.5253397643608907E-3</v>
      </c>
      <c r="CA41" s="61">
        <v>2.5000863667172819E-3</v>
      </c>
      <c r="CB41" s="61">
        <v>2.4750855030501091E-3</v>
      </c>
      <c r="CC41" s="61">
        <v>2.4503346480196078E-3</v>
      </c>
      <c r="CD41" s="61">
        <v>2.4258313015394118E-3</v>
      </c>
      <c r="CE41" s="61">
        <v>2.4015729885240177E-3</v>
      </c>
      <c r="CF41" s="61">
        <v>2.3775572586387777E-3</v>
      </c>
      <c r="CG41" s="61">
        <v>2.3537816860523899E-3</v>
      </c>
      <c r="CH41" s="61">
        <v>2.3302438691918661E-3</v>
      </c>
      <c r="CI41" s="61">
        <v>2.3069414304999476E-3</v>
      </c>
      <c r="CJ41" s="61">
        <v>2.2838720161949483E-3</v>
      </c>
      <c r="CK41" s="61">
        <v>2.2610332960329989E-3</v>
      </c>
      <c r="CL41" s="61">
        <v>2.2384229630726688E-3</v>
      </c>
      <c r="CM41" s="61">
        <v>2.2160387334419422E-3</v>
      </c>
      <c r="CN41" s="61">
        <v>2.1938783461075227E-3</v>
      </c>
      <c r="CO41" s="61">
        <v>2.1719395626464476E-3</v>
      </c>
      <c r="CP41" s="61">
        <v>2.1502201670199829E-3</v>
      </c>
      <c r="CQ41" s="61">
        <v>2.1287179653497832E-3</v>
      </c>
      <c r="CR41" s="61">
        <v>2.1074307856962854E-3</v>
      </c>
      <c r="CS41" s="61">
        <v>2.0863564778393225E-3</v>
      </c>
      <c r="CT41" s="61">
        <v>2.0654929130609293E-3</v>
      </c>
      <c r="CU41" s="61">
        <v>2.0448379839303199E-3</v>
      </c>
      <c r="CV41" s="61">
        <v>2.0243896040910165E-3</v>
      </c>
      <c r="CW41" s="61">
        <v>2.0041457080501061E-3</v>
      </c>
      <c r="CX41" s="61">
        <v>1.9841042509696049E-3</v>
      </c>
      <c r="CY41" s="53">
        <v>1.964263208459909E-3</v>
      </c>
    </row>
    <row r="42" spans="1:103">
      <c r="A42" s="60">
        <v>60</v>
      </c>
      <c r="B42" s="60">
        <v>5.1910000000000003E-3</v>
      </c>
      <c r="C42" s="60">
        <v>5.2470627999999997E-3</v>
      </c>
      <c r="D42" s="60">
        <v>5.3011075468399997E-3</v>
      </c>
      <c r="E42" s="60">
        <v>5.3477572932521915E-3</v>
      </c>
      <c r="F42" s="60">
        <v>5.3825177156583302E-3</v>
      </c>
      <c r="G42" s="60">
        <v>5.4029712829778316E-3</v>
      </c>
      <c r="H42" s="60">
        <v>5.4072936600042133E-3</v>
      </c>
      <c r="I42" s="60">
        <v>5.3959383433182049E-3</v>
      </c>
      <c r="J42" s="60">
        <v>5.3705774331046091E-3</v>
      </c>
      <c r="K42" s="60">
        <v>5.3345945643028083E-3</v>
      </c>
      <c r="L42" s="60">
        <v>5.2919178077883858E-3</v>
      </c>
      <c r="M42" s="60">
        <v>5.2458781228606269E-3</v>
      </c>
      <c r="N42" s="60">
        <v>5.198140631942595E-3</v>
      </c>
      <c r="O42" s="60">
        <v>5.1497979240655292E-3</v>
      </c>
      <c r="P42" s="60">
        <v>5.1013898235793137E-3</v>
      </c>
      <c r="Q42" s="60">
        <v>5.0534367592376681E-3</v>
      </c>
      <c r="R42" s="60">
        <v>5.0054291100249107E-3</v>
      </c>
      <c r="S42" s="60">
        <v>4.9573769905686717E-3</v>
      </c>
      <c r="T42" s="61">
        <v>4.9087946960610987E-3</v>
      </c>
      <c r="U42" s="61">
        <v>4.8601976285700937E-3</v>
      </c>
      <c r="V42" s="61">
        <v>4.8115956522843924E-3</v>
      </c>
      <c r="W42" s="61">
        <v>4.7634796957615484E-3</v>
      </c>
      <c r="X42" s="61">
        <v>4.7158448988039326E-3</v>
      </c>
      <c r="Y42" s="61">
        <v>4.6686864498158929E-3</v>
      </c>
      <c r="Z42" s="61">
        <v>4.6219995853177343E-3</v>
      </c>
      <c r="AA42" s="61">
        <v>4.5757795894645573E-3</v>
      </c>
      <c r="AB42" s="61">
        <v>4.5300217935699116E-3</v>
      </c>
      <c r="AC42" s="61">
        <v>4.4847215756342127E-3</v>
      </c>
      <c r="AD42" s="61">
        <v>4.4398743598778705E-3</v>
      </c>
      <c r="AE42" s="61">
        <v>4.3954756162790914E-3</v>
      </c>
      <c r="AF42" s="61">
        <v>4.3515208601163004E-3</v>
      </c>
      <c r="AG42" s="61">
        <v>4.3080056515151371E-3</v>
      </c>
      <c r="AH42" s="61">
        <v>4.2649255949999861E-3</v>
      </c>
      <c r="AI42" s="61">
        <v>4.2222763390499865E-3</v>
      </c>
      <c r="AJ42" s="61">
        <v>4.1800535756594866E-3</v>
      </c>
      <c r="AK42" s="61">
        <v>4.1382530399028915E-3</v>
      </c>
      <c r="AL42" s="61">
        <v>4.0968705095038626E-3</v>
      </c>
      <c r="AM42" s="61">
        <v>4.0559018044088241E-3</v>
      </c>
      <c r="AN42" s="61">
        <v>4.0153427863647354E-3</v>
      </c>
      <c r="AO42" s="61">
        <v>3.9751893585010878E-3</v>
      </c>
      <c r="AP42" s="61">
        <v>3.935437464916077E-3</v>
      </c>
      <c r="AQ42" s="61">
        <v>3.8960830902669162E-3</v>
      </c>
      <c r="AR42" s="61">
        <v>3.8571222593642468E-3</v>
      </c>
      <c r="AS42" s="61">
        <v>3.8185510367706042E-3</v>
      </c>
      <c r="AT42" s="61">
        <v>3.7803655264028982E-3</v>
      </c>
      <c r="AU42" s="61">
        <v>3.7425618711388691E-3</v>
      </c>
      <c r="AV42" s="61">
        <v>3.7051362524274803E-3</v>
      </c>
      <c r="AW42" s="61">
        <v>3.6680848899032057E-3</v>
      </c>
      <c r="AX42" s="61">
        <v>3.6314040410041735E-3</v>
      </c>
      <c r="AY42" s="61">
        <v>3.595090000594132E-3</v>
      </c>
      <c r="AZ42" s="61">
        <v>3.5591391005881908E-3</v>
      </c>
      <c r="BA42" s="61">
        <v>3.5235477095823088E-3</v>
      </c>
      <c r="BB42" s="61">
        <v>3.4883122324864857E-3</v>
      </c>
      <c r="BC42" s="61">
        <v>3.4534291101616208E-3</v>
      </c>
      <c r="BD42" s="61">
        <v>3.4188948190600047E-3</v>
      </c>
      <c r="BE42" s="61">
        <v>3.3847058708694048E-3</v>
      </c>
      <c r="BF42" s="61">
        <v>3.3508588121607106E-3</v>
      </c>
      <c r="BG42" s="61">
        <v>3.3173502240391034E-3</v>
      </c>
      <c r="BH42" s="61">
        <v>3.2841767217987121E-3</v>
      </c>
      <c r="BI42" s="61">
        <v>3.2513349545807251E-3</v>
      </c>
      <c r="BJ42" s="61">
        <v>3.2188216050349177E-3</v>
      </c>
      <c r="BK42" s="61">
        <v>3.1866333889845684E-3</v>
      </c>
      <c r="BL42" s="61">
        <v>3.1547670550947228E-3</v>
      </c>
      <c r="BM42" s="61">
        <v>3.1232193845437757E-3</v>
      </c>
      <c r="BN42" s="61">
        <v>3.0919871906983378E-3</v>
      </c>
      <c r="BO42" s="61">
        <v>3.0610673187913542E-3</v>
      </c>
      <c r="BP42" s="61">
        <v>3.0304566456034404E-3</v>
      </c>
      <c r="BQ42" s="61">
        <v>3.0001520791474059E-3</v>
      </c>
      <c r="BR42" s="61">
        <v>2.9701505583559318E-3</v>
      </c>
      <c r="BS42" s="61">
        <v>2.9404490527723723E-3</v>
      </c>
      <c r="BT42" s="61">
        <v>2.9110445622446486E-3</v>
      </c>
      <c r="BU42" s="61">
        <v>2.881934116622202E-3</v>
      </c>
      <c r="BV42" s="61">
        <v>2.8531147754559797E-3</v>
      </c>
      <c r="BW42" s="61">
        <v>2.8245836277014198E-3</v>
      </c>
      <c r="BX42" s="61">
        <v>2.7963377914244055E-3</v>
      </c>
      <c r="BY42" s="61">
        <v>2.7683744135101615E-3</v>
      </c>
      <c r="BZ42" s="61">
        <v>2.7406906693750598E-3</v>
      </c>
      <c r="CA42" s="61">
        <v>2.7132837626813091E-3</v>
      </c>
      <c r="CB42" s="61">
        <v>2.6861509250544961E-3</v>
      </c>
      <c r="CC42" s="61">
        <v>2.6592894158039512E-3</v>
      </c>
      <c r="CD42" s="61">
        <v>2.6326965216459117E-3</v>
      </c>
      <c r="CE42" s="61">
        <v>2.6063695564294527E-3</v>
      </c>
      <c r="CF42" s="61">
        <v>2.580305860865158E-3</v>
      </c>
      <c r="CG42" s="61">
        <v>2.5545028022565062E-3</v>
      </c>
      <c r="CH42" s="61">
        <v>2.5289577742339409E-3</v>
      </c>
      <c r="CI42" s="61">
        <v>2.5036681964916013E-3</v>
      </c>
      <c r="CJ42" s="61">
        <v>2.4786315145266854E-3</v>
      </c>
      <c r="CK42" s="61">
        <v>2.4538451993814186E-3</v>
      </c>
      <c r="CL42" s="61">
        <v>2.4293067473876045E-3</v>
      </c>
      <c r="CM42" s="61">
        <v>2.4050136799137283E-3</v>
      </c>
      <c r="CN42" s="61">
        <v>2.3809635431145909E-3</v>
      </c>
      <c r="CO42" s="61">
        <v>2.3571539076834448E-3</v>
      </c>
      <c r="CP42" s="61">
        <v>2.3335823686066104E-3</v>
      </c>
      <c r="CQ42" s="61">
        <v>2.3102465449205442E-3</v>
      </c>
      <c r="CR42" s="61">
        <v>2.2871440794713389E-3</v>
      </c>
      <c r="CS42" s="61">
        <v>2.2642726386766254E-3</v>
      </c>
      <c r="CT42" s="61">
        <v>2.2416299122898593E-3</v>
      </c>
      <c r="CU42" s="61">
        <v>2.2192136131669606E-3</v>
      </c>
      <c r="CV42" s="61">
        <v>2.197021477035291E-3</v>
      </c>
      <c r="CW42" s="61">
        <v>2.175051262264938E-3</v>
      </c>
      <c r="CX42" s="61">
        <v>2.1533007496422887E-3</v>
      </c>
      <c r="CY42" s="53">
        <v>2.1317677421458657E-3</v>
      </c>
    </row>
    <row r="43" spans="1:103">
      <c r="A43" s="60">
        <v>61</v>
      </c>
      <c r="B43" s="60">
        <v>5.646E-3</v>
      </c>
      <c r="C43" s="60">
        <v>5.6962493999999997E-3</v>
      </c>
      <c r="D43" s="60">
        <v>5.746376394719999E-3</v>
      </c>
      <c r="E43" s="60">
        <v>5.7911981305988148E-3</v>
      </c>
      <c r="F43" s="60">
        <v>5.8265244391954678E-3</v>
      </c>
      <c r="G43" s="60">
        <v>5.8492478845083304E-3</v>
      </c>
      <c r="H43" s="60">
        <v>5.8562669819697414E-3</v>
      </c>
      <c r="I43" s="60">
        <v>5.8480682081949844E-3</v>
      </c>
      <c r="J43" s="60">
        <v>5.8252607421830239E-3</v>
      </c>
      <c r="K43" s="60">
        <v>5.7903091777299258E-3</v>
      </c>
      <c r="L43" s="60">
        <v>5.7474608898147247E-3</v>
      </c>
      <c r="M43" s="60">
        <v>5.6997569644292624E-3</v>
      </c>
      <c r="N43" s="60">
        <v>5.6490291274458419E-3</v>
      </c>
      <c r="O43" s="60">
        <v>5.5964931565605953E-3</v>
      </c>
      <c r="P43" s="60">
        <v>5.5433264715732703E-3</v>
      </c>
      <c r="Q43" s="60">
        <v>5.4901105374461669E-3</v>
      </c>
      <c r="R43" s="60">
        <v>5.437405476286683E-3</v>
      </c>
      <c r="S43" s="60">
        <v>5.3846626431667023E-3</v>
      </c>
      <c r="T43" s="61">
        <v>5.3318929492636681E-3</v>
      </c>
      <c r="U43" s="61">
        <v>5.279107209065958E-3</v>
      </c>
      <c r="V43" s="61">
        <v>5.2263161369752982E-3</v>
      </c>
      <c r="W43" s="61">
        <v>5.1740529756055453E-3</v>
      </c>
      <c r="X43" s="61">
        <v>5.1223124458494897E-3</v>
      </c>
      <c r="Y43" s="61">
        <v>5.0710893213909945E-3</v>
      </c>
      <c r="Z43" s="61">
        <v>5.0203784281770848E-3</v>
      </c>
      <c r="AA43" s="61">
        <v>4.9701746438953137E-3</v>
      </c>
      <c r="AB43" s="61">
        <v>4.9204728974563605E-3</v>
      </c>
      <c r="AC43" s="61">
        <v>4.8712681684817969E-3</v>
      </c>
      <c r="AD43" s="61">
        <v>4.8225554867969787E-3</v>
      </c>
      <c r="AE43" s="61">
        <v>4.7743299319290087E-3</v>
      </c>
      <c r="AF43" s="61">
        <v>4.7265866326097186E-3</v>
      </c>
      <c r="AG43" s="61">
        <v>4.6793207662836215E-3</v>
      </c>
      <c r="AH43" s="61">
        <v>4.632527558620785E-3</v>
      </c>
      <c r="AI43" s="61">
        <v>4.5862022830345768E-3</v>
      </c>
      <c r="AJ43" s="61">
        <v>4.5403402602042309E-3</v>
      </c>
      <c r="AK43" s="61">
        <v>4.4949368576021886E-3</v>
      </c>
      <c r="AL43" s="61">
        <v>4.4499874890261666E-3</v>
      </c>
      <c r="AM43" s="61">
        <v>4.4054876141359049E-3</v>
      </c>
      <c r="AN43" s="61">
        <v>4.3614327379945458E-3</v>
      </c>
      <c r="AO43" s="61">
        <v>4.3178184106146007E-3</v>
      </c>
      <c r="AP43" s="61">
        <v>4.2746402265084549E-3</v>
      </c>
      <c r="AQ43" s="61">
        <v>4.2318938242433702E-3</v>
      </c>
      <c r="AR43" s="61">
        <v>4.1895748860009364E-3</v>
      </c>
      <c r="AS43" s="61">
        <v>4.1476791371409267E-3</v>
      </c>
      <c r="AT43" s="61">
        <v>4.106202345769517E-3</v>
      </c>
      <c r="AU43" s="61">
        <v>4.0651403223118214E-3</v>
      </c>
      <c r="AV43" s="61">
        <v>4.0244889190887033E-3</v>
      </c>
      <c r="AW43" s="61">
        <v>3.9842440298978165E-3</v>
      </c>
      <c r="AX43" s="61">
        <v>3.9444015895988387E-3</v>
      </c>
      <c r="AY43" s="61">
        <v>3.9049575737028501E-3</v>
      </c>
      <c r="AZ43" s="61">
        <v>3.8659079979658215E-3</v>
      </c>
      <c r="BA43" s="61">
        <v>3.8272489179861633E-3</v>
      </c>
      <c r="BB43" s="61">
        <v>3.7889764288063016E-3</v>
      </c>
      <c r="BC43" s="61">
        <v>3.7510866645182384E-3</v>
      </c>
      <c r="BD43" s="61">
        <v>3.713575797873056E-3</v>
      </c>
      <c r="BE43" s="61">
        <v>3.6764400398943253E-3</v>
      </c>
      <c r="BF43" s="61">
        <v>3.6396756394953818E-3</v>
      </c>
      <c r="BG43" s="61">
        <v>3.603278883100428E-3</v>
      </c>
      <c r="BH43" s="61">
        <v>3.5672460942694235E-3</v>
      </c>
      <c r="BI43" s="61">
        <v>3.5315736333267293E-3</v>
      </c>
      <c r="BJ43" s="61">
        <v>3.4962578969934617E-3</v>
      </c>
      <c r="BK43" s="61">
        <v>3.4612953180235269E-3</v>
      </c>
      <c r="BL43" s="61">
        <v>3.4266823648432918E-3</v>
      </c>
      <c r="BM43" s="61">
        <v>3.3924155411948586E-3</v>
      </c>
      <c r="BN43" s="61">
        <v>3.3584913857829099E-3</v>
      </c>
      <c r="BO43" s="61">
        <v>3.3249064719250809E-3</v>
      </c>
      <c r="BP43" s="61">
        <v>3.2916574072058302E-3</v>
      </c>
      <c r="BQ43" s="61">
        <v>3.258740833133772E-3</v>
      </c>
      <c r="BR43" s="61">
        <v>3.2261534248024344E-3</v>
      </c>
      <c r="BS43" s="61">
        <v>3.1938918905544101E-3</v>
      </c>
      <c r="BT43" s="61">
        <v>3.161952971648866E-3</v>
      </c>
      <c r="BU43" s="61">
        <v>3.1303334419323773E-3</v>
      </c>
      <c r="BV43" s="61">
        <v>3.0990301075130536E-3</v>
      </c>
      <c r="BW43" s="61">
        <v>3.0680398064379232E-3</v>
      </c>
      <c r="BX43" s="61">
        <v>3.0373594083735441E-3</v>
      </c>
      <c r="BY43" s="61">
        <v>3.0069858142898085E-3</v>
      </c>
      <c r="BZ43" s="61">
        <v>2.9769159561469105E-3</v>
      </c>
      <c r="CA43" s="61">
        <v>2.9471467965854412E-3</v>
      </c>
      <c r="CB43" s="61">
        <v>2.9176753286195866E-3</v>
      </c>
      <c r="CC43" s="61">
        <v>2.8884985753333909E-3</v>
      </c>
      <c r="CD43" s="61">
        <v>2.8596135895800571E-3</v>
      </c>
      <c r="CE43" s="61">
        <v>2.8310174536842563E-3</v>
      </c>
      <c r="CF43" s="61">
        <v>2.8027072791474137E-3</v>
      </c>
      <c r="CG43" s="61">
        <v>2.7746802063559396E-3</v>
      </c>
      <c r="CH43" s="61">
        <v>2.74693340429238E-3</v>
      </c>
      <c r="CI43" s="61">
        <v>2.719464070249456E-3</v>
      </c>
      <c r="CJ43" s="61">
        <v>2.6922694295469615E-3</v>
      </c>
      <c r="CK43" s="61">
        <v>2.6653467352514919E-3</v>
      </c>
      <c r="CL43" s="61">
        <v>2.638693267898977E-3</v>
      </c>
      <c r="CM43" s="61">
        <v>2.6123063352199872E-3</v>
      </c>
      <c r="CN43" s="61">
        <v>2.5861832718677871E-3</v>
      </c>
      <c r="CO43" s="61">
        <v>2.5603214391491094E-3</v>
      </c>
      <c r="CP43" s="61">
        <v>2.5347182247576184E-3</v>
      </c>
      <c r="CQ43" s="61">
        <v>2.5093710425100422E-3</v>
      </c>
      <c r="CR43" s="61">
        <v>2.4842773320849416E-3</v>
      </c>
      <c r="CS43" s="61">
        <v>2.4594345587640922E-3</v>
      </c>
      <c r="CT43" s="61">
        <v>2.4348402131764511E-3</v>
      </c>
      <c r="CU43" s="61">
        <v>2.4104918110446866E-3</v>
      </c>
      <c r="CV43" s="61">
        <v>2.3863868929342395E-3</v>
      </c>
      <c r="CW43" s="61">
        <v>2.3625230240048971E-3</v>
      </c>
      <c r="CX43" s="61">
        <v>2.3388977937648481E-3</v>
      </c>
      <c r="CY43" s="53">
        <v>2.3155088158271996E-3</v>
      </c>
    </row>
    <row r="44" spans="1:103">
      <c r="A44" s="60">
        <v>62</v>
      </c>
      <c r="B44" s="60">
        <v>6.156E-3</v>
      </c>
      <c r="C44" s="60">
        <v>6.1953983999999997E-3</v>
      </c>
      <c r="D44" s="60">
        <v>6.2369075692799989E-3</v>
      </c>
      <c r="E44" s="60">
        <v>6.2762000869664627E-3</v>
      </c>
      <c r="F44" s="60">
        <v>6.3088363274186885E-3</v>
      </c>
      <c r="G44" s="60">
        <v>6.3309172545646542E-3</v>
      </c>
      <c r="H44" s="60">
        <v>6.3397805387210449E-3</v>
      </c>
      <c r="I44" s="60">
        <v>6.3334407581823243E-3</v>
      </c>
      <c r="J44" s="60">
        <v>6.3131737477561409E-3</v>
      </c>
      <c r="K44" s="60">
        <v>6.2803452442678088E-3</v>
      </c>
      <c r="L44" s="60">
        <v>6.2382669311312139E-3</v>
      </c>
      <c r="M44" s="60">
        <v>6.1896084490683902E-3</v>
      </c>
      <c r="N44" s="60">
        <v>6.1363778164064018E-3</v>
      </c>
      <c r="O44" s="60">
        <v>6.0805367782771035E-3</v>
      </c>
      <c r="P44" s="60">
        <v>6.0227716788834717E-3</v>
      </c>
      <c r="Q44" s="60">
        <v>5.9649530707661901E-3</v>
      </c>
      <c r="R44" s="60">
        <v>5.9070930259797578E-3</v>
      </c>
      <c r="S44" s="60">
        <v>5.8492035143251561E-3</v>
      </c>
      <c r="T44" s="61">
        <v>5.7912963995333366E-3</v>
      </c>
      <c r="U44" s="61">
        <v>5.7333834355380031E-3</v>
      </c>
      <c r="V44" s="61">
        <v>5.6760496011826226E-3</v>
      </c>
      <c r="W44" s="61">
        <v>5.6192891051707961E-3</v>
      </c>
      <c r="X44" s="61">
        <v>5.5630962141190879E-3</v>
      </c>
      <c r="Y44" s="61">
        <v>5.5074652519778973E-3</v>
      </c>
      <c r="Z44" s="61">
        <v>5.4523905994581182E-3</v>
      </c>
      <c r="AA44" s="61">
        <v>5.3978666934635369E-3</v>
      </c>
      <c r="AB44" s="61">
        <v>5.3438880265289012E-3</v>
      </c>
      <c r="AC44" s="61">
        <v>5.2904491462636124E-3</v>
      </c>
      <c r="AD44" s="61">
        <v>5.2375446548009758E-3</v>
      </c>
      <c r="AE44" s="61">
        <v>5.185169208252966E-3</v>
      </c>
      <c r="AF44" s="61">
        <v>5.1333175161704363E-3</v>
      </c>
      <c r="AG44" s="61">
        <v>5.081984341008732E-3</v>
      </c>
      <c r="AH44" s="61">
        <v>5.0311644975986449E-3</v>
      </c>
      <c r="AI44" s="61">
        <v>4.9808528526226583E-3</v>
      </c>
      <c r="AJ44" s="61">
        <v>4.9310443240964319E-3</v>
      </c>
      <c r="AK44" s="61">
        <v>4.8817338808554676E-3</v>
      </c>
      <c r="AL44" s="61">
        <v>4.832916542046913E-3</v>
      </c>
      <c r="AM44" s="61">
        <v>4.7845873766264434E-3</v>
      </c>
      <c r="AN44" s="61">
        <v>4.7367415028601789E-3</v>
      </c>
      <c r="AO44" s="61">
        <v>4.6893740878315767E-3</v>
      </c>
      <c r="AP44" s="61">
        <v>4.6424803469532613E-3</v>
      </c>
      <c r="AQ44" s="61">
        <v>4.5960555434837284E-3</v>
      </c>
      <c r="AR44" s="61">
        <v>4.5500949880488912E-3</v>
      </c>
      <c r="AS44" s="61">
        <v>4.5045940381684023E-3</v>
      </c>
      <c r="AT44" s="61">
        <v>4.4595480977867178E-3</v>
      </c>
      <c r="AU44" s="61">
        <v>4.4149526168088503E-3</v>
      </c>
      <c r="AV44" s="61">
        <v>4.3708030906407618E-3</v>
      </c>
      <c r="AW44" s="61">
        <v>4.3270950597343542E-3</v>
      </c>
      <c r="AX44" s="61">
        <v>4.2838241091370105E-3</v>
      </c>
      <c r="AY44" s="61">
        <v>4.2409858680456406E-3</v>
      </c>
      <c r="AZ44" s="61">
        <v>4.1985760093651838E-3</v>
      </c>
      <c r="BA44" s="61">
        <v>4.1565902492715322E-3</v>
      </c>
      <c r="BB44" s="61">
        <v>4.1150243467788167E-3</v>
      </c>
      <c r="BC44" s="61">
        <v>4.0738741033110289E-3</v>
      </c>
      <c r="BD44" s="61">
        <v>4.0331353622779188E-3</v>
      </c>
      <c r="BE44" s="61">
        <v>3.9928040086551399E-3</v>
      </c>
      <c r="BF44" s="61">
        <v>3.9528759685685888E-3</v>
      </c>
      <c r="BG44" s="61">
        <v>3.9133472088829033E-3</v>
      </c>
      <c r="BH44" s="61">
        <v>3.8742137367940742E-3</v>
      </c>
      <c r="BI44" s="61">
        <v>3.8354715994261333E-3</v>
      </c>
      <c r="BJ44" s="61">
        <v>3.797116883431872E-3</v>
      </c>
      <c r="BK44" s="61">
        <v>3.7591457145975532E-3</v>
      </c>
      <c r="BL44" s="61">
        <v>3.7215542574515776E-3</v>
      </c>
      <c r="BM44" s="61">
        <v>3.6843387148770617E-3</v>
      </c>
      <c r="BN44" s="61">
        <v>3.6474953277282913E-3</v>
      </c>
      <c r="BO44" s="61">
        <v>3.6110203744510083E-3</v>
      </c>
      <c r="BP44" s="61">
        <v>3.5749101707064981E-3</v>
      </c>
      <c r="BQ44" s="61">
        <v>3.5391610689994332E-3</v>
      </c>
      <c r="BR44" s="61">
        <v>3.5037694583094389E-3</v>
      </c>
      <c r="BS44" s="61">
        <v>3.4687317637263444E-3</v>
      </c>
      <c r="BT44" s="61">
        <v>3.4340444460890809E-3</v>
      </c>
      <c r="BU44" s="61">
        <v>3.3997040016281901E-3</v>
      </c>
      <c r="BV44" s="61">
        <v>3.3657069616119081E-3</v>
      </c>
      <c r="BW44" s="61">
        <v>3.332049891995789E-3</v>
      </c>
      <c r="BX44" s="61">
        <v>3.2987293930758312E-3</v>
      </c>
      <c r="BY44" s="61">
        <v>3.2657420991450731E-3</v>
      </c>
      <c r="BZ44" s="61">
        <v>3.2330846781536225E-3</v>
      </c>
      <c r="CA44" s="61">
        <v>3.2007538313720864E-3</v>
      </c>
      <c r="CB44" s="61">
        <v>3.1687462930583654E-3</v>
      </c>
      <c r="CC44" s="61">
        <v>3.1370588301277819E-3</v>
      </c>
      <c r="CD44" s="61">
        <v>3.1056882418265042E-3</v>
      </c>
      <c r="CE44" s="61">
        <v>3.0746313594082393E-3</v>
      </c>
      <c r="CF44" s="61">
        <v>3.0438850458141568E-3</v>
      </c>
      <c r="CG44" s="61">
        <v>3.0134461953560151E-3</v>
      </c>
      <c r="CH44" s="61">
        <v>2.9833117334024549E-3</v>
      </c>
      <c r="CI44" s="61">
        <v>2.9534786160684305E-3</v>
      </c>
      <c r="CJ44" s="61">
        <v>2.9239438299077463E-3</v>
      </c>
      <c r="CK44" s="61">
        <v>2.8947043916086688E-3</v>
      </c>
      <c r="CL44" s="61">
        <v>2.8657573476925822E-3</v>
      </c>
      <c r="CM44" s="61">
        <v>2.8370997742156565E-3</v>
      </c>
      <c r="CN44" s="61">
        <v>2.8087287764735E-3</v>
      </c>
      <c r="CO44" s="61">
        <v>2.7806414887087648E-3</v>
      </c>
      <c r="CP44" s="61">
        <v>2.752835073821677E-3</v>
      </c>
      <c r="CQ44" s="61">
        <v>2.7253067230834601E-3</v>
      </c>
      <c r="CR44" s="61">
        <v>2.6980536558526254E-3</v>
      </c>
      <c r="CS44" s="61">
        <v>2.6710731192940993E-3</v>
      </c>
      <c r="CT44" s="61">
        <v>2.6443623881011583E-3</v>
      </c>
      <c r="CU44" s="61">
        <v>2.6179187642201467E-3</v>
      </c>
      <c r="CV44" s="61">
        <v>2.5917395765779451E-3</v>
      </c>
      <c r="CW44" s="61">
        <v>2.5658221808121657E-3</v>
      </c>
      <c r="CX44" s="61">
        <v>2.5401639590040439E-3</v>
      </c>
      <c r="CY44" s="53">
        <v>2.5147623194140033E-3</v>
      </c>
    </row>
    <row r="45" spans="1:103">
      <c r="A45" s="60">
        <v>63</v>
      </c>
      <c r="B45" s="60">
        <v>6.7229999999999998E-3</v>
      </c>
      <c r="C45" s="60">
        <v>6.7465305000000003E-3</v>
      </c>
      <c r="D45" s="60">
        <v>6.7755405811500006E-3</v>
      </c>
      <c r="E45" s="60">
        <v>6.8053529597070601E-3</v>
      </c>
      <c r="F45" s="60">
        <v>6.8312133009539467E-3</v>
      </c>
      <c r="G45" s="60">
        <v>6.8496575768665219E-3</v>
      </c>
      <c r="H45" s="60">
        <v>6.8578771659587624E-3</v>
      </c>
      <c r="I45" s="60">
        <v>6.8530766519425907E-3</v>
      </c>
      <c r="J45" s="60">
        <v>6.8345733449823457E-3</v>
      </c>
      <c r="K45" s="60">
        <v>6.8038177649299252E-3</v>
      </c>
      <c r="L45" s="60">
        <v>6.7629948583403455E-3</v>
      </c>
      <c r="M45" s="60">
        <v>6.714301295360295E-3</v>
      </c>
      <c r="N45" s="60">
        <v>6.6592440247383406E-3</v>
      </c>
      <c r="O45" s="60">
        <v>6.5999767529181692E-3</v>
      </c>
      <c r="P45" s="60">
        <v>6.5385969691160303E-3</v>
      </c>
      <c r="Q45" s="60">
        <v>6.4758264382125163E-3</v>
      </c>
      <c r="R45" s="60">
        <v>6.4130109217618546E-3</v>
      </c>
      <c r="S45" s="60">
        <v>6.3501634147285881E-3</v>
      </c>
      <c r="T45" s="61">
        <v>6.2872967969227747E-3</v>
      </c>
      <c r="U45" s="61">
        <v>6.2244238289535471E-3</v>
      </c>
      <c r="V45" s="61">
        <v>6.1621795906640119E-3</v>
      </c>
      <c r="W45" s="61">
        <v>6.1005577947573714E-3</v>
      </c>
      <c r="X45" s="61">
        <v>6.0395522168097977E-3</v>
      </c>
      <c r="Y45" s="61">
        <v>5.9791566946416994E-3</v>
      </c>
      <c r="Z45" s="61">
        <v>5.9193651276952825E-3</v>
      </c>
      <c r="AA45" s="61">
        <v>5.8601714764183292E-3</v>
      </c>
      <c r="AB45" s="61">
        <v>5.8015697616541455E-3</v>
      </c>
      <c r="AC45" s="61">
        <v>5.7435540640376039E-3</v>
      </c>
      <c r="AD45" s="61">
        <v>5.6861185233972279E-3</v>
      </c>
      <c r="AE45" s="61">
        <v>5.6292573381632556E-3</v>
      </c>
      <c r="AF45" s="61">
        <v>5.5729647647816231E-3</v>
      </c>
      <c r="AG45" s="61">
        <v>5.5172351171338067E-3</v>
      </c>
      <c r="AH45" s="61">
        <v>5.462062765962469E-3</v>
      </c>
      <c r="AI45" s="61">
        <v>5.4074421383028442E-3</v>
      </c>
      <c r="AJ45" s="61">
        <v>5.3533677169198155E-3</v>
      </c>
      <c r="AK45" s="61">
        <v>5.2998340397506175E-3</v>
      </c>
      <c r="AL45" s="61">
        <v>5.2468356993531111E-3</v>
      </c>
      <c r="AM45" s="61">
        <v>5.19436734235958E-3</v>
      </c>
      <c r="AN45" s="61">
        <v>5.142423668935984E-3</v>
      </c>
      <c r="AO45" s="61">
        <v>5.0909994322466245E-3</v>
      </c>
      <c r="AP45" s="61">
        <v>5.0400894379241581E-3</v>
      </c>
      <c r="AQ45" s="61">
        <v>4.9896885435449165E-3</v>
      </c>
      <c r="AR45" s="61">
        <v>4.9397916581094669E-3</v>
      </c>
      <c r="AS45" s="61">
        <v>4.8903937415283724E-3</v>
      </c>
      <c r="AT45" s="61">
        <v>4.8414898041130887E-3</v>
      </c>
      <c r="AU45" s="61">
        <v>4.7930749060719575E-3</v>
      </c>
      <c r="AV45" s="61">
        <v>4.745144157011238E-3</v>
      </c>
      <c r="AW45" s="61">
        <v>4.6976927154411255E-3</v>
      </c>
      <c r="AX45" s="61">
        <v>4.6507157882867143E-3</v>
      </c>
      <c r="AY45" s="61">
        <v>4.6042086304038474E-3</v>
      </c>
      <c r="AZ45" s="61">
        <v>4.5581665440998093E-3</v>
      </c>
      <c r="BA45" s="61">
        <v>4.5125848786588115E-3</v>
      </c>
      <c r="BB45" s="61">
        <v>4.4674590298722236E-3</v>
      </c>
      <c r="BC45" s="61">
        <v>4.4227844395735016E-3</v>
      </c>
      <c r="BD45" s="61">
        <v>4.3785565951777669E-3</v>
      </c>
      <c r="BE45" s="61">
        <v>4.3347710292259891E-3</v>
      </c>
      <c r="BF45" s="61">
        <v>4.2914233189337292E-3</v>
      </c>
      <c r="BG45" s="61">
        <v>4.2485090857443918E-3</v>
      </c>
      <c r="BH45" s="61">
        <v>4.2060239948869477E-3</v>
      </c>
      <c r="BI45" s="61">
        <v>4.1639637549380779E-3</v>
      </c>
      <c r="BJ45" s="61">
        <v>4.122324117388697E-3</v>
      </c>
      <c r="BK45" s="61">
        <v>4.0811008762148097E-3</v>
      </c>
      <c r="BL45" s="61">
        <v>4.0402898674526616E-3</v>
      </c>
      <c r="BM45" s="61">
        <v>3.9998869687781352E-3</v>
      </c>
      <c r="BN45" s="61">
        <v>3.9598880990903539E-3</v>
      </c>
      <c r="BO45" s="61">
        <v>3.9202892180994504E-3</v>
      </c>
      <c r="BP45" s="61">
        <v>3.881086325918456E-3</v>
      </c>
      <c r="BQ45" s="61">
        <v>3.8422754626592716E-3</v>
      </c>
      <c r="BR45" s="61">
        <v>3.8038527080326789E-3</v>
      </c>
      <c r="BS45" s="61">
        <v>3.7658141809523522E-3</v>
      </c>
      <c r="BT45" s="61">
        <v>3.7281560391428286E-3</v>
      </c>
      <c r="BU45" s="61">
        <v>3.6908744787514003E-3</v>
      </c>
      <c r="BV45" s="61">
        <v>3.6539657339638861E-3</v>
      </c>
      <c r="BW45" s="61">
        <v>3.6174260766242473E-3</v>
      </c>
      <c r="BX45" s="61">
        <v>3.581251815858005E-3</v>
      </c>
      <c r="BY45" s="61">
        <v>3.5454392976994251E-3</v>
      </c>
      <c r="BZ45" s="61">
        <v>3.5099849047224309E-3</v>
      </c>
      <c r="CA45" s="61">
        <v>3.4748850556752067E-3</v>
      </c>
      <c r="CB45" s="61">
        <v>3.4401362051184547E-3</v>
      </c>
      <c r="CC45" s="61">
        <v>3.4057348430672702E-3</v>
      </c>
      <c r="CD45" s="61">
        <v>3.3716774946365973E-3</v>
      </c>
      <c r="CE45" s="61">
        <v>3.3379607196902315E-3</v>
      </c>
      <c r="CF45" s="61">
        <v>3.3045811124933293E-3</v>
      </c>
      <c r="CG45" s="61">
        <v>3.2715353013683958E-3</v>
      </c>
      <c r="CH45" s="61">
        <v>3.238819948354712E-3</v>
      </c>
      <c r="CI45" s="61">
        <v>3.2064317488711648E-3</v>
      </c>
      <c r="CJ45" s="61">
        <v>3.1743674313824532E-3</v>
      </c>
      <c r="CK45" s="61">
        <v>3.1426237570686285E-3</v>
      </c>
      <c r="CL45" s="61">
        <v>3.1111975194979421E-3</v>
      </c>
      <c r="CM45" s="61">
        <v>3.0800855443029627E-3</v>
      </c>
      <c r="CN45" s="61">
        <v>3.0492846888599333E-3</v>
      </c>
      <c r="CO45" s="61">
        <v>3.0187918419713341E-3</v>
      </c>
      <c r="CP45" s="61">
        <v>2.9886039235516209E-3</v>
      </c>
      <c r="CQ45" s="61">
        <v>2.9587178843161047E-3</v>
      </c>
      <c r="CR45" s="61">
        <v>2.9291307054729438E-3</v>
      </c>
      <c r="CS45" s="61">
        <v>2.8998393984182142E-3</v>
      </c>
      <c r="CT45" s="61">
        <v>2.870841004434032E-3</v>
      </c>
      <c r="CU45" s="61">
        <v>2.8421325943896918E-3</v>
      </c>
      <c r="CV45" s="61">
        <v>2.8137112684457947E-3</v>
      </c>
      <c r="CW45" s="61">
        <v>2.7855741557613369E-3</v>
      </c>
      <c r="CX45" s="61">
        <v>2.7577184142037236E-3</v>
      </c>
      <c r="CY45" s="53">
        <v>2.7301412300616864E-3</v>
      </c>
    </row>
    <row r="46" spans="1:103">
      <c r="A46" s="60">
        <v>64</v>
      </c>
      <c r="B46" s="60">
        <v>7.352E-3</v>
      </c>
      <c r="C46" s="60">
        <v>7.3564111999999994E-3</v>
      </c>
      <c r="D46" s="60">
        <v>7.3681814579199994E-3</v>
      </c>
      <c r="E46" s="60">
        <v>7.3836546389816314E-3</v>
      </c>
      <c r="F46" s="60">
        <v>7.3991603137234926E-3</v>
      </c>
      <c r="G46" s="60">
        <v>7.4109989702254506E-3</v>
      </c>
      <c r="H46" s="60">
        <v>7.4154455696075856E-3</v>
      </c>
      <c r="I46" s="60">
        <v>7.4095132131518993E-3</v>
      </c>
      <c r="J46" s="60">
        <v>7.3924713327616501E-3</v>
      </c>
      <c r="K46" s="60">
        <v>7.3629014474306037E-3</v>
      </c>
      <c r="L46" s="60">
        <v>7.3231417796144789E-3</v>
      </c>
      <c r="M46" s="60">
        <v>7.2748090438690231E-3</v>
      </c>
      <c r="N46" s="60">
        <v>7.218793014231231E-3</v>
      </c>
      <c r="O46" s="60">
        <v>7.1574332736102659E-3</v>
      </c>
      <c r="P46" s="60">
        <v>7.0923006308204126E-3</v>
      </c>
      <c r="Q46" s="60">
        <v>7.0249237748276194E-3</v>
      </c>
      <c r="R46" s="60">
        <v>6.9567820142117914E-3</v>
      </c>
      <c r="S46" s="60">
        <v>6.8879098722710941E-3</v>
      </c>
      <c r="T46" s="61">
        <v>6.8197195645356102E-3</v>
      </c>
      <c r="U46" s="61">
        <v>6.7515223688902537E-3</v>
      </c>
      <c r="V46" s="61">
        <v>6.6840071452013514E-3</v>
      </c>
      <c r="W46" s="61">
        <v>6.6171670737493376E-3</v>
      </c>
      <c r="X46" s="61">
        <v>6.5509954030118439E-3</v>
      </c>
      <c r="Y46" s="61">
        <v>6.4854854489817251E-3</v>
      </c>
      <c r="Z46" s="61">
        <v>6.420630594491908E-3</v>
      </c>
      <c r="AA46" s="61">
        <v>6.3564242885469887E-3</v>
      </c>
      <c r="AB46" s="61">
        <v>6.2928600456615188E-3</v>
      </c>
      <c r="AC46" s="61">
        <v>6.2299314452049035E-3</v>
      </c>
      <c r="AD46" s="61">
        <v>6.167632130752854E-3</v>
      </c>
      <c r="AE46" s="61">
        <v>6.1059558094453256E-3</v>
      </c>
      <c r="AF46" s="61">
        <v>6.0448962513508725E-3</v>
      </c>
      <c r="AG46" s="61">
        <v>5.9844472888373641E-3</v>
      </c>
      <c r="AH46" s="61">
        <v>5.9246028159489908E-3</v>
      </c>
      <c r="AI46" s="61">
        <v>5.8653567877895007E-3</v>
      </c>
      <c r="AJ46" s="61">
        <v>5.8067032199116053E-3</v>
      </c>
      <c r="AK46" s="61">
        <v>5.7486361877124893E-3</v>
      </c>
      <c r="AL46" s="61">
        <v>5.691149825835364E-3</v>
      </c>
      <c r="AM46" s="61">
        <v>5.6342383275770104E-3</v>
      </c>
      <c r="AN46" s="61">
        <v>5.5778959443012399E-3</v>
      </c>
      <c r="AO46" s="61">
        <v>5.5221169848582276E-3</v>
      </c>
      <c r="AP46" s="61">
        <v>5.4668958150096451E-3</v>
      </c>
      <c r="AQ46" s="61">
        <v>5.4122268568595486E-3</v>
      </c>
      <c r="AR46" s="61">
        <v>5.3581045882909531E-3</v>
      </c>
      <c r="AS46" s="61">
        <v>5.3045235424080432E-3</v>
      </c>
      <c r="AT46" s="61">
        <v>5.251478306983963E-3</v>
      </c>
      <c r="AU46" s="61">
        <v>5.198963523914123E-3</v>
      </c>
      <c r="AV46" s="61">
        <v>5.1469738886749817E-3</v>
      </c>
      <c r="AW46" s="61">
        <v>5.095504149788232E-3</v>
      </c>
      <c r="AX46" s="61">
        <v>5.0445491082903495E-3</v>
      </c>
      <c r="AY46" s="61">
        <v>4.9941036172074463E-3</v>
      </c>
      <c r="AZ46" s="61">
        <v>4.9441625810353719E-3</v>
      </c>
      <c r="BA46" s="61">
        <v>4.894720955225018E-3</v>
      </c>
      <c r="BB46" s="61">
        <v>4.8457737456727677E-3</v>
      </c>
      <c r="BC46" s="61">
        <v>4.7973160082160401E-3</v>
      </c>
      <c r="BD46" s="61">
        <v>4.7493428481338792E-3</v>
      </c>
      <c r="BE46" s="61">
        <v>4.7018494196525403E-3</v>
      </c>
      <c r="BF46" s="61">
        <v>4.6548309254560152E-3</v>
      </c>
      <c r="BG46" s="61">
        <v>4.6082826162014553E-3</v>
      </c>
      <c r="BH46" s="61">
        <v>4.5621997900394404E-3</v>
      </c>
      <c r="BI46" s="61">
        <v>4.5165777921390461E-3</v>
      </c>
      <c r="BJ46" s="61">
        <v>4.4714120142176558E-3</v>
      </c>
      <c r="BK46" s="61">
        <v>4.4266978940754789E-3</v>
      </c>
      <c r="BL46" s="61">
        <v>4.3824309151347237E-3</v>
      </c>
      <c r="BM46" s="61">
        <v>4.3386066059833764E-3</v>
      </c>
      <c r="BN46" s="61">
        <v>4.2952205399235423E-3</v>
      </c>
      <c r="BO46" s="61">
        <v>4.2522683345243067E-3</v>
      </c>
      <c r="BP46" s="61">
        <v>4.2097456511790638E-3</v>
      </c>
      <c r="BQ46" s="61">
        <v>4.1676481946672731E-3</v>
      </c>
      <c r="BR46" s="61">
        <v>4.1259717127206004E-3</v>
      </c>
      <c r="BS46" s="61">
        <v>4.0847119955933946E-3</v>
      </c>
      <c r="BT46" s="61">
        <v>4.0438648756374604E-3</v>
      </c>
      <c r="BU46" s="61">
        <v>4.003426226881086E-3</v>
      </c>
      <c r="BV46" s="61">
        <v>3.9633919646122747E-3</v>
      </c>
      <c r="BW46" s="61">
        <v>3.9237580449661517E-3</v>
      </c>
      <c r="BX46" s="61">
        <v>3.8845204645164902E-3</v>
      </c>
      <c r="BY46" s="61">
        <v>3.8456752598713252E-3</v>
      </c>
      <c r="BZ46" s="61">
        <v>3.8072185072726117E-3</v>
      </c>
      <c r="CA46" s="61">
        <v>3.7691463221998854E-3</v>
      </c>
      <c r="CB46" s="61">
        <v>3.7314548589778866E-3</v>
      </c>
      <c r="CC46" s="61">
        <v>3.6941403103881078E-3</v>
      </c>
      <c r="CD46" s="61">
        <v>3.6571989072842269E-3</v>
      </c>
      <c r="CE46" s="61">
        <v>3.6206269182113846E-3</v>
      </c>
      <c r="CF46" s="61">
        <v>3.5844206490292709E-3</v>
      </c>
      <c r="CG46" s="61">
        <v>3.548576442538978E-3</v>
      </c>
      <c r="CH46" s="61">
        <v>3.5130906781135882E-3</v>
      </c>
      <c r="CI46" s="61">
        <v>3.4779597713324524E-3</v>
      </c>
      <c r="CJ46" s="61">
        <v>3.4431801736191279E-3</v>
      </c>
      <c r="CK46" s="61">
        <v>3.4087483718829364E-3</v>
      </c>
      <c r="CL46" s="61">
        <v>3.3746608881641072E-3</v>
      </c>
      <c r="CM46" s="61">
        <v>3.340914279282466E-3</v>
      </c>
      <c r="CN46" s="61">
        <v>3.3075051364896413E-3</v>
      </c>
      <c r="CO46" s="61">
        <v>3.274430085124745E-3</v>
      </c>
      <c r="CP46" s="61">
        <v>3.2416857842734975E-3</v>
      </c>
      <c r="CQ46" s="61">
        <v>3.2092689264307623E-3</v>
      </c>
      <c r="CR46" s="61">
        <v>3.1771762371664547E-3</v>
      </c>
      <c r="CS46" s="61">
        <v>3.1454044747947904E-3</v>
      </c>
      <c r="CT46" s="61">
        <v>3.1139504300468426E-3</v>
      </c>
      <c r="CU46" s="61">
        <v>3.0828109257463742E-3</v>
      </c>
      <c r="CV46" s="61">
        <v>3.0519828164889103E-3</v>
      </c>
      <c r="CW46" s="61">
        <v>3.0214629883240211E-3</v>
      </c>
      <c r="CX46" s="61">
        <v>2.9912483584407807E-3</v>
      </c>
      <c r="CY46" s="53">
        <v>2.9613358748563729E-3</v>
      </c>
    </row>
    <row r="47" spans="1:103">
      <c r="A47" s="60">
        <v>65</v>
      </c>
      <c r="B47" s="60">
        <v>8.0479999999999996E-3</v>
      </c>
      <c r="C47" s="60">
        <v>8.0302944000000005E-3</v>
      </c>
      <c r="D47" s="60">
        <v>8.0214610761600007E-3</v>
      </c>
      <c r="E47" s="60">
        <v>8.0190546378371523E-3</v>
      </c>
      <c r="F47" s="60">
        <v>8.0206584487647198E-3</v>
      </c>
      <c r="G47" s="60">
        <v>8.0222625804544732E-3</v>
      </c>
      <c r="H47" s="60">
        <v>8.0206581279383821E-3</v>
      </c>
      <c r="I47" s="60">
        <v>8.0118354039976497E-3</v>
      </c>
      <c r="J47" s="60">
        <v>7.9942093661088554E-3</v>
      </c>
      <c r="K47" s="60">
        <v>7.9662296333274756E-3</v>
      </c>
      <c r="L47" s="60">
        <v>7.9271951081241708E-3</v>
      </c>
      <c r="M47" s="60">
        <v>7.8788392179646137E-3</v>
      </c>
      <c r="N47" s="60">
        <v>7.822111575595269E-3</v>
      </c>
      <c r="O47" s="60">
        <v>7.7579702606753878E-3</v>
      </c>
      <c r="P47" s="60">
        <v>7.6889243253553769E-3</v>
      </c>
      <c r="Q47" s="60">
        <v>7.6166484366970363E-3</v>
      </c>
      <c r="R47" s="60">
        <v>7.542766946861075E-3</v>
      </c>
      <c r="S47" s="60">
        <v>7.4688478307818364E-3</v>
      </c>
      <c r="T47" s="61">
        <v>7.3949062372570956E-3</v>
      </c>
      <c r="U47" s="61">
        <v>7.3209571748845247E-3</v>
      </c>
      <c r="V47" s="61">
        <v>7.2477476031356791E-3</v>
      </c>
      <c r="W47" s="61">
        <v>7.1752701271043219E-3</v>
      </c>
      <c r="X47" s="61">
        <v>7.1035174258332785E-3</v>
      </c>
      <c r="Y47" s="61">
        <v>7.0324822515749454E-3</v>
      </c>
      <c r="Z47" s="61">
        <v>6.9621574290591962E-3</v>
      </c>
      <c r="AA47" s="61">
        <v>6.892535854768604E-3</v>
      </c>
      <c r="AB47" s="61">
        <v>6.8236104962209176E-3</v>
      </c>
      <c r="AC47" s="61">
        <v>6.7553743912587083E-3</v>
      </c>
      <c r="AD47" s="61">
        <v>6.6878206473461209E-3</v>
      </c>
      <c r="AE47" s="61">
        <v>6.6209424408726599E-3</v>
      </c>
      <c r="AF47" s="61">
        <v>6.5547330164639336E-3</v>
      </c>
      <c r="AG47" s="61">
        <v>6.489185686299294E-3</v>
      </c>
      <c r="AH47" s="61">
        <v>6.4242938294363011E-3</v>
      </c>
      <c r="AI47" s="61">
        <v>6.3600508911419379E-3</v>
      </c>
      <c r="AJ47" s="61">
        <v>6.2964503822305184E-3</v>
      </c>
      <c r="AK47" s="61">
        <v>6.2334858784082129E-3</v>
      </c>
      <c r="AL47" s="61">
        <v>6.171151019624131E-3</v>
      </c>
      <c r="AM47" s="61">
        <v>6.10943950942789E-3</v>
      </c>
      <c r="AN47" s="61">
        <v>6.0483451143336113E-3</v>
      </c>
      <c r="AO47" s="61">
        <v>5.987861663190275E-3</v>
      </c>
      <c r="AP47" s="61">
        <v>5.9279830465583721E-3</v>
      </c>
      <c r="AQ47" s="61">
        <v>5.868703216092788E-3</v>
      </c>
      <c r="AR47" s="61">
        <v>5.8100161839318605E-3</v>
      </c>
      <c r="AS47" s="61">
        <v>5.7519160220925415E-3</v>
      </c>
      <c r="AT47" s="61">
        <v>5.6943968618716157E-3</v>
      </c>
      <c r="AU47" s="61">
        <v>5.6374528932528999E-3</v>
      </c>
      <c r="AV47" s="61">
        <v>5.5810783643203705E-3</v>
      </c>
      <c r="AW47" s="61">
        <v>5.5252675806771664E-3</v>
      </c>
      <c r="AX47" s="61">
        <v>5.4700149048703944E-3</v>
      </c>
      <c r="AY47" s="61">
        <v>5.41531475582169E-3</v>
      </c>
      <c r="AZ47" s="61">
        <v>5.3611616082634731E-3</v>
      </c>
      <c r="BA47" s="61">
        <v>5.3075499921808383E-3</v>
      </c>
      <c r="BB47" s="61">
        <v>5.2544744922590298E-3</v>
      </c>
      <c r="BC47" s="61">
        <v>5.2019297473364394E-3</v>
      </c>
      <c r="BD47" s="61">
        <v>5.1499104498630753E-3</v>
      </c>
      <c r="BE47" s="61">
        <v>5.0984113453644442E-3</v>
      </c>
      <c r="BF47" s="61">
        <v>5.0474272319107998E-3</v>
      </c>
      <c r="BG47" s="61">
        <v>4.9969529595916915E-3</v>
      </c>
      <c r="BH47" s="61">
        <v>4.9469834299957745E-3</v>
      </c>
      <c r="BI47" s="61">
        <v>4.8975135956958165E-3</v>
      </c>
      <c r="BJ47" s="61">
        <v>4.8485384597388584E-3</v>
      </c>
      <c r="BK47" s="61">
        <v>4.8000530751414697E-3</v>
      </c>
      <c r="BL47" s="61">
        <v>4.7520525443900553E-3</v>
      </c>
      <c r="BM47" s="61">
        <v>4.7045320189461545E-3</v>
      </c>
      <c r="BN47" s="61">
        <v>4.6574866987566929E-3</v>
      </c>
      <c r="BO47" s="61">
        <v>4.6109118317691263E-3</v>
      </c>
      <c r="BP47" s="61">
        <v>4.5648027134514348E-3</v>
      </c>
      <c r="BQ47" s="61">
        <v>4.51915468631692E-3</v>
      </c>
      <c r="BR47" s="61">
        <v>4.4739631394537507E-3</v>
      </c>
      <c r="BS47" s="61">
        <v>4.4292235080592131E-3</v>
      </c>
      <c r="BT47" s="61">
        <v>4.3849312729786214E-3</v>
      </c>
      <c r="BU47" s="61">
        <v>4.3410819602488354E-3</v>
      </c>
      <c r="BV47" s="61">
        <v>4.2976711406463473E-3</v>
      </c>
      <c r="BW47" s="61">
        <v>4.2546944292398839E-3</v>
      </c>
      <c r="BX47" s="61">
        <v>4.2121474849474852E-3</v>
      </c>
      <c r="BY47" s="61">
        <v>4.1700260100980104E-3</v>
      </c>
      <c r="BZ47" s="61">
        <v>4.1283257499970302E-3</v>
      </c>
      <c r="CA47" s="61">
        <v>4.0870424924970596E-3</v>
      </c>
      <c r="CB47" s="61">
        <v>4.0461720675720892E-3</v>
      </c>
      <c r="CC47" s="61">
        <v>4.0057103468963684E-3</v>
      </c>
      <c r="CD47" s="61">
        <v>3.9656532434274045E-3</v>
      </c>
      <c r="CE47" s="61">
        <v>3.92599671099313E-3</v>
      </c>
      <c r="CF47" s="61">
        <v>3.8867367438831985E-3</v>
      </c>
      <c r="CG47" s="61">
        <v>3.8478693764443664E-3</v>
      </c>
      <c r="CH47" s="61">
        <v>3.8093906826799227E-3</v>
      </c>
      <c r="CI47" s="61">
        <v>3.7712967758531234E-3</v>
      </c>
      <c r="CJ47" s="61">
        <v>3.7335838080945921E-3</v>
      </c>
      <c r="CK47" s="61">
        <v>3.696247970013646E-3</v>
      </c>
      <c r="CL47" s="61">
        <v>3.6592854903135094E-3</v>
      </c>
      <c r="CM47" s="61">
        <v>3.6226926354103743E-3</v>
      </c>
      <c r="CN47" s="61">
        <v>3.5864657090562703E-3</v>
      </c>
      <c r="CO47" s="61">
        <v>3.5506010519657078E-3</v>
      </c>
      <c r="CP47" s="61">
        <v>3.5150950414460508E-3</v>
      </c>
      <c r="CQ47" s="61">
        <v>3.4799440910315903E-3</v>
      </c>
      <c r="CR47" s="61">
        <v>3.4451446501212743E-3</v>
      </c>
      <c r="CS47" s="61">
        <v>3.4106932036200616E-3</v>
      </c>
      <c r="CT47" s="61">
        <v>3.3765862715838609E-3</v>
      </c>
      <c r="CU47" s="61">
        <v>3.3428204088680222E-3</v>
      </c>
      <c r="CV47" s="61">
        <v>3.3093922047793419E-3</v>
      </c>
      <c r="CW47" s="61">
        <v>3.2762982827315486E-3</v>
      </c>
      <c r="CX47" s="61">
        <v>3.243535299904233E-3</v>
      </c>
      <c r="CY47" s="53">
        <v>3.2110999469051908E-3</v>
      </c>
    </row>
    <row r="48" spans="1:103">
      <c r="A48" s="60">
        <v>66</v>
      </c>
      <c r="B48" s="60">
        <v>8.8210000000000007E-3</v>
      </c>
      <c r="C48" s="60">
        <v>8.7795413000000006E-3</v>
      </c>
      <c r="D48" s="60">
        <v>8.7479349513200008E-3</v>
      </c>
      <c r="E48" s="60">
        <v>8.7251903204465676E-3</v>
      </c>
      <c r="F48" s="60">
        <v>8.7094849778697643E-3</v>
      </c>
      <c r="G48" s="60">
        <v>8.6981626473985347E-3</v>
      </c>
      <c r="H48" s="60">
        <v>8.6868550359569165E-3</v>
      </c>
      <c r="I48" s="60">
        <v>8.6729560678993848E-3</v>
      </c>
      <c r="J48" s="60">
        <v>8.6521409733364262E-3</v>
      </c>
      <c r="K48" s="60">
        <v>8.6235889081244157E-3</v>
      </c>
      <c r="L48" s="60">
        <v>8.5847827580378556E-3</v>
      </c>
      <c r="M48" s="60">
        <v>8.5367079745928432E-3</v>
      </c>
      <c r="N48" s="60">
        <v>8.4786583603656124E-3</v>
      </c>
      <c r="O48" s="60">
        <v>8.4125248251547598E-3</v>
      </c>
      <c r="P48" s="60">
        <v>8.340177111658428E-3</v>
      </c>
      <c r="Q48" s="60">
        <v>8.2634474822311701E-3</v>
      </c>
      <c r="R48" s="60">
        <v>8.1841183864017498E-3</v>
      </c>
      <c r="S48" s="60">
        <v>8.1039140262150131E-3</v>
      </c>
      <c r="T48" s="61">
        <v>8.023685277355485E-3</v>
      </c>
      <c r="U48" s="61">
        <v>7.9434484245819292E-3</v>
      </c>
      <c r="V48" s="61">
        <v>7.8640139403361106E-3</v>
      </c>
      <c r="W48" s="61">
        <v>7.7853738009327498E-3</v>
      </c>
      <c r="X48" s="61">
        <v>7.7075200629234224E-3</v>
      </c>
      <c r="Y48" s="61">
        <v>7.6304448622941884E-3</v>
      </c>
      <c r="Z48" s="61">
        <v>7.5541404136712465E-3</v>
      </c>
      <c r="AA48" s="61">
        <v>7.4785990095345336E-3</v>
      </c>
      <c r="AB48" s="61">
        <v>7.4038130194391885E-3</v>
      </c>
      <c r="AC48" s="61">
        <v>7.3297748892447966E-3</v>
      </c>
      <c r="AD48" s="61">
        <v>7.2564771403523486E-3</v>
      </c>
      <c r="AE48" s="61">
        <v>7.1839123689488252E-3</v>
      </c>
      <c r="AF48" s="61">
        <v>7.1120732452593372E-3</v>
      </c>
      <c r="AG48" s="61">
        <v>7.0409525128067437E-3</v>
      </c>
      <c r="AH48" s="61">
        <v>6.9705429876786764E-3</v>
      </c>
      <c r="AI48" s="61">
        <v>6.9008375578018897E-3</v>
      </c>
      <c r="AJ48" s="61">
        <v>6.8318291822238707E-3</v>
      </c>
      <c r="AK48" s="61">
        <v>6.7635108904016321E-3</v>
      </c>
      <c r="AL48" s="61">
        <v>6.6958757814976153E-3</v>
      </c>
      <c r="AM48" s="61">
        <v>6.628917023682639E-3</v>
      </c>
      <c r="AN48" s="61">
        <v>6.5626278534458128E-3</v>
      </c>
      <c r="AO48" s="61">
        <v>6.4970015749113543E-3</v>
      </c>
      <c r="AP48" s="61">
        <v>6.4320315591622403E-3</v>
      </c>
      <c r="AQ48" s="61">
        <v>6.3677112435706175E-3</v>
      </c>
      <c r="AR48" s="61">
        <v>6.3040341311349111E-3</v>
      </c>
      <c r="AS48" s="61">
        <v>6.2409937898235618E-3</v>
      </c>
      <c r="AT48" s="61">
        <v>6.1785838519253259E-3</v>
      </c>
      <c r="AU48" s="61">
        <v>6.1167980134060728E-3</v>
      </c>
      <c r="AV48" s="61">
        <v>6.0556300332720121E-3</v>
      </c>
      <c r="AW48" s="61">
        <v>5.9950737329392918E-3</v>
      </c>
      <c r="AX48" s="61">
        <v>5.9351229956098985E-3</v>
      </c>
      <c r="AY48" s="61">
        <v>5.8757717656537992E-3</v>
      </c>
      <c r="AZ48" s="61">
        <v>5.8170140479972612E-3</v>
      </c>
      <c r="BA48" s="61">
        <v>5.7588439075172883E-3</v>
      </c>
      <c r="BB48" s="61">
        <v>5.7012554684421155E-3</v>
      </c>
      <c r="BC48" s="61">
        <v>5.6442429137576943E-3</v>
      </c>
      <c r="BD48" s="61">
        <v>5.587800484620117E-3</v>
      </c>
      <c r="BE48" s="61">
        <v>5.5319224797739158E-3</v>
      </c>
      <c r="BF48" s="61">
        <v>5.4766032549761765E-3</v>
      </c>
      <c r="BG48" s="61">
        <v>5.4218372224264146E-3</v>
      </c>
      <c r="BH48" s="61">
        <v>5.3676188502021502E-3</v>
      </c>
      <c r="BI48" s="61">
        <v>5.313942661700129E-3</v>
      </c>
      <c r="BJ48" s="61">
        <v>5.260803235083128E-3</v>
      </c>
      <c r="BK48" s="61">
        <v>5.2081952027322968E-3</v>
      </c>
      <c r="BL48" s="61">
        <v>5.1561132507049736E-3</v>
      </c>
      <c r="BM48" s="61">
        <v>5.1045521181979237E-3</v>
      </c>
      <c r="BN48" s="61">
        <v>5.0535065970159446E-3</v>
      </c>
      <c r="BO48" s="61">
        <v>5.0029715310457848E-3</v>
      </c>
      <c r="BP48" s="61">
        <v>4.9529418157353271E-3</v>
      </c>
      <c r="BQ48" s="61">
        <v>4.9034123975779742E-3</v>
      </c>
      <c r="BR48" s="61">
        <v>4.8543782736021942E-3</v>
      </c>
      <c r="BS48" s="61">
        <v>4.8058344908661725E-3</v>
      </c>
      <c r="BT48" s="61">
        <v>4.7577761459575109E-3</v>
      </c>
      <c r="BU48" s="61">
        <v>4.7101983844979357E-3</v>
      </c>
      <c r="BV48" s="61">
        <v>4.6630964006529564E-3</v>
      </c>
      <c r="BW48" s="61">
        <v>4.6164654366464266E-3</v>
      </c>
      <c r="BX48" s="61">
        <v>4.5703007822799624E-3</v>
      </c>
      <c r="BY48" s="61">
        <v>4.5245977744571625E-3</v>
      </c>
      <c r="BZ48" s="61">
        <v>4.4793517967125912E-3</v>
      </c>
      <c r="CA48" s="61">
        <v>4.434558278745465E-3</v>
      </c>
      <c r="CB48" s="61">
        <v>4.3902126959580101E-3</v>
      </c>
      <c r="CC48" s="61">
        <v>4.3463105689984299E-3</v>
      </c>
      <c r="CD48" s="61">
        <v>4.3028474633084457E-3</v>
      </c>
      <c r="CE48" s="61">
        <v>4.2598189886753615E-3</v>
      </c>
      <c r="CF48" s="61">
        <v>4.217220798788608E-3</v>
      </c>
      <c r="CG48" s="61">
        <v>4.1750485908007215E-3</v>
      </c>
      <c r="CH48" s="61">
        <v>4.133298104892714E-3</v>
      </c>
      <c r="CI48" s="61">
        <v>4.0919651238437871E-3</v>
      </c>
      <c r="CJ48" s="61">
        <v>4.0510454726053495E-3</v>
      </c>
      <c r="CK48" s="61">
        <v>4.0105350178792961E-3</v>
      </c>
      <c r="CL48" s="61">
        <v>3.9704296677005027E-3</v>
      </c>
      <c r="CM48" s="61">
        <v>3.9307253710234979E-3</v>
      </c>
      <c r="CN48" s="61">
        <v>3.8914181173132631E-3</v>
      </c>
      <c r="CO48" s="61">
        <v>3.8525039361401304E-3</v>
      </c>
      <c r="CP48" s="61">
        <v>3.813978896778729E-3</v>
      </c>
      <c r="CQ48" s="61">
        <v>3.7758391078109416E-3</v>
      </c>
      <c r="CR48" s="61">
        <v>3.7380807167328323E-3</v>
      </c>
      <c r="CS48" s="61">
        <v>3.7006999095655041E-3</v>
      </c>
      <c r="CT48" s="61">
        <v>3.6636929104698489E-3</v>
      </c>
      <c r="CU48" s="61">
        <v>3.6270559813651503E-3</v>
      </c>
      <c r="CV48" s="61">
        <v>3.5907854215514986E-3</v>
      </c>
      <c r="CW48" s="61">
        <v>3.5548775673359834E-3</v>
      </c>
      <c r="CX48" s="61">
        <v>3.5193287916626234E-3</v>
      </c>
      <c r="CY48" s="53">
        <v>3.4841355037459974E-3</v>
      </c>
    </row>
    <row r="49" spans="1:103">
      <c r="A49" s="60">
        <v>67</v>
      </c>
      <c r="B49" s="60">
        <v>9.6790000000000001E-3</v>
      </c>
      <c r="C49" s="60">
        <v>9.6141506999999991E-3</v>
      </c>
      <c r="D49" s="60">
        <v>9.5593500410099987E-3</v>
      </c>
      <c r="E49" s="60">
        <v>9.514421095817252E-3</v>
      </c>
      <c r="F49" s="60">
        <v>9.4792177377627275E-3</v>
      </c>
      <c r="G49" s="60">
        <v>9.4507800845494393E-3</v>
      </c>
      <c r="H49" s="60">
        <v>9.4271531343380656E-3</v>
      </c>
      <c r="I49" s="60">
        <v>9.4045279668156546E-3</v>
      </c>
      <c r="J49" s="60">
        <v>9.3791357413052518E-3</v>
      </c>
      <c r="K49" s="60">
        <v>9.3472466797848135E-3</v>
      </c>
      <c r="L49" s="60">
        <v>9.3070535190617389E-3</v>
      </c>
      <c r="M49" s="60">
        <v>9.2577261354107113E-3</v>
      </c>
      <c r="N49" s="60">
        <v>9.1984766881440822E-3</v>
      </c>
      <c r="O49" s="60">
        <v>9.1304079606518169E-3</v>
      </c>
      <c r="P49" s="60">
        <v>9.0546255745784076E-3</v>
      </c>
      <c r="Q49" s="60">
        <v>8.9731339444072012E-3</v>
      </c>
      <c r="R49" s="60">
        <v>8.8878891719353335E-3</v>
      </c>
      <c r="S49" s="60">
        <v>8.8007878580503678E-3</v>
      </c>
      <c r="T49" s="61">
        <v>8.7136600582556692E-3</v>
      </c>
      <c r="U49" s="61">
        <v>8.6265234576731117E-3</v>
      </c>
      <c r="V49" s="61">
        <v>8.5402582230963801E-3</v>
      </c>
      <c r="W49" s="61">
        <v>8.454855640865417E-3</v>
      </c>
      <c r="X49" s="61">
        <v>8.3703070844567632E-3</v>
      </c>
      <c r="Y49" s="61">
        <v>8.2866040136121959E-3</v>
      </c>
      <c r="Z49" s="61">
        <v>8.2037379734760732E-3</v>
      </c>
      <c r="AA49" s="61">
        <v>8.1217005937413121E-3</v>
      </c>
      <c r="AB49" s="61">
        <v>8.0404835878038986E-3</v>
      </c>
      <c r="AC49" s="61">
        <v>7.960078751925859E-3</v>
      </c>
      <c r="AD49" s="61">
        <v>7.8804779644066E-3</v>
      </c>
      <c r="AE49" s="61">
        <v>7.8016731847625337E-3</v>
      </c>
      <c r="AF49" s="61">
        <v>7.7236564529149085E-3</v>
      </c>
      <c r="AG49" s="61">
        <v>7.6464198883857597E-3</v>
      </c>
      <c r="AH49" s="61">
        <v>7.5699556895019024E-3</v>
      </c>
      <c r="AI49" s="61">
        <v>7.4942561326068833E-3</v>
      </c>
      <c r="AJ49" s="61">
        <v>7.4193135712808146E-3</v>
      </c>
      <c r="AK49" s="61">
        <v>7.3451204355680063E-3</v>
      </c>
      <c r="AL49" s="61">
        <v>7.2716692312123259E-3</v>
      </c>
      <c r="AM49" s="61">
        <v>7.1989525389002029E-3</v>
      </c>
      <c r="AN49" s="61">
        <v>7.1269630135112009E-3</v>
      </c>
      <c r="AO49" s="61">
        <v>7.0556933833760887E-3</v>
      </c>
      <c r="AP49" s="61">
        <v>6.9851364495423281E-3</v>
      </c>
      <c r="AQ49" s="61">
        <v>6.9152850850469046E-3</v>
      </c>
      <c r="AR49" s="61">
        <v>6.8461322341964352E-3</v>
      </c>
      <c r="AS49" s="61">
        <v>6.7776709118544708E-3</v>
      </c>
      <c r="AT49" s="61">
        <v>6.7098942027359262E-3</v>
      </c>
      <c r="AU49" s="61">
        <v>6.6427952607085667E-3</v>
      </c>
      <c r="AV49" s="61">
        <v>6.5763673081014806E-3</v>
      </c>
      <c r="AW49" s="61">
        <v>6.5106036350204661E-3</v>
      </c>
      <c r="AX49" s="61">
        <v>6.4454975986702615E-3</v>
      </c>
      <c r="AY49" s="61">
        <v>6.3810426226835592E-3</v>
      </c>
      <c r="AZ49" s="61">
        <v>6.3172321964567232E-3</v>
      </c>
      <c r="BA49" s="61">
        <v>6.254059874492156E-3</v>
      </c>
      <c r="BB49" s="61">
        <v>6.1915192757472344E-3</v>
      </c>
      <c r="BC49" s="61">
        <v>6.1296040829897621E-3</v>
      </c>
      <c r="BD49" s="61">
        <v>6.0683080421598647E-3</v>
      </c>
      <c r="BE49" s="61">
        <v>6.0076249617382659E-3</v>
      </c>
      <c r="BF49" s="61">
        <v>5.9475487121208835E-3</v>
      </c>
      <c r="BG49" s="61">
        <v>5.8880732249996749E-3</v>
      </c>
      <c r="BH49" s="61">
        <v>5.8291924927496783E-3</v>
      </c>
      <c r="BI49" s="61">
        <v>5.7709005678221814E-3</v>
      </c>
      <c r="BJ49" s="61">
        <v>5.7131915621439593E-3</v>
      </c>
      <c r="BK49" s="61">
        <v>5.6560596465225193E-3</v>
      </c>
      <c r="BL49" s="61">
        <v>5.5994990500572942E-3</v>
      </c>
      <c r="BM49" s="61">
        <v>5.543504059556721E-3</v>
      </c>
      <c r="BN49" s="61">
        <v>5.4880690189611538E-3</v>
      </c>
      <c r="BO49" s="61">
        <v>5.4331883287715424E-3</v>
      </c>
      <c r="BP49" s="61">
        <v>5.3788564454838265E-3</v>
      </c>
      <c r="BQ49" s="61">
        <v>5.3250678810289878E-3</v>
      </c>
      <c r="BR49" s="61">
        <v>5.2718172022186982E-3</v>
      </c>
      <c r="BS49" s="61">
        <v>5.2190990301965116E-3</v>
      </c>
      <c r="BT49" s="61">
        <v>5.1669080398945464E-3</v>
      </c>
      <c r="BU49" s="61">
        <v>5.1152389594956013E-3</v>
      </c>
      <c r="BV49" s="61">
        <v>5.0640865699006455E-3</v>
      </c>
      <c r="BW49" s="61">
        <v>5.0134457042016389E-3</v>
      </c>
      <c r="BX49" s="61">
        <v>4.9633112471596224E-3</v>
      </c>
      <c r="BY49" s="61">
        <v>4.9136781346880258E-3</v>
      </c>
      <c r="BZ49" s="61">
        <v>4.8645413533411454E-3</v>
      </c>
      <c r="CA49" s="61">
        <v>4.815895939807734E-3</v>
      </c>
      <c r="CB49" s="61">
        <v>4.767736980409657E-3</v>
      </c>
      <c r="CC49" s="61">
        <v>4.7200596106055604E-3</v>
      </c>
      <c r="CD49" s="61">
        <v>4.6728590144995046E-3</v>
      </c>
      <c r="CE49" s="61">
        <v>4.6261304243545099E-3</v>
      </c>
      <c r="CF49" s="61">
        <v>4.5798691201109649E-3</v>
      </c>
      <c r="CG49" s="61">
        <v>4.534070428909855E-3</v>
      </c>
      <c r="CH49" s="61">
        <v>4.4887297246207561E-3</v>
      </c>
      <c r="CI49" s="61">
        <v>4.4438424273745489E-3</v>
      </c>
      <c r="CJ49" s="61">
        <v>4.3994040031008035E-3</v>
      </c>
      <c r="CK49" s="61">
        <v>4.3554099630697951E-3</v>
      </c>
      <c r="CL49" s="61">
        <v>4.311855863439097E-3</v>
      </c>
      <c r="CM49" s="61">
        <v>4.2687373048047057E-3</v>
      </c>
      <c r="CN49" s="61">
        <v>4.2260499317566588E-3</v>
      </c>
      <c r="CO49" s="61">
        <v>4.1837894324390917E-3</v>
      </c>
      <c r="CP49" s="61">
        <v>4.1419515381147009E-3</v>
      </c>
      <c r="CQ49" s="61">
        <v>4.1005320227335542E-3</v>
      </c>
      <c r="CR49" s="61">
        <v>4.0595267025062189E-3</v>
      </c>
      <c r="CS49" s="61">
        <v>4.0189314354811571E-3</v>
      </c>
      <c r="CT49" s="61">
        <v>3.9787421211263455E-3</v>
      </c>
      <c r="CU49" s="61">
        <v>3.9389546999150822E-3</v>
      </c>
      <c r="CV49" s="61">
        <v>3.8995651529159315E-3</v>
      </c>
      <c r="CW49" s="61">
        <v>3.8605695013867723E-3</v>
      </c>
      <c r="CX49" s="61">
        <v>3.8219638063729045E-3</v>
      </c>
      <c r="CY49" s="53">
        <v>3.7837441683091755E-3</v>
      </c>
    </row>
    <row r="50" spans="1:103">
      <c r="A50" s="60">
        <v>68</v>
      </c>
      <c r="B50" s="60">
        <v>1.0633E-2</v>
      </c>
      <c r="C50" s="60">
        <v>1.05458094E-2</v>
      </c>
      <c r="D50" s="60">
        <v>1.0467770410440001E-2</v>
      </c>
      <c r="E50" s="60">
        <v>1.0400776679813185E-2</v>
      </c>
      <c r="F50" s="60">
        <v>1.0344612485742194E-2</v>
      </c>
      <c r="G50" s="60">
        <v>1.0298061729556355E-2</v>
      </c>
      <c r="H50" s="60">
        <v>1.0258929094984041E-2</v>
      </c>
      <c r="I50" s="60">
        <v>1.0224048736061097E-2</v>
      </c>
      <c r="J50" s="60">
        <v>1.0190309375232095E-2</v>
      </c>
      <c r="K50" s="60">
        <v>1.0152605230543735E-2</v>
      </c>
      <c r="L50" s="60">
        <v>1.0108949028052398E-2</v>
      </c>
      <c r="M50" s="60">
        <v>1.0057393388009331E-2</v>
      </c>
      <c r="N50" s="60">
        <v>9.9960432883424745E-3</v>
      </c>
      <c r="O50" s="60">
        <v>9.9250713809952429E-3</v>
      </c>
      <c r="P50" s="60">
        <v>9.8456708099472802E-3</v>
      </c>
      <c r="Q50" s="60">
        <v>9.7590289068197437E-3</v>
      </c>
      <c r="R50" s="60">
        <v>9.6682699379863207E-3</v>
      </c>
      <c r="S50" s="60">
        <v>9.5744877195878524E-3</v>
      </c>
      <c r="T50" s="61">
        <v>9.4797002911639321E-3</v>
      </c>
      <c r="U50" s="61">
        <v>9.3849032882522936E-3</v>
      </c>
      <c r="V50" s="61">
        <v>9.2910542553697704E-3</v>
      </c>
      <c r="W50" s="61">
        <v>9.1981437128160724E-3</v>
      </c>
      <c r="X50" s="61">
        <v>9.106162275687911E-3</v>
      </c>
      <c r="Y50" s="61">
        <v>9.015100652931032E-3</v>
      </c>
      <c r="Z50" s="61">
        <v>8.9249496464017218E-3</v>
      </c>
      <c r="AA50" s="61">
        <v>8.8357001499377048E-3</v>
      </c>
      <c r="AB50" s="61">
        <v>8.747343148438327E-3</v>
      </c>
      <c r="AC50" s="61">
        <v>8.659869716953943E-3</v>
      </c>
      <c r="AD50" s="61">
        <v>8.5732710197844036E-3</v>
      </c>
      <c r="AE50" s="61">
        <v>8.4875383095865588E-3</v>
      </c>
      <c r="AF50" s="61">
        <v>8.4026629264906932E-3</v>
      </c>
      <c r="AG50" s="61">
        <v>8.3186362972257864E-3</v>
      </c>
      <c r="AH50" s="61">
        <v>8.2354499342535293E-3</v>
      </c>
      <c r="AI50" s="61">
        <v>8.1530954349109935E-3</v>
      </c>
      <c r="AJ50" s="61">
        <v>8.0715644805618835E-3</v>
      </c>
      <c r="AK50" s="61">
        <v>7.9908488357562646E-3</v>
      </c>
      <c r="AL50" s="61">
        <v>7.9109403473987018E-3</v>
      </c>
      <c r="AM50" s="61">
        <v>7.8318309439247141E-3</v>
      </c>
      <c r="AN50" s="61">
        <v>7.7535126344854665E-3</v>
      </c>
      <c r="AO50" s="61">
        <v>7.6759775081406117E-3</v>
      </c>
      <c r="AP50" s="61">
        <v>7.5992177330592055E-3</v>
      </c>
      <c r="AQ50" s="61">
        <v>7.523225555728613E-3</v>
      </c>
      <c r="AR50" s="61">
        <v>7.447993300171327E-3</v>
      </c>
      <c r="AS50" s="61">
        <v>7.3735133671696141E-3</v>
      </c>
      <c r="AT50" s="61">
        <v>7.2997782334979179E-3</v>
      </c>
      <c r="AU50" s="61">
        <v>7.226780451162939E-3</v>
      </c>
      <c r="AV50" s="61">
        <v>7.1545126466513098E-3</v>
      </c>
      <c r="AW50" s="61">
        <v>7.0829675201847962E-3</v>
      </c>
      <c r="AX50" s="61">
        <v>7.0121378449829481E-3</v>
      </c>
      <c r="AY50" s="61">
        <v>6.9420164665331182E-3</v>
      </c>
      <c r="AZ50" s="61">
        <v>6.8725963018677868E-3</v>
      </c>
      <c r="BA50" s="61">
        <v>6.8038703388491086E-3</v>
      </c>
      <c r="BB50" s="61">
        <v>6.7358316354606176E-3</v>
      </c>
      <c r="BC50" s="61">
        <v>6.668473319106011E-3</v>
      </c>
      <c r="BD50" s="61">
        <v>6.601788585914951E-3</v>
      </c>
      <c r="BE50" s="61">
        <v>6.5357707000558013E-3</v>
      </c>
      <c r="BF50" s="61">
        <v>6.4704129930552431E-3</v>
      </c>
      <c r="BG50" s="61">
        <v>6.4057088631246911E-3</v>
      </c>
      <c r="BH50" s="61">
        <v>6.3416517744934444E-3</v>
      </c>
      <c r="BI50" s="61">
        <v>6.2782352567485097E-3</v>
      </c>
      <c r="BJ50" s="61">
        <v>6.2154529041810241E-3</v>
      </c>
      <c r="BK50" s="61">
        <v>6.1532983751392137E-3</v>
      </c>
      <c r="BL50" s="61">
        <v>6.0917653913878213E-3</v>
      </c>
      <c r="BM50" s="61">
        <v>6.0308477374739428E-3</v>
      </c>
      <c r="BN50" s="61">
        <v>5.970539260099203E-3</v>
      </c>
      <c r="BO50" s="61">
        <v>5.9108338674982112E-3</v>
      </c>
      <c r="BP50" s="61">
        <v>5.8517255288232286E-3</v>
      </c>
      <c r="BQ50" s="61">
        <v>5.7932082735349961E-3</v>
      </c>
      <c r="BR50" s="61">
        <v>5.7352761907996461E-3</v>
      </c>
      <c r="BS50" s="61">
        <v>5.6779234288916493E-3</v>
      </c>
      <c r="BT50" s="61">
        <v>5.621144194602733E-3</v>
      </c>
      <c r="BU50" s="61">
        <v>5.5649327526567059E-3</v>
      </c>
      <c r="BV50" s="61">
        <v>5.5092834251301388E-3</v>
      </c>
      <c r="BW50" s="61">
        <v>5.4541905908788374E-3</v>
      </c>
      <c r="BX50" s="61">
        <v>5.3996486849700494E-3</v>
      </c>
      <c r="BY50" s="61">
        <v>5.3456521981203485E-3</v>
      </c>
      <c r="BZ50" s="61">
        <v>5.2921956761391451E-3</v>
      </c>
      <c r="CA50" s="61">
        <v>5.2392737193777536E-3</v>
      </c>
      <c r="CB50" s="61">
        <v>5.1868809821839761E-3</v>
      </c>
      <c r="CC50" s="61">
        <v>5.1350121723621363E-3</v>
      </c>
      <c r="CD50" s="61">
        <v>5.0836620506385152E-3</v>
      </c>
      <c r="CE50" s="61">
        <v>5.0328254301321299E-3</v>
      </c>
      <c r="CF50" s="61">
        <v>4.9824971758308089E-3</v>
      </c>
      <c r="CG50" s="61">
        <v>4.932672204072501E-3</v>
      </c>
      <c r="CH50" s="61">
        <v>4.8833454820317763E-3</v>
      </c>
      <c r="CI50" s="61">
        <v>4.8345120272114588E-3</v>
      </c>
      <c r="CJ50" s="61">
        <v>4.7861669069393445E-3</v>
      </c>
      <c r="CK50" s="61">
        <v>4.7383052378699511E-3</v>
      </c>
      <c r="CL50" s="61">
        <v>4.6909221854912518E-3</v>
      </c>
      <c r="CM50" s="61">
        <v>4.6440129636363394E-3</v>
      </c>
      <c r="CN50" s="61">
        <v>4.5975728339999761E-3</v>
      </c>
      <c r="CO50" s="61">
        <v>4.5515971056599765E-3</v>
      </c>
      <c r="CP50" s="61">
        <v>4.5060811346033765E-3</v>
      </c>
      <c r="CQ50" s="61">
        <v>4.4610203232573423E-3</v>
      </c>
      <c r="CR50" s="61">
        <v>4.4164101200247687E-3</v>
      </c>
      <c r="CS50" s="61">
        <v>4.3722460188245207E-3</v>
      </c>
      <c r="CT50" s="61">
        <v>4.3285235586362752E-3</v>
      </c>
      <c r="CU50" s="61">
        <v>4.2852383230499126E-3</v>
      </c>
      <c r="CV50" s="61">
        <v>4.2423859398194137E-3</v>
      </c>
      <c r="CW50" s="61">
        <v>4.1999620804212198E-3</v>
      </c>
      <c r="CX50" s="61">
        <v>4.1579624596170079E-3</v>
      </c>
      <c r="CY50" s="53">
        <v>4.1163828350208381E-3</v>
      </c>
    </row>
    <row r="51" spans="1:103">
      <c r="A51" s="60">
        <v>69</v>
      </c>
      <c r="B51" s="60">
        <v>1.1691999999999999E-2</v>
      </c>
      <c r="C51" s="60">
        <v>1.1585602799999999E-2</v>
      </c>
      <c r="D51" s="60">
        <v>1.1485966615919998E-2</v>
      </c>
      <c r="E51" s="60">
        <v>1.1396376076315821E-2</v>
      </c>
      <c r="F51" s="60">
        <v>1.1317741081389242E-2</v>
      </c>
      <c r="G51" s="60">
        <v>1.1250966409009045E-2</v>
      </c>
      <c r="H51" s="60">
        <v>1.1193586480323099E-2</v>
      </c>
      <c r="I51" s="60">
        <v>1.1143215341161646E-2</v>
      </c>
      <c r="J51" s="60">
        <v>1.1097528158262883E-2</v>
      </c>
      <c r="K51" s="60">
        <v>1.1052028292814004E-2</v>
      </c>
      <c r="L51" s="60">
        <v>1.1002294165496342E-2</v>
      </c>
      <c r="M51" s="60">
        <v>1.0946182465252311E-2</v>
      </c>
      <c r="N51" s="60">
        <v>1.0880505370460798E-2</v>
      </c>
      <c r="O51" s="60">
        <v>1.0805429883404619E-2</v>
      </c>
      <c r="P51" s="60">
        <v>1.0721147530314062E-2</v>
      </c>
      <c r="Q51" s="60">
        <v>1.062894566155336E-2</v>
      </c>
      <c r="R51" s="60">
        <v>1.053115936146707E-2</v>
      </c>
      <c r="S51" s="60">
        <v>1.0430060231596986E-2</v>
      </c>
      <c r="T51" s="61">
        <v>1.0326802635304175E-2</v>
      </c>
      <c r="U51" s="61">
        <v>1.0223534608951134E-2</v>
      </c>
      <c r="V51" s="61">
        <v>1.0121299262861622E-2</v>
      </c>
      <c r="W51" s="61">
        <v>1.0020086270233005E-2</v>
      </c>
      <c r="X51" s="61">
        <v>9.9198854075306757E-3</v>
      </c>
      <c r="Y51" s="61">
        <v>9.8206865534553687E-3</v>
      </c>
      <c r="Z51" s="61">
        <v>9.7224796879208149E-3</v>
      </c>
      <c r="AA51" s="61">
        <v>9.6252548910416066E-3</v>
      </c>
      <c r="AB51" s="61">
        <v>9.5290023421311897E-3</v>
      </c>
      <c r="AC51" s="61">
        <v>9.4337123187098783E-3</v>
      </c>
      <c r="AD51" s="61">
        <v>9.339375195522779E-3</v>
      </c>
      <c r="AE51" s="61">
        <v>9.2459814435675511E-3</v>
      </c>
      <c r="AF51" s="61">
        <v>9.1535216291318763E-3</v>
      </c>
      <c r="AG51" s="61">
        <v>9.0619864128405579E-3</v>
      </c>
      <c r="AH51" s="61">
        <v>8.9713665487121518E-3</v>
      </c>
      <c r="AI51" s="61">
        <v>8.8816528832250299E-3</v>
      </c>
      <c r="AJ51" s="61">
        <v>8.7928363543927791E-3</v>
      </c>
      <c r="AK51" s="61">
        <v>8.7049079908488505E-3</v>
      </c>
      <c r="AL51" s="61">
        <v>8.6178589109403621E-3</v>
      </c>
      <c r="AM51" s="61">
        <v>8.5316803218309593E-3</v>
      </c>
      <c r="AN51" s="61">
        <v>8.4463635186126495E-3</v>
      </c>
      <c r="AO51" s="61">
        <v>8.3618998834265237E-3</v>
      </c>
      <c r="AP51" s="61">
        <v>8.2782808845922578E-3</v>
      </c>
      <c r="AQ51" s="61">
        <v>8.1954980757463353E-3</v>
      </c>
      <c r="AR51" s="61">
        <v>8.1135430949888718E-3</v>
      </c>
      <c r="AS51" s="61">
        <v>8.0324076640389836E-3</v>
      </c>
      <c r="AT51" s="61">
        <v>7.9520835873985937E-3</v>
      </c>
      <c r="AU51" s="61">
        <v>7.8725627515246078E-3</v>
      </c>
      <c r="AV51" s="61">
        <v>7.7938371240093614E-3</v>
      </c>
      <c r="AW51" s="61">
        <v>7.7158987527692676E-3</v>
      </c>
      <c r="AX51" s="61">
        <v>7.6387397652415753E-3</v>
      </c>
      <c r="AY51" s="61">
        <v>7.5623523675891592E-3</v>
      </c>
      <c r="AZ51" s="61">
        <v>7.4867288439132672E-3</v>
      </c>
      <c r="BA51" s="61">
        <v>7.4118615554741342E-3</v>
      </c>
      <c r="BB51" s="61">
        <v>7.3377429399193927E-3</v>
      </c>
      <c r="BC51" s="61">
        <v>7.2643655105201991E-3</v>
      </c>
      <c r="BD51" s="61">
        <v>7.1917218554149974E-3</v>
      </c>
      <c r="BE51" s="61">
        <v>7.1198046368608475E-3</v>
      </c>
      <c r="BF51" s="61">
        <v>7.0486065904922391E-3</v>
      </c>
      <c r="BG51" s="61">
        <v>6.9781205245873163E-3</v>
      </c>
      <c r="BH51" s="61">
        <v>6.9083393193414434E-3</v>
      </c>
      <c r="BI51" s="61">
        <v>6.8392559261480287E-3</v>
      </c>
      <c r="BJ51" s="61">
        <v>6.7708633668865483E-3</v>
      </c>
      <c r="BK51" s="61">
        <v>6.703154733217683E-3</v>
      </c>
      <c r="BL51" s="61">
        <v>6.6361231858855065E-3</v>
      </c>
      <c r="BM51" s="61">
        <v>6.5697619540266514E-3</v>
      </c>
      <c r="BN51" s="61">
        <v>6.5040643344863851E-3</v>
      </c>
      <c r="BO51" s="61">
        <v>6.4390236911415211E-3</v>
      </c>
      <c r="BP51" s="61">
        <v>6.374633454230106E-3</v>
      </c>
      <c r="BQ51" s="61">
        <v>6.3108871196878051E-3</v>
      </c>
      <c r="BR51" s="61">
        <v>6.2477782484909273E-3</v>
      </c>
      <c r="BS51" s="61">
        <v>6.185300466006018E-3</v>
      </c>
      <c r="BT51" s="61">
        <v>6.1234474613459577E-3</v>
      </c>
      <c r="BU51" s="61">
        <v>6.0622129867324978E-3</v>
      </c>
      <c r="BV51" s="61">
        <v>6.0015908568651728E-3</v>
      </c>
      <c r="BW51" s="61">
        <v>5.941574948296521E-3</v>
      </c>
      <c r="BX51" s="61">
        <v>5.8821591988135555E-3</v>
      </c>
      <c r="BY51" s="61">
        <v>5.8233376068254203E-3</v>
      </c>
      <c r="BZ51" s="61">
        <v>5.765104230757166E-3</v>
      </c>
      <c r="CA51" s="61">
        <v>5.707453188449594E-3</v>
      </c>
      <c r="CB51" s="61">
        <v>5.6503786565650976E-3</v>
      </c>
      <c r="CC51" s="61">
        <v>5.5938748699994462E-3</v>
      </c>
      <c r="CD51" s="61">
        <v>5.5379361212994516E-3</v>
      </c>
      <c r="CE51" s="61">
        <v>5.4825567600864569E-3</v>
      </c>
      <c r="CF51" s="61">
        <v>5.4277311924855924E-3</v>
      </c>
      <c r="CG51" s="61">
        <v>5.3734538805607366E-3</v>
      </c>
      <c r="CH51" s="61">
        <v>5.3197193417551291E-3</v>
      </c>
      <c r="CI51" s="61">
        <v>5.2665221483375775E-3</v>
      </c>
      <c r="CJ51" s="61">
        <v>5.2138569268542021E-3</v>
      </c>
      <c r="CK51" s="61">
        <v>5.1617183575856599E-3</v>
      </c>
      <c r="CL51" s="61">
        <v>5.1101011740098037E-3</v>
      </c>
      <c r="CM51" s="61">
        <v>5.0590001622697056E-3</v>
      </c>
      <c r="CN51" s="61">
        <v>5.0084101606470083E-3</v>
      </c>
      <c r="CO51" s="61">
        <v>4.958326059040538E-3</v>
      </c>
      <c r="CP51" s="61">
        <v>4.9087427984501322E-3</v>
      </c>
      <c r="CQ51" s="61">
        <v>4.8596553704656304E-3</v>
      </c>
      <c r="CR51" s="61">
        <v>4.811058816760974E-3</v>
      </c>
      <c r="CS51" s="61">
        <v>4.7629482285933642E-3</v>
      </c>
      <c r="CT51" s="61">
        <v>4.7153187463074304E-3</v>
      </c>
      <c r="CU51" s="61">
        <v>4.6681655588443564E-3</v>
      </c>
      <c r="CV51" s="61">
        <v>4.6214839032559128E-3</v>
      </c>
      <c r="CW51" s="61">
        <v>4.5752690642233539E-3</v>
      </c>
      <c r="CX51" s="61">
        <v>4.52951637358112E-3</v>
      </c>
      <c r="CY51" s="53">
        <v>4.4842212098453087E-3</v>
      </c>
    </row>
    <row r="52" spans="1:103">
      <c r="A52" s="60">
        <v>70</v>
      </c>
      <c r="B52" s="60">
        <v>1.2867999999999999E-2</v>
      </c>
      <c r="C52" s="60">
        <v>1.2744467199999998E-2</v>
      </c>
      <c r="D52" s="60">
        <v>1.2627218101759999E-2</v>
      </c>
      <c r="E52" s="60">
        <v>1.2517361304274686E-2</v>
      </c>
      <c r="F52" s="60">
        <v>1.2417222413840488E-2</v>
      </c>
      <c r="G52" s="60">
        <v>1.2327818412460837E-2</v>
      </c>
      <c r="H52" s="60">
        <v>1.2250153156462334E-2</v>
      </c>
      <c r="I52" s="60">
        <v>1.2181552298786145E-2</v>
      </c>
      <c r="J52" s="60">
        <v>1.2120644537292214E-2</v>
      </c>
      <c r="K52" s="60">
        <v>1.2062465443513212E-2</v>
      </c>
      <c r="L52" s="60">
        <v>1.2003359362839998E-2</v>
      </c>
      <c r="M52" s="60">
        <v>1.1939741558216945E-2</v>
      </c>
      <c r="N52" s="60">
        <v>1.1868103108867644E-2</v>
      </c>
      <c r="O52" s="60">
        <v>1.1787400007727343E-2</v>
      </c>
      <c r="P52" s="60">
        <v>1.1697815767668615E-2</v>
      </c>
      <c r="Q52" s="60">
        <v>1.1599554115220199E-2</v>
      </c>
      <c r="R52" s="60">
        <v>1.1495158128183218E-2</v>
      </c>
      <c r="S52" s="60">
        <v>1.1385954125965478E-2</v>
      </c>
      <c r="T52" s="61">
        <v>1.1274371775531016E-2</v>
      </c>
      <c r="U52" s="61">
        <v>1.1161628057775706E-2</v>
      </c>
      <c r="V52" s="61">
        <v>1.1050011777197949E-2</v>
      </c>
      <c r="W52" s="61">
        <v>1.0939511659425969E-2</v>
      </c>
      <c r="X52" s="61">
        <v>1.0830116542831709E-2</v>
      </c>
      <c r="Y52" s="61">
        <v>1.0721815377403392E-2</v>
      </c>
      <c r="Z52" s="61">
        <v>1.0614597223629358E-2</v>
      </c>
      <c r="AA52" s="61">
        <v>1.0508451251393065E-2</v>
      </c>
      <c r="AB52" s="61">
        <v>1.0403366738879134E-2</v>
      </c>
      <c r="AC52" s="61">
        <v>1.0299333071490342E-2</v>
      </c>
      <c r="AD52" s="61">
        <v>1.0196339740775438E-2</v>
      </c>
      <c r="AE52" s="61">
        <v>1.0094376343367684E-2</v>
      </c>
      <c r="AF52" s="61">
        <v>9.9934325799340071E-3</v>
      </c>
      <c r="AG52" s="61">
        <v>9.893498254134667E-3</v>
      </c>
      <c r="AH52" s="61">
        <v>9.7945632715933199E-3</v>
      </c>
      <c r="AI52" s="61">
        <v>9.6966176388773861E-3</v>
      </c>
      <c r="AJ52" s="61">
        <v>9.5996514624886124E-3</v>
      </c>
      <c r="AK52" s="61">
        <v>9.503654947863727E-3</v>
      </c>
      <c r="AL52" s="61">
        <v>9.4086183983850893E-3</v>
      </c>
      <c r="AM52" s="61">
        <v>9.3145322144012384E-3</v>
      </c>
      <c r="AN52" s="61">
        <v>9.2213868922572263E-3</v>
      </c>
      <c r="AO52" s="61">
        <v>9.1291730233346545E-3</v>
      </c>
      <c r="AP52" s="61">
        <v>9.0378812931013082E-3</v>
      </c>
      <c r="AQ52" s="61">
        <v>8.9475024801702954E-3</v>
      </c>
      <c r="AR52" s="61">
        <v>8.8580274553685927E-3</v>
      </c>
      <c r="AS52" s="61">
        <v>8.7694471808149061E-3</v>
      </c>
      <c r="AT52" s="61">
        <v>8.681752709006757E-3</v>
      </c>
      <c r="AU52" s="61">
        <v>8.5949351819166898E-3</v>
      </c>
      <c r="AV52" s="61">
        <v>8.5089858300975221E-3</v>
      </c>
      <c r="AW52" s="61">
        <v>8.4238959717965467E-3</v>
      </c>
      <c r="AX52" s="61">
        <v>8.3396570120785815E-3</v>
      </c>
      <c r="AY52" s="61">
        <v>8.2562604419577964E-3</v>
      </c>
      <c r="AZ52" s="61">
        <v>8.1736978375382182E-3</v>
      </c>
      <c r="BA52" s="61">
        <v>8.0919608591628351E-3</v>
      </c>
      <c r="BB52" s="61">
        <v>8.0110412505712061E-3</v>
      </c>
      <c r="BC52" s="61">
        <v>7.9309308380654947E-3</v>
      </c>
      <c r="BD52" s="61">
        <v>7.851621529684839E-3</v>
      </c>
      <c r="BE52" s="61">
        <v>7.7731053143879902E-3</v>
      </c>
      <c r="BF52" s="61">
        <v>7.6953742612441102E-3</v>
      </c>
      <c r="BG52" s="61">
        <v>7.6184205186316687E-3</v>
      </c>
      <c r="BH52" s="61">
        <v>7.542236313445352E-3</v>
      </c>
      <c r="BI52" s="61">
        <v>7.4668139503108986E-3</v>
      </c>
      <c r="BJ52" s="61">
        <v>7.39214581080779E-3</v>
      </c>
      <c r="BK52" s="61">
        <v>7.3182243526997122E-3</v>
      </c>
      <c r="BL52" s="61">
        <v>7.2450421091727153E-3</v>
      </c>
      <c r="BM52" s="61">
        <v>7.1725916880809879E-3</v>
      </c>
      <c r="BN52" s="61">
        <v>7.100865771200178E-3</v>
      </c>
      <c r="BO52" s="61">
        <v>7.0298571134881759E-3</v>
      </c>
      <c r="BP52" s="61">
        <v>6.9595585423532945E-3</v>
      </c>
      <c r="BQ52" s="61">
        <v>6.8899629569297615E-3</v>
      </c>
      <c r="BR52" s="61">
        <v>6.8210633273604639E-3</v>
      </c>
      <c r="BS52" s="61">
        <v>6.7528526940868593E-3</v>
      </c>
      <c r="BT52" s="61">
        <v>6.6853241671459909E-3</v>
      </c>
      <c r="BU52" s="61">
        <v>6.6184709254745308E-3</v>
      </c>
      <c r="BV52" s="61">
        <v>6.5522862162197852E-3</v>
      </c>
      <c r="BW52" s="61">
        <v>6.4867633540575875E-3</v>
      </c>
      <c r="BX52" s="61">
        <v>6.4218957205170119E-3</v>
      </c>
      <c r="BY52" s="61">
        <v>6.3576767633118413E-3</v>
      </c>
      <c r="BZ52" s="61">
        <v>6.2940999956787227E-3</v>
      </c>
      <c r="CA52" s="61">
        <v>6.2311589957219351E-3</v>
      </c>
      <c r="CB52" s="61">
        <v>6.168847405764716E-3</v>
      </c>
      <c r="CC52" s="61">
        <v>6.1071589317070688E-3</v>
      </c>
      <c r="CD52" s="61">
        <v>6.0460873423899978E-3</v>
      </c>
      <c r="CE52" s="61">
        <v>5.9856264689660977E-3</v>
      </c>
      <c r="CF52" s="61">
        <v>5.9257702042764364E-3</v>
      </c>
      <c r="CG52" s="61">
        <v>5.8665125022336721E-3</v>
      </c>
      <c r="CH52" s="61">
        <v>5.8078473772113356E-3</v>
      </c>
      <c r="CI52" s="61">
        <v>5.7497689034392225E-3</v>
      </c>
      <c r="CJ52" s="61">
        <v>5.6922712144048303E-3</v>
      </c>
      <c r="CK52" s="61">
        <v>5.6353485022607817E-3</v>
      </c>
      <c r="CL52" s="61">
        <v>5.5789950172381742E-3</v>
      </c>
      <c r="CM52" s="61">
        <v>5.5232050670657928E-3</v>
      </c>
      <c r="CN52" s="61">
        <v>5.4679730163951345E-3</v>
      </c>
      <c r="CO52" s="61">
        <v>5.4132932862311833E-3</v>
      </c>
      <c r="CP52" s="61">
        <v>5.3591603533688715E-3</v>
      </c>
      <c r="CQ52" s="61">
        <v>5.3055687498351827E-3</v>
      </c>
      <c r="CR52" s="61">
        <v>5.2525130623368305E-3</v>
      </c>
      <c r="CS52" s="61">
        <v>5.1999879317134621E-3</v>
      </c>
      <c r="CT52" s="61">
        <v>5.1479880523963278E-3</v>
      </c>
      <c r="CU52" s="61">
        <v>5.096508171872364E-3</v>
      </c>
      <c r="CV52" s="61">
        <v>5.0455430901536402E-3</v>
      </c>
      <c r="CW52" s="61">
        <v>4.9950876592521039E-3</v>
      </c>
      <c r="CX52" s="61">
        <v>4.9451367826595831E-3</v>
      </c>
      <c r="CY52" s="53">
        <v>4.8956854148329869E-3</v>
      </c>
    </row>
    <row r="53" spans="1:103">
      <c r="A53" s="60">
        <v>71</v>
      </c>
      <c r="B53" s="60">
        <v>1.4171E-2</v>
      </c>
      <c r="C53" s="60">
        <v>1.4034958399999999E-2</v>
      </c>
      <c r="D53" s="60">
        <v>1.3901626295199998E-2</v>
      </c>
      <c r="E53" s="60">
        <v>1.3773731333284158E-2</v>
      </c>
      <c r="F53" s="60">
        <v>1.3652522497551257E-2</v>
      </c>
      <c r="G53" s="60">
        <v>1.3541937065321093E-2</v>
      </c>
      <c r="H53" s="60">
        <v>1.3441726731037718E-2</v>
      </c>
      <c r="I53" s="60">
        <v>1.3353011334612868E-2</v>
      </c>
      <c r="J53" s="60">
        <v>1.3272893266605192E-2</v>
      </c>
      <c r="K53" s="60">
        <v>1.3198565064312202E-2</v>
      </c>
      <c r="L53" s="60">
        <v>1.3125972956458485E-2</v>
      </c>
      <c r="M53" s="60">
        <v>1.3051154910606671E-2</v>
      </c>
      <c r="N53" s="60">
        <v>1.2971542865651969E-2</v>
      </c>
      <c r="O53" s="60">
        <v>1.2883336374165536E-2</v>
      </c>
      <c r="P53" s="60">
        <v>1.2786711351359295E-2</v>
      </c>
      <c r="Q53" s="60">
        <v>1.2680581647143013E-2</v>
      </c>
      <c r="R53" s="60">
        <v>1.2567724470483439E-2</v>
      </c>
      <c r="S53" s="60">
        <v>1.2449587860460895E-2</v>
      </c>
      <c r="T53" s="61">
        <v>1.2327581899428378E-2</v>
      </c>
      <c r="U53" s="61">
        <v>1.2204306080434093E-2</v>
      </c>
      <c r="V53" s="61">
        <v>1.2082263019629752E-2</v>
      </c>
      <c r="W53" s="61">
        <v>1.1961440389433455E-2</v>
      </c>
      <c r="X53" s="61">
        <v>1.1841825985539119E-2</v>
      </c>
      <c r="Y53" s="61">
        <v>1.1723407725683728E-2</v>
      </c>
      <c r="Z53" s="61">
        <v>1.1606173648426891E-2</v>
      </c>
      <c r="AA53" s="61">
        <v>1.1490111911942623E-2</v>
      </c>
      <c r="AB53" s="61">
        <v>1.1375210792823196E-2</v>
      </c>
      <c r="AC53" s="61">
        <v>1.1261458684894964E-2</v>
      </c>
      <c r="AD53" s="61">
        <v>1.1148844098046014E-2</v>
      </c>
      <c r="AE53" s="61">
        <v>1.1037355657065553E-2</v>
      </c>
      <c r="AF53" s="61">
        <v>1.0926982100494897E-2</v>
      </c>
      <c r="AG53" s="61">
        <v>1.0817712279489949E-2</v>
      </c>
      <c r="AH53" s="61">
        <v>1.0709535156695048E-2</v>
      </c>
      <c r="AI53" s="61">
        <v>1.0602439805128098E-2</v>
      </c>
      <c r="AJ53" s="61">
        <v>1.0496415407076817E-2</v>
      </c>
      <c r="AK53" s="61">
        <v>1.0391451253006048E-2</v>
      </c>
      <c r="AL53" s="61">
        <v>1.0287536740475988E-2</v>
      </c>
      <c r="AM53" s="61">
        <v>1.0184661373071228E-2</v>
      </c>
      <c r="AN53" s="61">
        <v>1.0082814759340515E-2</v>
      </c>
      <c r="AO53" s="61">
        <v>9.9819866117471096E-3</v>
      </c>
      <c r="AP53" s="61">
        <v>9.8821667456296391E-3</v>
      </c>
      <c r="AQ53" s="61">
        <v>9.7833450781733434E-3</v>
      </c>
      <c r="AR53" s="61">
        <v>9.68551162739161E-3</v>
      </c>
      <c r="AS53" s="61">
        <v>9.5886565111176943E-3</v>
      </c>
      <c r="AT53" s="61">
        <v>9.4927699460065178E-3</v>
      </c>
      <c r="AU53" s="61">
        <v>9.3978422465464517E-3</v>
      </c>
      <c r="AV53" s="61">
        <v>9.3038638240809865E-3</v>
      </c>
      <c r="AW53" s="61">
        <v>9.2108251858401772E-3</v>
      </c>
      <c r="AX53" s="61">
        <v>9.1187169339817745E-3</v>
      </c>
      <c r="AY53" s="61">
        <v>9.0275297646419568E-3</v>
      </c>
      <c r="AZ53" s="61">
        <v>8.9372544669955364E-3</v>
      </c>
      <c r="BA53" s="61">
        <v>8.8478819223255806E-3</v>
      </c>
      <c r="BB53" s="61">
        <v>8.7594031031023242E-3</v>
      </c>
      <c r="BC53" s="61">
        <v>8.6718090720713011E-3</v>
      </c>
      <c r="BD53" s="61">
        <v>8.5850909813505877E-3</v>
      </c>
      <c r="BE53" s="61">
        <v>8.4992400715370817E-3</v>
      </c>
      <c r="BF53" s="61">
        <v>8.4142476708217104E-3</v>
      </c>
      <c r="BG53" s="61">
        <v>8.3301051941134935E-3</v>
      </c>
      <c r="BH53" s="61">
        <v>8.2468041421723589E-3</v>
      </c>
      <c r="BI53" s="61">
        <v>8.1643361007506347E-3</v>
      </c>
      <c r="BJ53" s="61">
        <v>8.0826927397431286E-3</v>
      </c>
      <c r="BK53" s="61">
        <v>8.001865812345698E-3</v>
      </c>
      <c r="BL53" s="61">
        <v>7.9218471542222401E-3</v>
      </c>
      <c r="BM53" s="61">
        <v>7.8426286826800175E-3</v>
      </c>
      <c r="BN53" s="61">
        <v>7.764202395853217E-3</v>
      </c>
      <c r="BO53" s="61">
        <v>7.6865603718946846E-3</v>
      </c>
      <c r="BP53" s="61">
        <v>7.6096947681757376E-3</v>
      </c>
      <c r="BQ53" s="61">
        <v>7.5335978204939804E-3</v>
      </c>
      <c r="BR53" s="61">
        <v>7.4582618422890405E-3</v>
      </c>
      <c r="BS53" s="61">
        <v>7.3836792238661502E-3</v>
      </c>
      <c r="BT53" s="61">
        <v>7.3098424316274885E-3</v>
      </c>
      <c r="BU53" s="61">
        <v>7.2367440073112139E-3</v>
      </c>
      <c r="BV53" s="61">
        <v>7.1643765672381021E-3</v>
      </c>
      <c r="BW53" s="61">
        <v>7.0927328015657209E-3</v>
      </c>
      <c r="BX53" s="61">
        <v>7.0218054735500636E-3</v>
      </c>
      <c r="BY53" s="61">
        <v>6.9515874188145633E-3</v>
      </c>
      <c r="BZ53" s="61">
        <v>6.8820715446264178E-3</v>
      </c>
      <c r="CA53" s="61">
        <v>6.8132508291801532E-3</v>
      </c>
      <c r="CB53" s="61">
        <v>6.7451183208883519E-3</v>
      </c>
      <c r="CC53" s="61">
        <v>6.6776671376794685E-3</v>
      </c>
      <c r="CD53" s="61">
        <v>6.6108904663026739E-3</v>
      </c>
      <c r="CE53" s="61">
        <v>6.5447815616396475E-3</v>
      </c>
      <c r="CF53" s="61">
        <v>6.4793337460232513E-3</v>
      </c>
      <c r="CG53" s="61">
        <v>6.4145404085630183E-3</v>
      </c>
      <c r="CH53" s="61">
        <v>6.3503950044773881E-3</v>
      </c>
      <c r="CI53" s="61">
        <v>6.286891054432614E-3</v>
      </c>
      <c r="CJ53" s="61">
        <v>6.2240221438882876E-3</v>
      </c>
      <c r="CK53" s="61">
        <v>6.1617819224494049E-3</v>
      </c>
      <c r="CL53" s="61">
        <v>6.1001641032249112E-3</v>
      </c>
      <c r="CM53" s="61">
        <v>6.0391624621926624E-3</v>
      </c>
      <c r="CN53" s="61">
        <v>5.9787708375707354E-3</v>
      </c>
      <c r="CO53" s="61">
        <v>5.918983129195028E-3</v>
      </c>
      <c r="CP53" s="61">
        <v>5.8597932979030775E-3</v>
      </c>
      <c r="CQ53" s="61">
        <v>5.801195364924047E-3</v>
      </c>
      <c r="CR53" s="61">
        <v>5.7431834112748065E-3</v>
      </c>
      <c r="CS53" s="61">
        <v>5.6857515771620588E-3</v>
      </c>
      <c r="CT53" s="61">
        <v>5.6288940613904385E-3</v>
      </c>
      <c r="CU53" s="61">
        <v>5.5726051207765342E-3</v>
      </c>
      <c r="CV53" s="61">
        <v>5.5168790695687689E-3</v>
      </c>
      <c r="CW53" s="61">
        <v>5.4617102788730807E-3</v>
      </c>
      <c r="CX53" s="61">
        <v>5.4070931760843502E-3</v>
      </c>
      <c r="CY53" s="53">
        <v>5.3530222443235066E-3</v>
      </c>
    </row>
    <row r="54" spans="1:103">
      <c r="A54" s="60">
        <v>72</v>
      </c>
      <c r="B54" s="60">
        <v>1.5613999999999999E-2</v>
      </c>
      <c r="C54" s="60">
        <v>1.54672284E-2</v>
      </c>
      <c r="D54" s="60">
        <v>1.53202897302E-2</v>
      </c>
      <c r="E54" s="60">
        <v>1.5176279006736121E-2</v>
      </c>
      <c r="F54" s="60">
        <v>1.5036657239874148E-2</v>
      </c>
      <c r="G54" s="60">
        <v>1.4904334656163256E-2</v>
      </c>
      <c r="H54" s="60">
        <v>1.4782119111982718E-2</v>
      </c>
      <c r="I54" s="60">
        <v>1.4669775006731649E-2</v>
      </c>
      <c r="J54" s="60">
        <v>1.4567086581684529E-2</v>
      </c>
      <c r="K54" s="60">
        <v>1.447240051890358E-2</v>
      </c>
      <c r="L54" s="60">
        <v>1.4382671635686378E-2</v>
      </c>
      <c r="M54" s="60">
        <v>1.4293499071545123E-2</v>
      </c>
      <c r="N54" s="60">
        <v>1.4202020677487236E-2</v>
      </c>
      <c r="O54" s="60">
        <v>1.4104026734812574E-2</v>
      </c>
      <c r="P54" s="60">
        <v>1.399824653430148E-2</v>
      </c>
      <c r="Q54" s="60">
        <v>1.3883460912720209E-2</v>
      </c>
      <c r="R54" s="60">
        <v>1.376128645668827E-2</v>
      </c>
      <c r="S54" s="60">
        <v>1.36319303639954E-2</v>
      </c>
      <c r="T54" s="61">
        <v>1.3499700639464644E-2</v>
      </c>
      <c r="U54" s="61">
        <v>1.3366053603133945E-2</v>
      </c>
      <c r="V54" s="61">
        <v>1.3232393067102605E-2</v>
      </c>
      <c r="W54" s="61">
        <v>1.3100069136431578E-2</v>
      </c>
      <c r="X54" s="61">
        <v>1.2969068445067263E-2</v>
      </c>
      <c r="Y54" s="61">
        <v>1.283937776061659E-2</v>
      </c>
      <c r="Z54" s="61">
        <v>1.2710983983010423E-2</v>
      </c>
      <c r="AA54" s="61">
        <v>1.2583874143180318E-2</v>
      </c>
      <c r="AB54" s="61">
        <v>1.2458035401748516E-2</v>
      </c>
      <c r="AC54" s="61">
        <v>1.2333455047731031E-2</v>
      </c>
      <c r="AD54" s="61">
        <v>1.221012049725372E-2</v>
      </c>
      <c r="AE54" s="61">
        <v>1.2088019292281184E-2</v>
      </c>
      <c r="AF54" s="61">
        <v>1.1967139099358372E-2</v>
      </c>
      <c r="AG54" s="61">
        <v>1.1847467708364789E-2</v>
      </c>
      <c r="AH54" s="61">
        <v>1.1728993031281141E-2</v>
      </c>
      <c r="AI54" s="61">
        <v>1.161170310096833E-2</v>
      </c>
      <c r="AJ54" s="61">
        <v>1.1495586069958647E-2</v>
      </c>
      <c r="AK54" s="61">
        <v>1.1380630209259061E-2</v>
      </c>
      <c r="AL54" s="61">
        <v>1.1266823907166469E-2</v>
      </c>
      <c r="AM54" s="61">
        <v>1.1154155668094804E-2</v>
      </c>
      <c r="AN54" s="61">
        <v>1.1042614111413857E-2</v>
      </c>
      <c r="AO54" s="61">
        <v>1.0932187970299719E-2</v>
      </c>
      <c r="AP54" s="61">
        <v>1.0822866090596722E-2</v>
      </c>
      <c r="AQ54" s="61">
        <v>1.0714637429690754E-2</v>
      </c>
      <c r="AR54" s="61">
        <v>1.0607491055393846E-2</v>
      </c>
      <c r="AS54" s="61">
        <v>1.0501416144839907E-2</v>
      </c>
      <c r="AT54" s="61">
        <v>1.0396401983391508E-2</v>
      </c>
      <c r="AU54" s="61">
        <v>1.0292437963557593E-2</v>
      </c>
      <c r="AV54" s="61">
        <v>1.0189513583922017E-2</v>
      </c>
      <c r="AW54" s="61">
        <v>1.0087618448082798E-2</v>
      </c>
      <c r="AX54" s="61">
        <v>9.98674226360197E-3</v>
      </c>
      <c r="AY54" s="61">
        <v>9.88687484096595E-3</v>
      </c>
      <c r="AZ54" s="61">
        <v>9.7880060925562909E-3</v>
      </c>
      <c r="BA54" s="61">
        <v>9.6901260316307278E-3</v>
      </c>
      <c r="BB54" s="61">
        <v>9.5932247713144212E-3</v>
      </c>
      <c r="BC54" s="61">
        <v>9.4972925236012761E-3</v>
      </c>
      <c r="BD54" s="61">
        <v>9.4023195983652628E-3</v>
      </c>
      <c r="BE54" s="61">
        <v>9.3082964023816096E-3</v>
      </c>
      <c r="BF54" s="61">
        <v>9.2152134383577926E-3</v>
      </c>
      <c r="BG54" s="61">
        <v>9.1230613039742139E-3</v>
      </c>
      <c r="BH54" s="61">
        <v>9.0318306909344722E-3</v>
      </c>
      <c r="BI54" s="61">
        <v>8.9415123840251281E-3</v>
      </c>
      <c r="BJ54" s="61">
        <v>8.8520972601848769E-3</v>
      </c>
      <c r="BK54" s="61">
        <v>8.7635762875830272E-3</v>
      </c>
      <c r="BL54" s="61">
        <v>8.6759405247071961E-3</v>
      </c>
      <c r="BM54" s="61">
        <v>8.5891811194601236E-3</v>
      </c>
      <c r="BN54" s="61">
        <v>8.5032893082655232E-3</v>
      </c>
      <c r="BO54" s="61">
        <v>8.4182564151828679E-3</v>
      </c>
      <c r="BP54" s="61">
        <v>8.3340738510310399E-3</v>
      </c>
      <c r="BQ54" s="61">
        <v>8.2507331125207303E-3</v>
      </c>
      <c r="BR54" s="61">
        <v>8.1682257813955224E-3</v>
      </c>
      <c r="BS54" s="61">
        <v>8.0865435235815668E-3</v>
      </c>
      <c r="BT54" s="61">
        <v>8.0056780883457513E-3</v>
      </c>
      <c r="BU54" s="61">
        <v>7.9256213074622942E-3</v>
      </c>
      <c r="BV54" s="61">
        <v>7.8463650943876705E-3</v>
      </c>
      <c r="BW54" s="61">
        <v>7.7679014434437936E-3</v>
      </c>
      <c r="BX54" s="61">
        <v>7.6902224290093558E-3</v>
      </c>
      <c r="BY54" s="61">
        <v>7.6133202047192622E-3</v>
      </c>
      <c r="BZ54" s="61">
        <v>7.5371870026720699E-3</v>
      </c>
      <c r="CA54" s="61">
        <v>7.4618151326453488E-3</v>
      </c>
      <c r="CB54" s="61">
        <v>7.3871969813188955E-3</v>
      </c>
      <c r="CC54" s="61">
        <v>7.3133250115057068E-3</v>
      </c>
      <c r="CD54" s="61">
        <v>7.2401917613906493E-3</v>
      </c>
      <c r="CE54" s="61">
        <v>7.1677898437767429E-3</v>
      </c>
      <c r="CF54" s="61">
        <v>7.0961119453389751E-3</v>
      </c>
      <c r="CG54" s="61">
        <v>7.0251508258855856E-3</v>
      </c>
      <c r="CH54" s="61">
        <v>6.9548993176267292E-3</v>
      </c>
      <c r="CI54" s="61">
        <v>6.8853503244504623E-3</v>
      </c>
      <c r="CJ54" s="61">
        <v>6.8164968212059574E-3</v>
      </c>
      <c r="CK54" s="61">
        <v>6.7483318529938975E-3</v>
      </c>
      <c r="CL54" s="61">
        <v>6.6808485344639588E-3</v>
      </c>
      <c r="CM54" s="61">
        <v>6.6140400491193196E-3</v>
      </c>
      <c r="CN54" s="61">
        <v>6.5478996486281263E-3</v>
      </c>
      <c r="CO54" s="61">
        <v>6.4824206521418449E-3</v>
      </c>
      <c r="CP54" s="61">
        <v>6.4175964456204262E-3</v>
      </c>
      <c r="CQ54" s="61">
        <v>6.3534204811642216E-3</v>
      </c>
      <c r="CR54" s="61">
        <v>6.2898862763525795E-3</v>
      </c>
      <c r="CS54" s="61">
        <v>6.2269874135890534E-3</v>
      </c>
      <c r="CT54" s="61">
        <v>6.1647175394531628E-3</v>
      </c>
      <c r="CU54" s="61">
        <v>6.1030703640586308E-3</v>
      </c>
      <c r="CV54" s="61">
        <v>6.0420396604180448E-3</v>
      </c>
      <c r="CW54" s="61">
        <v>5.9816192638138645E-3</v>
      </c>
      <c r="CX54" s="61">
        <v>5.9218030711757257E-3</v>
      </c>
      <c r="CY54" s="53">
        <v>5.8625850404639681E-3</v>
      </c>
    </row>
    <row r="55" spans="1:103">
      <c r="A55" s="60">
        <v>73</v>
      </c>
      <c r="B55" s="60">
        <v>1.721E-2</v>
      </c>
      <c r="C55" s="60">
        <v>1.7055109999999998E-2</v>
      </c>
      <c r="D55" s="60">
        <v>1.6898202987999999E-2</v>
      </c>
      <c r="E55" s="60">
        <v>1.6741049700211598E-2</v>
      </c>
      <c r="F55" s="60">
        <v>1.6585357937999631E-2</v>
      </c>
      <c r="G55" s="60">
        <v>1.6434431180763834E-2</v>
      </c>
      <c r="H55" s="60">
        <v>1.6289808186373111E-2</v>
      </c>
      <c r="I55" s="60">
        <v>1.6154602778426213E-2</v>
      </c>
      <c r="J55" s="60">
        <v>1.6028596876754488E-2</v>
      </c>
      <c r="K55" s="60">
        <v>1.591158811955418E-2</v>
      </c>
      <c r="L55" s="60">
        <v>1.5801798161529254E-2</v>
      </c>
      <c r="M55" s="60">
        <v>1.5694345934030855E-2</v>
      </c>
      <c r="N55" s="60">
        <v>1.5587624381679445E-2</v>
      </c>
      <c r="O55" s="60">
        <v>1.5476952248569521E-2</v>
      </c>
      <c r="P55" s="60">
        <v>1.5359327411480392E-2</v>
      </c>
      <c r="Q55" s="60">
        <v>1.5233380926706253E-2</v>
      </c>
      <c r="R55" s="60">
        <v>1.5099327174551237E-2</v>
      </c>
      <c r="S55" s="60">
        <v>1.4958903431827911E-2</v>
      </c>
      <c r="T55" s="61">
        <v>1.481380206853918E-2</v>
      </c>
      <c r="U55" s="61">
        <v>1.4667145428060642E-2</v>
      </c>
      <c r="V55" s="61">
        <v>1.4520473973780035E-2</v>
      </c>
      <c r="W55" s="61">
        <v>1.4375269234042235E-2</v>
      </c>
      <c r="X55" s="61">
        <v>1.4231516541701811E-2</v>
      </c>
      <c r="Y55" s="61">
        <v>1.4089201376284794E-2</v>
      </c>
      <c r="Z55" s="61">
        <v>1.3948309362521946E-2</v>
      </c>
      <c r="AA55" s="61">
        <v>1.3808826268896726E-2</v>
      </c>
      <c r="AB55" s="61">
        <v>1.3670738006207758E-2</v>
      </c>
      <c r="AC55" s="61">
        <v>1.3534030626145681E-2</v>
      </c>
      <c r="AD55" s="61">
        <v>1.3398690319884225E-2</v>
      </c>
      <c r="AE55" s="61">
        <v>1.3264703416685382E-2</v>
      </c>
      <c r="AF55" s="61">
        <v>1.3132056382518527E-2</v>
      </c>
      <c r="AG55" s="61">
        <v>1.3000735818693342E-2</v>
      </c>
      <c r="AH55" s="61">
        <v>1.2870728460506409E-2</v>
      </c>
      <c r="AI55" s="61">
        <v>1.2742021175901345E-2</v>
      </c>
      <c r="AJ55" s="61">
        <v>1.2614600964142332E-2</v>
      </c>
      <c r="AK55" s="61">
        <v>1.2488454954500908E-2</v>
      </c>
      <c r="AL55" s="61">
        <v>1.2363570404955899E-2</v>
      </c>
      <c r="AM55" s="61">
        <v>1.2239934700906341E-2</v>
      </c>
      <c r="AN55" s="61">
        <v>1.2117535353897277E-2</v>
      </c>
      <c r="AO55" s="61">
        <v>1.1996360000358303E-2</v>
      </c>
      <c r="AP55" s="61">
        <v>1.1876396400354719E-2</v>
      </c>
      <c r="AQ55" s="61">
        <v>1.1757632436351171E-2</v>
      </c>
      <c r="AR55" s="61">
        <v>1.164005611198766E-2</v>
      </c>
      <c r="AS55" s="61">
        <v>1.1523655550867783E-2</v>
      </c>
      <c r="AT55" s="61">
        <v>1.1408418995359104E-2</v>
      </c>
      <c r="AU55" s="61">
        <v>1.1294334805405513E-2</v>
      </c>
      <c r="AV55" s="61">
        <v>1.1181391457351458E-2</v>
      </c>
      <c r="AW55" s="61">
        <v>1.1069577542777943E-2</v>
      </c>
      <c r="AX55" s="61">
        <v>1.0958881767350163E-2</v>
      </c>
      <c r="AY55" s="61">
        <v>1.084929294967666E-2</v>
      </c>
      <c r="AZ55" s="61">
        <v>1.0740800020179894E-2</v>
      </c>
      <c r="BA55" s="61">
        <v>1.0633392019978096E-2</v>
      </c>
      <c r="BB55" s="61">
        <v>1.0527058099778315E-2</v>
      </c>
      <c r="BC55" s="61">
        <v>1.0421787518780531E-2</v>
      </c>
      <c r="BD55" s="61">
        <v>1.0317569643592725E-2</v>
      </c>
      <c r="BE55" s="61">
        <v>1.0214393947156798E-2</v>
      </c>
      <c r="BF55" s="61">
        <v>1.0112250007685231E-2</v>
      </c>
      <c r="BG55" s="61">
        <v>1.0011127507608379E-2</v>
      </c>
      <c r="BH55" s="61">
        <v>9.9110162325322954E-3</v>
      </c>
      <c r="BI55" s="61">
        <v>9.8119060702069726E-3</v>
      </c>
      <c r="BJ55" s="61">
        <v>9.7137870095049036E-3</v>
      </c>
      <c r="BK55" s="61">
        <v>9.6166491394098549E-3</v>
      </c>
      <c r="BL55" s="61">
        <v>9.5204826480157559E-3</v>
      </c>
      <c r="BM55" s="61">
        <v>9.4252778215355975E-3</v>
      </c>
      <c r="BN55" s="61">
        <v>9.3310250433202412E-3</v>
      </c>
      <c r="BO55" s="61">
        <v>9.2377147928870383E-3</v>
      </c>
      <c r="BP55" s="61">
        <v>9.1453376449581684E-3</v>
      </c>
      <c r="BQ55" s="61">
        <v>9.0538842685085868E-3</v>
      </c>
      <c r="BR55" s="61">
        <v>8.9633454258235008E-3</v>
      </c>
      <c r="BS55" s="61">
        <v>8.8737119715652651E-3</v>
      </c>
      <c r="BT55" s="61">
        <v>8.7849748518496126E-3</v>
      </c>
      <c r="BU55" s="61">
        <v>8.6971251033311162E-3</v>
      </c>
      <c r="BV55" s="61">
        <v>8.6101538522978058E-3</v>
      </c>
      <c r="BW55" s="61">
        <v>8.524052313774828E-3</v>
      </c>
      <c r="BX55" s="61">
        <v>8.4388117906370793E-3</v>
      </c>
      <c r="BY55" s="61">
        <v>8.3544236727307077E-3</v>
      </c>
      <c r="BZ55" s="61">
        <v>8.2708794360034001E-3</v>
      </c>
      <c r="CA55" s="61">
        <v>8.1881706416433667E-3</v>
      </c>
      <c r="CB55" s="61">
        <v>8.1062889352269338E-3</v>
      </c>
      <c r="CC55" s="61">
        <v>8.0252260458746651E-3</v>
      </c>
      <c r="CD55" s="61">
        <v>7.9449737854159191E-3</v>
      </c>
      <c r="CE55" s="61">
        <v>7.8655240475617606E-3</v>
      </c>
      <c r="CF55" s="61">
        <v>7.7868688070861425E-3</v>
      </c>
      <c r="CG55" s="61">
        <v>7.7090001190152808E-3</v>
      </c>
      <c r="CH55" s="61">
        <v>7.6319101178251277E-3</v>
      </c>
      <c r="CI55" s="61">
        <v>7.5555910166468761E-3</v>
      </c>
      <c r="CJ55" s="61">
        <v>7.4800351064804073E-3</v>
      </c>
      <c r="CK55" s="61">
        <v>7.4052347554156035E-3</v>
      </c>
      <c r="CL55" s="61">
        <v>7.3311824078614472E-3</v>
      </c>
      <c r="CM55" s="61">
        <v>7.2578705837828324E-3</v>
      </c>
      <c r="CN55" s="61">
        <v>7.1852918779450039E-3</v>
      </c>
      <c r="CO55" s="61">
        <v>7.113438959165554E-3</v>
      </c>
      <c r="CP55" s="61">
        <v>7.0423045695738986E-3</v>
      </c>
      <c r="CQ55" s="61">
        <v>6.9718815238781597E-3</v>
      </c>
      <c r="CR55" s="61">
        <v>6.902162708639378E-3</v>
      </c>
      <c r="CS55" s="61">
        <v>6.833141081552984E-3</v>
      </c>
      <c r="CT55" s="61">
        <v>6.7648096707374544E-3</v>
      </c>
      <c r="CU55" s="61">
        <v>6.6971615740300796E-3</v>
      </c>
      <c r="CV55" s="61">
        <v>6.630189958289779E-3</v>
      </c>
      <c r="CW55" s="61">
        <v>6.5638880587068809E-3</v>
      </c>
      <c r="CX55" s="61">
        <v>6.4982491781198116E-3</v>
      </c>
      <c r="CY55" s="53">
        <v>6.4332666863386135E-3</v>
      </c>
    </row>
    <row r="56" spans="1:103">
      <c r="A56" s="60">
        <v>74</v>
      </c>
      <c r="B56" s="60">
        <v>1.8977000000000001E-2</v>
      </c>
      <c r="C56" s="60">
        <v>1.88156955E-2</v>
      </c>
      <c r="D56" s="60">
        <v>1.8650117379599998E-2</v>
      </c>
      <c r="E56" s="60">
        <v>1.8480401311445637E-2</v>
      </c>
      <c r="F56" s="60">
        <v>1.8310381619380336E-2</v>
      </c>
      <c r="G56" s="60">
        <v>1.8140095070320099E-2</v>
      </c>
      <c r="H56" s="60">
        <v>1.7973206195673153E-2</v>
      </c>
      <c r="I56" s="60">
        <v>1.7813244660531663E-2</v>
      </c>
      <c r="J56" s="60">
        <v>1.7661832080917143E-2</v>
      </c>
      <c r="K56" s="60">
        <v>1.7518771241061715E-2</v>
      </c>
      <c r="L56" s="60">
        <v>1.7383876702505539E-2</v>
      </c>
      <c r="M56" s="60">
        <v>1.7255236014906999E-2</v>
      </c>
      <c r="N56" s="60">
        <v>1.712927279199818E-2</v>
      </c>
      <c r="O56" s="60">
        <v>1.7000803246058193E-2</v>
      </c>
      <c r="P56" s="60">
        <v>1.686819698073894E-2</v>
      </c>
      <c r="Q56" s="60">
        <v>1.6728190945798808E-2</v>
      </c>
      <c r="R56" s="60">
        <v>1.6580982865475779E-2</v>
      </c>
      <c r="S56" s="60">
        <v>1.6426779724826854E-2</v>
      </c>
      <c r="T56" s="61">
        <v>1.6267439961496034E-2</v>
      </c>
      <c r="U56" s="61">
        <v>1.6106392305877223E-2</v>
      </c>
      <c r="V56" s="61">
        <v>1.5945328382818452E-2</v>
      </c>
      <c r="W56" s="61">
        <v>1.5785875098990269E-2</v>
      </c>
      <c r="X56" s="61">
        <v>1.5628016348000366E-2</v>
      </c>
      <c r="Y56" s="61">
        <v>1.5471736184520362E-2</v>
      </c>
      <c r="Z56" s="61">
        <v>1.5317018822675159E-2</v>
      </c>
      <c r="AA56" s="61">
        <v>1.5163848634448408E-2</v>
      </c>
      <c r="AB56" s="61">
        <v>1.5012210148103923E-2</v>
      </c>
      <c r="AC56" s="61">
        <v>1.4862088046622883E-2</v>
      </c>
      <c r="AD56" s="61">
        <v>1.4713467166156654E-2</v>
      </c>
      <c r="AE56" s="61">
        <v>1.4566332494495087E-2</v>
      </c>
      <c r="AF56" s="61">
        <v>1.4420669169550137E-2</v>
      </c>
      <c r="AG56" s="61">
        <v>1.4276462477854635E-2</v>
      </c>
      <c r="AH56" s="61">
        <v>1.4133697853076088E-2</v>
      </c>
      <c r="AI56" s="61">
        <v>1.3992360874545327E-2</v>
      </c>
      <c r="AJ56" s="61">
        <v>1.3852437265799874E-2</v>
      </c>
      <c r="AK56" s="61">
        <v>1.3713912893141875E-2</v>
      </c>
      <c r="AL56" s="61">
        <v>1.3576773764210456E-2</v>
      </c>
      <c r="AM56" s="61">
        <v>1.3441006026568352E-2</v>
      </c>
      <c r="AN56" s="61">
        <v>1.3306595966302669E-2</v>
      </c>
      <c r="AO56" s="61">
        <v>1.3173530006639643E-2</v>
      </c>
      <c r="AP56" s="61">
        <v>1.3041794706573247E-2</v>
      </c>
      <c r="AQ56" s="61">
        <v>1.2911376759507515E-2</v>
      </c>
      <c r="AR56" s="61">
        <v>1.278226299191244E-2</v>
      </c>
      <c r="AS56" s="61">
        <v>1.2654440361993315E-2</v>
      </c>
      <c r="AT56" s="61">
        <v>1.2527895958373381E-2</v>
      </c>
      <c r="AU56" s="61">
        <v>1.2402616998789648E-2</v>
      </c>
      <c r="AV56" s="61">
        <v>1.2278590828801752E-2</v>
      </c>
      <c r="AW56" s="61">
        <v>1.2155804920513734E-2</v>
      </c>
      <c r="AX56" s="61">
        <v>1.2034246871308597E-2</v>
      </c>
      <c r="AY56" s="61">
        <v>1.191390440259551E-2</v>
      </c>
      <c r="AZ56" s="61">
        <v>1.1794765358569555E-2</v>
      </c>
      <c r="BA56" s="61">
        <v>1.1676817704983859E-2</v>
      </c>
      <c r="BB56" s="61">
        <v>1.156004952793402E-2</v>
      </c>
      <c r="BC56" s="61">
        <v>1.144444903265468E-2</v>
      </c>
      <c r="BD56" s="61">
        <v>1.1330004542328133E-2</v>
      </c>
      <c r="BE56" s="61">
        <v>1.1216704496904852E-2</v>
      </c>
      <c r="BF56" s="61">
        <v>1.1104537451935802E-2</v>
      </c>
      <c r="BG56" s="61">
        <v>1.0993492077416444E-2</v>
      </c>
      <c r="BH56" s="61">
        <v>1.0883557156642279E-2</v>
      </c>
      <c r="BI56" s="61">
        <v>1.0774721585075857E-2</v>
      </c>
      <c r="BJ56" s="61">
        <v>1.0666974369225098E-2</v>
      </c>
      <c r="BK56" s="61">
        <v>1.0560304625532847E-2</v>
      </c>
      <c r="BL56" s="61">
        <v>1.0454701579277519E-2</v>
      </c>
      <c r="BM56" s="61">
        <v>1.0350154563484744E-2</v>
      </c>
      <c r="BN56" s="61">
        <v>1.0246653017849897E-2</v>
      </c>
      <c r="BO56" s="61">
        <v>1.0144186487671398E-2</v>
      </c>
      <c r="BP56" s="61">
        <v>1.0042744622794683E-2</v>
      </c>
      <c r="BQ56" s="61">
        <v>9.9423171765667361E-3</v>
      </c>
      <c r="BR56" s="61">
        <v>9.8428940048010689E-3</v>
      </c>
      <c r="BS56" s="61">
        <v>9.7444650647530578E-3</v>
      </c>
      <c r="BT56" s="61">
        <v>9.6470204141055269E-3</v>
      </c>
      <c r="BU56" s="61">
        <v>9.5505502099644708E-3</v>
      </c>
      <c r="BV56" s="61">
        <v>9.4550447078648268E-3</v>
      </c>
      <c r="BW56" s="61">
        <v>9.3604942607861778E-3</v>
      </c>
      <c r="BX56" s="61">
        <v>9.2668893181783157E-3</v>
      </c>
      <c r="BY56" s="61">
        <v>9.174220424996533E-3</v>
      </c>
      <c r="BZ56" s="61">
        <v>9.0824782207465683E-3</v>
      </c>
      <c r="CA56" s="61">
        <v>8.9916534385391031E-3</v>
      </c>
      <c r="CB56" s="61">
        <v>8.9017369041537123E-3</v>
      </c>
      <c r="CC56" s="61">
        <v>8.8127195351121752E-3</v>
      </c>
      <c r="CD56" s="61">
        <v>8.7245923397610541E-3</v>
      </c>
      <c r="CE56" s="61">
        <v>8.6373464163634443E-3</v>
      </c>
      <c r="CF56" s="61">
        <v>8.550972952199809E-3</v>
      </c>
      <c r="CG56" s="61">
        <v>8.4654632226778114E-3</v>
      </c>
      <c r="CH56" s="61">
        <v>8.3808085904510336E-3</v>
      </c>
      <c r="CI56" s="61">
        <v>8.2970005045465232E-3</v>
      </c>
      <c r="CJ56" s="61">
        <v>8.2140304995010575E-3</v>
      </c>
      <c r="CK56" s="61">
        <v>8.1318901945060477E-3</v>
      </c>
      <c r="CL56" s="61">
        <v>8.050571292560987E-3</v>
      </c>
      <c r="CM56" s="61">
        <v>7.9700655796353763E-3</v>
      </c>
      <c r="CN56" s="61">
        <v>7.890364923839023E-3</v>
      </c>
      <c r="CO56" s="61">
        <v>7.8114612746006326E-3</v>
      </c>
      <c r="CP56" s="61">
        <v>7.7333466618546261E-3</v>
      </c>
      <c r="CQ56" s="61">
        <v>7.6560131952360796E-3</v>
      </c>
      <c r="CR56" s="61">
        <v>7.5794530632837184E-3</v>
      </c>
      <c r="CS56" s="61">
        <v>7.5036585326508816E-3</v>
      </c>
      <c r="CT56" s="61">
        <v>7.4286219473243724E-3</v>
      </c>
      <c r="CU56" s="61">
        <v>7.3543357278511284E-3</v>
      </c>
      <c r="CV56" s="61">
        <v>7.2807923705726172E-3</v>
      </c>
      <c r="CW56" s="61">
        <v>7.2079844468668913E-3</v>
      </c>
      <c r="CX56" s="61">
        <v>7.1359046023982227E-3</v>
      </c>
      <c r="CY56" s="53">
        <v>7.0645455563742403E-3</v>
      </c>
    </row>
    <row r="57" spans="1:103">
      <c r="A57" s="60">
        <v>75</v>
      </c>
      <c r="B57" s="60">
        <v>2.0937999999999998E-2</v>
      </c>
      <c r="C57" s="60">
        <v>2.0770495999999999E-2</v>
      </c>
      <c r="D57" s="60">
        <v>2.05981008832E-2</v>
      </c>
      <c r="E57" s="60">
        <v>2.0418897405516161E-2</v>
      </c>
      <c r="F57" s="60">
        <v>2.0235127328866516E-2</v>
      </c>
      <c r="G57" s="60">
        <v>2.0048964157440945E-2</v>
      </c>
      <c r="H57" s="60">
        <v>1.9862508790776744E-2</v>
      </c>
      <c r="I57" s="60">
        <v>1.9679773709901597E-2</v>
      </c>
      <c r="J57" s="60">
        <v>1.9502655746512481E-2</v>
      </c>
      <c r="K57" s="60">
        <v>1.933298264151782E-2</v>
      </c>
      <c r="L57" s="60">
        <v>1.9170585587329071E-2</v>
      </c>
      <c r="M57" s="60">
        <v>1.9017220902630437E-2</v>
      </c>
      <c r="N57" s="60">
        <v>1.8868886579589919E-2</v>
      </c>
      <c r="O57" s="60">
        <v>1.8721709264269117E-2</v>
      </c>
      <c r="P57" s="60">
        <v>1.8570063419228539E-2</v>
      </c>
      <c r="Q57" s="60">
        <v>1.841407488650702E-2</v>
      </c>
      <c r="R57" s="60">
        <v>1.8250189620017107E-2</v>
      </c>
      <c r="S57" s="60">
        <v>1.8080462856550947E-2</v>
      </c>
      <c r="T57" s="61">
        <v>1.7905082366842403E-2</v>
      </c>
      <c r="U57" s="61">
        <v>1.7727822051410661E-2</v>
      </c>
      <c r="V57" s="61">
        <v>1.7550543830896555E-2</v>
      </c>
      <c r="W57" s="61">
        <v>1.737503839258759E-2</v>
      </c>
      <c r="X57" s="61">
        <v>1.7201288008661712E-2</v>
      </c>
      <c r="Y57" s="61">
        <v>1.7029275128575095E-2</v>
      </c>
      <c r="Z57" s="61">
        <v>1.6858982377289344E-2</v>
      </c>
      <c r="AA57" s="61">
        <v>1.669039255351645E-2</v>
      </c>
      <c r="AB57" s="61">
        <v>1.6523488627981284E-2</v>
      </c>
      <c r="AC57" s="61">
        <v>1.6358253741701471E-2</v>
      </c>
      <c r="AD57" s="61">
        <v>1.6194671204284455E-2</v>
      </c>
      <c r="AE57" s="61">
        <v>1.603272449224161E-2</v>
      </c>
      <c r="AF57" s="61">
        <v>1.5872397247319193E-2</v>
      </c>
      <c r="AG57" s="61">
        <v>1.5713673274846001E-2</v>
      </c>
      <c r="AH57" s="61">
        <v>1.5556536542097541E-2</v>
      </c>
      <c r="AI57" s="61">
        <v>1.5400971176676565E-2</v>
      </c>
      <c r="AJ57" s="61">
        <v>1.52469614649098E-2</v>
      </c>
      <c r="AK57" s="61">
        <v>1.5094491850260702E-2</v>
      </c>
      <c r="AL57" s="61">
        <v>1.4943546931758095E-2</v>
      </c>
      <c r="AM57" s="61">
        <v>1.4794111462440513E-2</v>
      </c>
      <c r="AN57" s="61">
        <v>1.4646170347816108E-2</v>
      </c>
      <c r="AO57" s="61">
        <v>1.4499708644337946E-2</v>
      </c>
      <c r="AP57" s="61">
        <v>1.4354711557894567E-2</v>
      </c>
      <c r="AQ57" s="61">
        <v>1.421116444231562E-2</v>
      </c>
      <c r="AR57" s="61">
        <v>1.4069052797892464E-2</v>
      </c>
      <c r="AS57" s="61">
        <v>1.3928362269913539E-2</v>
      </c>
      <c r="AT57" s="61">
        <v>1.3789078647214403E-2</v>
      </c>
      <c r="AU57" s="61">
        <v>1.3651187860742259E-2</v>
      </c>
      <c r="AV57" s="61">
        <v>1.3514675982134836E-2</v>
      </c>
      <c r="AW57" s="61">
        <v>1.3379529222313486E-2</v>
      </c>
      <c r="AX57" s="61">
        <v>1.3245733930090351E-2</v>
      </c>
      <c r="AY57" s="61">
        <v>1.3113276590789447E-2</v>
      </c>
      <c r="AZ57" s="61">
        <v>1.2982143824881552E-2</v>
      </c>
      <c r="BA57" s="61">
        <v>1.2852322386632736E-2</v>
      </c>
      <c r="BB57" s="61">
        <v>1.2723799162766409E-2</v>
      </c>
      <c r="BC57" s="61">
        <v>1.2596561171138745E-2</v>
      </c>
      <c r="BD57" s="61">
        <v>1.2470595559427358E-2</v>
      </c>
      <c r="BE57" s="61">
        <v>1.2345889603833085E-2</v>
      </c>
      <c r="BF57" s="61">
        <v>1.2222430707794755E-2</v>
      </c>
      <c r="BG57" s="61">
        <v>1.2100206400716807E-2</v>
      </c>
      <c r="BH57" s="61">
        <v>1.197920433670964E-2</v>
      </c>
      <c r="BI57" s="61">
        <v>1.1859412293342543E-2</v>
      </c>
      <c r="BJ57" s="61">
        <v>1.1740818170409117E-2</v>
      </c>
      <c r="BK57" s="61">
        <v>1.1623409988705025E-2</v>
      </c>
      <c r="BL57" s="61">
        <v>1.1507175888817976E-2</v>
      </c>
      <c r="BM57" s="61">
        <v>1.1392104129929796E-2</v>
      </c>
      <c r="BN57" s="61">
        <v>1.1278183088630498E-2</v>
      </c>
      <c r="BO57" s="61">
        <v>1.1165401257744192E-2</v>
      </c>
      <c r="BP57" s="61">
        <v>1.1053747245166751E-2</v>
      </c>
      <c r="BQ57" s="61">
        <v>1.0943209772715084E-2</v>
      </c>
      <c r="BR57" s="61">
        <v>1.0833777674987933E-2</v>
      </c>
      <c r="BS57" s="61">
        <v>1.0725439898238053E-2</v>
      </c>
      <c r="BT57" s="61">
        <v>1.0618185499255672E-2</v>
      </c>
      <c r="BU57" s="61">
        <v>1.0512003644263116E-2</v>
      </c>
      <c r="BV57" s="61">
        <v>1.0406883607820484E-2</v>
      </c>
      <c r="BW57" s="61">
        <v>1.0302814771742278E-2</v>
      </c>
      <c r="BX57" s="61">
        <v>1.0199786624024855E-2</v>
      </c>
      <c r="BY57" s="61">
        <v>1.0097788757784606E-2</v>
      </c>
      <c r="BZ57" s="61">
        <v>9.9968108702067592E-3</v>
      </c>
      <c r="CA57" s="61">
        <v>9.8968427615046921E-3</v>
      </c>
      <c r="CB57" s="61">
        <v>9.7978743338896449E-3</v>
      </c>
      <c r="CC57" s="61">
        <v>9.699895590550749E-3</v>
      </c>
      <c r="CD57" s="61">
        <v>9.6028966346452423E-3</v>
      </c>
      <c r="CE57" s="61">
        <v>9.50686766829879E-3</v>
      </c>
      <c r="CF57" s="61">
        <v>9.4117989916158024E-3</v>
      </c>
      <c r="CG57" s="61">
        <v>9.3176810016996434E-3</v>
      </c>
      <c r="CH57" s="61">
        <v>9.2245041916826469E-3</v>
      </c>
      <c r="CI57" s="61">
        <v>9.1322591497658197E-3</v>
      </c>
      <c r="CJ57" s="61">
        <v>9.040936558268162E-3</v>
      </c>
      <c r="CK57" s="61">
        <v>8.9505271926854802E-3</v>
      </c>
      <c r="CL57" s="61">
        <v>8.8610219207586258E-3</v>
      </c>
      <c r="CM57" s="61">
        <v>8.7724117015510403E-3</v>
      </c>
      <c r="CN57" s="61">
        <v>8.6846875845355293E-3</v>
      </c>
      <c r="CO57" s="61">
        <v>8.5978407086901732E-3</v>
      </c>
      <c r="CP57" s="61">
        <v>8.5118623016032721E-3</v>
      </c>
      <c r="CQ57" s="61">
        <v>8.4267436785872389E-3</v>
      </c>
      <c r="CR57" s="61">
        <v>8.3424762418013668E-3</v>
      </c>
      <c r="CS57" s="61">
        <v>8.2590514793833524E-3</v>
      </c>
      <c r="CT57" s="61">
        <v>8.1764609645895193E-3</v>
      </c>
      <c r="CU57" s="61">
        <v>8.0946963549436233E-3</v>
      </c>
      <c r="CV57" s="61">
        <v>8.0137493913941867E-3</v>
      </c>
      <c r="CW57" s="61">
        <v>7.9336118974802448E-3</v>
      </c>
      <c r="CX57" s="61">
        <v>7.8542757785054415E-3</v>
      </c>
      <c r="CY57" s="53">
        <v>7.7757330207203872E-3</v>
      </c>
    </row>
    <row r="58" spans="1:103">
      <c r="A58" s="60">
        <v>76</v>
      </c>
      <c r="B58" s="60">
        <v>2.3118E-2</v>
      </c>
      <c r="C58" s="60">
        <v>2.29469268E-2</v>
      </c>
      <c r="D58" s="60">
        <v>2.2767940770959998E-2</v>
      </c>
      <c r="E58" s="60">
        <v>2.2581243656638127E-2</v>
      </c>
      <c r="F58" s="60">
        <v>2.2387044961191038E-2</v>
      </c>
      <c r="G58" s="60">
        <v>2.218556155654032E-2</v>
      </c>
      <c r="H58" s="60">
        <v>2.1979235834064494E-2</v>
      </c>
      <c r="I58" s="60">
        <v>2.1772631017224289E-2</v>
      </c>
      <c r="J58" s="60">
        <v>2.1567968285662382E-2</v>
      </c>
      <c r="K58" s="60">
        <v>2.1369542977434288E-2</v>
      </c>
      <c r="L58" s="60">
        <v>2.1179354044935123E-2</v>
      </c>
      <c r="M58" s="60">
        <v>2.0997211600148679E-2</v>
      </c>
      <c r="N58" s="60">
        <v>2.0820835022707432E-2</v>
      </c>
      <c r="O58" s="60">
        <v>2.064802209201896E-2</v>
      </c>
      <c r="P58" s="60">
        <v>2.0474578706446003E-2</v>
      </c>
      <c r="Q58" s="60">
        <v>2.0298497329570567E-2</v>
      </c>
      <c r="R58" s="60">
        <v>2.011784070333739E-2</v>
      </c>
      <c r="S58" s="60">
        <v>1.9930744784796353E-2</v>
      </c>
      <c r="T58" s="61">
        <v>1.9737416560383827E-2</v>
      </c>
      <c r="U58" s="61">
        <v>1.9542016136436028E-2</v>
      </c>
      <c r="V58" s="61">
        <v>1.9346595975071667E-2</v>
      </c>
      <c r="W58" s="61">
        <v>1.915313001532095E-2</v>
      </c>
      <c r="X58" s="61">
        <v>1.8961598715167741E-2</v>
      </c>
      <c r="Y58" s="61">
        <v>1.8771982728016064E-2</v>
      </c>
      <c r="Z58" s="61">
        <v>1.8584262900735903E-2</v>
      </c>
      <c r="AA58" s="61">
        <v>1.8398420271728545E-2</v>
      </c>
      <c r="AB58" s="61">
        <v>1.8214436069011259E-2</v>
      </c>
      <c r="AC58" s="61">
        <v>1.8032291708321147E-2</v>
      </c>
      <c r="AD58" s="61">
        <v>1.7851968791237936E-2</v>
      </c>
      <c r="AE58" s="61">
        <v>1.7673449103325557E-2</v>
      </c>
      <c r="AF58" s="61">
        <v>1.74967146122923E-2</v>
      </c>
      <c r="AG58" s="61">
        <v>1.7321747466169376E-2</v>
      </c>
      <c r="AH58" s="61">
        <v>1.7148529991507681E-2</v>
      </c>
      <c r="AI58" s="61">
        <v>1.6977044691592603E-2</v>
      </c>
      <c r="AJ58" s="61">
        <v>1.6807274244676675E-2</v>
      </c>
      <c r="AK58" s="61">
        <v>1.663920150222991E-2</v>
      </c>
      <c r="AL58" s="61">
        <v>1.6472809487207609E-2</v>
      </c>
      <c r="AM58" s="61">
        <v>1.6308081392335534E-2</v>
      </c>
      <c r="AN58" s="61">
        <v>1.6145000578412179E-2</v>
      </c>
      <c r="AO58" s="61">
        <v>1.5983550572628055E-2</v>
      </c>
      <c r="AP58" s="61">
        <v>1.5823715066901774E-2</v>
      </c>
      <c r="AQ58" s="61">
        <v>1.5665477916232757E-2</v>
      </c>
      <c r="AR58" s="61">
        <v>1.5508823137070429E-2</v>
      </c>
      <c r="AS58" s="61">
        <v>1.5353734905699724E-2</v>
      </c>
      <c r="AT58" s="61">
        <v>1.5200197556642727E-2</v>
      </c>
      <c r="AU58" s="61">
        <v>1.50481955810763E-2</v>
      </c>
      <c r="AV58" s="61">
        <v>1.4897713625265537E-2</v>
      </c>
      <c r="AW58" s="61">
        <v>1.4748736489012882E-2</v>
      </c>
      <c r="AX58" s="61">
        <v>1.4601249124122754E-2</v>
      </c>
      <c r="AY58" s="61">
        <v>1.4455236632881526E-2</v>
      </c>
      <c r="AZ58" s="61">
        <v>1.4310684266552711E-2</v>
      </c>
      <c r="BA58" s="61">
        <v>1.4167577423887185E-2</v>
      </c>
      <c r="BB58" s="61">
        <v>1.4025901649648313E-2</v>
      </c>
      <c r="BC58" s="61">
        <v>1.388564263315183E-2</v>
      </c>
      <c r="BD58" s="61">
        <v>1.3746786206820311E-2</v>
      </c>
      <c r="BE58" s="61">
        <v>1.3609318344752108E-2</v>
      </c>
      <c r="BF58" s="61">
        <v>1.3473225161304586E-2</v>
      </c>
      <c r="BG58" s="61">
        <v>1.333849290969154E-2</v>
      </c>
      <c r="BH58" s="61">
        <v>1.3205107980594624E-2</v>
      </c>
      <c r="BI58" s="61">
        <v>1.3073056900788678E-2</v>
      </c>
      <c r="BJ58" s="61">
        <v>1.2942326331780791E-2</v>
      </c>
      <c r="BK58" s="61">
        <v>1.2812903068462982E-2</v>
      </c>
      <c r="BL58" s="61">
        <v>1.2684774037778353E-2</v>
      </c>
      <c r="BM58" s="61">
        <v>1.2557926297400568E-2</v>
      </c>
      <c r="BN58" s="61">
        <v>1.2432347034426562E-2</v>
      </c>
      <c r="BO58" s="61">
        <v>1.2308023564082296E-2</v>
      </c>
      <c r="BP58" s="61">
        <v>1.2184943328441472E-2</v>
      </c>
      <c r="BQ58" s="61">
        <v>1.2063093895157057E-2</v>
      </c>
      <c r="BR58" s="61">
        <v>1.1942462956205485E-2</v>
      </c>
      <c r="BS58" s="61">
        <v>1.182303832664343E-2</v>
      </c>
      <c r="BT58" s="61">
        <v>1.1704807943376996E-2</v>
      </c>
      <c r="BU58" s="61">
        <v>1.1587759863943226E-2</v>
      </c>
      <c r="BV58" s="61">
        <v>1.1471882265303794E-2</v>
      </c>
      <c r="BW58" s="61">
        <v>1.1357163442650756E-2</v>
      </c>
      <c r="BX58" s="61">
        <v>1.1243591808224249E-2</v>
      </c>
      <c r="BY58" s="61">
        <v>1.1131155890142005E-2</v>
      </c>
      <c r="BZ58" s="61">
        <v>1.1019844331240586E-2</v>
      </c>
      <c r="CA58" s="61">
        <v>1.090964588792818E-2</v>
      </c>
      <c r="CB58" s="61">
        <v>1.0800549429048898E-2</v>
      </c>
      <c r="CC58" s="61">
        <v>1.069254393475841E-2</v>
      </c>
      <c r="CD58" s="61">
        <v>1.0585618495410827E-2</v>
      </c>
      <c r="CE58" s="61">
        <v>1.0479762310456718E-2</v>
      </c>
      <c r="CF58" s="61">
        <v>1.0374964687352151E-2</v>
      </c>
      <c r="CG58" s="61">
        <v>1.0271215040478629E-2</v>
      </c>
      <c r="CH58" s="61">
        <v>1.0168502890073842E-2</v>
      </c>
      <c r="CI58" s="61">
        <v>1.0066817861173104E-2</v>
      </c>
      <c r="CJ58" s="61">
        <v>9.9661496825613725E-3</v>
      </c>
      <c r="CK58" s="61">
        <v>9.866488185735758E-3</v>
      </c>
      <c r="CL58" s="61">
        <v>9.7678233038784E-3</v>
      </c>
      <c r="CM58" s="61">
        <v>9.6701450708396152E-3</v>
      </c>
      <c r="CN58" s="61">
        <v>9.5734436201312181E-3</v>
      </c>
      <c r="CO58" s="61">
        <v>9.4777091839299051E-3</v>
      </c>
      <c r="CP58" s="61">
        <v>9.3829320920906061E-3</v>
      </c>
      <c r="CQ58" s="61">
        <v>9.2891027711696997E-3</v>
      </c>
      <c r="CR58" s="61">
        <v>9.1962117434580028E-3</v>
      </c>
      <c r="CS58" s="61">
        <v>9.1042496260234224E-3</v>
      </c>
      <c r="CT58" s="61">
        <v>9.0132071297631886E-3</v>
      </c>
      <c r="CU58" s="61">
        <v>8.9230750584655561E-3</v>
      </c>
      <c r="CV58" s="61">
        <v>8.8338443078809E-3</v>
      </c>
      <c r="CW58" s="61">
        <v>8.7455058648020917E-3</v>
      </c>
      <c r="CX58" s="61">
        <v>8.658050806154071E-3</v>
      </c>
      <c r="CY58" s="53">
        <v>8.571470298092531E-3</v>
      </c>
    </row>
    <row r="59" spans="1:103">
      <c r="A59" s="60">
        <v>77</v>
      </c>
      <c r="B59" s="60">
        <v>2.5554E-2</v>
      </c>
      <c r="C59" s="60">
        <v>2.5380232799999999E-2</v>
      </c>
      <c r="D59" s="60">
        <v>2.5197495123840001E-2</v>
      </c>
      <c r="E59" s="60">
        <v>2.5003474411386433E-2</v>
      </c>
      <c r="F59" s="60">
        <v>2.4798445921213063E-2</v>
      </c>
      <c r="G59" s="60">
        <v>2.4582699441698507E-2</v>
      </c>
      <c r="H59" s="60">
        <v>2.4358996876779049E-2</v>
      </c>
      <c r="I59" s="60">
        <v>2.4130022306137328E-2</v>
      </c>
      <c r="J59" s="60">
        <v>2.3900787094229024E-2</v>
      </c>
      <c r="K59" s="60">
        <v>2.3673729616833849E-2</v>
      </c>
      <c r="L59" s="60">
        <v>2.3453563931397296E-2</v>
      </c>
      <c r="M59" s="60">
        <v>2.3240136499621582E-2</v>
      </c>
      <c r="N59" s="60">
        <v>2.3035623298424911E-2</v>
      </c>
      <c r="O59" s="60">
        <v>2.2835213375728615E-2</v>
      </c>
      <c r="P59" s="60">
        <v>2.2636547019359774E-2</v>
      </c>
      <c r="Q59" s="60">
        <v>2.2437345405589407E-2</v>
      </c>
      <c r="R59" s="60">
        <v>2.2233165562398544E-2</v>
      </c>
      <c r="S59" s="60">
        <v>2.2024173806111998E-2</v>
      </c>
      <c r="T59" s="61">
        <v>2.1810539320192709E-2</v>
      </c>
      <c r="U59" s="61">
        <v>2.1594614980922803E-2</v>
      </c>
      <c r="V59" s="61">
        <v>2.1378668831113574E-2</v>
      </c>
      <c r="W59" s="61">
        <v>2.1164882142802439E-2</v>
      </c>
      <c r="X59" s="61">
        <v>2.0953233321374415E-2</v>
      </c>
      <c r="Y59" s="61">
        <v>2.0743700988160672E-2</v>
      </c>
      <c r="Z59" s="61">
        <v>2.0536263978279064E-2</v>
      </c>
      <c r="AA59" s="61">
        <v>2.0330901338496275E-2</v>
      </c>
      <c r="AB59" s="61">
        <v>2.0127592325111313E-2</v>
      </c>
      <c r="AC59" s="61">
        <v>1.9926316401860201E-2</v>
      </c>
      <c r="AD59" s="61">
        <v>1.9727053237841598E-2</v>
      </c>
      <c r="AE59" s="61">
        <v>1.9529782705463183E-2</v>
      </c>
      <c r="AF59" s="61">
        <v>1.933448487840855E-2</v>
      </c>
      <c r="AG59" s="61">
        <v>1.9141140029624464E-2</v>
      </c>
      <c r="AH59" s="61">
        <v>1.8949728629328217E-2</v>
      </c>
      <c r="AI59" s="61">
        <v>1.8760231343034936E-2</v>
      </c>
      <c r="AJ59" s="61">
        <v>1.8572629029604586E-2</v>
      </c>
      <c r="AK59" s="61">
        <v>1.8386902739308542E-2</v>
      </c>
      <c r="AL59" s="61">
        <v>1.8203033711915458E-2</v>
      </c>
      <c r="AM59" s="61">
        <v>1.8021003374796302E-2</v>
      </c>
      <c r="AN59" s="61">
        <v>1.7840793341048339E-2</v>
      </c>
      <c r="AO59" s="61">
        <v>1.7662385407637857E-2</v>
      </c>
      <c r="AP59" s="61">
        <v>1.7485761553561477E-2</v>
      </c>
      <c r="AQ59" s="61">
        <v>1.7310903938025861E-2</v>
      </c>
      <c r="AR59" s="61">
        <v>1.7137794898645604E-2</v>
      </c>
      <c r="AS59" s="61">
        <v>1.6966416949659148E-2</v>
      </c>
      <c r="AT59" s="61">
        <v>1.6796752780162558E-2</v>
      </c>
      <c r="AU59" s="61">
        <v>1.6628785252360931E-2</v>
      </c>
      <c r="AV59" s="61">
        <v>1.6462497399837323E-2</v>
      </c>
      <c r="AW59" s="61">
        <v>1.6297872425838949E-2</v>
      </c>
      <c r="AX59" s="61">
        <v>1.6134893701580558E-2</v>
      </c>
      <c r="AY59" s="61">
        <v>1.5973544764564751E-2</v>
      </c>
      <c r="AZ59" s="61">
        <v>1.5813809316919104E-2</v>
      </c>
      <c r="BA59" s="61">
        <v>1.5655671223749914E-2</v>
      </c>
      <c r="BB59" s="61">
        <v>1.5499114511512415E-2</v>
      </c>
      <c r="BC59" s="61">
        <v>1.534412336639729E-2</v>
      </c>
      <c r="BD59" s="61">
        <v>1.5190682132733318E-2</v>
      </c>
      <c r="BE59" s="61">
        <v>1.5038775311405985E-2</v>
      </c>
      <c r="BF59" s="61">
        <v>1.4888387558291924E-2</v>
      </c>
      <c r="BG59" s="61">
        <v>1.4739503682709005E-2</v>
      </c>
      <c r="BH59" s="61">
        <v>1.4592108645881915E-2</v>
      </c>
      <c r="BI59" s="61">
        <v>1.4446187559423096E-2</v>
      </c>
      <c r="BJ59" s="61">
        <v>1.4301725683828865E-2</v>
      </c>
      <c r="BK59" s="61">
        <v>1.4158708426990576E-2</v>
      </c>
      <c r="BL59" s="61">
        <v>1.401712134272067E-2</v>
      </c>
      <c r="BM59" s="61">
        <v>1.3876950129293464E-2</v>
      </c>
      <c r="BN59" s="61">
        <v>1.3738180628000529E-2</v>
      </c>
      <c r="BO59" s="61">
        <v>1.3600798821720524E-2</v>
      </c>
      <c r="BP59" s="61">
        <v>1.3464790833503319E-2</v>
      </c>
      <c r="BQ59" s="61">
        <v>1.3330142925168285E-2</v>
      </c>
      <c r="BR59" s="61">
        <v>1.3196841495916602E-2</v>
      </c>
      <c r="BS59" s="61">
        <v>1.3064873080957436E-2</v>
      </c>
      <c r="BT59" s="61">
        <v>1.2934224350147861E-2</v>
      </c>
      <c r="BU59" s="61">
        <v>1.2804882106646383E-2</v>
      </c>
      <c r="BV59" s="61">
        <v>1.2676833285579919E-2</v>
      </c>
      <c r="BW59" s="61">
        <v>1.255006495272412E-2</v>
      </c>
      <c r="BX59" s="61">
        <v>1.2424564303196878E-2</v>
      </c>
      <c r="BY59" s="61">
        <v>1.230031866016491E-2</v>
      </c>
      <c r="BZ59" s="61">
        <v>1.2177315473563261E-2</v>
      </c>
      <c r="CA59" s="61">
        <v>1.2055542318827628E-2</v>
      </c>
      <c r="CB59" s="61">
        <v>1.1934986895639352E-2</v>
      </c>
      <c r="CC59" s="61">
        <v>1.1815637026682958E-2</v>
      </c>
      <c r="CD59" s="61">
        <v>1.1697480656416128E-2</v>
      </c>
      <c r="CE59" s="61">
        <v>1.1580505849851966E-2</v>
      </c>
      <c r="CF59" s="61">
        <v>1.1464700791353446E-2</v>
      </c>
      <c r="CG59" s="61">
        <v>1.1350053783439911E-2</v>
      </c>
      <c r="CH59" s="61">
        <v>1.1236553245605511E-2</v>
      </c>
      <c r="CI59" s="61">
        <v>1.1124187713149457E-2</v>
      </c>
      <c r="CJ59" s="61">
        <v>1.1012945836017963E-2</v>
      </c>
      <c r="CK59" s="61">
        <v>1.0902816377657783E-2</v>
      </c>
      <c r="CL59" s="61">
        <v>1.0793788213881205E-2</v>
      </c>
      <c r="CM59" s="61">
        <v>1.0685850331742392E-2</v>
      </c>
      <c r="CN59" s="61">
        <v>1.0578991828424969E-2</v>
      </c>
      <c r="CO59" s="61">
        <v>1.0473201910140719E-2</v>
      </c>
      <c r="CP59" s="61">
        <v>1.0368469891039312E-2</v>
      </c>
      <c r="CQ59" s="61">
        <v>1.0264785192128919E-2</v>
      </c>
      <c r="CR59" s="61">
        <v>1.0162137340207629E-2</v>
      </c>
      <c r="CS59" s="61">
        <v>1.0060515966805553E-2</v>
      </c>
      <c r="CT59" s="61">
        <v>9.9599108071374981E-3</v>
      </c>
      <c r="CU59" s="61">
        <v>9.8603116990661228E-3</v>
      </c>
      <c r="CV59" s="61">
        <v>9.7617085820754616E-3</v>
      </c>
      <c r="CW59" s="61">
        <v>9.6640914962547071E-3</v>
      </c>
      <c r="CX59" s="61">
        <v>9.5674505812921602E-3</v>
      </c>
      <c r="CY59" s="53">
        <v>9.4717760754792386E-3</v>
      </c>
    </row>
    <row r="60" spans="1:103">
      <c r="A60" s="60">
        <v>78</v>
      </c>
      <c r="B60" s="60">
        <v>2.8288000000000001E-2</v>
      </c>
      <c r="C60" s="60">
        <v>2.81154432E-2</v>
      </c>
      <c r="D60" s="60">
        <v>2.7929881274879997E-2</v>
      </c>
      <c r="E60" s="60">
        <v>2.7728786129700863E-2</v>
      </c>
      <c r="F60" s="60">
        <v>2.7512501597889195E-2</v>
      </c>
      <c r="G60" s="60">
        <v>2.7284147834626717E-2</v>
      </c>
      <c r="H60" s="60">
        <v>2.7044047333682E-2</v>
      </c>
      <c r="I60" s="60">
        <v>2.6792537693478759E-2</v>
      </c>
      <c r="J60" s="60">
        <v>2.6538008585390713E-2</v>
      </c>
      <c r="K60" s="60">
        <v>2.6280589902112423E-2</v>
      </c>
      <c r="L60" s="60">
        <v>2.6028296239052142E-2</v>
      </c>
      <c r="M60" s="60">
        <v>2.5783630254405054E-2</v>
      </c>
      <c r="N60" s="60">
        <v>2.5546420856064529E-2</v>
      </c>
      <c r="O60" s="60">
        <v>2.5313948426274342E-2</v>
      </c>
      <c r="P60" s="60">
        <v>2.5086122890437872E-2</v>
      </c>
      <c r="Q60" s="60">
        <v>2.486034778442393E-2</v>
      </c>
      <c r="R60" s="60">
        <v>2.4631632584807231E-2</v>
      </c>
      <c r="S60" s="60">
        <v>2.4397632075251564E-2</v>
      </c>
      <c r="T60" s="61">
        <v>2.4160975044121624E-2</v>
      </c>
      <c r="U60" s="61">
        <v>2.392178139118482E-2</v>
      </c>
      <c r="V60" s="61">
        <v>2.3682563577272973E-2</v>
      </c>
      <c r="W60" s="61">
        <v>2.3445737941500244E-2</v>
      </c>
      <c r="X60" s="61">
        <v>2.321128056208524E-2</v>
      </c>
      <c r="Y60" s="61">
        <v>2.2979167756464389E-2</v>
      </c>
      <c r="Z60" s="61">
        <v>2.2749376078899746E-2</v>
      </c>
      <c r="AA60" s="61">
        <v>2.252188231811075E-2</v>
      </c>
      <c r="AB60" s="61">
        <v>2.229666349492964E-2</v>
      </c>
      <c r="AC60" s="61">
        <v>2.2073696859980344E-2</v>
      </c>
      <c r="AD60" s="61">
        <v>2.185295989138054E-2</v>
      </c>
      <c r="AE60" s="61">
        <v>2.1634430292466734E-2</v>
      </c>
      <c r="AF60" s="61">
        <v>2.1418085989542066E-2</v>
      </c>
      <c r="AG60" s="61">
        <v>2.1203905129646646E-2</v>
      </c>
      <c r="AH60" s="61">
        <v>2.0991866078350178E-2</v>
      </c>
      <c r="AI60" s="61">
        <v>2.0781947417566678E-2</v>
      </c>
      <c r="AJ60" s="61">
        <v>2.0574127943391012E-2</v>
      </c>
      <c r="AK60" s="61">
        <v>2.0368386663957103E-2</v>
      </c>
      <c r="AL60" s="61">
        <v>2.0164702797317531E-2</v>
      </c>
      <c r="AM60" s="61">
        <v>1.9963055769344356E-2</v>
      </c>
      <c r="AN60" s="61">
        <v>1.9763425211650913E-2</v>
      </c>
      <c r="AO60" s="61">
        <v>1.9565790959534403E-2</v>
      </c>
      <c r="AP60" s="61">
        <v>1.9370133049939058E-2</v>
      </c>
      <c r="AQ60" s="61">
        <v>1.9176431719439668E-2</v>
      </c>
      <c r="AR60" s="61">
        <v>1.8984667402245272E-2</v>
      </c>
      <c r="AS60" s="61">
        <v>1.8794820728222819E-2</v>
      </c>
      <c r="AT60" s="61">
        <v>1.8606872520940589E-2</v>
      </c>
      <c r="AU60" s="61">
        <v>1.8420803795731182E-2</v>
      </c>
      <c r="AV60" s="61">
        <v>1.8236595757773869E-2</v>
      </c>
      <c r="AW60" s="61">
        <v>1.805422980019613E-2</v>
      </c>
      <c r="AX60" s="61">
        <v>1.7873687502194167E-2</v>
      </c>
      <c r="AY60" s="61">
        <v>1.7694950627172225E-2</v>
      </c>
      <c r="AZ60" s="61">
        <v>1.7518001120900503E-2</v>
      </c>
      <c r="BA60" s="61">
        <v>1.7342821109691497E-2</v>
      </c>
      <c r="BB60" s="61">
        <v>1.7169392898594583E-2</v>
      </c>
      <c r="BC60" s="61">
        <v>1.6997698969608638E-2</v>
      </c>
      <c r="BD60" s="61">
        <v>1.6827721979912551E-2</v>
      </c>
      <c r="BE60" s="61">
        <v>1.6659444760113426E-2</v>
      </c>
      <c r="BF60" s="61">
        <v>1.649285031251229E-2</v>
      </c>
      <c r="BG60" s="61">
        <v>1.6327921809387167E-2</v>
      </c>
      <c r="BH60" s="61">
        <v>1.6164642591293295E-2</v>
      </c>
      <c r="BI60" s="61">
        <v>1.6002996165380361E-2</v>
      </c>
      <c r="BJ60" s="61">
        <v>1.5842966203726556E-2</v>
      </c>
      <c r="BK60" s="61">
        <v>1.568453654168929E-2</v>
      </c>
      <c r="BL60" s="61">
        <v>1.5527691176272396E-2</v>
      </c>
      <c r="BM60" s="61">
        <v>1.5372414264509672E-2</v>
      </c>
      <c r="BN60" s="61">
        <v>1.5218690121864576E-2</v>
      </c>
      <c r="BO60" s="61">
        <v>1.5066503220645931E-2</v>
      </c>
      <c r="BP60" s="61">
        <v>1.4915838188439471E-2</v>
      </c>
      <c r="BQ60" s="61">
        <v>1.4766679806555076E-2</v>
      </c>
      <c r="BR60" s="61">
        <v>1.4619013008489525E-2</v>
      </c>
      <c r="BS60" s="61">
        <v>1.447282287840463E-2</v>
      </c>
      <c r="BT60" s="61">
        <v>1.4328094649620584E-2</v>
      </c>
      <c r="BU60" s="61">
        <v>1.4184813703124379E-2</v>
      </c>
      <c r="BV60" s="61">
        <v>1.4042965566093135E-2</v>
      </c>
      <c r="BW60" s="61">
        <v>1.3902535910432204E-2</v>
      </c>
      <c r="BX60" s="61">
        <v>1.3763510551327882E-2</v>
      </c>
      <c r="BY60" s="61">
        <v>1.3625875445814603E-2</v>
      </c>
      <c r="BZ60" s="61">
        <v>1.3489616691356458E-2</v>
      </c>
      <c r="CA60" s="61">
        <v>1.3354720524442892E-2</v>
      </c>
      <c r="CB60" s="61">
        <v>1.3221173319198464E-2</v>
      </c>
      <c r="CC60" s="61">
        <v>1.3088961586006479E-2</v>
      </c>
      <c r="CD60" s="61">
        <v>1.2958071970146414E-2</v>
      </c>
      <c r="CE60" s="61">
        <v>1.282849125044495E-2</v>
      </c>
      <c r="CF60" s="61">
        <v>1.2700206337940501E-2</v>
      </c>
      <c r="CG60" s="61">
        <v>1.2573204274561095E-2</v>
      </c>
      <c r="CH60" s="61">
        <v>1.2447472231815485E-2</v>
      </c>
      <c r="CI60" s="61">
        <v>1.232299750949733E-2</v>
      </c>
      <c r="CJ60" s="61">
        <v>1.2199767534402356E-2</v>
      </c>
      <c r="CK60" s="61">
        <v>1.2077769859058332E-2</v>
      </c>
      <c r="CL60" s="61">
        <v>1.1956992160467748E-2</v>
      </c>
      <c r="CM60" s="61">
        <v>1.183742223886307E-2</v>
      </c>
      <c r="CN60" s="61">
        <v>1.1719048016474439E-2</v>
      </c>
      <c r="CO60" s="61">
        <v>1.1601857536309695E-2</v>
      </c>
      <c r="CP60" s="61">
        <v>1.1485838960946598E-2</v>
      </c>
      <c r="CQ60" s="61">
        <v>1.1370980571337131E-2</v>
      </c>
      <c r="CR60" s="61">
        <v>1.125727076562376E-2</v>
      </c>
      <c r="CS60" s="61">
        <v>1.1144698057967523E-2</v>
      </c>
      <c r="CT60" s="61">
        <v>1.1033251077387847E-2</v>
      </c>
      <c r="CU60" s="61">
        <v>1.0922918566613968E-2</v>
      </c>
      <c r="CV60" s="61">
        <v>1.0813689380947828E-2</v>
      </c>
      <c r="CW60" s="61">
        <v>1.0705552487138351E-2</v>
      </c>
      <c r="CX60" s="61">
        <v>1.0598496962266966E-2</v>
      </c>
      <c r="CY60" s="53">
        <v>1.0492511992644296E-2</v>
      </c>
    </row>
    <row r="61" spans="1:103">
      <c r="A61" s="60">
        <v>79</v>
      </c>
      <c r="B61" s="60">
        <v>3.1365999999999998E-2</v>
      </c>
      <c r="C61" s="60">
        <v>3.1193486999999999E-2</v>
      </c>
      <c r="D61" s="60">
        <v>3.1006326078E-2</v>
      </c>
      <c r="E61" s="60">
        <v>3.0801684325885197E-2</v>
      </c>
      <c r="F61" s="60">
        <v>3.0576832030306235E-2</v>
      </c>
      <c r="G61" s="60">
        <v>3.0335275057266815E-2</v>
      </c>
      <c r="H61" s="60">
        <v>3.0077425219280047E-2</v>
      </c>
      <c r="I61" s="60">
        <v>2.98037206497846E-2</v>
      </c>
      <c r="J61" s="60">
        <v>2.9523565675676627E-2</v>
      </c>
      <c r="K61" s="60">
        <v>2.9237187088622562E-2</v>
      </c>
      <c r="L61" s="60">
        <v>2.8953586373862923E-2</v>
      </c>
      <c r="M61" s="60">
        <v>2.8675631944673839E-2</v>
      </c>
      <c r="N61" s="60">
        <v>2.8403213441199438E-2</v>
      </c>
      <c r="O61" s="60">
        <v>2.8136223234852164E-2</v>
      </c>
      <c r="P61" s="60">
        <v>2.7874556358768038E-2</v>
      </c>
      <c r="Q61" s="60">
        <v>2.7615322984631496E-2</v>
      </c>
      <c r="R61" s="60">
        <v>2.7355738948575962E-2</v>
      </c>
      <c r="S61" s="60">
        <v>2.7095859428564493E-2</v>
      </c>
      <c r="T61" s="61">
        <v>2.6833029592107416E-2</v>
      </c>
      <c r="U61" s="61">
        <v>2.6567382599145553E-2</v>
      </c>
      <c r="V61" s="61">
        <v>2.6301708773154096E-2</v>
      </c>
      <c r="W61" s="61">
        <v>2.6038691685422555E-2</v>
      </c>
      <c r="X61" s="61">
        <v>2.5778304768568329E-2</v>
      </c>
      <c r="Y61" s="61">
        <v>2.5520521720882646E-2</v>
      </c>
      <c r="Z61" s="61">
        <v>2.5265316503673821E-2</v>
      </c>
      <c r="AA61" s="61">
        <v>2.5012663338637081E-2</v>
      </c>
      <c r="AB61" s="61">
        <v>2.476253670525071E-2</v>
      </c>
      <c r="AC61" s="61">
        <v>2.4514911338198202E-2</v>
      </c>
      <c r="AD61" s="61">
        <v>2.4269762224816221E-2</v>
      </c>
      <c r="AE61" s="61">
        <v>2.4027064602568059E-2</v>
      </c>
      <c r="AF61" s="61">
        <v>2.3786793956542377E-2</v>
      </c>
      <c r="AG61" s="61">
        <v>2.3548926016976952E-2</v>
      </c>
      <c r="AH61" s="61">
        <v>2.3313436756807183E-2</v>
      </c>
      <c r="AI61" s="61">
        <v>2.308030238923911E-2</v>
      </c>
      <c r="AJ61" s="61">
        <v>2.284949936534672E-2</v>
      </c>
      <c r="AK61" s="61">
        <v>2.2621004371693253E-2</v>
      </c>
      <c r="AL61" s="61">
        <v>2.2394794327976319E-2</v>
      </c>
      <c r="AM61" s="61">
        <v>2.2170846384696557E-2</v>
      </c>
      <c r="AN61" s="61">
        <v>2.1949137920849592E-2</v>
      </c>
      <c r="AO61" s="61">
        <v>2.1729646541641095E-2</v>
      </c>
      <c r="AP61" s="61">
        <v>2.1512350076224682E-2</v>
      </c>
      <c r="AQ61" s="61">
        <v>2.1297226575462434E-2</v>
      </c>
      <c r="AR61" s="61">
        <v>2.1084254309707808E-2</v>
      </c>
      <c r="AS61" s="61">
        <v>2.0873411766610731E-2</v>
      </c>
      <c r="AT61" s="61">
        <v>2.0664677648944623E-2</v>
      </c>
      <c r="AU61" s="61">
        <v>2.0458030872455176E-2</v>
      </c>
      <c r="AV61" s="61">
        <v>2.0253450563730624E-2</v>
      </c>
      <c r="AW61" s="61">
        <v>2.0050916058093317E-2</v>
      </c>
      <c r="AX61" s="61">
        <v>1.9850406897512385E-2</v>
      </c>
      <c r="AY61" s="61">
        <v>1.9651902828537262E-2</v>
      </c>
      <c r="AZ61" s="61">
        <v>1.9455383800251889E-2</v>
      </c>
      <c r="BA61" s="61">
        <v>1.9260829962249371E-2</v>
      </c>
      <c r="BB61" s="61">
        <v>1.9068221662626877E-2</v>
      </c>
      <c r="BC61" s="61">
        <v>1.8877539446000607E-2</v>
      </c>
      <c r="BD61" s="61">
        <v>1.8688764051540602E-2</v>
      </c>
      <c r="BE61" s="61">
        <v>1.8501876411025197E-2</v>
      </c>
      <c r="BF61" s="61">
        <v>1.8316857646914944E-2</v>
      </c>
      <c r="BG61" s="61">
        <v>1.8133689070445793E-2</v>
      </c>
      <c r="BH61" s="61">
        <v>1.7952352179741334E-2</v>
      </c>
      <c r="BI61" s="61">
        <v>1.7772828657943919E-2</v>
      </c>
      <c r="BJ61" s="61">
        <v>1.759510037136448E-2</v>
      </c>
      <c r="BK61" s="61">
        <v>1.7419149367650835E-2</v>
      </c>
      <c r="BL61" s="61">
        <v>1.7244957873974325E-2</v>
      </c>
      <c r="BM61" s="61">
        <v>1.7072508295234583E-2</v>
      </c>
      <c r="BN61" s="61">
        <v>1.6901783212282237E-2</v>
      </c>
      <c r="BO61" s="61">
        <v>1.6732765380159415E-2</v>
      </c>
      <c r="BP61" s="61">
        <v>1.656543772635782E-2</v>
      </c>
      <c r="BQ61" s="61">
        <v>1.6399783349094241E-2</v>
      </c>
      <c r="BR61" s="61">
        <v>1.6235785515603299E-2</v>
      </c>
      <c r="BS61" s="61">
        <v>1.6073427660447264E-2</v>
      </c>
      <c r="BT61" s="61">
        <v>1.5912693383842793E-2</v>
      </c>
      <c r="BU61" s="61">
        <v>1.5753566450004364E-2</v>
      </c>
      <c r="BV61" s="61">
        <v>1.559603078550432E-2</v>
      </c>
      <c r="BW61" s="61">
        <v>1.5440070477649276E-2</v>
      </c>
      <c r="BX61" s="61">
        <v>1.5285669772872783E-2</v>
      </c>
      <c r="BY61" s="61">
        <v>1.5132813075144054E-2</v>
      </c>
      <c r="BZ61" s="61">
        <v>1.4981484944392614E-2</v>
      </c>
      <c r="CA61" s="61">
        <v>1.4831670094948688E-2</v>
      </c>
      <c r="CB61" s="61">
        <v>1.4683353393999201E-2</v>
      </c>
      <c r="CC61" s="61">
        <v>1.4536519860059209E-2</v>
      </c>
      <c r="CD61" s="61">
        <v>1.4391154661458617E-2</v>
      </c>
      <c r="CE61" s="61">
        <v>1.424724311484403E-2</v>
      </c>
      <c r="CF61" s="61">
        <v>1.4104770683695589E-2</v>
      </c>
      <c r="CG61" s="61">
        <v>1.3963722976858634E-2</v>
      </c>
      <c r="CH61" s="61">
        <v>1.3824085747090048E-2</v>
      </c>
      <c r="CI61" s="61">
        <v>1.3685844889619147E-2</v>
      </c>
      <c r="CJ61" s="61">
        <v>1.3548986440722955E-2</v>
      </c>
      <c r="CK61" s="61">
        <v>1.3413496576315726E-2</v>
      </c>
      <c r="CL61" s="61">
        <v>1.3279361610552569E-2</v>
      </c>
      <c r="CM61" s="61">
        <v>1.3146567994447043E-2</v>
      </c>
      <c r="CN61" s="61">
        <v>1.3015102314502572E-2</v>
      </c>
      <c r="CO61" s="61">
        <v>1.2884951291357546E-2</v>
      </c>
      <c r="CP61" s="61">
        <v>1.2756101778443971E-2</v>
      </c>
      <c r="CQ61" s="61">
        <v>1.2628540760659531E-2</v>
      </c>
      <c r="CR61" s="61">
        <v>1.2502255353052936E-2</v>
      </c>
      <c r="CS61" s="61">
        <v>1.2377232799522407E-2</v>
      </c>
      <c r="CT61" s="61">
        <v>1.2253460471527183E-2</v>
      </c>
      <c r="CU61" s="61">
        <v>1.2130925866811911E-2</v>
      </c>
      <c r="CV61" s="61">
        <v>1.2009616608143791E-2</v>
      </c>
      <c r="CW61" s="61">
        <v>1.1889520442062353E-2</v>
      </c>
      <c r="CX61" s="61">
        <v>1.1770625237641729E-2</v>
      </c>
      <c r="CY61" s="53">
        <v>1.1652918985265312E-2</v>
      </c>
    </row>
    <row r="62" spans="1:103">
      <c r="A62" s="60">
        <v>80</v>
      </c>
      <c r="B62" s="60">
        <v>3.4844E-2</v>
      </c>
      <c r="C62" s="60">
        <v>3.4673264400000001E-2</v>
      </c>
      <c r="D62" s="60">
        <v>3.4482561445800003E-2</v>
      </c>
      <c r="E62" s="60">
        <v>3.4272217820980624E-2</v>
      </c>
      <c r="F62" s="60">
        <v>3.4039166739797955E-2</v>
      </c>
      <c r="G62" s="60">
        <v>3.3783872989249474E-2</v>
      </c>
      <c r="H62" s="60">
        <v>3.3506845230737631E-2</v>
      </c>
      <c r="I62" s="60">
        <v>3.3211984992707139E-2</v>
      </c>
      <c r="J62" s="60">
        <v>3.2903113532274965E-2</v>
      </c>
      <c r="K62" s="60">
        <v>3.2587243642365121E-2</v>
      </c>
      <c r="L62" s="60">
        <v>3.2271147379034179E-2</v>
      </c>
      <c r="M62" s="60">
        <v>3.1958117249457546E-2</v>
      </c>
      <c r="N62" s="60">
        <v>3.1651319323862753E-2</v>
      </c>
      <c r="O62" s="60">
        <v>3.1350631790286056E-2</v>
      </c>
      <c r="P62" s="60">
        <v>3.105280078827834E-2</v>
      </c>
      <c r="Q62" s="60">
        <v>3.0757799180789698E-2</v>
      </c>
      <c r="R62" s="60">
        <v>3.0465600088572197E-2</v>
      </c>
      <c r="S62" s="60">
        <v>3.0173130327721901E-2</v>
      </c>
      <c r="T62" s="61">
        <v>2.9877433650510224E-2</v>
      </c>
      <c r="U62" s="61">
        <v>2.9581647057370174E-2</v>
      </c>
      <c r="V62" s="61">
        <v>2.9285830586796471E-2</v>
      </c>
      <c r="W62" s="61">
        <v>2.8992972280928505E-2</v>
      </c>
      <c r="X62" s="61">
        <v>2.8703042558119219E-2</v>
      </c>
      <c r="Y62" s="61">
        <v>2.8416012132538027E-2</v>
      </c>
      <c r="Z62" s="61">
        <v>2.8131852011212648E-2</v>
      </c>
      <c r="AA62" s="61">
        <v>2.7850533491100522E-2</v>
      </c>
      <c r="AB62" s="61">
        <v>2.7572028156189515E-2</v>
      </c>
      <c r="AC62" s="61">
        <v>2.7296307874627619E-2</v>
      </c>
      <c r="AD62" s="61">
        <v>2.7023344795881341E-2</v>
      </c>
      <c r="AE62" s="61">
        <v>2.6753111347922527E-2</v>
      </c>
      <c r="AF62" s="61">
        <v>2.6485580234443303E-2</v>
      </c>
      <c r="AG62" s="61">
        <v>2.6220724432098871E-2</v>
      </c>
      <c r="AH62" s="61">
        <v>2.5958517187777884E-2</v>
      </c>
      <c r="AI62" s="61">
        <v>2.5698932015900105E-2</v>
      </c>
      <c r="AJ62" s="61">
        <v>2.5441942695741102E-2</v>
      </c>
      <c r="AK62" s="61">
        <v>2.518752326878369E-2</v>
      </c>
      <c r="AL62" s="61">
        <v>2.4935648036095853E-2</v>
      </c>
      <c r="AM62" s="61">
        <v>2.4686291555734895E-2</v>
      </c>
      <c r="AN62" s="61">
        <v>2.4439428640177546E-2</v>
      </c>
      <c r="AO62" s="61">
        <v>2.419503435377577E-2</v>
      </c>
      <c r="AP62" s="61">
        <v>2.3953084010238011E-2</v>
      </c>
      <c r="AQ62" s="61">
        <v>2.371355317013563E-2</v>
      </c>
      <c r="AR62" s="61">
        <v>2.3476417638434274E-2</v>
      </c>
      <c r="AS62" s="61">
        <v>2.3241653462049931E-2</v>
      </c>
      <c r="AT62" s="61">
        <v>2.3009236927429431E-2</v>
      </c>
      <c r="AU62" s="61">
        <v>2.2779144558155138E-2</v>
      </c>
      <c r="AV62" s="61">
        <v>2.2551353112573586E-2</v>
      </c>
      <c r="AW62" s="61">
        <v>2.2325839581447848E-2</v>
      </c>
      <c r="AX62" s="61">
        <v>2.2102581185633369E-2</v>
      </c>
      <c r="AY62" s="61">
        <v>2.1881555373777034E-2</v>
      </c>
      <c r="AZ62" s="61">
        <v>2.1662739820039262E-2</v>
      </c>
      <c r="BA62" s="61">
        <v>2.1446112421838869E-2</v>
      </c>
      <c r="BB62" s="61">
        <v>2.1231651297620481E-2</v>
      </c>
      <c r="BC62" s="61">
        <v>2.1019334784644277E-2</v>
      </c>
      <c r="BD62" s="61">
        <v>2.0809141436797834E-2</v>
      </c>
      <c r="BE62" s="61">
        <v>2.0601050022429856E-2</v>
      </c>
      <c r="BF62" s="61">
        <v>2.0395039522205557E-2</v>
      </c>
      <c r="BG62" s="61">
        <v>2.0191089126983502E-2</v>
      </c>
      <c r="BH62" s="61">
        <v>1.9989178235713667E-2</v>
      </c>
      <c r="BI62" s="61">
        <v>1.9789286453356529E-2</v>
      </c>
      <c r="BJ62" s="61">
        <v>1.9591393588822965E-2</v>
      </c>
      <c r="BK62" s="61">
        <v>1.9395479652934734E-2</v>
      </c>
      <c r="BL62" s="61">
        <v>1.9201524856405385E-2</v>
      </c>
      <c r="BM62" s="61">
        <v>1.900950960784133E-2</v>
      </c>
      <c r="BN62" s="61">
        <v>1.8819414511762916E-2</v>
      </c>
      <c r="BO62" s="61">
        <v>1.8631220366645287E-2</v>
      </c>
      <c r="BP62" s="61">
        <v>1.8444908162978835E-2</v>
      </c>
      <c r="BQ62" s="61">
        <v>1.8260459081349045E-2</v>
      </c>
      <c r="BR62" s="61">
        <v>1.8077854490535554E-2</v>
      </c>
      <c r="BS62" s="61">
        <v>1.7897075945630198E-2</v>
      </c>
      <c r="BT62" s="61">
        <v>1.7718105186173897E-2</v>
      </c>
      <c r="BU62" s="61">
        <v>1.7540924134312158E-2</v>
      </c>
      <c r="BV62" s="61">
        <v>1.7365514892969038E-2</v>
      </c>
      <c r="BW62" s="61">
        <v>1.7191859744039348E-2</v>
      </c>
      <c r="BX62" s="61">
        <v>1.7019941146598955E-2</v>
      </c>
      <c r="BY62" s="61">
        <v>1.6849741735132966E-2</v>
      </c>
      <c r="BZ62" s="61">
        <v>1.6681244317781636E-2</v>
      </c>
      <c r="CA62" s="61">
        <v>1.6514431874603819E-2</v>
      </c>
      <c r="CB62" s="61">
        <v>1.634928755585778E-2</v>
      </c>
      <c r="CC62" s="61">
        <v>1.6185794680299202E-2</v>
      </c>
      <c r="CD62" s="61">
        <v>1.6023936733496211E-2</v>
      </c>
      <c r="CE62" s="61">
        <v>1.586369736616125E-2</v>
      </c>
      <c r="CF62" s="61">
        <v>1.5705060392499637E-2</v>
      </c>
      <c r="CG62" s="61">
        <v>1.5548009788574641E-2</v>
      </c>
      <c r="CH62" s="61">
        <v>1.5392529690688895E-2</v>
      </c>
      <c r="CI62" s="61">
        <v>1.5238604393782006E-2</v>
      </c>
      <c r="CJ62" s="61">
        <v>1.5086218349844187E-2</v>
      </c>
      <c r="CK62" s="61">
        <v>1.4935356166345745E-2</v>
      </c>
      <c r="CL62" s="61">
        <v>1.4786002604682286E-2</v>
      </c>
      <c r="CM62" s="61">
        <v>1.4638142578635464E-2</v>
      </c>
      <c r="CN62" s="61">
        <v>1.4491761152849109E-2</v>
      </c>
      <c r="CO62" s="61">
        <v>1.4346843541320618E-2</v>
      </c>
      <c r="CP62" s="61">
        <v>1.4203375105907412E-2</v>
      </c>
      <c r="CQ62" s="61">
        <v>1.4061341354848338E-2</v>
      </c>
      <c r="CR62" s="61">
        <v>1.3920727941299855E-2</v>
      </c>
      <c r="CS62" s="61">
        <v>1.3781520661886856E-2</v>
      </c>
      <c r="CT62" s="61">
        <v>1.3643705455267987E-2</v>
      </c>
      <c r="CU62" s="61">
        <v>1.3507268400715308E-2</v>
      </c>
      <c r="CV62" s="61">
        <v>1.3372195716708155E-2</v>
      </c>
      <c r="CW62" s="61">
        <v>1.3238473759541073E-2</v>
      </c>
      <c r="CX62" s="61">
        <v>1.3106089021945662E-2</v>
      </c>
      <c r="CY62" s="53">
        <v>1.2975028131726206E-2</v>
      </c>
    </row>
    <row r="63" spans="1:103">
      <c r="A63" s="60">
        <v>81</v>
      </c>
      <c r="B63" s="60">
        <v>3.8782999999999998E-2</v>
      </c>
      <c r="C63" s="60">
        <v>3.8612354799999998E-2</v>
      </c>
      <c r="D63" s="60">
        <v>3.8423154261479998E-2</v>
      </c>
      <c r="E63" s="60">
        <v>3.8207984597615707E-2</v>
      </c>
      <c r="F63" s="60">
        <v>3.796727429465073E-2</v>
      </c>
      <c r="G63" s="60">
        <v>3.7697706647158713E-2</v>
      </c>
      <c r="H63" s="60">
        <v>3.7399894764646162E-2</v>
      </c>
      <c r="I63" s="60">
        <v>3.7081995659146674E-2</v>
      </c>
      <c r="J63" s="60">
        <v>3.6744549498648436E-2</v>
      </c>
      <c r="K63" s="60">
        <v>3.6395476278411276E-2</v>
      </c>
      <c r="L63" s="60">
        <v>3.6042440158510686E-2</v>
      </c>
      <c r="M63" s="60">
        <v>3.5692828488973129E-2</v>
      </c>
      <c r="N63" s="60">
        <v>3.5346608052630089E-2</v>
      </c>
      <c r="O63" s="60">
        <v>3.5003745954519577E-2</v>
      </c>
      <c r="P63" s="60">
        <v>3.4667709993356187E-2</v>
      </c>
      <c r="Q63" s="60">
        <v>3.4334899977419966E-2</v>
      </c>
      <c r="R63" s="60">
        <v>3.4001851447638988E-2</v>
      </c>
      <c r="S63" s="60">
        <v>3.3672033488596889E-2</v>
      </c>
      <c r="T63" s="61">
        <v>3.3342047560408636E-2</v>
      </c>
      <c r="U63" s="61">
        <v>3.301196128956059E-2</v>
      </c>
      <c r="V63" s="61">
        <v>3.2681841676664984E-2</v>
      </c>
      <c r="W63" s="61">
        <v>3.2355023259898336E-2</v>
      </c>
      <c r="X63" s="61">
        <v>3.2031473027299355E-2</v>
      </c>
      <c r="Y63" s="61">
        <v>3.1711158297026358E-2</v>
      </c>
      <c r="Z63" s="61">
        <v>3.1394046714056094E-2</v>
      </c>
      <c r="AA63" s="61">
        <v>3.1080106246915533E-2</v>
      </c>
      <c r="AB63" s="61">
        <v>3.0769305184446379E-2</v>
      </c>
      <c r="AC63" s="61">
        <v>3.0461612132601915E-2</v>
      </c>
      <c r="AD63" s="61">
        <v>3.0156996011275895E-2</v>
      </c>
      <c r="AE63" s="61">
        <v>2.9855426051163137E-2</v>
      </c>
      <c r="AF63" s="61">
        <v>2.9556871790651505E-2</v>
      </c>
      <c r="AG63" s="61">
        <v>2.926130307274499E-2</v>
      </c>
      <c r="AH63" s="61">
        <v>2.8968690042017541E-2</v>
      </c>
      <c r="AI63" s="61">
        <v>2.8679003141597364E-2</v>
      </c>
      <c r="AJ63" s="61">
        <v>2.8392213110181391E-2</v>
      </c>
      <c r="AK63" s="61">
        <v>2.8108290979079575E-2</v>
      </c>
      <c r="AL63" s="61">
        <v>2.7827208069288779E-2</v>
      </c>
      <c r="AM63" s="61">
        <v>2.7548935988595889E-2</v>
      </c>
      <c r="AN63" s="61">
        <v>2.7273446628709931E-2</v>
      </c>
      <c r="AO63" s="61">
        <v>2.7000712162422832E-2</v>
      </c>
      <c r="AP63" s="61">
        <v>2.6730705040798605E-2</v>
      </c>
      <c r="AQ63" s="61">
        <v>2.646339799039062E-2</v>
      </c>
      <c r="AR63" s="61">
        <v>2.6198764010486715E-2</v>
      </c>
      <c r="AS63" s="61">
        <v>2.5936776370381848E-2</v>
      </c>
      <c r="AT63" s="61">
        <v>2.567740860667803E-2</v>
      </c>
      <c r="AU63" s="61">
        <v>2.542063452061125E-2</v>
      </c>
      <c r="AV63" s="61">
        <v>2.5166428175405136E-2</v>
      </c>
      <c r="AW63" s="61">
        <v>2.4914763893651083E-2</v>
      </c>
      <c r="AX63" s="61">
        <v>2.4665616254714574E-2</v>
      </c>
      <c r="AY63" s="61">
        <v>2.4418960092167426E-2</v>
      </c>
      <c r="AZ63" s="61">
        <v>2.4174770491245751E-2</v>
      </c>
      <c r="BA63" s="61">
        <v>2.3933022786333292E-2</v>
      </c>
      <c r="BB63" s="61">
        <v>2.369369255846996E-2</v>
      </c>
      <c r="BC63" s="61">
        <v>2.3456755632885261E-2</v>
      </c>
      <c r="BD63" s="61">
        <v>2.3222188076556408E-2</v>
      </c>
      <c r="BE63" s="61">
        <v>2.2989966195790842E-2</v>
      </c>
      <c r="BF63" s="61">
        <v>2.2760066533832935E-2</v>
      </c>
      <c r="BG63" s="61">
        <v>2.2532465868494604E-2</v>
      </c>
      <c r="BH63" s="61">
        <v>2.2307141209809658E-2</v>
      </c>
      <c r="BI63" s="61">
        <v>2.2084069797711561E-2</v>
      </c>
      <c r="BJ63" s="61">
        <v>2.1863229099734444E-2</v>
      </c>
      <c r="BK63" s="61">
        <v>2.16445968087371E-2</v>
      </c>
      <c r="BL63" s="61">
        <v>2.142815084064973E-2</v>
      </c>
      <c r="BM63" s="61">
        <v>2.1213869332243233E-2</v>
      </c>
      <c r="BN63" s="61">
        <v>2.1001730638920801E-2</v>
      </c>
      <c r="BO63" s="61">
        <v>2.0791713332531592E-2</v>
      </c>
      <c r="BP63" s="61">
        <v>2.0583796199206278E-2</v>
      </c>
      <c r="BQ63" s="61">
        <v>2.0377958237214215E-2</v>
      </c>
      <c r="BR63" s="61">
        <v>2.0174178654842074E-2</v>
      </c>
      <c r="BS63" s="61">
        <v>1.9972436868293652E-2</v>
      </c>
      <c r="BT63" s="61">
        <v>1.9772712499610715E-2</v>
      </c>
      <c r="BU63" s="61">
        <v>1.9574985374614606E-2</v>
      </c>
      <c r="BV63" s="61">
        <v>1.9379235520868461E-2</v>
      </c>
      <c r="BW63" s="61">
        <v>1.9185443165659778E-2</v>
      </c>
      <c r="BX63" s="61">
        <v>1.899358873400318E-2</v>
      </c>
      <c r="BY63" s="61">
        <v>1.8803652846663146E-2</v>
      </c>
      <c r="BZ63" s="61">
        <v>1.8615616318196516E-2</v>
      </c>
      <c r="CA63" s="61">
        <v>1.8429460155014551E-2</v>
      </c>
      <c r="CB63" s="61">
        <v>1.8245165553464407E-2</v>
      </c>
      <c r="CC63" s="61">
        <v>1.8062713897929763E-2</v>
      </c>
      <c r="CD63" s="61">
        <v>1.7882086758950463E-2</v>
      </c>
      <c r="CE63" s="61">
        <v>1.770326589136096E-2</v>
      </c>
      <c r="CF63" s="61">
        <v>1.7526233232447352E-2</v>
      </c>
      <c r="CG63" s="61">
        <v>1.7350970900122879E-2</v>
      </c>
      <c r="CH63" s="61">
        <v>1.7177461191121651E-2</v>
      </c>
      <c r="CI63" s="61">
        <v>1.7005686579210436E-2</v>
      </c>
      <c r="CJ63" s="61">
        <v>1.6835629713418333E-2</v>
      </c>
      <c r="CK63" s="61">
        <v>1.6667273416284149E-2</v>
      </c>
      <c r="CL63" s="61">
        <v>1.6500600682121308E-2</v>
      </c>
      <c r="CM63" s="61">
        <v>1.6335594675300096E-2</v>
      </c>
      <c r="CN63" s="61">
        <v>1.6172238728547093E-2</v>
      </c>
      <c r="CO63" s="61">
        <v>1.6010516341261622E-2</v>
      </c>
      <c r="CP63" s="61">
        <v>1.5850411177849005E-2</v>
      </c>
      <c r="CQ63" s="61">
        <v>1.5691907066070515E-2</v>
      </c>
      <c r="CR63" s="61">
        <v>1.553498799540981E-2</v>
      </c>
      <c r="CS63" s="61">
        <v>1.5379638115455712E-2</v>
      </c>
      <c r="CT63" s="61">
        <v>1.5225841734301155E-2</v>
      </c>
      <c r="CU63" s="61">
        <v>1.5073583316958144E-2</v>
      </c>
      <c r="CV63" s="61">
        <v>1.4922847483788563E-2</v>
      </c>
      <c r="CW63" s="61">
        <v>1.4773619008950677E-2</v>
      </c>
      <c r="CX63" s="61">
        <v>1.462588281886117E-2</v>
      </c>
      <c r="CY63" s="53">
        <v>1.4479623990672558E-2</v>
      </c>
    </row>
    <row r="64" spans="1:103">
      <c r="A64" s="60">
        <v>82</v>
      </c>
      <c r="B64" s="60">
        <v>4.3246E-2</v>
      </c>
      <c r="C64" s="60">
        <v>4.3073015999999999E-2</v>
      </c>
      <c r="D64" s="60">
        <v>4.2879187428000003E-2</v>
      </c>
      <c r="E64" s="60">
        <v>4.2660503572117203E-2</v>
      </c>
      <c r="F64" s="60">
        <v>4.240880660104171E-2</v>
      </c>
      <c r="G64" s="60">
        <v>4.2124667596814727E-2</v>
      </c>
      <c r="H64" s="60">
        <v>4.1808732589838617E-2</v>
      </c>
      <c r="I64" s="60">
        <v>4.1461720109342959E-2</v>
      </c>
      <c r="J64" s="60">
        <v>4.1092710800369803E-2</v>
      </c>
      <c r="K64" s="60">
        <v>4.0710548589926364E-2</v>
      </c>
      <c r="L64" s="60">
        <v>4.0323798378322062E-2</v>
      </c>
      <c r="M64" s="60">
        <v>3.9936689913890169E-2</v>
      </c>
      <c r="N64" s="60">
        <v>3.9549304021725434E-2</v>
      </c>
      <c r="O64" s="60">
        <v>3.9165675772714695E-2</v>
      </c>
      <c r="P64" s="60">
        <v>3.8785768717719361E-2</v>
      </c>
      <c r="Q64" s="60">
        <v>3.840954676115748E-2</v>
      </c>
      <c r="R64" s="60">
        <v>3.8036974157574253E-2</v>
      </c>
      <c r="S64" s="60">
        <v>3.7664211810830024E-2</v>
      </c>
      <c r="T64" s="61">
        <v>3.7291336113902805E-2</v>
      </c>
      <c r="U64" s="61">
        <v>3.6918422752763774E-2</v>
      </c>
      <c r="V64" s="61">
        <v>3.6549238525236137E-2</v>
      </c>
      <c r="W64" s="61">
        <v>3.6183746139983777E-2</v>
      </c>
      <c r="X64" s="61">
        <v>3.5821908678583939E-2</v>
      </c>
      <c r="Y64" s="61">
        <v>3.5463689591798096E-2</v>
      </c>
      <c r="Z64" s="61">
        <v>3.5109052695880112E-2</v>
      </c>
      <c r="AA64" s="61">
        <v>3.4757962168921311E-2</v>
      </c>
      <c r="AB64" s="61">
        <v>3.4410382547232096E-2</v>
      </c>
      <c r="AC64" s="61">
        <v>3.4066278721759775E-2</v>
      </c>
      <c r="AD64" s="61">
        <v>3.372561593454218E-2</v>
      </c>
      <c r="AE64" s="61">
        <v>3.338835977519676E-2</v>
      </c>
      <c r="AF64" s="61">
        <v>3.3054476177444794E-2</v>
      </c>
      <c r="AG64" s="61">
        <v>3.2723931415670343E-2</v>
      </c>
      <c r="AH64" s="61">
        <v>3.2396692101513642E-2</v>
      </c>
      <c r="AI64" s="61">
        <v>3.2072725180498508E-2</v>
      </c>
      <c r="AJ64" s="61">
        <v>3.1751997928693522E-2</v>
      </c>
      <c r="AK64" s="61">
        <v>3.1434477949406583E-2</v>
      </c>
      <c r="AL64" s="61">
        <v>3.1120133169912516E-2</v>
      </c>
      <c r="AM64" s="61">
        <v>3.0808931838213389E-2</v>
      </c>
      <c r="AN64" s="61">
        <v>3.0500842519831255E-2</v>
      </c>
      <c r="AO64" s="61">
        <v>3.0195834094632942E-2</v>
      </c>
      <c r="AP64" s="61">
        <v>2.9893875753686613E-2</v>
      </c>
      <c r="AQ64" s="61">
        <v>2.9594936996149748E-2</v>
      </c>
      <c r="AR64" s="61">
        <v>2.9298987626188249E-2</v>
      </c>
      <c r="AS64" s="61">
        <v>2.9005997749926366E-2</v>
      </c>
      <c r="AT64" s="61">
        <v>2.8715937772427102E-2</v>
      </c>
      <c r="AU64" s="61">
        <v>2.8428778394702831E-2</v>
      </c>
      <c r="AV64" s="61">
        <v>2.8144490610755801E-2</v>
      </c>
      <c r="AW64" s="61">
        <v>2.7863045704648242E-2</v>
      </c>
      <c r="AX64" s="61">
        <v>2.758441524760176E-2</v>
      </c>
      <c r="AY64" s="61">
        <v>2.7308571095125741E-2</v>
      </c>
      <c r="AZ64" s="61">
        <v>2.7035485384174482E-2</v>
      </c>
      <c r="BA64" s="61">
        <v>2.6765130530332738E-2</v>
      </c>
      <c r="BB64" s="61">
        <v>2.6497479225029409E-2</v>
      </c>
      <c r="BC64" s="61">
        <v>2.6232504432779115E-2</v>
      </c>
      <c r="BD64" s="61">
        <v>2.5970179388451323E-2</v>
      </c>
      <c r="BE64" s="61">
        <v>2.5710477594566808E-2</v>
      </c>
      <c r="BF64" s="61">
        <v>2.5453372818621138E-2</v>
      </c>
      <c r="BG64" s="61">
        <v>2.5198839090434928E-2</v>
      </c>
      <c r="BH64" s="61">
        <v>2.4946850699530579E-2</v>
      </c>
      <c r="BI64" s="61">
        <v>2.4697382192535273E-2</v>
      </c>
      <c r="BJ64" s="61">
        <v>2.4450408370609921E-2</v>
      </c>
      <c r="BK64" s="61">
        <v>2.420590428690382E-2</v>
      </c>
      <c r="BL64" s="61">
        <v>2.3963845244034783E-2</v>
      </c>
      <c r="BM64" s="61">
        <v>2.3724206791594434E-2</v>
      </c>
      <c r="BN64" s="61">
        <v>2.3486964723678488E-2</v>
      </c>
      <c r="BO64" s="61">
        <v>2.3252095076441704E-2</v>
      </c>
      <c r="BP64" s="61">
        <v>2.3019574125677286E-2</v>
      </c>
      <c r="BQ64" s="61">
        <v>2.2789378384420512E-2</v>
      </c>
      <c r="BR64" s="61">
        <v>2.2561484600576307E-2</v>
      </c>
      <c r="BS64" s="61">
        <v>2.2335869754570543E-2</v>
      </c>
      <c r="BT64" s="61">
        <v>2.2112511057024838E-2</v>
      </c>
      <c r="BU64" s="61">
        <v>2.1891385946454588E-2</v>
      </c>
      <c r="BV64" s="61">
        <v>2.1672472086990042E-2</v>
      </c>
      <c r="BW64" s="61">
        <v>2.1455747366120142E-2</v>
      </c>
      <c r="BX64" s="61">
        <v>2.1241189892458941E-2</v>
      </c>
      <c r="BY64" s="61">
        <v>2.1028777993534351E-2</v>
      </c>
      <c r="BZ64" s="61">
        <v>2.0818490213599009E-2</v>
      </c>
      <c r="CA64" s="61">
        <v>2.0610305311463017E-2</v>
      </c>
      <c r="CB64" s="61">
        <v>2.0404202258348388E-2</v>
      </c>
      <c r="CC64" s="61">
        <v>2.0200160235764902E-2</v>
      </c>
      <c r="CD64" s="61">
        <v>1.9998158633407252E-2</v>
      </c>
      <c r="CE64" s="61">
        <v>1.9798177047073179E-2</v>
      </c>
      <c r="CF64" s="61">
        <v>1.9600195276602447E-2</v>
      </c>
      <c r="CG64" s="61">
        <v>1.9404193323836423E-2</v>
      </c>
      <c r="CH64" s="61">
        <v>1.9210151390598059E-2</v>
      </c>
      <c r="CI64" s="61">
        <v>1.9018049876692079E-2</v>
      </c>
      <c r="CJ64" s="61">
        <v>1.8827869377925157E-2</v>
      </c>
      <c r="CK64" s="61">
        <v>1.8639590684145904E-2</v>
      </c>
      <c r="CL64" s="61">
        <v>1.8453194777304446E-2</v>
      </c>
      <c r="CM64" s="61">
        <v>1.82686628295314E-2</v>
      </c>
      <c r="CN64" s="61">
        <v>1.8085976201236087E-2</v>
      </c>
      <c r="CO64" s="61">
        <v>1.7905116439223726E-2</v>
      </c>
      <c r="CP64" s="61">
        <v>1.7726065274831487E-2</v>
      </c>
      <c r="CQ64" s="61">
        <v>1.7548804622083171E-2</v>
      </c>
      <c r="CR64" s="61">
        <v>1.737331657586234E-2</v>
      </c>
      <c r="CS64" s="61">
        <v>1.7199583410103716E-2</v>
      </c>
      <c r="CT64" s="61">
        <v>1.702758757600268E-2</v>
      </c>
      <c r="CU64" s="61">
        <v>1.6857311700242652E-2</v>
      </c>
      <c r="CV64" s="61">
        <v>1.6688738583240225E-2</v>
      </c>
      <c r="CW64" s="61">
        <v>1.6521851197407823E-2</v>
      </c>
      <c r="CX64" s="61">
        <v>1.6356632685433744E-2</v>
      </c>
      <c r="CY64" s="53">
        <v>1.6193066358579405E-2</v>
      </c>
    </row>
    <row r="65" spans="1:103">
      <c r="A65" s="60">
        <v>83</v>
      </c>
      <c r="B65" s="60">
        <v>4.8305000000000001E-2</v>
      </c>
      <c r="C65" s="60">
        <v>4.8126271499999998E-2</v>
      </c>
      <c r="D65" s="60">
        <v>4.7928953786849998E-2</v>
      </c>
      <c r="E65" s="60">
        <v>4.769889480867312E-2</v>
      </c>
      <c r="F65" s="60">
        <v>4.7436550887225419E-2</v>
      </c>
      <c r="G65" s="60">
        <v>4.71377006166359E-2</v>
      </c>
      <c r="H65" s="60">
        <v>4.6798309172196122E-2</v>
      </c>
      <c r="I65" s="60">
        <v>4.6423922698818551E-2</v>
      </c>
      <c r="J65" s="60">
        <v>4.6024676963608707E-2</v>
      </c>
      <c r="K65" s="60">
        <v>4.5605852403239867E-2</v>
      </c>
      <c r="L65" s="60">
        <v>4.5177157390649411E-2</v>
      </c>
      <c r="M65" s="60">
        <v>4.4747974395438241E-2</v>
      </c>
      <c r="N65" s="60">
        <v>4.4318393841242032E-2</v>
      </c>
      <c r="O65" s="60">
        <v>4.388850542098198E-2</v>
      </c>
      <c r="P65" s="60">
        <v>4.3462786918398451E-2</v>
      </c>
      <c r="Q65" s="60">
        <v>4.3041197885289983E-2</v>
      </c>
      <c r="R65" s="60">
        <v>4.2623698265802666E-2</v>
      </c>
      <c r="S65" s="60">
        <v>4.2205986022797799E-2</v>
      </c>
      <c r="T65" s="61">
        <v>4.1788146761172103E-2</v>
      </c>
      <c r="U65" s="61">
        <v>4.1370265293560381E-2</v>
      </c>
      <c r="V65" s="61">
        <v>4.0956562640624777E-2</v>
      </c>
      <c r="W65" s="61">
        <v>4.054699701421853E-2</v>
      </c>
      <c r="X65" s="61">
        <v>4.0141527044076343E-2</v>
      </c>
      <c r="Y65" s="61">
        <v>3.9740111773635581E-2</v>
      </c>
      <c r="Z65" s="61">
        <v>3.9342710655899227E-2</v>
      </c>
      <c r="AA65" s="61">
        <v>3.8949283549340234E-2</v>
      </c>
      <c r="AB65" s="61">
        <v>3.8559790713846832E-2</v>
      </c>
      <c r="AC65" s="61">
        <v>3.8174192806708362E-2</v>
      </c>
      <c r="AD65" s="61">
        <v>3.7792450878641276E-2</v>
      </c>
      <c r="AE65" s="61">
        <v>3.7414526369854866E-2</v>
      </c>
      <c r="AF65" s="61">
        <v>3.7040381106156317E-2</v>
      </c>
      <c r="AG65" s="61">
        <v>3.6669977295094754E-2</v>
      </c>
      <c r="AH65" s="61">
        <v>3.6303277522143809E-2</v>
      </c>
      <c r="AI65" s="61">
        <v>3.5940244746922367E-2</v>
      </c>
      <c r="AJ65" s="61">
        <v>3.5580842299453144E-2</v>
      </c>
      <c r="AK65" s="61">
        <v>3.522503387645861E-2</v>
      </c>
      <c r="AL65" s="61">
        <v>3.4872783537694026E-2</v>
      </c>
      <c r="AM65" s="61">
        <v>3.4524055702317084E-2</v>
      </c>
      <c r="AN65" s="61">
        <v>3.417881514529391E-2</v>
      </c>
      <c r="AO65" s="61">
        <v>3.3837026993840974E-2</v>
      </c>
      <c r="AP65" s="61">
        <v>3.3498656723902565E-2</v>
      </c>
      <c r="AQ65" s="61">
        <v>3.3163670156663536E-2</v>
      </c>
      <c r="AR65" s="61">
        <v>3.2832033455096901E-2</v>
      </c>
      <c r="AS65" s="61">
        <v>3.2503713120545931E-2</v>
      </c>
      <c r="AT65" s="61">
        <v>3.2178675989340474E-2</v>
      </c>
      <c r="AU65" s="61">
        <v>3.1856889229447072E-2</v>
      </c>
      <c r="AV65" s="61">
        <v>3.1538320337152599E-2</v>
      </c>
      <c r="AW65" s="61">
        <v>3.1222937133781072E-2</v>
      </c>
      <c r="AX65" s="61">
        <v>3.091070776244326E-2</v>
      </c>
      <c r="AY65" s="61">
        <v>3.0601600684818826E-2</v>
      </c>
      <c r="AZ65" s="61">
        <v>3.0295584677970638E-2</v>
      </c>
      <c r="BA65" s="61">
        <v>2.9992628831190932E-2</v>
      </c>
      <c r="BB65" s="61">
        <v>2.9692702542879024E-2</v>
      </c>
      <c r="BC65" s="61">
        <v>2.9395775517450234E-2</v>
      </c>
      <c r="BD65" s="61">
        <v>2.9101817762275731E-2</v>
      </c>
      <c r="BE65" s="61">
        <v>2.8810799584652973E-2</v>
      </c>
      <c r="BF65" s="61">
        <v>2.8522691588806444E-2</v>
      </c>
      <c r="BG65" s="61">
        <v>2.8237464672918378E-2</v>
      </c>
      <c r="BH65" s="61">
        <v>2.7955090026189195E-2</v>
      </c>
      <c r="BI65" s="61">
        <v>2.7675539125927302E-2</v>
      </c>
      <c r="BJ65" s="61">
        <v>2.7398783734668031E-2</v>
      </c>
      <c r="BK65" s="61">
        <v>2.7124795897321349E-2</v>
      </c>
      <c r="BL65" s="61">
        <v>2.6853547938348137E-2</v>
      </c>
      <c r="BM65" s="61">
        <v>2.6585012458964656E-2</v>
      </c>
      <c r="BN65" s="61">
        <v>2.631916233437501E-2</v>
      </c>
      <c r="BO65" s="61">
        <v>2.6055970711031259E-2</v>
      </c>
      <c r="BP65" s="61">
        <v>2.5795411003920948E-2</v>
      </c>
      <c r="BQ65" s="61">
        <v>2.553745689388174E-2</v>
      </c>
      <c r="BR65" s="61">
        <v>2.5282082324942921E-2</v>
      </c>
      <c r="BS65" s="61">
        <v>2.5029261501693493E-2</v>
      </c>
      <c r="BT65" s="61">
        <v>2.4778968886676557E-2</v>
      </c>
      <c r="BU65" s="61">
        <v>2.453117919780979E-2</v>
      </c>
      <c r="BV65" s="61">
        <v>2.428586740583169E-2</v>
      </c>
      <c r="BW65" s="61">
        <v>2.4043008731773372E-2</v>
      </c>
      <c r="BX65" s="61">
        <v>2.3802578644455639E-2</v>
      </c>
      <c r="BY65" s="61">
        <v>2.3564552858011081E-2</v>
      </c>
      <c r="BZ65" s="61">
        <v>2.3328907329430972E-2</v>
      </c>
      <c r="CA65" s="61">
        <v>2.3095618256136662E-2</v>
      </c>
      <c r="CB65" s="61">
        <v>2.2864662073575296E-2</v>
      </c>
      <c r="CC65" s="61">
        <v>2.2636015452839543E-2</v>
      </c>
      <c r="CD65" s="61">
        <v>2.2409655298311147E-2</v>
      </c>
      <c r="CE65" s="61">
        <v>2.2185558745328036E-2</v>
      </c>
      <c r="CF65" s="61">
        <v>2.1963703157874756E-2</v>
      </c>
      <c r="CG65" s="61">
        <v>2.1744066126296008E-2</v>
      </c>
      <c r="CH65" s="61">
        <v>2.1526625465033047E-2</v>
      </c>
      <c r="CI65" s="61">
        <v>2.1311359210382717E-2</v>
      </c>
      <c r="CJ65" s="61">
        <v>2.1098245618278888E-2</v>
      </c>
      <c r="CK65" s="61">
        <v>2.08872631620961E-2</v>
      </c>
      <c r="CL65" s="61">
        <v>2.0678390530475137E-2</v>
      </c>
      <c r="CM65" s="61">
        <v>2.0471606625170388E-2</v>
      </c>
      <c r="CN65" s="61">
        <v>2.0266890558918685E-2</v>
      </c>
      <c r="CO65" s="61">
        <v>2.0064221653329498E-2</v>
      </c>
      <c r="CP65" s="61">
        <v>1.9863579436796203E-2</v>
      </c>
      <c r="CQ65" s="61">
        <v>1.966494364242824E-2</v>
      </c>
      <c r="CR65" s="61">
        <v>1.9468294206003958E-2</v>
      </c>
      <c r="CS65" s="61">
        <v>1.9273611263943918E-2</v>
      </c>
      <c r="CT65" s="61">
        <v>1.908087515130448E-2</v>
      </c>
      <c r="CU65" s="61">
        <v>1.8890066399791437E-2</v>
      </c>
      <c r="CV65" s="61">
        <v>1.8701165735793522E-2</v>
      </c>
      <c r="CW65" s="61">
        <v>1.8514154078435586E-2</v>
      </c>
      <c r="CX65" s="61">
        <v>1.8329012537651231E-2</v>
      </c>
      <c r="CY65" s="53">
        <v>1.8145722412274717E-2</v>
      </c>
    </row>
    <row r="66" spans="1:103">
      <c r="A66" s="60">
        <v>84</v>
      </c>
      <c r="B66" s="60">
        <v>5.4031999999999997E-2</v>
      </c>
      <c r="C66" s="60">
        <v>5.3848291200000002E-2</v>
      </c>
      <c r="D66" s="60">
        <v>5.363828286432E-2</v>
      </c>
      <c r="E66" s="60">
        <v>5.3396910591430563E-2</v>
      </c>
      <c r="F66" s="60">
        <v>5.3119246656355125E-2</v>
      </c>
      <c r="G66" s="60">
        <v>5.2800531176416997E-2</v>
      </c>
      <c r="H66" s="60">
        <v>5.2441487564417362E-2</v>
      </c>
      <c r="I66" s="60">
        <v>5.2042932258927789E-2</v>
      </c>
      <c r="J66" s="60">
        <v>5.1610975921178692E-2</v>
      </c>
      <c r="K66" s="60">
        <v>5.1151638235480204E-2</v>
      </c>
      <c r="L66" s="60">
        <v>5.0681043163713788E-2</v>
      </c>
      <c r="M66" s="60">
        <v>5.020464135797488E-2</v>
      </c>
      <c r="N66" s="60">
        <v>4.9727697265074124E-2</v>
      </c>
      <c r="O66" s="60">
        <v>4.925031137132941E-2</v>
      </c>
      <c r="P66" s="60">
        <v>4.8772583351027514E-2</v>
      </c>
      <c r="Q66" s="60">
        <v>4.8299489292522542E-2</v>
      </c>
      <c r="R66" s="60">
        <v>4.7830984246385072E-2</v>
      </c>
      <c r="S66" s="60">
        <v>4.7362240600770496E-2</v>
      </c>
      <c r="T66" s="61">
        <v>4.6893354418822863E-2</v>
      </c>
      <c r="U66" s="61">
        <v>4.6424420874634637E-2</v>
      </c>
      <c r="V66" s="61">
        <v>4.5960176665888287E-2</v>
      </c>
      <c r="W66" s="61">
        <v>4.5500574899229401E-2</v>
      </c>
      <c r="X66" s="61">
        <v>4.5045569150237108E-2</v>
      </c>
      <c r="Y66" s="61">
        <v>4.4595113458734736E-2</v>
      </c>
      <c r="Z66" s="61">
        <v>4.4149162324147388E-2</v>
      </c>
      <c r="AA66" s="61">
        <v>4.3707670700905914E-2</v>
      </c>
      <c r="AB66" s="61">
        <v>4.3270593993896857E-2</v>
      </c>
      <c r="AC66" s="61">
        <v>4.2837888053957884E-2</v>
      </c>
      <c r="AD66" s="61">
        <v>4.2409509173418306E-2</v>
      </c>
      <c r="AE66" s="61">
        <v>4.1985414081684123E-2</v>
      </c>
      <c r="AF66" s="61">
        <v>4.1565559940867282E-2</v>
      </c>
      <c r="AG66" s="61">
        <v>4.1149904341458605E-2</v>
      </c>
      <c r="AH66" s="61">
        <v>4.0738405298044018E-2</v>
      </c>
      <c r="AI66" s="61">
        <v>4.0331021245063575E-2</v>
      </c>
      <c r="AJ66" s="61">
        <v>3.9927711032612938E-2</v>
      </c>
      <c r="AK66" s="61">
        <v>3.9528433922286811E-2</v>
      </c>
      <c r="AL66" s="61">
        <v>3.9133149583063943E-2</v>
      </c>
      <c r="AM66" s="61">
        <v>3.8741818087233301E-2</v>
      </c>
      <c r="AN66" s="61">
        <v>3.835439990636097E-2</v>
      </c>
      <c r="AO66" s="61">
        <v>3.797085590729736E-2</v>
      </c>
      <c r="AP66" s="61">
        <v>3.7591147348224385E-2</v>
      </c>
      <c r="AQ66" s="61">
        <v>3.7215235874742139E-2</v>
      </c>
      <c r="AR66" s="61">
        <v>3.6843083515994718E-2</v>
      </c>
      <c r="AS66" s="61">
        <v>3.6474652680834774E-2</v>
      </c>
      <c r="AT66" s="61">
        <v>3.6109906154026428E-2</v>
      </c>
      <c r="AU66" s="61">
        <v>3.5748807092486165E-2</v>
      </c>
      <c r="AV66" s="61">
        <v>3.5391319021561306E-2</v>
      </c>
      <c r="AW66" s="61">
        <v>3.5037405831345694E-2</v>
      </c>
      <c r="AX66" s="61">
        <v>3.4687031773032236E-2</v>
      </c>
      <c r="AY66" s="61">
        <v>3.4340161455301915E-2</v>
      </c>
      <c r="AZ66" s="61">
        <v>3.3996759840748896E-2</v>
      </c>
      <c r="BA66" s="61">
        <v>3.3656792242341409E-2</v>
      </c>
      <c r="BB66" s="61">
        <v>3.3320224319917997E-2</v>
      </c>
      <c r="BC66" s="61">
        <v>3.2987022076718817E-2</v>
      </c>
      <c r="BD66" s="61">
        <v>3.2657151855951631E-2</v>
      </c>
      <c r="BE66" s="61">
        <v>3.2330580337392112E-2</v>
      </c>
      <c r="BF66" s="61">
        <v>3.2007274534018193E-2</v>
      </c>
      <c r="BG66" s="61">
        <v>3.168720178867801E-2</v>
      </c>
      <c r="BH66" s="61">
        <v>3.1370329770791232E-2</v>
      </c>
      <c r="BI66" s="61">
        <v>3.1056626473083319E-2</v>
      </c>
      <c r="BJ66" s="61">
        <v>3.0746060208352487E-2</v>
      </c>
      <c r="BK66" s="61">
        <v>3.0438599606268962E-2</v>
      </c>
      <c r="BL66" s="61">
        <v>3.0134213610206271E-2</v>
      </c>
      <c r="BM66" s="61">
        <v>2.9832871474104208E-2</v>
      </c>
      <c r="BN66" s="61">
        <v>2.9534542759363167E-2</v>
      </c>
      <c r="BO66" s="61">
        <v>2.9239197331769533E-2</v>
      </c>
      <c r="BP66" s="61">
        <v>2.8946805358451837E-2</v>
      </c>
      <c r="BQ66" s="61">
        <v>2.8657337304867317E-2</v>
      </c>
      <c r="BR66" s="61">
        <v>2.8370763931818643E-2</v>
      </c>
      <c r="BS66" s="61">
        <v>2.8087056292500457E-2</v>
      </c>
      <c r="BT66" s="61">
        <v>2.7806185729575453E-2</v>
      </c>
      <c r="BU66" s="61">
        <v>2.7528123872279698E-2</v>
      </c>
      <c r="BV66" s="61">
        <v>2.7252842633556901E-2</v>
      </c>
      <c r="BW66" s="61">
        <v>2.6980314207221332E-2</v>
      </c>
      <c r="BX66" s="61">
        <v>2.6710511065149118E-2</v>
      </c>
      <c r="BY66" s="61">
        <v>2.6443405954497626E-2</v>
      </c>
      <c r="BZ66" s="61">
        <v>2.6178971894952649E-2</v>
      </c>
      <c r="CA66" s="61">
        <v>2.5917182176003122E-2</v>
      </c>
      <c r="CB66" s="61">
        <v>2.5658010354243092E-2</v>
      </c>
      <c r="CC66" s="61">
        <v>2.5401430250700661E-2</v>
      </c>
      <c r="CD66" s="61">
        <v>2.5147415948193655E-2</v>
      </c>
      <c r="CE66" s="61">
        <v>2.4895941788711719E-2</v>
      </c>
      <c r="CF66" s="61">
        <v>2.4646982370824601E-2</v>
      </c>
      <c r="CG66" s="61">
        <v>2.4400512547116355E-2</v>
      </c>
      <c r="CH66" s="61">
        <v>2.4156507421645192E-2</v>
      </c>
      <c r="CI66" s="61">
        <v>2.391494234742874E-2</v>
      </c>
      <c r="CJ66" s="61">
        <v>2.3675792923954452E-2</v>
      </c>
      <c r="CK66" s="61">
        <v>2.3439034994714909E-2</v>
      </c>
      <c r="CL66" s="61">
        <v>2.320464464476776E-2</v>
      </c>
      <c r="CM66" s="61">
        <v>2.2972598198320083E-2</v>
      </c>
      <c r="CN66" s="61">
        <v>2.2742872216336883E-2</v>
      </c>
      <c r="CO66" s="61">
        <v>2.2515443494173514E-2</v>
      </c>
      <c r="CP66" s="61">
        <v>2.2290289059231781E-2</v>
      </c>
      <c r="CQ66" s="61">
        <v>2.2067386168639461E-2</v>
      </c>
      <c r="CR66" s="61">
        <v>2.1846712306953068E-2</v>
      </c>
      <c r="CS66" s="61">
        <v>2.1628245183883538E-2</v>
      </c>
      <c r="CT66" s="61">
        <v>2.1411962732044702E-2</v>
      </c>
      <c r="CU66" s="61">
        <v>2.1197843104724255E-2</v>
      </c>
      <c r="CV66" s="61">
        <v>2.0985864673677013E-2</v>
      </c>
      <c r="CW66" s="61">
        <v>2.0776006026940241E-2</v>
      </c>
      <c r="CX66" s="61">
        <v>2.0568245966670839E-2</v>
      </c>
      <c r="CY66" s="53">
        <v>2.036256350700413E-2</v>
      </c>
    </row>
    <row r="67" spans="1:103">
      <c r="A67" s="60">
        <v>85</v>
      </c>
      <c r="B67" s="60">
        <v>6.0504000000000002E-2</v>
      </c>
      <c r="C67" s="60">
        <v>6.0304336800000004E-2</v>
      </c>
      <c r="D67" s="60">
        <v>6.008121075384E-2</v>
      </c>
      <c r="E67" s="60">
        <v>5.9828869668673873E-2</v>
      </c>
      <c r="F67" s="60">
        <v>5.9535708207297373E-2</v>
      </c>
      <c r="G67" s="60">
        <v>5.9196354670515774E-2</v>
      </c>
      <c r="H67" s="60">
        <v>5.8811578365157421E-2</v>
      </c>
      <c r="I67" s="60">
        <v>5.8382253843091772E-2</v>
      </c>
      <c r="J67" s="60">
        <v>5.790935758696273E-2</v>
      </c>
      <c r="K67" s="60">
        <v>5.7411337111714845E-2</v>
      </c>
      <c r="L67" s="60">
        <v>5.6894635077709414E-2</v>
      </c>
      <c r="M67" s="60">
        <v>5.6371204434994486E-2</v>
      </c>
      <c r="N67" s="60">
        <v>5.5841315113305541E-2</v>
      </c>
      <c r="O67" s="60">
        <v>5.5310822619729139E-2</v>
      </c>
      <c r="P67" s="60">
        <v>5.4779838722579736E-2</v>
      </c>
      <c r="Q67" s="60">
        <v>5.4248474286970709E-2</v>
      </c>
      <c r="R67" s="60">
        <v>5.3722264086387091E-2</v>
      </c>
      <c r="S67" s="60">
        <v>5.3195785898340495E-2</v>
      </c>
      <c r="T67" s="61">
        <v>5.2674467196536755E-2</v>
      </c>
      <c r="U67" s="61">
        <v>5.2152989971291037E-2</v>
      </c>
      <c r="V67" s="61">
        <v>5.1631460071578129E-2</v>
      </c>
      <c r="W67" s="61">
        <v>5.111514547086235E-2</v>
      </c>
      <c r="X67" s="61">
        <v>5.0603994016153724E-2</v>
      </c>
      <c r="Y67" s="61">
        <v>5.0097954075992185E-2</v>
      </c>
      <c r="Z67" s="61">
        <v>4.9596974535232263E-2</v>
      </c>
      <c r="AA67" s="61">
        <v>4.9101004789879943E-2</v>
      </c>
      <c r="AB67" s="61">
        <v>4.860999474198114E-2</v>
      </c>
      <c r="AC67" s="61">
        <v>4.8123894794561327E-2</v>
      </c>
      <c r="AD67" s="61">
        <v>4.7642655846615714E-2</v>
      </c>
      <c r="AE67" s="61">
        <v>4.7166229288149557E-2</v>
      </c>
      <c r="AF67" s="61">
        <v>4.6694566995268062E-2</v>
      </c>
      <c r="AG67" s="61">
        <v>4.6227621325315382E-2</v>
      </c>
      <c r="AH67" s="61">
        <v>4.5765345112062226E-2</v>
      </c>
      <c r="AI67" s="61">
        <v>4.5307691660941604E-2</v>
      </c>
      <c r="AJ67" s="61">
        <v>4.4854614744332187E-2</v>
      </c>
      <c r="AK67" s="61">
        <v>4.4406068596888865E-2</v>
      </c>
      <c r="AL67" s="61">
        <v>4.3962007910919976E-2</v>
      </c>
      <c r="AM67" s="61">
        <v>4.3522387831810776E-2</v>
      </c>
      <c r="AN67" s="61">
        <v>4.3087163953492665E-2</v>
      </c>
      <c r="AO67" s="61">
        <v>4.265629231395774E-2</v>
      </c>
      <c r="AP67" s="61">
        <v>4.2229729390818163E-2</v>
      </c>
      <c r="AQ67" s="61">
        <v>4.1807432096909979E-2</v>
      </c>
      <c r="AR67" s="61">
        <v>4.1389357775940876E-2</v>
      </c>
      <c r="AS67" s="61">
        <v>4.0975464198181467E-2</v>
      </c>
      <c r="AT67" s="61">
        <v>4.0565709556199654E-2</v>
      </c>
      <c r="AU67" s="61">
        <v>4.0160052460637655E-2</v>
      </c>
      <c r="AV67" s="61">
        <v>3.975845193603128E-2</v>
      </c>
      <c r="AW67" s="61">
        <v>3.9360867416670969E-2</v>
      </c>
      <c r="AX67" s="61">
        <v>3.8967258742504257E-2</v>
      </c>
      <c r="AY67" s="61">
        <v>3.8577586155079217E-2</v>
      </c>
      <c r="AZ67" s="61">
        <v>3.8191810293528423E-2</v>
      </c>
      <c r="BA67" s="61">
        <v>3.7809892190593136E-2</v>
      </c>
      <c r="BB67" s="61">
        <v>3.7431793268687202E-2</v>
      </c>
      <c r="BC67" s="61">
        <v>3.7057475336000331E-2</v>
      </c>
      <c r="BD67" s="61">
        <v>3.6686900582640326E-2</v>
      </c>
      <c r="BE67" s="61">
        <v>3.6320031576813926E-2</v>
      </c>
      <c r="BF67" s="61">
        <v>3.5956831261045784E-2</v>
      </c>
      <c r="BG67" s="61">
        <v>3.5597262948435328E-2</v>
      </c>
      <c r="BH67" s="61">
        <v>3.5241290318950971E-2</v>
      </c>
      <c r="BI67" s="61">
        <v>3.4888877415761459E-2</v>
      </c>
      <c r="BJ67" s="61">
        <v>3.4539988641603847E-2</v>
      </c>
      <c r="BK67" s="61">
        <v>3.4194588755187806E-2</v>
      </c>
      <c r="BL67" s="61">
        <v>3.3852642867635931E-2</v>
      </c>
      <c r="BM67" s="61">
        <v>3.3514116438959574E-2</v>
      </c>
      <c r="BN67" s="61">
        <v>3.3178975274569977E-2</v>
      </c>
      <c r="BO67" s="61">
        <v>3.2847185521824279E-2</v>
      </c>
      <c r="BP67" s="61">
        <v>3.2518713666606039E-2</v>
      </c>
      <c r="BQ67" s="61">
        <v>3.2193526529939981E-2</v>
      </c>
      <c r="BR67" s="61">
        <v>3.1871591264640578E-2</v>
      </c>
      <c r="BS67" s="61">
        <v>3.1552875351994171E-2</v>
      </c>
      <c r="BT67" s="61">
        <v>3.1237346598474228E-2</v>
      </c>
      <c r="BU67" s="61">
        <v>3.0924973132489486E-2</v>
      </c>
      <c r="BV67" s="61">
        <v>3.0615723401164592E-2</v>
      </c>
      <c r="BW67" s="61">
        <v>3.0309566167152947E-2</v>
      </c>
      <c r="BX67" s="61">
        <v>3.0006470505481418E-2</v>
      </c>
      <c r="BY67" s="61">
        <v>2.9706405800426602E-2</v>
      </c>
      <c r="BZ67" s="61">
        <v>2.9409341742422334E-2</v>
      </c>
      <c r="CA67" s="61">
        <v>2.9115248324998112E-2</v>
      </c>
      <c r="CB67" s="61">
        <v>2.882409584174813E-2</v>
      </c>
      <c r="CC67" s="61">
        <v>2.8535854883330648E-2</v>
      </c>
      <c r="CD67" s="61">
        <v>2.8250496334497339E-2</v>
      </c>
      <c r="CE67" s="61">
        <v>2.7967991371152367E-2</v>
      </c>
      <c r="CF67" s="61">
        <v>2.7688311457440842E-2</v>
      </c>
      <c r="CG67" s="61">
        <v>2.7411428342866435E-2</v>
      </c>
      <c r="CH67" s="61">
        <v>2.713731405943777E-2</v>
      </c>
      <c r="CI67" s="61">
        <v>2.6865940918843392E-2</v>
      </c>
      <c r="CJ67" s="61">
        <v>2.6597281509654958E-2</v>
      </c>
      <c r="CK67" s="61">
        <v>2.6331308694558409E-2</v>
      </c>
      <c r="CL67" s="61">
        <v>2.6067995607612825E-2</v>
      </c>
      <c r="CM67" s="61">
        <v>2.5807315651536697E-2</v>
      </c>
      <c r="CN67" s="61">
        <v>2.5549242495021329E-2</v>
      </c>
      <c r="CO67" s="61">
        <v>2.5293750070071116E-2</v>
      </c>
      <c r="CP67" s="61">
        <v>2.5040812569370404E-2</v>
      </c>
      <c r="CQ67" s="61">
        <v>2.4790404443676702E-2</v>
      </c>
      <c r="CR67" s="61">
        <v>2.4542500399239935E-2</v>
      </c>
      <c r="CS67" s="61">
        <v>2.4297075395247534E-2</v>
      </c>
      <c r="CT67" s="61">
        <v>2.4054104641295058E-2</v>
      </c>
      <c r="CU67" s="61">
        <v>2.3813563594882108E-2</v>
      </c>
      <c r="CV67" s="61">
        <v>2.3575427958933286E-2</v>
      </c>
      <c r="CW67" s="61">
        <v>2.3339673679343954E-2</v>
      </c>
      <c r="CX67" s="61">
        <v>2.3106276942550515E-2</v>
      </c>
      <c r="CY67" s="53">
        <v>2.2875214173125009E-2</v>
      </c>
    </row>
    <row r="68" spans="1:103">
      <c r="A68" s="60">
        <v>86</v>
      </c>
      <c r="B68" s="60">
        <v>6.7801E-2</v>
      </c>
      <c r="C68" s="60">
        <v>6.7577256700000005E-2</v>
      </c>
      <c r="D68" s="60">
        <v>6.7333978575879999E-2</v>
      </c>
      <c r="E68" s="60">
        <v>6.7057909263718893E-2</v>
      </c>
      <c r="F68" s="60">
        <v>6.6742737090179416E-2</v>
      </c>
      <c r="G68" s="60">
        <v>6.638232630989245E-2</v>
      </c>
      <c r="H68" s="60">
        <v>6.5970755886771121E-2</v>
      </c>
      <c r="I68" s="60">
        <v>6.5508960595563728E-2</v>
      </c>
      <c r="J68" s="60">
        <v>6.500454159897788E-2</v>
      </c>
      <c r="K68" s="60">
        <v>6.4465003903706367E-2</v>
      </c>
      <c r="L68" s="60">
        <v>6.3904158369744113E-2</v>
      </c>
      <c r="M68" s="60">
        <v>6.332902094441642E-2</v>
      </c>
      <c r="N68" s="60">
        <v>6.2746393951727791E-2</v>
      </c>
      <c r="O68" s="60">
        <v>6.2162852487976726E-2</v>
      </c>
      <c r="P68" s="60">
        <v>6.1578521674589749E-2</v>
      </c>
      <c r="Q68" s="60">
        <v>6.0993525718681149E-2</v>
      </c>
      <c r="R68" s="60">
        <v>6.040798787178181E-2</v>
      </c>
      <c r="S68" s="60">
        <v>5.9828071188212699E-2</v>
      </c>
      <c r="T68" s="61">
        <v>5.924773889768703E-2</v>
      </c>
      <c r="U68" s="61">
        <v>5.8667111056489696E-2</v>
      </c>
      <c r="V68" s="61">
        <v>5.8086306657030448E-2</v>
      </c>
      <c r="W68" s="61">
        <v>5.7511252221125846E-2</v>
      </c>
      <c r="X68" s="61">
        <v>5.6941890824136698E-2</v>
      </c>
      <c r="Y68" s="61">
        <v>5.6378166104977742E-2</v>
      </c>
      <c r="Z68" s="61">
        <v>5.5820022260538463E-2</v>
      </c>
      <c r="AA68" s="61">
        <v>5.5267404040159132E-2</v>
      </c>
      <c r="AB68" s="61">
        <v>5.4720256740161559E-2</v>
      </c>
      <c r="AC68" s="61">
        <v>5.4178526198433961E-2</v>
      </c>
      <c r="AD68" s="61">
        <v>5.3642158789069465E-2</v>
      </c>
      <c r="AE68" s="61">
        <v>5.3111101417057674E-2</v>
      </c>
      <c r="AF68" s="61">
        <v>5.2585301513028801E-2</v>
      </c>
      <c r="AG68" s="61">
        <v>5.2064707028049814E-2</v>
      </c>
      <c r="AH68" s="61">
        <v>5.1549266428472122E-2</v>
      </c>
      <c r="AI68" s="61">
        <v>5.1038928690830244E-2</v>
      </c>
      <c r="AJ68" s="61">
        <v>5.0533643296791025E-2</v>
      </c>
      <c r="AK68" s="61">
        <v>5.0033360228152794E-2</v>
      </c>
      <c r="AL68" s="61">
        <v>4.9538029961894083E-2</v>
      </c>
      <c r="AM68" s="61">
        <v>4.9047603465271331E-2</v>
      </c>
      <c r="AN68" s="61">
        <v>4.8562032190965145E-2</v>
      </c>
      <c r="AO68" s="61">
        <v>4.8081268072274586E-2</v>
      </c>
      <c r="AP68" s="61">
        <v>4.7605263518359066E-2</v>
      </c>
      <c r="AQ68" s="61">
        <v>4.7133971409527312E-2</v>
      </c>
      <c r="AR68" s="61">
        <v>4.666734509257299E-2</v>
      </c>
      <c r="AS68" s="61">
        <v>4.6205338376156514E-2</v>
      </c>
      <c r="AT68" s="61">
        <v>4.5747905526232563E-2</v>
      </c>
      <c r="AU68" s="61">
        <v>4.529500126152286E-2</v>
      </c>
      <c r="AV68" s="61">
        <v>4.4846580749033783E-2</v>
      </c>
      <c r="AW68" s="61">
        <v>4.4402599599618349E-2</v>
      </c>
      <c r="AX68" s="61">
        <v>4.3963013863582125E-2</v>
      </c>
      <c r="AY68" s="61">
        <v>4.352778002633266E-2</v>
      </c>
      <c r="AZ68" s="61">
        <v>4.3096855004071968E-2</v>
      </c>
      <c r="BA68" s="61">
        <v>4.2670196139531658E-2</v>
      </c>
      <c r="BB68" s="61">
        <v>4.224776119775029E-2</v>
      </c>
      <c r="BC68" s="61">
        <v>4.1829508361892559E-2</v>
      </c>
      <c r="BD68" s="61">
        <v>4.1415396229109822E-2</v>
      </c>
      <c r="BE68" s="61">
        <v>4.1005383806441635E-2</v>
      </c>
      <c r="BF68" s="61">
        <v>4.0599430506757864E-2</v>
      </c>
      <c r="BG68" s="61">
        <v>4.0197496144740961E-2</v>
      </c>
      <c r="BH68" s="61">
        <v>3.9799540932908023E-2</v>
      </c>
      <c r="BI68" s="61">
        <v>3.9405525477672232E-2</v>
      </c>
      <c r="BJ68" s="61">
        <v>3.9015410775443279E-2</v>
      </c>
      <c r="BK68" s="61">
        <v>3.862915820876639E-2</v>
      </c>
      <c r="BL68" s="61">
        <v>3.8246729542499601E-2</v>
      </c>
      <c r="BM68" s="61">
        <v>3.7868086920028854E-2</v>
      </c>
      <c r="BN68" s="61">
        <v>3.7493192859520567E-2</v>
      </c>
      <c r="BO68" s="61">
        <v>3.7122010250211314E-2</v>
      </c>
      <c r="BP68" s="61">
        <v>3.6754502348734223E-2</v>
      </c>
      <c r="BQ68" s="61">
        <v>3.6390632775481754E-2</v>
      </c>
      <c r="BR68" s="61">
        <v>3.6030365511004483E-2</v>
      </c>
      <c r="BS68" s="61">
        <v>3.5673664892445542E-2</v>
      </c>
      <c r="BT68" s="61">
        <v>3.5320495610010327E-2</v>
      </c>
      <c r="BU68" s="61">
        <v>3.4970822703471224E-2</v>
      </c>
      <c r="BV68" s="61">
        <v>3.4624611558706858E-2</v>
      </c>
      <c r="BW68" s="61">
        <v>3.4281827904275662E-2</v>
      </c>
      <c r="BX68" s="61">
        <v>3.3942437808023335E-2</v>
      </c>
      <c r="BY68" s="61">
        <v>3.3606407673723901E-2</v>
      </c>
      <c r="BZ68" s="61">
        <v>3.3273704237754033E-2</v>
      </c>
      <c r="CA68" s="61">
        <v>3.2944294565800267E-2</v>
      </c>
      <c r="CB68" s="61">
        <v>3.2618146049598847E-2</v>
      </c>
      <c r="CC68" s="61">
        <v>3.229522640370782E-2</v>
      </c>
      <c r="CD68" s="61">
        <v>3.1975503662311111E-2</v>
      </c>
      <c r="CE68" s="61">
        <v>3.1658946176054227E-2</v>
      </c>
      <c r="CF68" s="61">
        <v>3.134552260891129E-2</v>
      </c>
      <c r="CG68" s="61">
        <v>3.1035201935083068E-2</v>
      </c>
      <c r="CH68" s="61">
        <v>3.0727953435925746E-2</v>
      </c>
      <c r="CI68" s="61">
        <v>3.042374669691008E-2</v>
      </c>
      <c r="CJ68" s="61">
        <v>3.0122551604610668E-2</v>
      </c>
      <c r="CK68" s="61">
        <v>2.9824338343725023E-2</v>
      </c>
      <c r="CL68" s="61">
        <v>2.9529077394122145E-2</v>
      </c>
      <c r="CM68" s="61">
        <v>2.9236739527920337E-2</v>
      </c>
      <c r="CN68" s="61">
        <v>2.8947295806593925E-2</v>
      </c>
      <c r="CO68" s="61">
        <v>2.8660717578108643E-2</v>
      </c>
      <c r="CP68" s="61">
        <v>2.8376976474085366E-2</v>
      </c>
      <c r="CQ68" s="61">
        <v>2.809604440699192E-2</v>
      </c>
      <c r="CR68" s="61">
        <v>2.7817893567362698E-2</v>
      </c>
      <c r="CS68" s="61">
        <v>2.7542496421045806E-2</v>
      </c>
      <c r="CT68" s="61">
        <v>2.726982570647745E-2</v>
      </c>
      <c r="CU68" s="61">
        <v>2.6999854431983324E-2</v>
      </c>
      <c r="CV68" s="61">
        <v>2.6732555873106689E-2</v>
      </c>
      <c r="CW68" s="61">
        <v>2.6467903569962932E-2</v>
      </c>
      <c r="CX68" s="61">
        <v>2.6205871324620298E-2</v>
      </c>
      <c r="CY68" s="53">
        <v>2.5946433198506556E-2</v>
      </c>
    </row>
    <row r="69" spans="1:103">
      <c r="A69" s="60">
        <v>87</v>
      </c>
      <c r="B69" s="60">
        <v>7.6011999999999996E-2</v>
      </c>
      <c r="C69" s="60">
        <v>7.5761160399999999E-2</v>
      </c>
      <c r="D69" s="60">
        <v>7.5488420222559999E-2</v>
      </c>
      <c r="E69" s="60">
        <v>7.5186466541669758E-2</v>
      </c>
      <c r="F69" s="60">
        <v>7.4840608795578079E-2</v>
      </c>
      <c r="G69" s="60">
        <v>7.4451437629841077E-2</v>
      </c>
      <c r="H69" s="60">
        <v>7.4004729004062034E-2</v>
      </c>
      <c r="I69" s="60">
        <v>7.3508897319734812E-2</v>
      </c>
      <c r="J69" s="60">
        <v>7.296493147956877E-2</v>
      </c>
      <c r="K69" s="60">
        <v>7.2388508520880177E-2</v>
      </c>
      <c r="L69" s="60">
        <v>7.1780445049304781E-2</v>
      </c>
      <c r="M69" s="60">
        <v>7.1155955177375829E-2</v>
      </c>
      <c r="N69" s="60">
        <v>7.0515551580779448E-2</v>
      </c>
      <c r="O69" s="60">
        <v>6.9873860061394358E-2</v>
      </c>
      <c r="P69" s="60">
        <v>6.9231020548829528E-2</v>
      </c>
      <c r="Q69" s="60">
        <v>6.858717205772541E-2</v>
      </c>
      <c r="R69" s="60">
        <v>6.7942452640382789E-2</v>
      </c>
      <c r="S69" s="60">
        <v>6.729699934029916E-2</v>
      </c>
      <c r="T69" s="61">
        <v>6.6650948146632291E-2</v>
      </c>
      <c r="U69" s="61">
        <v>6.601109904442462E-2</v>
      </c>
      <c r="V69" s="61">
        <v>6.5370791383693699E-2</v>
      </c>
      <c r="W69" s="61">
        <v>6.4736694707271863E-2</v>
      </c>
      <c r="X69" s="61">
        <v>6.4108748768611321E-2</v>
      </c>
      <c r="Y69" s="61">
        <v>6.3486893905555786E-2</v>
      </c>
      <c r="Z69" s="61">
        <v>6.2871071034671891E-2</v>
      </c>
      <c r="AA69" s="61">
        <v>6.2261221645635571E-2</v>
      </c>
      <c r="AB69" s="61">
        <v>6.1657287795672901E-2</v>
      </c>
      <c r="AC69" s="61">
        <v>6.105921210405487E-2</v>
      </c>
      <c r="AD69" s="61">
        <v>6.0466937746645535E-2</v>
      </c>
      <c r="AE69" s="61">
        <v>5.9880408450503068E-2</v>
      </c>
      <c r="AF69" s="61">
        <v>5.9299568488533183E-2</v>
      </c>
      <c r="AG69" s="61">
        <v>5.8724362674194411E-2</v>
      </c>
      <c r="AH69" s="61">
        <v>5.8154736356254726E-2</v>
      </c>
      <c r="AI69" s="61">
        <v>5.7590635413599052E-2</v>
      </c>
      <c r="AJ69" s="61">
        <v>5.7032006250087142E-2</v>
      </c>
      <c r="AK69" s="61">
        <v>5.6478795789461293E-2</v>
      </c>
      <c r="AL69" s="61">
        <v>5.5930951470303518E-2</v>
      </c>
      <c r="AM69" s="61">
        <v>5.5388421241041569E-2</v>
      </c>
      <c r="AN69" s="61">
        <v>5.4851153555003467E-2</v>
      </c>
      <c r="AO69" s="61">
        <v>5.4319097365519931E-2</v>
      </c>
      <c r="AP69" s="61">
        <v>5.3792202121074384E-2</v>
      </c>
      <c r="AQ69" s="61">
        <v>5.3270417760499962E-2</v>
      </c>
      <c r="AR69" s="61">
        <v>5.2753694708223109E-2</v>
      </c>
      <c r="AS69" s="61">
        <v>5.2241983869553345E-2</v>
      </c>
      <c r="AT69" s="61">
        <v>5.1735236626018678E-2</v>
      </c>
      <c r="AU69" s="61">
        <v>5.1233404830746294E-2</v>
      </c>
      <c r="AV69" s="61">
        <v>5.0736440803888054E-2</v>
      </c>
      <c r="AW69" s="61">
        <v>5.024429732809034E-2</v>
      </c>
      <c r="AX69" s="61">
        <v>4.975692764400786E-2</v>
      </c>
      <c r="AY69" s="61">
        <v>4.9274285445860981E-2</v>
      </c>
      <c r="AZ69" s="61">
        <v>4.8796324877036126E-2</v>
      </c>
      <c r="BA69" s="61">
        <v>4.8323000525728875E-2</v>
      </c>
      <c r="BB69" s="61">
        <v>4.7854267420629301E-2</v>
      </c>
      <c r="BC69" s="61">
        <v>4.7390081026649197E-2</v>
      </c>
      <c r="BD69" s="61">
        <v>4.6930397240690695E-2</v>
      </c>
      <c r="BE69" s="61">
        <v>4.6475172387455993E-2</v>
      </c>
      <c r="BF69" s="61">
        <v>4.6024363215297667E-2</v>
      </c>
      <c r="BG69" s="61">
        <v>4.557792689210928E-2</v>
      </c>
      <c r="BH69" s="61">
        <v>4.5135821001255821E-2</v>
      </c>
      <c r="BI69" s="61">
        <v>4.4698003537543635E-2</v>
      </c>
      <c r="BJ69" s="61">
        <v>4.4264432903229463E-2</v>
      </c>
      <c r="BK69" s="61">
        <v>4.3835067904068138E-2</v>
      </c>
      <c r="BL69" s="61">
        <v>4.3409867745398678E-2</v>
      </c>
      <c r="BM69" s="61">
        <v>4.2988792028268309E-2</v>
      </c>
      <c r="BN69" s="61">
        <v>4.2571800745594107E-2</v>
      </c>
      <c r="BO69" s="61">
        <v>4.2158854278361843E-2</v>
      </c>
      <c r="BP69" s="61">
        <v>4.174991339186173E-2</v>
      </c>
      <c r="BQ69" s="61">
        <v>4.134493923196067E-2</v>
      </c>
      <c r="BR69" s="61">
        <v>4.094389332141065E-2</v>
      </c>
      <c r="BS69" s="61">
        <v>4.0546737556192966E-2</v>
      </c>
      <c r="BT69" s="61">
        <v>4.0153434201897896E-2</v>
      </c>
      <c r="BU69" s="61">
        <v>3.9763945890139485E-2</v>
      </c>
      <c r="BV69" s="61">
        <v>3.9378235615005128E-2</v>
      </c>
      <c r="BW69" s="61">
        <v>3.8996266729539576E-2</v>
      </c>
      <c r="BX69" s="61">
        <v>3.8618002942263044E-2</v>
      </c>
      <c r="BY69" s="61">
        <v>3.8243408313723089E-2</v>
      </c>
      <c r="BZ69" s="61">
        <v>3.787244725307997E-2</v>
      </c>
      <c r="CA69" s="61">
        <v>3.750508451472509E-2</v>
      </c>
      <c r="CB69" s="61">
        <v>3.7141285194932254E-2</v>
      </c>
      <c r="CC69" s="61">
        <v>3.6781014728541409E-2</v>
      </c>
      <c r="CD69" s="61">
        <v>3.6424238885674552E-2</v>
      </c>
      <c r="CE69" s="61">
        <v>3.6070923768483511E-2</v>
      </c>
      <c r="CF69" s="61">
        <v>3.5721035807929222E-2</v>
      </c>
      <c r="CG69" s="61">
        <v>3.5374541760592307E-2</v>
      </c>
      <c r="CH69" s="61">
        <v>3.5031408705514556E-2</v>
      </c>
      <c r="CI69" s="61">
        <v>3.4691604041071064E-2</v>
      </c>
      <c r="CJ69" s="61">
        <v>3.4355095481872676E-2</v>
      </c>
      <c r="CK69" s="61">
        <v>3.4021851055698507E-2</v>
      </c>
      <c r="CL69" s="61">
        <v>3.3691839100458233E-2</v>
      </c>
      <c r="CM69" s="61">
        <v>3.3365028261183788E-2</v>
      </c>
      <c r="CN69" s="61">
        <v>3.3041387487050301E-2</v>
      </c>
      <c r="CO69" s="61">
        <v>3.2720886028425912E-2</v>
      </c>
      <c r="CP69" s="61">
        <v>3.240349343395018E-2</v>
      </c>
      <c r="CQ69" s="61">
        <v>3.2089179547640859E-2</v>
      </c>
      <c r="CR69" s="61">
        <v>3.1777914506028744E-2</v>
      </c>
      <c r="CS69" s="61">
        <v>3.1469668735320262E-2</v>
      </c>
      <c r="CT69" s="61">
        <v>3.1164412948587655E-2</v>
      </c>
      <c r="CU69" s="61">
        <v>3.0862118142986353E-2</v>
      </c>
      <c r="CV69" s="61">
        <v>3.0562755596999384E-2</v>
      </c>
      <c r="CW69" s="61">
        <v>3.026629686770849E-2</v>
      </c>
      <c r="CX69" s="61">
        <v>2.9972713788091715E-2</v>
      </c>
      <c r="CY69" s="53">
        <v>2.9681978464347225E-2</v>
      </c>
    </row>
    <row r="70" spans="1:103">
      <c r="A70" s="60">
        <v>88</v>
      </c>
      <c r="B70" s="60">
        <v>8.523E-2</v>
      </c>
      <c r="C70" s="60">
        <v>8.4940217999999998E-2</v>
      </c>
      <c r="D70" s="60">
        <v>8.4634433215199992E-2</v>
      </c>
      <c r="E70" s="60">
        <v>8.4295895482339192E-2</v>
      </c>
      <c r="F70" s="60">
        <v>8.3916563952668666E-2</v>
      </c>
      <c r="G70" s="60">
        <v>8.3488589476510056E-2</v>
      </c>
      <c r="H70" s="60">
        <v>8.3012704516493951E-2</v>
      </c>
      <c r="I70" s="60">
        <v>8.2481423207588389E-2</v>
      </c>
      <c r="J70" s="60">
        <v>8.1895805102814509E-2</v>
      </c>
      <c r="K70" s="60">
        <v>8.1273396984033117E-2</v>
      </c>
      <c r="L70" s="60">
        <v>8.0623209808160845E-2</v>
      </c>
      <c r="M70" s="60">
        <v>7.9954037166753117E-2</v>
      </c>
      <c r="N70" s="60">
        <v>7.9266432447119034E-2</v>
      </c>
      <c r="O70" s="60">
        <v>7.8560961198339677E-2</v>
      </c>
      <c r="P70" s="60">
        <v>7.7846056451434789E-2</v>
      </c>
      <c r="Q70" s="60">
        <v>7.7129872732081592E-2</v>
      </c>
      <c r="R70" s="60">
        <v>7.6412564915673234E-2</v>
      </c>
      <c r="S70" s="60">
        <v>7.5701928061957469E-2</v>
      </c>
      <c r="T70" s="61">
        <v>7.4990329938175074E-2</v>
      </c>
      <c r="U70" s="61">
        <v>7.4277921803762414E-2</v>
      </c>
      <c r="V70" s="61">
        <v>7.3564853754446297E-2</v>
      </c>
      <c r="W70" s="61">
        <v>7.2858631158403603E-2</v>
      </c>
      <c r="X70" s="61">
        <v>7.2159188299282931E-2</v>
      </c>
      <c r="Y70" s="61">
        <v>7.1466460091609812E-2</v>
      </c>
      <c r="Z70" s="61">
        <v>7.078038207473035E-2</v>
      </c>
      <c r="AA70" s="61">
        <v>7.010089040681293E-2</v>
      </c>
      <c r="AB70" s="61">
        <v>6.9427921858907518E-2</v>
      </c>
      <c r="AC70" s="61">
        <v>6.8761413809062005E-2</v>
      </c>
      <c r="AD70" s="61">
        <v>6.8101304236495006E-2</v>
      </c>
      <c r="AE70" s="61">
        <v>6.7447531715824655E-2</v>
      </c>
      <c r="AF70" s="61">
        <v>6.6800035411352737E-2</v>
      </c>
      <c r="AG70" s="61">
        <v>6.6158755071403744E-2</v>
      </c>
      <c r="AH70" s="61">
        <v>6.5523631022718271E-2</v>
      </c>
      <c r="AI70" s="61">
        <v>6.4894604164900171E-2</v>
      </c>
      <c r="AJ70" s="61">
        <v>6.4271615964917123E-2</v>
      </c>
      <c r="AK70" s="61">
        <v>6.365460845165391E-2</v>
      </c>
      <c r="AL70" s="61">
        <v>6.3043524210518023E-2</v>
      </c>
      <c r="AM70" s="61">
        <v>6.2438306378097046E-2</v>
      </c>
      <c r="AN70" s="61">
        <v>6.1838898636867312E-2</v>
      </c>
      <c r="AO70" s="61">
        <v>6.1245245209953385E-2</v>
      </c>
      <c r="AP70" s="61">
        <v>6.065729085593783E-2</v>
      </c>
      <c r="AQ70" s="61">
        <v>6.0074980863720824E-2</v>
      </c>
      <c r="AR70" s="61">
        <v>5.9498261047429099E-2</v>
      </c>
      <c r="AS70" s="61">
        <v>5.8927077741373776E-2</v>
      </c>
      <c r="AT70" s="61">
        <v>5.8361377795056582E-2</v>
      </c>
      <c r="AU70" s="61">
        <v>5.7801108568224034E-2</v>
      </c>
      <c r="AV70" s="61">
        <v>5.7246217925969081E-2</v>
      </c>
      <c r="AW70" s="61">
        <v>5.6696654233879776E-2</v>
      </c>
      <c r="AX70" s="61">
        <v>5.6152366353234527E-2</v>
      </c>
      <c r="AY70" s="61">
        <v>5.561330363624347E-2</v>
      </c>
      <c r="AZ70" s="61">
        <v>5.5079415921335528E-2</v>
      </c>
      <c r="BA70" s="61">
        <v>5.4550653528490707E-2</v>
      </c>
      <c r="BB70" s="61">
        <v>5.4026967254617191E-2</v>
      </c>
      <c r="BC70" s="61">
        <v>5.3508308368972864E-2</v>
      </c>
      <c r="BD70" s="61">
        <v>5.2994628608630724E-2</v>
      </c>
      <c r="BE70" s="61">
        <v>5.2485880173987864E-2</v>
      </c>
      <c r="BF70" s="61">
        <v>5.1982015724317578E-2</v>
      </c>
      <c r="BG70" s="61">
        <v>5.1482988373364125E-2</v>
      </c>
      <c r="BH70" s="61">
        <v>5.0988751684979829E-2</v>
      </c>
      <c r="BI70" s="61">
        <v>5.0499259668804017E-2</v>
      </c>
      <c r="BJ70" s="61">
        <v>5.0014466775983493E-2</v>
      </c>
      <c r="BK70" s="61">
        <v>4.9534327894934047E-2</v>
      </c>
      <c r="BL70" s="61">
        <v>4.9058798347142676E-2</v>
      </c>
      <c r="BM70" s="61">
        <v>4.8587833883010106E-2</v>
      </c>
      <c r="BN70" s="61">
        <v>4.812139067773321E-2</v>
      </c>
      <c r="BO70" s="61">
        <v>4.7659425327226966E-2</v>
      </c>
      <c r="BP70" s="61">
        <v>4.7201894844085587E-2</v>
      </c>
      <c r="BQ70" s="61">
        <v>4.6748756653582364E-2</v>
      </c>
      <c r="BR70" s="61">
        <v>4.6299968589707974E-2</v>
      </c>
      <c r="BS70" s="61">
        <v>4.5855488891246778E-2</v>
      </c>
      <c r="BT70" s="61">
        <v>4.5415276197890805E-2</v>
      </c>
      <c r="BU70" s="61">
        <v>4.4979289546391049E-2</v>
      </c>
      <c r="BV70" s="61">
        <v>4.4547488366745693E-2</v>
      </c>
      <c r="BW70" s="61">
        <v>4.4119832478424929E-2</v>
      </c>
      <c r="BX70" s="61">
        <v>4.3696282086632045E-2</v>
      </c>
      <c r="BY70" s="61">
        <v>4.3276797778600377E-2</v>
      </c>
      <c r="BZ70" s="61">
        <v>4.2861340519925809E-2</v>
      </c>
      <c r="CA70" s="61">
        <v>4.2449871650934522E-2</v>
      </c>
      <c r="CB70" s="61">
        <v>4.2042352883085547E-2</v>
      </c>
      <c r="CC70" s="61">
        <v>4.1638746295407925E-2</v>
      </c>
      <c r="CD70" s="61">
        <v>4.1239014330972004E-2</v>
      </c>
      <c r="CE70" s="61">
        <v>4.0843119793394674E-2</v>
      </c>
      <c r="CF70" s="61">
        <v>4.0451025843378084E-2</v>
      </c>
      <c r="CG70" s="61">
        <v>4.0062695995281651E-2</v>
      </c>
      <c r="CH70" s="61">
        <v>3.9678094113726949E-2</v>
      </c>
      <c r="CI70" s="61">
        <v>3.9297184410235171E-2</v>
      </c>
      <c r="CJ70" s="61">
        <v>3.8919931439896908E-2</v>
      </c>
      <c r="CK70" s="61">
        <v>3.8546300098073895E-2</v>
      </c>
      <c r="CL70" s="61">
        <v>3.8176255617132386E-2</v>
      </c>
      <c r="CM70" s="61">
        <v>3.7809763563207914E-2</v>
      </c>
      <c r="CN70" s="61">
        <v>3.7446789833001114E-2</v>
      </c>
      <c r="CO70" s="61">
        <v>3.7087300650604303E-2</v>
      </c>
      <c r="CP70" s="61">
        <v>3.6731262564358498E-2</v>
      </c>
      <c r="CQ70" s="61">
        <v>3.6378642443740651E-2</v>
      </c>
      <c r="CR70" s="61">
        <v>3.6029407476280736E-2</v>
      </c>
      <c r="CS70" s="61">
        <v>3.5683525164508442E-2</v>
      </c>
      <c r="CT70" s="61">
        <v>3.5340963322929159E-2</v>
      </c>
      <c r="CU70" s="61">
        <v>3.5001690075029034E-2</v>
      </c>
      <c r="CV70" s="61">
        <v>3.4665673850308755E-2</v>
      </c>
      <c r="CW70" s="61">
        <v>3.433288338134579E-2</v>
      </c>
      <c r="CX70" s="61">
        <v>3.4003287700884871E-2</v>
      </c>
      <c r="CY70" s="53">
        <v>3.3676856138956372E-2</v>
      </c>
    </row>
    <row r="71" spans="1:103">
      <c r="A71" s="60">
        <v>89</v>
      </c>
      <c r="B71" s="60">
        <v>9.5562999999999995E-2</v>
      </c>
      <c r="C71" s="60">
        <v>9.5228529500000006E-2</v>
      </c>
      <c r="D71" s="60">
        <v>9.4876183940849998E-2</v>
      </c>
      <c r="E71" s="60">
        <v>9.4496679205086601E-2</v>
      </c>
      <c r="F71" s="60">
        <v>9.408089381658423E-2</v>
      </c>
      <c r="G71" s="60">
        <v>9.3610489347501311E-2</v>
      </c>
      <c r="H71" s="60">
        <v>9.3086270607155297E-2</v>
      </c>
      <c r="I71" s="60">
        <v>9.2509135729390929E-2</v>
      </c>
      <c r="J71" s="60">
        <v>9.1880073606431065E-2</v>
      </c>
      <c r="K71" s="60">
        <v>9.120934906910412E-2</v>
      </c>
      <c r="L71" s="60">
        <v>9.0507037081272015E-2</v>
      </c>
      <c r="M71" s="60">
        <v>8.9782980784621838E-2</v>
      </c>
      <c r="N71" s="60">
        <v>8.9037782044109476E-2</v>
      </c>
      <c r="O71" s="60">
        <v>8.8272057118530131E-2</v>
      </c>
      <c r="P71" s="60">
        <v>8.7486435810175206E-2</v>
      </c>
      <c r="Q71" s="60">
        <v>8.6699057887883624E-2</v>
      </c>
      <c r="R71" s="60">
        <v>8.5910096461103883E-2</v>
      </c>
      <c r="S71" s="60">
        <v>8.5119723573661724E-2</v>
      </c>
      <c r="T71" s="61">
        <v>8.4328110144426677E-2</v>
      </c>
      <c r="U71" s="61">
        <v>8.3543858720083505E-2</v>
      </c>
      <c r="V71" s="61">
        <v>8.2758546448114728E-2</v>
      </c>
      <c r="W71" s="61">
        <v>8.1980616111502452E-2</v>
      </c>
      <c r="X71" s="61">
        <v>8.1209998320054336E-2</v>
      </c>
      <c r="Y71" s="61">
        <v>8.0446624335845832E-2</v>
      </c>
      <c r="Z71" s="61">
        <v>7.9690426067088885E-2</v>
      </c>
      <c r="AA71" s="61">
        <v>7.8941336062058248E-2</v>
      </c>
      <c r="AB71" s="61">
        <v>7.8199287503074907E-2</v>
      </c>
      <c r="AC71" s="61">
        <v>7.7464214200546E-2</v>
      </c>
      <c r="AD71" s="61">
        <v>7.6736050587060872E-2</v>
      </c>
      <c r="AE71" s="61">
        <v>7.6014731711542508E-2</v>
      </c>
      <c r="AF71" s="61">
        <v>7.5300193233454008E-2</v>
      </c>
      <c r="AG71" s="61">
        <v>7.4592371417059544E-2</v>
      </c>
      <c r="AH71" s="61">
        <v>7.3891203125739185E-2</v>
      </c>
      <c r="AI71" s="61">
        <v>7.3196625816357233E-2</v>
      </c>
      <c r="AJ71" s="61">
        <v>7.2508577533683477E-2</v>
      </c>
      <c r="AK71" s="61">
        <v>7.1826996904866852E-2</v>
      </c>
      <c r="AL71" s="61">
        <v>7.1151823133961109E-2</v>
      </c>
      <c r="AM71" s="61">
        <v>7.0482995996501874E-2</v>
      </c>
      <c r="AN71" s="61">
        <v>6.9820455834134765E-2</v>
      </c>
      <c r="AO71" s="61">
        <v>6.9164143549293899E-2</v>
      </c>
      <c r="AP71" s="61">
        <v>6.8514000599930541E-2</v>
      </c>
      <c r="AQ71" s="61">
        <v>6.7869968994291194E-2</v>
      </c>
      <c r="AR71" s="61">
        <v>6.7231991285744863E-2</v>
      </c>
      <c r="AS71" s="61">
        <v>6.6600010567658866E-2</v>
      </c>
      <c r="AT71" s="61">
        <v>6.5973970468322873E-2</v>
      </c>
      <c r="AU71" s="61">
        <v>6.5353815145920646E-2</v>
      </c>
      <c r="AV71" s="61">
        <v>6.4739489283549001E-2</v>
      </c>
      <c r="AW71" s="61">
        <v>6.4130938084283648E-2</v>
      </c>
      <c r="AX71" s="61">
        <v>6.3528107266291378E-2</v>
      </c>
      <c r="AY71" s="61">
        <v>6.2930943057988242E-2</v>
      </c>
      <c r="AZ71" s="61">
        <v>6.2339392193243158E-2</v>
      </c>
      <c r="BA71" s="61">
        <v>6.1753401906626676E-2</v>
      </c>
      <c r="BB71" s="61">
        <v>6.117291992870439E-2</v>
      </c>
      <c r="BC71" s="61">
        <v>6.0597894481374572E-2</v>
      </c>
      <c r="BD71" s="61">
        <v>6.0028274273249652E-2</v>
      </c>
      <c r="BE71" s="61">
        <v>5.9464008495081107E-2</v>
      </c>
      <c r="BF71" s="61">
        <v>5.8905046815227347E-2</v>
      </c>
      <c r="BG71" s="61">
        <v>5.8351339375164214E-2</v>
      </c>
      <c r="BH71" s="61">
        <v>5.780283678503767E-2</v>
      </c>
      <c r="BI71" s="61">
        <v>5.7259490119258315E-2</v>
      </c>
      <c r="BJ71" s="61">
        <v>5.672125091213729E-2</v>
      </c>
      <c r="BK71" s="61">
        <v>5.6188071153563203E-2</v>
      </c>
      <c r="BL71" s="61">
        <v>5.565990328471971E-2</v>
      </c>
      <c r="BM71" s="61">
        <v>5.5136700193843348E-2</v>
      </c>
      <c r="BN71" s="61">
        <v>5.4618415212021224E-2</v>
      </c>
      <c r="BO71" s="61">
        <v>5.4105002109028223E-2</v>
      </c>
      <c r="BP71" s="61">
        <v>5.3596415089203361E-2</v>
      </c>
      <c r="BQ71" s="61">
        <v>5.3092608787364853E-2</v>
      </c>
      <c r="BR71" s="61">
        <v>5.2593538264763623E-2</v>
      </c>
      <c r="BS71" s="61">
        <v>5.2099159005074849E-2</v>
      </c>
      <c r="BT71" s="61">
        <v>5.160942691042715E-2</v>
      </c>
      <c r="BU71" s="61">
        <v>5.1124298297469138E-2</v>
      </c>
      <c r="BV71" s="61">
        <v>5.0643729893472933E-2</v>
      </c>
      <c r="BW71" s="61">
        <v>5.0167678832474291E-2</v>
      </c>
      <c r="BX71" s="61">
        <v>4.9696102651449033E-2</v>
      </c>
      <c r="BY71" s="61">
        <v>4.922895928652541E-2</v>
      </c>
      <c r="BZ71" s="61">
        <v>4.876620706923207E-2</v>
      </c>
      <c r="CA71" s="61">
        <v>4.8307804722781289E-2</v>
      </c>
      <c r="CB71" s="61">
        <v>4.7853711358387147E-2</v>
      </c>
      <c r="CC71" s="61">
        <v>4.7403886471618306E-2</v>
      </c>
      <c r="CD71" s="61">
        <v>4.6958289938785099E-2</v>
      </c>
      <c r="CE71" s="61">
        <v>4.6516882013360523E-2</v>
      </c>
      <c r="CF71" s="61">
        <v>4.6079623322434933E-2</v>
      </c>
      <c r="CG71" s="61">
        <v>4.5646474863204049E-2</v>
      </c>
      <c r="CH71" s="61">
        <v>4.5217397999489935E-2</v>
      </c>
      <c r="CI71" s="61">
        <v>4.4792354458294728E-2</v>
      </c>
      <c r="CJ71" s="61">
        <v>4.4371306326386757E-2</v>
      </c>
      <c r="CK71" s="61">
        <v>4.3954216046918723E-2</v>
      </c>
      <c r="CL71" s="61">
        <v>4.3541046416077686E-2</v>
      </c>
      <c r="CM71" s="61">
        <v>4.3131760579766559E-2</v>
      </c>
      <c r="CN71" s="61">
        <v>4.2726322030316753E-2</v>
      </c>
      <c r="CO71" s="61">
        <v>4.232469460323178E-2</v>
      </c>
      <c r="CP71" s="61">
        <v>4.1926842473961404E-2</v>
      </c>
      <c r="CQ71" s="61">
        <v>4.1532730154706168E-2</v>
      </c>
      <c r="CR71" s="61">
        <v>4.114232249125193E-2</v>
      </c>
      <c r="CS71" s="61">
        <v>4.0755584659834164E-2</v>
      </c>
      <c r="CT71" s="61">
        <v>4.0372482164031727E-2</v>
      </c>
      <c r="CU71" s="61">
        <v>3.9992980831689832E-2</v>
      </c>
      <c r="CV71" s="61">
        <v>3.9617046811871948E-2</v>
      </c>
      <c r="CW71" s="61">
        <v>3.9244646571840354E-2</v>
      </c>
      <c r="CX71" s="61">
        <v>3.8875746894065054E-2</v>
      </c>
      <c r="CY71" s="53">
        <v>3.8510314873260842E-2</v>
      </c>
    </row>
    <row r="72" spans="1:103">
      <c r="A72" s="60">
        <v>90</v>
      </c>
      <c r="B72" s="60">
        <v>0.107126</v>
      </c>
      <c r="C72" s="60">
        <v>0.1067296338</v>
      </c>
      <c r="D72" s="60">
        <v>0.10631338822818</v>
      </c>
      <c r="E72" s="60">
        <v>0.10587750333644445</v>
      </c>
      <c r="F72" s="60">
        <v>0.10540105457143045</v>
      </c>
      <c r="G72" s="60">
        <v>0.10488458940403045</v>
      </c>
      <c r="H72" s="60">
        <v>0.10431821262124868</v>
      </c>
      <c r="I72" s="60">
        <v>0.10369230334552119</v>
      </c>
      <c r="J72" s="60">
        <v>0.10301830337377531</v>
      </c>
      <c r="K72" s="60">
        <v>0.10229717525015888</v>
      </c>
      <c r="L72" s="60">
        <v>0.10154017615330771</v>
      </c>
      <c r="M72" s="60">
        <v>0.10075831679692723</v>
      </c>
      <c r="N72" s="60">
        <v>9.995225026255182E-2</v>
      </c>
      <c r="O72" s="60">
        <v>9.9122646585372648E-2</v>
      </c>
      <c r="P72" s="60">
        <v>9.8280104089396983E-2</v>
      </c>
      <c r="Q72" s="60">
        <v>9.7415239173410287E-2</v>
      </c>
      <c r="R72" s="60">
        <v>9.6548243544766932E-2</v>
      </c>
      <c r="S72" s="60">
        <v>9.5679309352864034E-2</v>
      </c>
      <c r="T72" s="61">
        <v>9.4808627637752968E-2</v>
      </c>
      <c r="U72" s="61">
        <v>9.3936388263485646E-2</v>
      </c>
      <c r="V72" s="61">
        <v>9.3062779852635225E-2</v>
      </c>
      <c r="W72" s="61">
        <v>9.2197296000005716E-2</v>
      </c>
      <c r="X72" s="61">
        <v>9.1339861147205659E-2</v>
      </c>
      <c r="Y72" s="61">
        <v>9.049040043853665E-2</v>
      </c>
      <c r="Z72" s="61">
        <v>8.9648839714458264E-2</v>
      </c>
      <c r="AA72" s="61">
        <v>8.8815105505113803E-2</v>
      </c>
      <c r="AB72" s="61">
        <v>8.7989125023916245E-2</v>
      </c>
      <c r="AC72" s="61">
        <v>8.7170826161193829E-2</v>
      </c>
      <c r="AD72" s="61">
        <v>8.6360137477894727E-2</v>
      </c>
      <c r="AE72" s="61">
        <v>8.5556988199350315E-2</v>
      </c>
      <c r="AF72" s="61">
        <v>8.4761308209096359E-2</v>
      </c>
      <c r="AG72" s="61">
        <v>8.3973028042751766E-2</v>
      </c>
      <c r="AH72" s="61">
        <v>8.3192078881954179E-2</v>
      </c>
      <c r="AI72" s="61">
        <v>8.241839254835201E-2</v>
      </c>
      <c r="AJ72" s="61">
        <v>8.1651901497652335E-2</v>
      </c>
      <c r="AK72" s="61">
        <v>8.0892538813724171E-2</v>
      </c>
      <c r="AL72" s="61">
        <v>8.0140238202756536E-2</v>
      </c>
      <c r="AM72" s="61">
        <v>7.9394933987470898E-2</v>
      </c>
      <c r="AN72" s="61">
        <v>7.8656561101387426E-2</v>
      </c>
      <c r="AO72" s="61">
        <v>7.7925055083144526E-2</v>
      </c>
      <c r="AP72" s="61">
        <v>7.7200352070871281E-2</v>
      </c>
      <c r="AQ72" s="61">
        <v>7.6482388796612177E-2</v>
      </c>
      <c r="AR72" s="61">
        <v>7.577110258080369E-2</v>
      </c>
      <c r="AS72" s="61">
        <v>7.5066431326802213E-2</v>
      </c>
      <c r="AT72" s="61">
        <v>7.4368313515462955E-2</v>
      </c>
      <c r="AU72" s="61">
        <v>7.367668819976915E-2</v>
      </c>
      <c r="AV72" s="61">
        <v>7.2991494999511297E-2</v>
      </c>
      <c r="AW72" s="61">
        <v>7.2312674096015842E-2</v>
      </c>
      <c r="AX72" s="61">
        <v>7.1640166226922902E-2</v>
      </c>
      <c r="AY72" s="61">
        <v>7.0973912681012524E-2</v>
      </c>
      <c r="AZ72" s="61">
        <v>7.0313855293079111E-2</v>
      </c>
      <c r="BA72" s="61">
        <v>6.9659936438853473E-2</v>
      </c>
      <c r="BB72" s="61">
        <v>6.9012099029972143E-2</v>
      </c>
      <c r="BC72" s="61">
        <v>6.8370286508993405E-2</v>
      </c>
      <c r="BD72" s="61">
        <v>6.7734442844459772E-2</v>
      </c>
      <c r="BE72" s="61">
        <v>6.7104512526006299E-2</v>
      </c>
      <c r="BF72" s="61">
        <v>6.6480440559514437E-2</v>
      </c>
      <c r="BG72" s="61">
        <v>6.586217246231095E-2</v>
      </c>
      <c r="BH72" s="61">
        <v>6.5249654258411463E-2</v>
      </c>
      <c r="BI72" s="61">
        <v>6.464283247380824E-2</v>
      </c>
      <c r="BJ72" s="61">
        <v>6.4041654131801823E-2</v>
      </c>
      <c r="BK72" s="61">
        <v>6.3446066748376065E-2</v>
      </c>
      <c r="BL72" s="61">
        <v>6.285601832761617E-2</v>
      </c>
      <c r="BM72" s="61">
        <v>6.2271457357169338E-2</v>
      </c>
      <c r="BN72" s="61">
        <v>6.1692332803747668E-2</v>
      </c>
      <c r="BO72" s="61">
        <v>6.1118594108672819E-2</v>
      </c>
      <c r="BP72" s="61">
        <v>6.0550191183462165E-2</v>
      </c>
      <c r="BQ72" s="61">
        <v>5.9987074405455969E-2</v>
      </c>
      <c r="BR72" s="61">
        <v>5.9429194613485233E-2</v>
      </c>
      <c r="BS72" s="61">
        <v>5.8876503103579822E-2</v>
      </c>
      <c r="BT72" s="61">
        <v>5.8328951624716532E-2</v>
      </c>
      <c r="BU72" s="61">
        <v>5.7786492374606667E-2</v>
      </c>
      <c r="BV72" s="61">
        <v>5.7249077995522826E-2</v>
      </c>
      <c r="BW72" s="61">
        <v>5.6716661570164466E-2</v>
      </c>
      <c r="BX72" s="61">
        <v>5.6189196617561936E-2</v>
      </c>
      <c r="BY72" s="61">
        <v>5.566663708901861E-2</v>
      </c>
      <c r="BZ72" s="61">
        <v>5.5148937364090739E-2</v>
      </c>
      <c r="CA72" s="61">
        <v>5.4636052246604699E-2</v>
      </c>
      <c r="CB72" s="61">
        <v>5.4127936960711276E-2</v>
      </c>
      <c r="CC72" s="61">
        <v>5.3624547146976662E-2</v>
      </c>
      <c r="CD72" s="61">
        <v>5.3125838858509779E-2</v>
      </c>
      <c r="CE72" s="61">
        <v>5.263176855712564E-2</v>
      </c>
      <c r="CF72" s="61">
        <v>5.2142293109544373E-2</v>
      </c>
      <c r="CG72" s="61">
        <v>5.165736978362561E-2</v>
      </c>
      <c r="CH72" s="61">
        <v>5.1176956244637896E-2</v>
      </c>
      <c r="CI72" s="61">
        <v>5.0701010551562765E-2</v>
      </c>
      <c r="CJ72" s="61">
        <v>5.0229491153433233E-2</v>
      </c>
      <c r="CK72" s="61">
        <v>4.9762356885706308E-2</v>
      </c>
      <c r="CL72" s="61">
        <v>4.9299566966669241E-2</v>
      </c>
      <c r="CM72" s="61">
        <v>4.8841080993879217E-2</v>
      </c>
      <c r="CN72" s="61">
        <v>4.8386858940636143E-2</v>
      </c>
      <c r="CO72" s="61">
        <v>4.7936861152488228E-2</v>
      </c>
      <c r="CP72" s="61">
        <v>4.749104834377009E-2</v>
      </c>
      <c r="CQ72" s="61">
        <v>4.7049381594173031E-2</v>
      </c>
      <c r="CR72" s="61">
        <v>4.661182234534722E-2</v>
      </c>
      <c r="CS72" s="61">
        <v>4.6178332397535493E-2</v>
      </c>
      <c r="CT72" s="61">
        <v>4.5748873906238413E-2</v>
      </c>
      <c r="CU72" s="61">
        <v>4.5323409378910398E-2</v>
      </c>
      <c r="CV72" s="61">
        <v>4.4901901671686534E-2</v>
      </c>
      <c r="CW72" s="61">
        <v>4.4484313986139848E-2</v>
      </c>
      <c r="CX72" s="61">
        <v>4.4070609866068748E-2</v>
      </c>
      <c r="CY72" s="53">
        <v>4.3660753194314311E-2</v>
      </c>
    </row>
    <row r="73" spans="1:103">
      <c r="A73" s="60">
        <v>91</v>
      </c>
      <c r="B73" s="60">
        <v>0.119744</v>
      </c>
      <c r="C73" s="60">
        <v>0.119265024</v>
      </c>
      <c r="D73" s="60">
        <v>0.1187760374016</v>
      </c>
      <c r="E73" s="60">
        <v>0.11826530044077313</v>
      </c>
      <c r="F73" s="60">
        <v>0.11773310658878966</v>
      </c>
      <c r="G73" s="60">
        <v>0.11715621436650459</v>
      </c>
      <c r="H73" s="60">
        <v>0.11652357080892546</v>
      </c>
      <c r="I73" s="60">
        <v>0.11584773409823369</v>
      </c>
      <c r="J73" s="60">
        <v>0.11511789337341483</v>
      </c>
      <c r="K73" s="60">
        <v>0.11434660348781295</v>
      </c>
      <c r="L73" s="60">
        <v>0.11353474260304948</v>
      </c>
      <c r="M73" s="60">
        <v>0.11269458550778692</v>
      </c>
      <c r="N73" s="60">
        <v>0.11182683719937696</v>
      </c>
      <c r="O73" s="60">
        <v>0.11093222250178195</v>
      </c>
      <c r="P73" s="60">
        <v>0.11002257827726733</v>
      </c>
      <c r="Q73" s="60">
        <v>0.10908738636191057</v>
      </c>
      <c r="R73" s="60">
        <v>0.10812741736192574</v>
      </c>
      <c r="S73" s="60">
        <v>0.1071650833474046</v>
      </c>
      <c r="T73" s="61">
        <v>0.1062113141056127</v>
      </c>
      <c r="U73" s="61">
        <v>0.10525541227866218</v>
      </c>
      <c r="V73" s="61">
        <v>0.10429758802692636</v>
      </c>
      <c r="W73" s="61">
        <v>0.10334847997588133</v>
      </c>
      <c r="X73" s="61">
        <v>0.1024080088081008</v>
      </c>
      <c r="Y73" s="61">
        <v>0.10147609592794708</v>
      </c>
      <c r="Z73" s="61">
        <v>0.10055266345500276</v>
      </c>
      <c r="AA73" s="61">
        <v>9.9637634217562235E-2</v>
      </c>
      <c r="AB73" s="61">
        <v>9.8730931746182415E-2</v>
      </c>
      <c r="AC73" s="61">
        <v>9.783248026729216E-2</v>
      </c>
      <c r="AD73" s="61">
        <v>9.6942204696859796E-2</v>
      </c>
      <c r="AE73" s="61">
        <v>9.6060030634118374E-2</v>
      </c>
      <c r="AF73" s="61">
        <v>9.5185884355347902E-2</v>
      </c>
      <c r="AG73" s="61">
        <v>9.4319692807714239E-2</v>
      </c>
      <c r="AH73" s="61">
        <v>9.3461383603164042E-2</v>
      </c>
      <c r="AI73" s="61">
        <v>9.2610885012375244E-2</v>
      </c>
      <c r="AJ73" s="61">
        <v>9.1768125958762631E-2</v>
      </c>
      <c r="AK73" s="61">
        <v>9.0933036012537896E-2</v>
      </c>
      <c r="AL73" s="61">
        <v>9.0105545384823807E-2</v>
      </c>
      <c r="AM73" s="61">
        <v>8.9285584921821912E-2</v>
      </c>
      <c r="AN73" s="61">
        <v>8.847308609903333E-2</v>
      </c>
      <c r="AO73" s="61">
        <v>8.7667981015532123E-2</v>
      </c>
      <c r="AP73" s="61">
        <v>8.6870202388290782E-2</v>
      </c>
      <c r="AQ73" s="61">
        <v>8.6079683546557331E-2</v>
      </c>
      <c r="AR73" s="61">
        <v>8.5296358426283664E-2</v>
      </c>
      <c r="AS73" s="61">
        <v>8.4520161564604485E-2</v>
      </c>
      <c r="AT73" s="61">
        <v>8.3751028094366589E-2</v>
      </c>
      <c r="AU73" s="61">
        <v>8.2988893738707853E-2</v>
      </c>
      <c r="AV73" s="61">
        <v>8.2233694805685612E-2</v>
      </c>
      <c r="AW73" s="61">
        <v>8.1485368182953877E-2</v>
      </c>
      <c r="AX73" s="61">
        <v>8.0743851332489E-2</v>
      </c>
      <c r="AY73" s="61">
        <v>8.0009082285363353E-2</v>
      </c>
      <c r="AZ73" s="61">
        <v>7.928099963656654E-2</v>
      </c>
      <c r="BA73" s="61">
        <v>7.8559542539873781E-2</v>
      </c>
      <c r="BB73" s="61">
        <v>7.7844650702760934E-2</v>
      </c>
      <c r="BC73" s="61">
        <v>7.713626438136581E-2</v>
      </c>
      <c r="BD73" s="61">
        <v>7.6434324375495383E-2</v>
      </c>
      <c r="BE73" s="61">
        <v>7.5738772023678375E-2</v>
      </c>
      <c r="BF73" s="61">
        <v>7.5049549198262899E-2</v>
      </c>
      <c r="BG73" s="61">
        <v>7.4366598300558709E-2</v>
      </c>
      <c r="BH73" s="61">
        <v>7.3689862256023628E-2</v>
      </c>
      <c r="BI73" s="61">
        <v>7.3019284509493812E-2</v>
      </c>
      <c r="BJ73" s="61">
        <v>7.235480902045742E-2</v>
      </c>
      <c r="BK73" s="61">
        <v>7.1696380258371259E-2</v>
      </c>
      <c r="BL73" s="61">
        <v>7.1043943198020085E-2</v>
      </c>
      <c r="BM73" s="61">
        <v>7.0397443314918096E-2</v>
      </c>
      <c r="BN73" s="61">
        <v>6.9756826580752343E-2</v>
      </c>
      <c r="BO73" s="61">
        <v>6.9122039458867496E-2</v>
      </c>
      <c r="BP73" s="61">
        <v>6.8493028899791808E-2</v>
      </c>
      <c r="BQ73" s="61">
        <v>6.7869742336803707E-2</v>
      </c>
      <c r="BR73" s="61">
        <v>6.7252127681538793E-2</v>
      </c>
      <c r="BS73" s="61">
        <v>6.6640133319636793E-2</v>
      </c>
      <c r="BT73" s="61">
        <v>6.6033708106428099E-2</v>
      </c>
      <c r="BU73" s="61">
        <v>6.5432801362659609E-2</v>
      </c>
      <c r="BV73" s="61">
        <v>6.4837362870259402E-2</v>
      </c>
      <c r="BW73" s="61">
        <v>6.4247342868140045E-2</v>
      </c>
      <c r="BX73" s="61">
        <v>6.3662692048039968E-2</v>
      </c>
      <c r="BY73" s="61">
        <v>6.3083361550402811E-2</v>
      </c>
      <c r="BZ73" s="61">
        <v>6.2509302960294152E-2</v>
      </c>
      <c r="CA73" s="61">
        <v>6.1940468303355478E-2</v>
      </c>
      <c r="CB73" s="61">
        <v>6.1376810041794946E-2</v>
      </c>
      <c r="CC73" s="61">
        <v>6.0818281070414613E-2</v>
      </c>
      <c r="CD73" s="61">
        <v>6.026483471267384E-2</v>
      </c>
      <c r="CE73" s="61">
        <v>5.9716424716788508E-2</v>
      </c>
      <c r="CF73" s="61">
        <v>5.917300525186573E-2</v>
      </c>
      <c r="CG73" s="61">
        <v>5.8634530904073751E-2</v>
      </c>
      <c r="CH73" s="61">
        <v>5.8100956672846676E-2</v>
      </c>
      <c r="CI73" s="61">
        <v>5.7572237967123775E-2</v>
      </c>
      <c r="CJ73" s="61">
        <v>5.7048330601622947E-2</v>
      </c>
      <c r="CK73" s="61">
        <v>5.6529190793148179E-2</v>
      </c>
      <c r="CL73" s="61">
        <v>5.6014775156930534E-2</v>
      </c>
      <c r="CM73" s="61">
        <v>5.5505040703002467E-2</v>
      </c>
      <c r="CN73" s="61">
        <v>5.4999944832605147E-2</v>
      </c>
      <c r="CO73" s="61">
        <v>5.4499445334628437E-2</v>
      </c>
      <c r="CP73" s="61">
        <v>5.4003500382083319E-2</v>
      </c>
      <c r="CQ73" s="61">
        <v>5.3512068528606363E-2</v>
      </c>
      <c r="CR73" s="61">
        <v>5.3025108704996042E-2</v>
      </c>
      <c r="CS73" s="61">
        <v>5.2542580215780579E-2</v>
      </c>
      <c r="CT73" s="61">
        <v>5.2064442735816979E-2</v>
      </c>
      <c r="CU73" s="61">
        <v>5.1590656306921043E-2</v>
      </c>
      <c r="CV73" s="61">
        <v>5.112118133452806E-2</v>
      </c>
      <c r="CW73" s="61">
        <v>5.0655978584383851E-2</v>
      </c>
      <c r="CX73" s="61">
        <v>5.0195009179265955E-2</v>
      </c>
      <c r="CY73" s="53">
        <v>4.9738234595734634E-2</v>
      </c>
    </row>
    <row r="74" spans="1:103">
      <c r="A74" s="60">
        <v>92</v>
      </c>
      <c r="B74" s="60">
        <v>0.133299</v>
      </c>
      <c r="C74" s="60">
        <v>0.13272581429999999</v>
      </c>
      <c r="D74" s="60">
        <v>0.13215509329851</v>
      </c>
      <c r="E74" s="60">
        <v>0.13157361088799654</v>
      </c>
      <c r="F74" s="60">
        <v>0.13095521491682297</v>
      </c>
      <c r="G74" s="60">
        <v>0.13030043884223885</v>
      </c>
      <c r="H74" s="60">
        <v>0.129609846516375</v>
      </c>
      <c r="I74" s="60">
        <v>0.12887107039123166</v>
      </c>
      <c r="J74" s="60">
        <v>0.12808495686184515</v>
      </c>
      <c r="K74" s="60">
        <v>0.12725240464224316</v>
      </c>
      <c r="L74" s="60">
        <v>0.12638708829067591</v>
      </c>
      <c r="M74" s="60">
        <v>0.1254897399638121</v>
      </c>
      <c r="N74" s="60">
        <v>0.12457366486207627</v>
      </c>
      <c r="O74" s="60">
        <v>0.12362690500912449</v>
      </c>
      <c r="P74" s="60">
        <v>0.1226502524595524</v>
      </c>
      <c r="Q74" s="60">
        <v>0.12164452038938407</v>
      </c>
      <c r="R74" s="60">
        <v>0.12061054196607432</v>
      </c>
      <c r="S74" s="60">
        <v>0.11956123025096947</v>
      </c>
      <c r="T74" s="61">
        <v>0.11850909142476093</v>
      </c>
      <c r="U74" s="61">
        <v>0.11745436051108056</v>
      </c>
      <c r="V74" s="61">
        <v>0.11639727126648083</v>
      </c>
      <c r="W74" s="61">
        <v>0.1153496958250825</v>
      </c>
      <c r="X74" s="61">
        <v>0.11431154856265677</v>
      </c>
      <c r="Y74" s="61">
        <v>0.11328274462559286</v>
      </c>
      <c r="Z74" s="61">
        <v>0.11226319992396253</v>
      </c>
      <c r="AA74" s="61">
        <v>0.11125283112464686</v>
      </c>
      <c r="AB74" s="61">
        <v>0.11025155564452503</v>
      </c>
      <c r="AC74" s="61">
        <v>0.1092592916437243</v>
      </c>
      <c r="AD74" s="61">
        <v>0.10827595801893078</v>
      </c>
      <c r="AE74" s="61">
        <v>0.1073014743967604</v>
      </c>
      <c r="AF74" s="61">
        <v>0.10633576112718955</v>
      </c>
      <c r="AG74" s="61">
        <v>0.10537873927704484</v>
      </c>
      <c r="AH74" s="61">
        <v>0.10443033062355143</v>
      </c>
      <c r="AI74" s="61">
        <v>0.10349045764793947</v>
      </c>
      <c r="AJ74" s="61">
        <v>0.10255904352910802</v>
      </c>
      <c r="AK74" s="61">
        <v>0.10163601213734605</v>
      </c>
      <c r="AL74" s="61">
        <v>0.10072128802810994</v>
      </c>
      <c r="AM74" s="61">
        <v>9.9814796435856945E-2</v>
      </c>
      <c r="AN74" s="61">
        <v>9.8916463267934226E-2</v>
      </c>
      <c r="AO74" s="61">
        <v>9.8026215098522815E-2</v>
      </c>
      <c r="AP74" s="61">
        <v>9.7143979162636104E-2</v>
      </c>
      <c r="AQ74" s="61">
        <v>9.6269683350172372E-2</v>
      </c>
      <c r="AR74" s="61">
        <v>9.5403256200020825E-2</v>
      </c>
      <c r="AS74" s="61">
        <v>9.4544626894220635E-2</v>
      </c>
      <c r="AT74" s="61">
        <v>9.3693725252172649E-2</v>
      </c>
      <c r="AU74" s="61">
        <v>9.2850481724903094E-2</v>
      </c>
      <c r="AV74" s="61">
        <v>9.2014827389378967E-2</v>
      </c>
      <c r="AW74" s="61">
        <v>9.1186693942874555E-2</v>
      </c>
      <c r="AX74" s="61">
        <v>9.0366013697388684E-2</v>
      </c>
      <c r="AY74" s="61">
        <v>8.9552719574112191E-2</v>
      </c>
      <c r="AZ74" s="61">
        <v>8.8746745097945182E-2</v>
      </c>
      <c r="BA74" s="61">
        <v>8.7948024392063673E-2</v>
      </c>
      <c r="BB74" s="61">
        <v>8.7156492172535099E-2</v>
      </c>
      <c r="BC74" s="61">
        <v>8.6372083742982289E-2</v>
      </c>
      <c r="BD74" s="61">
        <v>8.5594734989295443E-2</v>
      </c>
      <c r="BE74" s="61">
        <v>8.4824382374391785E-2</v>
      </c>
      <c r="BF74" s="61">
        <v>8.406096293302226E-2</v>
      </c>
      <c r="BG74" s="61">
        <v>8.3304414266625063E-2</v>
      </c>
      <c r="BH74" s="61">
        <v>8.2554674538225431E-2</v>
      </c>
      <c r="BI74" s="61">
        <v>8.1811682467381408E-2</v>
      </c>
      <c r="BJ74" s="61">
        <v>8.1075377325174974E-2</v>
      </c>
      <c r="BK74" s="61">
        <v>8.0345698929248394E-2</v>
      </c>
      <c r="BL74" s="61">
        <v>7.9622587638885162E-2</v>
      </c>
      <c r="BM74" s="61">
        <v>7.8905984350135197E-2</v>
      </c>
      <c r="BN74" s="61">
        <v>7.8195830490983984E-2</v>
      </c>
      <c r="BO74" s="61">
        <v>7.7492068016565122E-2</v>
      </c>
      <c r="BP74" s="61">
        <v>7.679463940441604E-2</v>
      </c>
      <c r="BQ74" s="61">
        <v>7.61034876497763E-2</v>
      </c>
      <c r="BR74" s="61">
        <v>7.5418556260928318E-2</v>
      </c>
      <c r="BS74" s="61">
        <v>7.4739789254579969E-2</v>
      </c>
      <c r="BT74" s="61">
        <v>7.4067131151288754E-2</v>
      </c>
      <c r="BU74" s="61">
        <v>7.3400526970927152E-2</v>
      </c>
      <c r="BV74" s="61">
        <v>7.2739922228188814E-2</v>
      </c>
      <c r="BW74" s="61">
        <v>7.2085262928135108E-2</v>
      </c>
      <c r="BX74" s="61">
        <v>7.1436495561781888E-2</v>
      </c>
      <c r="BY74" s="61">
        <v>7.0793567101725852E-2</v>
      </c>
      <c r="BZ74" s="61">
        <v>7.0156424997810315E-2</v>
      </c>
      <c r="CA74" s="61">
        <v>6.9525017172830023E-2</v>
      </c>
      <c r="CB74" s="61">
        <v>6.8899292018274549E-2</v>
      </c>
      <c r="CC74" s="61">
        <v>6.8279198390110082E-2</v>
      </c>
      <c r="CD74" s="61">
        <v>6.7664685604599095E-2</v>
      </c>
      <c r="CE74" s="61">
        <v>6.7055703434157704E-2</v>
      </c>
      <c r="CF74" s="61">
        <v>6.6452202103250285E-2</v>
      </c>
      <c r="CG74" s="61">
        <v>6.5854132284321035E-2</v>
      </c>
      <c r="CH74" s="61">
        <v>6.5261445093762138E-2</v>
      </c>
      <c r="CI74" s="61">
        <v>6.4674092087918272E-2</v>
      </c>
      <c r="CJ74" s="61">
        <v>6.4092025259127008E-2</v>
      </c>
      <c r="CK74" s="61">
        <v>6.3515197031794868E-2</v>
      </c>
      <c r="CL74" s="61">
        <v>6.294356025850871E-2</v>
      </c>
      <c r="CM74" s="61">
        <v>6.2377068216182129E-2</v>
      </c>
      <c r="CN74" s="61">
        <v>6.1815674602236491E-2</v>
      </c>
      <c r="CO74" s="61">
        <v>6.1259333530816362E-2</v>
      </c>
      <c r="CP74" s="61">
        <v>6.0707999529039013E-2</v>
      </c>
      <c r="CQ74" s="61">
        <v>6.016162753327766E-2</v>
      </c>
      <c r="CR74" s="61">
        <v>5.9620172885478162E-2</v>
      </c>
      <c r="CS74" s="61">
        <v>5.9083591329508856E-2</v>
      </c>
      <c r="CT74" s="61">
        <v>5.8551839007543273E-2</v>
      </c>
      <c r="CU74" s="61">
        <v>5.8024872456475383E-2</v>
      </c>
      <c r="CV74" s="61">
        <v>5.7502648604367101E-2</v>
      </c>
      <c r="CW74" s="61">
        <v>5.6985124766927797E-2</v>
      </c>
      <c r="CX74" s="61">
        <v>5.6472258644025448E-2</v>
      </c>
      <c r="CY74" s="53">
        <v>5.5964008316229219E-2</v>
      </c>
    </row>
    <row r="75" spans="1:103">
      <c r="A75" s="60">
        <v>93</v>
      </c>
      <c r="B75" s="60">
        <v>0.14771999999999999</v>
      </c>
      <c r="C75" s="60">
        <v>0.14702571599999997</v>
      </c>
      <c r="D75" s="60">
        <v>0.14634939770639996</v>
      </c>
      <c r="E75" s="60">
        <v>0.14566155553717988</v>
      </c>
      <c r="F75" s="60">
        <v>0.14496238007060142</v>
      </c>
      <c r="G75" s="60">
        <v>0.14422307193224135</v>
      </c>
      <c r="H75" s="60">
        <v>0.14345868965100048</v>
      </c>
      <c r="I75" s="60">
        <v>0.14265532098895486</v>
      </c>
      <c r="J75" s="60">
        <v>0.14179938906302114</v>
      </c>
      <c r="K75" s="60">
        <v>0.14090605291192412</v>
      </c>
      <c r="L75" s="60">
        <v>0.13999016356799662</v>
      </c>
      <c r="M75" s="60">
        <v>0.13903823045573424</v>
      </c>
      <c r="N75" s="60">
        <v>0.1380649628425441</v>
      </c>
      <c r="O75" s="60">
        <v>0.13705708861379354</v>
      </c>
      <c r="P75" s="60">
        <v>0.1360154547403287</v>
      </c>
      <c r="Q75" s="60">
        <v>0.1349409326478801</v>
      </c>
      <c r="R75" s="60">
        <v>0.13383441700016749</v>
      </c>
      <c r="S75" s="60">
        <v>0.13271020789736609</v>
      </c>
      <c r="T75" s="61">
        <v>0.13156890010944874</v>
      </c>
      <c r="U75" s="61">
        <v>0.13042425067849653</v>
      </c>
      <c r="V75" s="61">
        <v>0.12927651727252576</v>
      </c>
      <c r="W75" s="61">
        <v>0.12813888392052752</v>
      </c>
      <c r="X75" s="61">
        <v>0.12701126174202687</v>
      </c>
      <c r="Y75" s="61">
        <v>0.12589356263869703</v>
      </c>
      <c r="Z75" s="61">
        <v>0.12478569928747649</v>
      </c>
      <c r="AA75" s="61">
        <v>0.1236875851337467</v>
      </c>
      <c r="AB75" s="61">
        <v>0.12259913438456972</v>
      </c>
      <c r="AC75" s="61">
        <v>0.1215202620019855</v>
      </c>
      <c r="AD75" s="61">
        <v>0.12045088369636803</v>
      </c>
      <c r="AE75" s="61">
        <v>0.11939091591983998</v>
      </c>
      <c r="AF75" s="61">
        <v>0.11834027585974538</v>
      </c>
      <c r="AG75" s="61">
        <v>0.11729888143217962</v>
      </c>
      <c r="AH75" s="61">
        <v>0.11626665127557644</v>
      </c>
      <c r="AI75" s="61">
        <v>0.11524350474435135</v>
      </c>
      <c r="AJ75" s="61">
        <v>0.11422936190260106</v>
      </c>
      <c r="AK75" s="61">
        <v>0.11322414351785817</v>
      </c>
      <c r="AL75" s="61">
        <v>0.11222777105490102</v>
      </c>
      <c r="AM75" s="61">
        <v>0.11124016666961789</v>
      </c>
      <c r="AN75" s="61">
        <v>0.11026125320292525</v>
      </c>
      <c r="AO75" s="61">
        <v>0.10929095417473951</v>
      </c>
      <c r="AP75" s="61">
        <v>0.10832919377800181</v>
      </c>
      <c r="AQ75" s="61">
        <v>0.10737589687275538</v>
      </c>
      <c r="AR75" s="61">
        <v>0.10643098898027513</v>
      </c>
      <c r="AS75" s="61">
        <v>0.1054943962772487</v>
      </c>
      <c r="AT75" s="61">
        <v>0.10456604559000891</v>
      </c>
      <c r="AU75" s="61">
        <v>0.10364586438881683</v>
      </c>
      <c r="AV75" s="61">
        <v>0.10273378078219524</v>
      </c>
      <c r="AW75" s="61">
        <v>0.10182972351131192</v>
      </c>
      <c r="AX75" s="61">
        <v>0.10093362194441237</v>
      </c>
      <c r="AY75" s="61">
        <v>0.10004540607130154</v>
      </c>
      <c r="AZ75" s="61">
        <v>9.9165006497874075E-2</v>
      </c>
      <c r="BA75" s="61">
        <v>9.8292354440692786E-2</v>
      </c>
      <c r="BB75" s="61">
        <v>9.7427381721614692E-2</v>
      </c>
      <c r="BC75" s="61">
        <v>9.6570020762464473E-2</v>
      </c>
      <c r="BD75" s="61">
        <v>9.5720204579754789E-2</v>
      </c>
      <c r="BE75" s="61">
        <v>9.4877866779452938E-2</v>
      </c>
      <c r="BF75" s="61">
        <v>9.4042941551793754E-2</v>
      </c>
      <c r="BG75" s="61">
        <v>9.321536366613796E-2</v>
      </c>
      <c r="BH75" s="61">
        <v>9.2395068465875946E-2</v>
      </c>
      <c r="BI75" s="61">
        <v>9.1581991863376233E-2</v>
      </c>
      <c r="BJ75" s="61">
        <v>9.0776070334978518E-2</v>
      </c>
      <c r="BK75" s="61">
        <v>8.997724091603071E-2</v>
      </c>
      <c r="BL75" s="61">
        <v>8.9185441195969634E-2</v>
      </c>
      <c r="BM75" s="61">
        <v>8.8400609313445094E-2</v>
      </c>
      <c r="BN75" s="61">
        <v>8.7622683951486771E-2</v>
      </c>
      <c r="BO75" s="61">
        <v>8.6851604332713689E-2</v>
      </c>
      <c r="BP75" s="61">
        <v>8.6087310214585808E-2</v>
      </c>
      <c r="BQ75" s="61">
        <v>8.5329741884697455E-2</v>
      </c>
      <c r="BR75" s="61">
        <v>8.4578840156112112E-2</v>
      </c>
      <c r="BS75" s="61">
        <v>8.3834546362738321E-2</v>
      </c>
      <c r="BT75" s="61">
        <v>8.3096802354746216E-2</v>
      </c>
      <c r="BU75" s="61">
        <v>8.2365550494024442E-2</v>
      </c>
      <c r="BV75" s="61">
        <v>8.1640733649677028E-2</v>
      </c>
      <c r="BW75" s="61">
        <v>8.0922295193559868E-2</v>
      </c>
      <c r="BX75" s="61">
        <v>8.0210178995856543E-2</v>
      </c>
      <c r="BY75" s="61">
        <v>7.9504329420693007E-2</v>
      </c>
      <c r="BZ75" s="61">
        <v>7.880469132179091E-2</v>
      </c>
      <c r="CA75" s="61">
        <v>7.8111210038159143E-2</v>
      </c>
      <c r="CB75" s="61">
        <v>7.7423831389823339E-2</v>
      </c>
      <c r="CC75" s="61">
        <v>7.6742501673592894E-2</v>
      </c>
      <c r="CD75" s="61">
        <v>7.6067167658865273E-2</v>
      </c>
      <c r="CE75" s="61">
        <v>7.539777658346726E-2</v>
      </c>
      <c r="CF75" s="61">
        <v>7.473427614953275E-2</v>
      </c>
      <c r="CG75" s="61">
        <v>7.4076614519416856E-2</v>
      </c>
      <c r="CH75" s="61">
        <v>7.3424740311645989E-2</v>
      </c>
      <c r="CI75" s="61">
        <v>7.2778602596903497E-2</v>
      </c>
      <c r="CJ75" s="61">
        <v>7.2138150894050748E-2</v>
      </c>
      <c r="CK75" s="61">
        <v>7.1503335166183096E-2</v>
      </c>
      <c r="CL75" s="61">
        <v>7.0874105816720684E-2</v>
      </c>
      <c r="CM75" s="61">
        <v>7.0250413685533544E-2</v>
      </c>
      <c r="CN75" s="61">
        <v>6.9632210045100854E-2</v>
      </c>
      <c r="CO75" s="61">
        <v>6.9019446596703962E-2</v>
      </c>
      <c r="CP75" s="61">
        <v>6.8412075466652969E-2</v>
      </c>
      <c r="CQ75" s="61">
        <v>6.7810049202546421E-2</v>
      </c>
      <c r="CR75" s="61">
        <v>6.7213320769564017E-2</v>
      </c>
      <c r="CS75" s="61">
        <v>6.6621843546791848E-2</v>
      </c>
      <c r="CT75" s="61">
        <v>6.6035571323580081E-2</v>
      </c>
      <c r="CU75" s="61">
        <v>6.5454458295932577E-2</v>
      </c>
      <c r="CV75" s="61">
        <v>6.487845906292837E-2</v>
      </c>
      <c r="CW75" s="61">
        <v>6.4307528623174598E-2</v>
      </c>
      <c r="CX75" s="61">
        <v>6.3741622371290663E-2</v>
      </c>
      <c r="CY75" s="53">
        <v>6.3180696094423297E-2</v>
      </c>
    </row>
    <row r="76" spans="1:103">
      <c r="A76" s="60">
        <v>94</v>
      </c>
      <c r="B76" s="60">
        <v>0.162971</v>
      </c>
      <c r="C76" s="60">
        <v>0.16213984789999999</v>
      </c>
      <c r="D76" s="60">
        <v>0.16132914866049999</v>
      </c>
      <c r="E76" s="60">
        <v>0.1605225029171975</v>
      </c>
      <c r="F76" s="60">
        <v>0.1597198904026115</v>
      </c>
      <c r="G76" s="60">
        <v>0.15888934697251791</v>
      </c>
      <c r="H76" s="60">
        <v>0.15803134449886633</v>
      </c>
      <c r="I76" s="60">
        <v>0.15714636896967266</v>
      </c>
      <c r="J76" s="60">
        <v>0.15621920539275158</v>
      </c>
      <c r="K76" s="60">
        <v>0.15526626823985579</v>
      </c>
      <c r="L76" s="60">
        <v>0.15428809074994471</v>
      </c>
      <c r="M76" s="60">
        <v>0.15328521816007007</v>
      </c>
      <c r="N76" s="60">
        <v>0.15224287867658159</v>
      </c>
      <c r="O76" s="60">
        <v>0.15117717852584553</v>
      </c>
      <c r="P76" s="60">
        <v>0.15007358512260685</v>
      </c>
      <c r="Q76" s="60">
        <v>0.14893302587567503</v>
      </c>
      <c r="R76" s="60">
        <v>0.1477564549712572</v>
      </c>
      <c r="S76" s="60">
        <v>0.14655962768599001</v>
      </c>
      <c r="T76" s="61">
        <v>0.14534318277619629</v>
      </c>
      <c r="U76" s="61">
        <v>0.14409323140432098</v>
      </c>
      <c r="V76" s="61">
        <v>0.14283962029110339</v>
      </c>
      <c r="W76" s="61">
        <v>0.1415969155945708</v>
      </c>
      <c r="X76" s="61">
        <v>0.14036502242889803</v>
      </c>
      <c r="Y76" s="61">
        <v>0.13914384673376662</v>
      </c>
      <c r="Z76" s="61">
        <v>0.13793329526718284</v>
      </c>
      <c r="AA76" s="61">
        <v>0.13673327559835835</v>
      </c>
      <c r="AB76" s="61">
        <v>0.13554369610065262</v>
      </c>
      <c r="AC76" s="61">
        <v>0.13436446594457693</v>
      </c>
      <c r="AD76" s="61">
        <v>0.1331954950908591</v>
      </c>
      <c r="AE76" s="61">
        <v>0.13203669428356862</v>
      </c>
      <c r="AF76" s="61">
        <v>0.13088797504330157</v>
      </c>
      <c r="AG76" s="61">
        <v>0.12974924966042484</v>
      </c>
      <c r="AH76" s="61">
        <v>0.12862043118837913</v>
      </c>
      <c r="AI76" s="61">
        <v>0.12750143343704023</v>
      </c>
      <c r="AJ76" s="61">
        <v>0.12639217096613797</v>
      </c>
      <c r="AK76" s="61">
        <v>0.12529255907873257</v>
      </c>
      <c r="AL76" s="61">
        <v>0.12420251381474759</v>
      </c>
      <c r="AM76" s="61">
        <v>0.12312195194455929</v>
      </c>
      <c r="AN76" s="61">
        <v>0.12205079096264161</v>
      </c>
      <c r="AO76" s="61">
        <v>0.12098894908126663</v>
      </c>
      <c r="AP76" s="61">
        <v>0.11993634522425961</v>
      </c>
      <c r="AQ76" s="61">
        <v>0.11889289902080855</v>
      </c>
      <c r="AR76" s="61">
        <v>0.11785853079932751</v>
      </c>
      <c r="AS76" s="61">
        <v>0.11683316158137336</v>
      </c>
      <c r="AT76" s="61">
        <v>0.1158167130756154</v>
      </c>
      <c r="AU76" s="61">
        <v>0.11480910767185755</v>
      </c>
      <c r="AV76" s="61">
        <v>0.11381026843511238</v>
      </c>
      <c r="AW76" s="61">
        <v>0.1128201190997269</v>
      </c>
      <c r="AX76" s="61">
        <v>0.11183858406355927</v>
      </c>
      <c r="AY76" s="61">
        <v>0.11086558838220631</v>
      </c>
      <c r="AZ76" s="61">
        <v>0.10990105776328112</v>
      </c>
      <c r="BA76" s="61">
        <v>0.10894491856074057</v>
      </c>
      <c r="BB76" s="61">
        <v>0.10799709776926211</v>
      </c>
      <c r="BC76" s="61">
        <v>0.10705752301866953</v>
      </c>
      <c r="BD76" s="61">
        <v>0.1061261225684071</v>
      </c>
      <c r="BE76" s="61">
        <v>0.10520282530206196</v>
      </c>
      <c r="BF76" s="61">
        <v>0.10428756072193401</v>
      </c>
      <c r="BG76" s="61">
        <v>0.10338025894365319</v>
      </c>
      <c r="BH76" s="61">
        <v>0.10248085069084339</v>
      </c>
      <c r="BI76" s="61">
        <v>0.10158926728983306</v>
      </c>
      <c r="BJ76" s="61">
        <v>0.10070544066441151</v>
      </c>
      <c r="BK76" s="61">
        <v>9.9829303330631128E-2</v>
      </c>
      <c r="BL76" s="61">
        <v>9.8960788391654633E-2</v>
      </c>
      <c r="BM76" s="61">
        <v>9.8099829532647231E-2</v>
      </c>
      <c r="BN76" s="61">
        <v>9.7246361015713198E-2</v>
      </c>
      <c r="BO76" s="61">
        <v>9.6400317674876487E-2</v>
      </c>
      <c r="BP76" s="61">
        <v>9.5561634911105059E-2</v>
      </c>
      <c r="BQ76" s="61">
        <v>9.4730248687378435E-2</v>
      </c>
      <c r="BR76" s="61">
        <v>9.3906095523798236E-2</v>
      </c>
      <c r="BS76" s="61">
        <v>9.3089112492741183E-2</v>
      </c>
      <c r="BT76" s="61">
        <v>9.227923721405433E-2</v>
      </c>
      <c r="BU76" s="61">
        <v>9.1476407850292055E-2</v>
      </c>
      <c r="BV76" s="61">
        <v>9.0680563101994516E-2</v>
      </c>
      <c r="BW76" s="61">
        <v>8.989164220300716E-2</v>
      </c>
      <c r="BX76" s="61">
        <v>8.9109584915840992E-2</v>
      </c>
      <c r="BY76" s="61">
        <v>8.8334331527073165E-2</v>
      </c>
      <c r="BZ76" s="61">
        <v>8.7565822842787619E-2</v>
      </c>
      <c r="CA76" s="61">
        <v>8.680400018405536E-2</v>
      </c>
      <c r="CB76" s="61">
        <v>8.6048805382454074E-2</v>
      </c>
      <c r="CC76" s="61">
        <v>8.5300180775626719E-2</v>
      </c>
      <c r="CD76" s="61">
        <v>8.4558069202878769E-2</v>
      </c>
      <c r="CE76" s="61">
        <v>8.3822414000813722E-2</v>
      </c>
      <c r="CF76" s="61">
        <v>8.3093158999006642E-2</v>
      </c>
      <c r="CG76" s="61">
        <v>8.2370248515715283E-2</v>
      </c>
      <c r="CH76" s="61">
        <v>8.1653627353628563E-2</v>
      </c>
      <c r="CI76" s="61">
        <v>8.0943240795651988E-2</v>
      </c>
      <c r="CJ76" s="61">
        <v>8.0239034600729814E-2</v>
      </c>
      <c r="CK76" s="61">
        <v>7.9540954999703456E-2</v>
      </c>
      <c r="CL76" s="61">
        <v>7.8848948691206039E-2</v>
      </c>
      <c r="CM76" s="61">
        <v>7.8162962837592539E-2</v>
      </c>
      <c r="CN76" s="61">
        <v>7.7482945060905487E-2</v>
      </c>
      <c r="CO76" s="61">
        <v>7.6808843438875604E-2</v>
      </c>
      <c r="CP76" s="61">
        <v>7.6140606500957386E-2</v>
      </c>
      <c r="CQ76" s="61">
        <v>7.5478183224399059E-2</v>
      </c>
      <c r="CR76" s="61">
        <v>7.4821523030346782E-2</v>
      </c>
      <c r="CS76" s="61">
        <v>7.4170575779982761E-2</v>
      </c>
      <c r="CT76" s="61">
        <v>7.3525291770696902E-2</v>
      </c>
      <c r="CU76" s="61">
        <v>7.2885621732291836E-2</v>
      </c>
      <c r="CV76" s="61">
        <v>7.2251516823220896E-2</v>
      </c>
      <c r="CW76" s="61">
        <v>7.1622928626858873E-2</v>
      </c>
      <c r="CX76" s="61">
        <v>7.0999809147805196E-2</v>
      </c>
      <c r="CY76" s="53">
        <v>7.0382110808219281E-2</v>
      </c>
    </row>
    <row r="77" spans="1:103">
      <c r="A77" s="60">
        <v>95</v>
      </c>
      <c r="B77" s="60">
        <v>0.179034</v>
      </c>
      <c r="C77" s="60">
        <v>0.1780314096</v>
      </c>
      <c r="D77" s="60">
        <v>0.17707003998816001</v>
      </c>
      <c r="E77" s="60">
        <v>0.17613156877622277</v>
      </c>
      <c r="F77" s="60">
        <v>0.17519807146170879</v>
      </c>
      <c r="G77" s="60">
        <v>0.17426952168296175</v>
      </c>
      <c r="H77" s="60">
        <v>0.17332846626587375</v>
      </c>
      <c r="I77" s="60">
        <v>0.17235782685478485</v>
      </c>
      <c r="J77" s="60">
        <v>0.17135815145902708</v>
      </c>
      <c r="K77" s="60">
        <v>0.17034713836541882</v>
      </c>
      <c r="L77" s="60">
        <v>0.16930802082138977</v>
      </c>
      <c r="M77" s="60">
        <v>0.16824138029021501</v>
      </c>
      <c r="N77" s="60">
        <v>0.16714781131832862</v>
      </c>
      <c r="O77" s="60">
        <v>0.16601120620136398</v>
      </c>
      <c r="P77" s="60">
        <v>0.16484912775795443</v>
      </c>
      <c r="Q77" s="60">
        <v>0.16364572912532138</v>
      </c>
      <c r="R77" s="60">
        <v>0.16240202158396894</v>
      </c>
      <c r="S77" s="60">
        <v>0.16113528581561398</v>
      </c>
      <c r="T77" s="61">
        <v>0.15983009000050752</v>
      </c>
      <c r="U77" s="61">
        <v>0.15850350025350332</v>
      </c>
      <c r="V77" s="61">
        <v>0.15715622050134856</v>
      </c>
      <c r="W77" s="61">
        <v>0.15582039262708711</v>
      </c>
      <c r="X77" s="61">
        <v>0.15449591928975687</v>
      </c>
      <c r="Y77" s="61">
        <v>0.15318270397579395</v>
      </c>
      <c r="Z77" s="61">
        <v>0.15188065099199971</v>
      </c>
      <c r="AA77" s="61">
        <v>0.15058966545856772</v>
      </c>
      <c r="AB77" s="61">
        <v>0.14930965330216991</v>
      </c>
      <c r="AC77" s="61">
        <v>0.14804052124910147</v>
      </c>
      <c r="AD77" s="61">
        <v>0.14678217681848413</v>
      </c>
      <c r="AE77" s="61">
        <v>0.14553452831552702</v>
      </c>
      <c r="AF77" s="61">
        <v>0.14429748482484506</v>
      </c>
      <c r="AG77" s="61">
        <v>0.14307095620383389</v>
      </c>
      <c r="AH77" s="61">
        <v>0.14185485307610132</v>
      </c>
      <c r="AI77" s="61">
        <v>0.14064908682495447</v>
      </c>
      <c r="AJ77" s="61">
        <v>0.13945356958694236</v>
      </c>
      <c r="AK77" s="61">
        <v>0.13826821424545335</v>
      </c>
      <c r="AL77" s="61">
        <v>0.13709293442436701</v>
      </c>
      <c r="AM77" s="61">
        <v>0.1359276444817599</v>
      </c>
      <c r="AN77" s="61">
        <v>0.13477225950366495</v>
      </c>
      <c r="AO77" s="61">
        <v>0.13362669529788379</v>
      </c>
      <c r="AP77" s="61">
        <v>0.13249086838785179</v>
      </c>
      <c r="AQ77" s="61">
        <v>0.13136469600655507</v>
      </c>
      <c r="AR77" s="61">
        <v>0.13024809609049937</v>
      </c>
      <c r="AS77" s="61">
        <v>0.12914098727373013</v>
      </c>
      <c r="AT77" s="61">
        <v>0.12804328888190344</v>
      </c>
      <c r="AU77" s="61">
        <v>0.12695492092640728</v>
      </c>
      <c r="AV77" s="61">
        <v>0.12587580409853283</v>
      </c>
      <c r="AW77" s="61">
        <v>0.12480585976369531</v>
      </c>
      <c r="AX77" s="61">
        <v>0.12374500995570391</v>
      </c>
      <c r="AY77" s="61">
        <v>0.12269317737108043</v>
      </c>
      <c r="AZ77" s="61">
        <v>0.12165028536342626</v>
      </c>
      <c r="BA77" s="61">
        <v>0.12061625793783715</v>
      </c>
      <c r="BB77" s="61">
        <v>0.11959101974536554</v>
      </c>
      <c r="BC77" s="61">
        <v>0.11857449607752994</v>
      </c>
      <c r="BD77" s="61">
        <v>0.11756661286087094</v>
      </c>
      <c r="BE77" s="61">
        <v>0.11656729665155355</v>
      </c>
      <c r="BF77" s="61">
        <v>0.11557647463001534</v>
      </c>
      <c r="BG77" s="61">
        <v>0.11459407459566022</v>
      </c>
      <c r="BH77" s="61">
        <v>0.11362002496159711</v>
      </c>
      <c r="BI77" s="61">
        <v>0.11265425474942353</v>
      </c>
      <c r="BJ77" s="61">
        <v>0.11169669358405344</v>
      </c>
      <c r="BK77" s="61">
        <v>0.110747271688589</v>
      </c>
      <c r="BL77" s="61">
        <v>0.10980591987923601</v>
      </c>
      <c r="BM77" s="61">
        <v>0.10887256956026251</v>
      </c>
      <c r="BN77" s="61">
        <v>0.10794715271900028</v>
      </c>
      <c r="BO77" s="61">
        <v>0.10702960192088878</v>
      </c>
      <c r="BP77" s="61">
        <v>0.10611985030456124</v>
      </c>
      <c r="BQ77" s="61">
        <v>0.10521783157697247</v>
      </c>
      <c r="BR77" s="61">
        <v>0.10432348000856821</v>
      </c>
      <c r="BS77" s="61">
        <v>0.10343673042849538</v>
      </c>
      <c r="BT77" s="61">
        <v>0.10255751821985318</v>
      </c>
      <c r="BU77" s="61">
        <v>0.10168577931498443</v>
      </c>
      <c r="BV77" s="61">
        <v>0.10082145019080707</v>
      </c>
      <c r="BW77" s="61">
        <v>9.9964467864185211E-2</v>
      </c>
      <c r="BX77" s="61">
        <v>9.9114769887339638E-2</v>
      </c>
      <c r="BY77" s="61">
        <v>9.8272294343297262E-2</v>
      </c>
      <c r="BZ77" s="61">
        <v>9.7436979841379237E-2</v>
      </c>
      <c r="CA77" s="61">
        <v>9.6608765512727512E-2</v>
      </c>
      <c r="CB77" s="61">
        <v>9.5787591005869338E-2</v>
      </c>
      <c r="CC77" s="61">
        <v>9.497339648231945E-2</v>
      </c>
      <c r="CD77" s="61">
        <v>9.4166122612219738E-2</v>
      </c>
      <c r="CE77" s="61">
        <v>9.3365710570015872E-2</v>
      </c>
      <c r="CF77" s="61">
        <v>9.2572102030170744E-2</v>
      </c>
      <c r="CG77" s="61">
        <v>9.1785239162914298E-2</v>
      </c>
      <c r="CH77" s="61">
        <v>9.1005064630029525E-2</v>
      </c>
      <c r="CI77" s="61">
        <v>9.0231521580674282E-2</v>
      </c>
      <c r="CJ77" s="61">
        <v>8.9464553647238557E-2</v>
      </c>
      <c r="CK77" s="61">
        <v>8.8704104941237039E-2</v>
      </c>
      <c r="CL77" s="61">
        <v>8.7950120049236524E-2</v>
      </c>
      <c r="CM77" s="61">
        <v>8.7202544028818024E-2</v>
      </c>
      <c r="CN77" s="61">
        <v>8.6461322404573077E-2</v>
      </c>
      <c r="CO77" s="61">
        <v>8.5726401164134214E-2</v>
      </c>
      <c r="CP77" s="61">
        <v>8.4997726754239084E-2</v>
      </c>
      <c r="CQ77" s="61">
        <v>8.4275246076828056E-2</v>
      </c>
      <c r="CR77" s="61">
        <v>8.3558906485175027E-2</v>
      </c>
      <c r="CS77" s="61">
        <v>8.2848655780051045E-2</v>
      </c>
      <c r="CT77" s="61">
        <v>8.2144442205920612E-2</v>
      </c>
      <c r="CU77" s="61">
        <v>8.144621444717029E-2</v>
      </c>
      <c r="CV77" s="61">
        <v>8.075392162436934E-2</v>
      </c>
      <c r="CW77" s="61">
        <v>8.0067513290562206E-2</v>
      </c>
      <c r="CX77" s="61">
        <v>7.9386939427592437E-2</v>
      </c>
      <c r="CY77" s="53">
        <v>7.8712150442457912E-2</v>
      </c>
    </row>
    <row r="78" spans="1:103">
      <c r="A78" s="60">
        <v>96</v>
      </c>
      <c r="B78" s="60">
        <v>0.19590299999999999</v>
      </c>
      <c r="C78" s="60">
        <v>0.1948647141</v>
      </c>
      <c r="D78" s="60">
        <v>0.19387090405809002</v>
      </c>
      <c r="E78" s="60">
        <v>0.19288216244739376</v>
      </c>
      <c r="F78" s="60">
        <v>0.19191775163515679</v>
      </c>
      <c r="G78" s="60">
        <v>0.19093897110181748</v>
      </c>
      <c r="H78" s="60">
        <v>0.18994608845208805</v>
      </c>
      <c r="I78" s="60">
        <v>0.18893937418329199</v>
      </c>
      <c r="J78" s="60">
        <v>0.18790020762528389</v>
      </c>
      <c r="K78" s="60">
        <v>0.18684796646258228</v>
      </c>
      <c r="L78" s="60">
        <v>0.18576424825709931</v>
      </c>
      <c r="M78" s="60">
        <v>0.1846496627675567</v>
      </c>
      <c r="N78" s="60">
        <v>0.18350483485839786</v>
      </c>
      <c r="O78" s="60">
        <v>0.18233040391530411</v>
      </c>
      <c r="P78" s="60">
        <v>0.18110879020907156</v>
      </c>
      <c r="Q78" s="60">
        <v>0.17985913955662897</v>
      </c>
      <c r="R78" s="60">
        <v>0.17856415375182125</v>
      </c>
      <c r="S78" s="60">
        <v>0.17724277901405777</v>
      </c>
      <c r="T78" s="61">
        <v>0.17587800961564953</v>
      </c>
      <c r="U78" s="61">
        <v>0.1744885733396859</v>
      </c>
      <c r="V78" s="61">
        <v>0.17307521589563443</v>
      </c>
      <c r="W78" s="61">
        <v>0.1716733066468798</v>
      </c>
      <c r="X78" s="61">
        <v>0.17028275286304007</v>
      </c>
      <c r="Y78" s="61">
        <v>0.16890346256484945</v>
      </c>
      <c r="Z78" s="61">
        <v>0.16753534451807417</v>
      </c>
      <c r="AA78" s="61">
        <v>0.16617830822747776</v>
      </c>
      <c r="AB78" s="61">
        <v>0.16483226393083519</v>
      </c>
      <c r="AC78" s="61">
        <v>0.16349712259299543</v>
      </c>
      <c r="AD78" s="61">
        <v>0.16217279589999217</v>
      </c>
      <c r="AE78" s="61">
        <v>0.16085919625320225</v>
      </c>
      <c r="AF78" s="61">
        <v>0.1595562367635513</v>
      </c>
      <c r="AG78" s="61">
        <v>0.15826383124576654</v>
      </c>
      <c r="AH78" s="61">
        <v>0.15698189421267583</v>
      </c>
      <c r="AI78" s="61">
        <v>0.15571034086955315</v>
      </c>
      <c r="AJ78" s="61">
        <v>0.15444908710850977</v>
      </c>
      <c r="AK78" s="61">
        <v>0.15319804950293084</v>
      </c>
      <c r="AL78" s="61">
        <v>0.15195714530195709</v>
      </c>
      <c r="AM78" s="61">
        <v>0.15072629242501123</v>
      </c>
      <c r="AN78" s="61">
        <v>0.14950540945636864</v>
      </c>
      <c r="AO78" s="61">
        <v>0.14829441563977205</v>
      </c>
      <c r="AP78" s="61">
        <v>0.1470932308730899</v>
      </c>
      <c r="AQ78" s="61">
        <v>0.14590177570301788</v>
      </c>
      <c r="AR78" s="61">
        <v>0.14471997131982342</v>
      </c>
      <c r="AS78" s="61">
        <v>0.14354773955213285</v>
      </c>
      <c r="AT78" s="61">
        <v>0.14238500286176056</v>
      </c>
      <c r="AU78" s="61">
        <v>0.1412316843385803</v>
      </c>
      <c r="AV78" s="61">
        <v>0.1400877076954378</v>
      </c>
      <c r="AW78" s="61">
        <v>0.13895299726310475</v>
      </c>
      <c r="AX78" s="61">
        <v>0.13782747798527362</v>
      </c>
      <c r="AY78" s="61">
        <v>0.1367110754135929</v>
      </c>
      <c r="AZ78" s="61">
        <v>0.13560371570274279</v>
      </c>
      <c r="BA78" s="61">
        <v>0.13450532560555059</v>
      </c>
      <c r="BB78" s="61">
        <v>0.13341583246814565</v>
      </c>
      <c r="BC78" s="61">
        <v>0.13233516422515368</v>
      </c>
      <c r="BD78" s="61">
        <v>0.13126324939492992</v>
      </c>
      <c r="BE78" s="61">
        <v>0.13020001707483098</v>
      </c>
      <c r="BF78" s="61">
        <v>0.12914539693652485</v>
      </c>
      <c r="BG78" s="61">
        <v>0.12809931922133899</v>
      </c>
      <c r="BH78" s="61">
        <v>0.12706171473564615</v>
      </c>
      <c r="BI78" s="61">
        <v>0.12603251484628741</v>
      </c>
      <c r="BJ78" s="61">
        <v>0.12501165147603249</v>
      </c>
      <c r="BK78" s="61">
        <v>0.12399905709907663</v>
      </c>
      <c r="BL78" s="61">
        <v>0.12299466473657411</v>
      </c>
      <c r="BM78" s="61">
        <v>0.12199840795220786</v>
      </c>
      <c r="BN78" s="61">
        <v>0.12101022084779497</v>
      </c>
      <c r="BO78" s="61">
        <v>0.12003003805892784</v>
      </c>
      <c r="BP78" s="61">
        <v>0.11905779475065052</v>
      </c>
      <c r="BQ78" s="61">
        <v>0.11809342661317025</v>
      </c>
      <c r="BR78" s="61">
        <v>0.11713686985760358</v>
      </c>
      <c r="BS78" s="61">
        <v>0.11618806121175698</v>
      </c>
      <c r="BT78" s="61">
        <v>0.11524693791594175</v>
      </c>
      <c r="BU78" s="61">
        <v>0.11431343771882262</v>
      </c>
      <c r="BV78" s="61">
        <v>0.11338749887330016</v>
      </c>
      <c r="BW78" s="61">
        <v>0.11246906013242643</v>
      </c>
      <c r="BX78" s="61">
        <v>0.11155806074535378</v>
      </c>
      <c r="BY78" s="61">
        <v>0.11065444045331642</v>
      </c>
      <c r="BZ78" s="61">
        <v>0.10975813948564456</v>
      </c>
      <c r="CA78" s="61">
        <v>0.10886909855581084</v>
      </c>
      <c r="CB78" s="61">
        <v>0.10798725885750877</v>
      </c>
      <c r="CC78" s="61">
        <v>0.10711256206076296</v>
      </c>
      <c r="CD78" s="61">
        <v>0.10624495030807078</v>
      </c>
      <c r="CE78" s="61">
        <v>0.10538436621057541</v>
      </c>
      <c r="CF78" s="61">
        <v>0.10453075284426976</v>
      </c>
      <c r="CG78" s="61">
        <v>0.10368405374623117</v>
      </c>
      <c r="CH78" s="61">
        <v>0.1028442129108867</v>
      </c>
      <c r="CI78" s="61">
        <v>0.10201117478630853</v>
      </c>
      <c r="CJ78" s="61">
        <v>0.10118488427053943</v>
      </c>
      <c r="CK78" s="61">
        <v>0.10036528670794806</v>
      </c>
      <c r="CL78" s="61">
        <v>9.9552327885613676E-2</v>
      </c>
      <c r="CM78" s="61">
        <v>9.8745954029740207E-2</v>
      </c>
      <c r="CN78" s="61">
        <v>9.7946111802099306E-2</v>
      </c>
      <c r="CO78" s="61">
        <v>9.7152748296502306E-2</v>
      </c>
      <c r="CP78" s="61">
        <v>9.6365811035300633E-2</v>
      </c>
      <c r="CQ78" s="61">
        <v>9.5585247965914694E-2</v>
      </c>
      <c r="CR78" s="61">
        <v>9.4811007457390781E-2</v>
      </c>
      <c r="CS78" s="61">
        <v>9.4043038296985917E-2</v>
      </c>
      <c r="CT78" s="61">
        <v>9.328128968678033E-2</v>
      </c>
      <c r="CU78" s="61">
        <v>9.2525711240317415E-2</v>
      </c>
      <c r="CV78" s="61">
        <v>9.1776252979270848E-2</v>
      </c>
      <c r="CW78" s="61">
        <v>9.1032865330138754E-2</v>
      </c>
      <c r="CX78" s="61">
        <v>9.0295499120964628E-2</v>
      </c>
      <c r="CY78" s="53">
        <v>8.9564105578084821E-2</v>
      </c>
    </row>
    <row r="79" spans="1:103">
      <c r="A79" s="60">
        <v>97</v>
      </c>
      <c r="B79" s="60">
        <v>0.213565</v>
      </c>
      <c r="C79" s="60">
        <v>0.21249717500000001</v>
      </c>
      <c r="D79" s="60">
        <v>0.2114559388425</v>
      </c>
      <c r="E79" s="60">
        <v>0.210440950336056</v>
      </c>
      <c r="F79" s="60">
        <v>0.20943083377444294</v>
      </c>
      <c r="G79" s="60">
        <v>0.2084255657723256</v>
      </c>
      <c r="H79" s="60">
        <v>0.2074042805000412</v>
      </c>
      <c r="I79" s="60">
        <v>0.206367259097541</v>
      </c>
      <c r="J79" s="60">
        <v>0.2052941493502338</v>
      </c>
      <c r="K79" s="60">
        <v>0.20420609035867757</v>
      </c>
      <c r="L79" s="60">
        <v>0.20308295686170486</v>
      </c>
      <c r="M79" s="60">
        <v>0.20192538400759313</v>
      </c>
      <c r="N79" s="60">
        <v>0.20073402424194833</v>
      </c>
      <c r="O79" s="60">
        <v>0.19950954669407245</v>
      </c>
      <c r="P79" s="60">
        <v>0.1982526365498998</v>
      </c>
      <c r="Q79" s="60">
        <v>0.19694416914867047</v>
      </c>
      <c r="R79" s="60">
        <v>0.19560494879845949</v>
      </c>
      <c r="S79" s="60">
        <v>0.19423571415687027</v>
      </c>
      <c r="T79" s="61">
        <v>0.19281779344352512</v>
      </c>
      <c r="U79" s="61">
        <v>0.1913716599926987</v>
      </c>
      <c r="V79" s="61">
        <v>0.1898980982107549</v>
      </c>
      <c r="W79" s="61">
        <v>0.18843588285453208</v>
      </c>
      <c r="X79" s="61">
        <v>0.18698492655655219</v>
      </c>
      <c r="Y79" s="61">
        <v>0.18554514262206673</v>
      </c>
      <c r="Z79" s="61">
        <v>0.18411644502387681</v>
      </c>
      <c r="AA79" s="61">
        <v>0.18269874839719294</v>
      </c>
      <c r="AB79" s="61">
        <v>0.18129196803453454</v>
      </c>
      <c r="AC79" s="61">
        <v>0.17989601988066861</v>
      </c>
      <c r="AD79" s="61">
        <v>0.17851082052758746</v>
      </c>
      <c r="AE79" s="61">
        <v>0.17713628720952504</v>
      </c>
      <c r="AF79" s="61">
        <v>0.17577233779801169</v>
      </c>
      <c r="AG79" s="61">
        <v>0.17441889079696699</v>
      </c>
      <c r="AH79" s="61">
        <v>0.17307586533783034</v>
      </c>
      <c r="AI79" s="61">
        <v>0.17174318117472903</v>
      </c>
      <c r="AJ79" s="61">
        <v>0.17042075867968362</v>
      </c>
      <c r="AK79" s="61">
        <v>0.16910851883785005</v>
      </c>
      <c r="AL79" s="61">
        <v>0.16780638324279859</v>
      </c>
      <c r="AM79" s="61">
        <v>0.16651427409182903</v>
      </c>
      <c r="AN79" s="61">
        <v>0.16523211418132194</v>
      </c>
      <c r="AO79" s="61">
        <v>0.16395982690212577</v>
      </c>
      <c r="AP79" s="61">
        <v>0.1626973362349794</v>
      </c>
      <c r="AQ79" s="61">
        <v>0.16144456674597005</v>
      </c>
      <c r="AR79" s="61">
        <v>0.16020144358202607</v>
      </c>
      <c r="AS79" s="61">
        <v>0.15896789246644447</v>
      </c>
      <c r="AT79" s="61">
        <v>0.15774383969445283</v>
      </c>
      <c r="AU79" s="61">
        <v>0.15652921212880552</v>
      </c>
      <c r="AV79" s="61">
        <v>0.15532393719541371</v>
      </c>
      <c r="AW79" s="61">
        <v>0.15412794287900902</v>
      </c>
      <c r="AX79" s="61">
        <v>0.15294115771884065</v>
      </c>
      <c r="AY79" s="61">
        <v>0.15176351080440556</v>
      </c>
      <c r="AZ79" s="61">
        <v>0.15059493177121164</v>
      </c>
      <c r="BA79" s="61">
        <v>0.1494353507965733</v>
      </c>
      <c r="BB79" s="61">
        <v>0.14828469859543969</v>
      </c>
      <c r="BC79" s="61">
        <v>0.1471429064162548</v>
      </c>
      <c r="BD79" s="61">
        <v>0.14600990603684963</v>
      </c>
      <c r="BE79" s="61">
        <v>0.14488562976036587</v>
      </c>
      <c r="BF79" s="61">
        <v>0.14377001041121104</v>
      </c>
      <c r="BG79" s="61">
        <v>0.14266298133104471</v>
      </c>
      <c r="BH79" s="61">
        <v>0.14156447637479566</v>
      </c>
      <c r="BI79" s="61">
        <v>0.14047442990670972</v>
      </c>
      <c r="BJ79" s="61">
        <v>0.13939277679642806</v>
      </c>
      <c r="BK79" s="61">
        <v>0.13831945241509555</v>
      </c>
      <c r="BL79" s="61">
        <v>0.1372543926314993</v>
      </c>
      <c r="BM79" s="61">
        <v>0.13619753380823674</v>
      </c>
      <c r="BN79" s="61">
        <v>0.1351488127979133</v>
      </c>
      <c r="BO79" s="61">
        <v>0.13410816693936936</v>
      </c>
      <c r="BP79" s="61">
        <v>0.13307553405393621</v>
      </c>
      <c r="BQ79" s="61">
        <v>0.13205085244172091</v>
      </c>
      <c r="BR79" s="61">
        <v>0.13103406087791966</v>
      </c>
      <c r="BS79" s="61">
        <v>0.13002509860915967</v>
      </c>
      <c r="BT79" s="61">
        <v>0.12902390534986913</v>
      </c>
      <c r="BU79" s="61">
        <v>0.12803042127867514</v>
      </c>
      <c r="BV79" s="61">
        <v>0.12704458703482935</v>
      </c>
      <c r="BW79" s="61">
        <v>0.12606634371466116</v>
      </c>
      <c r="BX79" s="61">
        <v>0.12509563286805828</v>
      </c>
      <c r="BY79" s="61">
        <v>0.12413239649497422</v>
      </c>
      <c r="BZ79" s="61">
        <v>0.12317657704196291</v>
      </c>
      <c r="CA79" s="61">
        <v>0.12222811739873979</v>
      </c>
      <c r="CB79" s="61">
        <v>0.12128696089476949</v>
      </c>
      <c r="CC79" s="61">
        <v>0.12035305129587977</v>
      </c>
      <c r="CD79" s="61">
        <v>0.11942633280090149</v>
      </c>
      <c r="CE79" s="61">
        <v>0.11850675003833455</v>
      </c>
      <c r="CF79" s="61">
        <v>0.11759424806303938</v>
      </c>
      <c r="CG79" s="61">
        <v>0.11668877235295397</v>
      </c>
      <c r="CH79" s="61">
        <v>0.11579026880583622</v>
      </c>
      <c r="CI79" s="61">
        <v>0.11489868373603128</v>
      </c>
      <c r="CJ79" s="61">
        <v>0.11401396387126383</v>
      </c>
      <c r="CK79" s="61">
        <v>0.1131360563494551</v>
      </c>
      <c r="CL79" s="61">
        <v>0.1122649087155643</v>
      </c>
      <c r="CM79" s="61">
        <v>0.11140046891845445</v>
      </c>
      <c r="CN79" s="61">
        <v>0.11054268530778236</v>
      </c>
      <c r="CO79" s="61">
        <v>0.10969150663091243</v>
      </c>
      <c r="CP79" s="61">
        <v>0.1088468820298544</v>
      </c>
      <c r="CQ79" s="61">
        <v>0.10800876103822452</v>
      </c>
      <c r="CR79" s="61">
        <v>0.10717709357823019</v>
      </c>
      <c r="CS79" s="61">
        <v>0.10635182995767781</v>
      </c>
      <c r="CT79" s="61">
        <v>0.10553292086700368</v>
      </c>
      <c r="CU79" s="61">
        <v>0.10472031737632774</v>
      </c>
      <c r="CV79" s="61">
        <v>0.10391397093253001</v>
      </c>
      <c r="CW79" s="61">
        <v>0.10311383335634952</v>
      </c>
      <c r="CX79" s="61">
        <v>0.10231985683950563</v>
      </c>
      <c r="CY79" s="53">
        <v>0.10153199394184144</v>
      </c>
    </row>
    <row r="80" spans="1:103">
      <c r="A80" s="60">
        <v>98</v>
      </c>
      <c r="B80" s="60">
        <v>0.231991</v>
      </c>
      <c r="C80" s="60">
        <v>0.2308774432</v>
      </c>
      <c r="D80" s="60">
        <v>0.22981540696128</v>
      </c>
      <c r="E80" s="60">
        <v>0.22878123762995425</v>
      </c>
      <c r="F80" s="60">
        <v>0.22775172206061947</v>
      </c>
      <c r="G80" s="60">
        <v>0.22672683931134668</v>
      </c>
      <c r="H80" s="60">
        <v>0.22568389585051449</v>
      </c>
      <c r="I80" s="60">
        <v>0.224600613150432</v>
      </c>
      <c r="J80" s="60">
        <v>0.22350007014599488</v>
      </c>
      <c r="K80" s="60">
        <v>0.22238256979526491</v>
      </c>
      <c r="L80" s="60">
        <v>0.22122618043232953</v>
      </c>
      <c r="M80" s="60">
        <v>0.2200536816760382</v>
      </c>
      <c r="N80" s="60">
        <v>0.21884338642682</v>
      </c>
      <c r="O80" s="60">
        <v>0.21759597912418713</v>
      </c>
      <c r="P80" s="60">
        <v>0.21629040324944201</v>
      </c>
      <c r="Q80" s="60">
        <v>0.21494940274929547</v>
      </c>
      <c r="R80" s="60">
        <v>0.21357372657169998</v>
      </c>
      <c r="S80" s="60">
        <v>0.21216413997632674</v>
      </c>
      <c r="T80" s="61">
        <v>0.21072142382448772</v>
      </c>
      <c r="U80" s="61">
        <v>0.2092463738577163</v>
      </c>
      <c r="V80" s="61">
        <v>0.20773979996594075</v>
      </c>
      <c r="W80" s="61">
        <v>0.20624407340618597</v>
      </c>
      <c r="X80" s="61">
        <v>0.20475911607766145</v>
      </c>
      <c r="Y80" s="61">
        <v>0.20328485044190228</v>
      </c>
      <c r="Z80" s="61">
        <v>0.2018211995187206</v>
      </c>
      <c r="AA80" s="61">
        <v>0.20036808688218583</v>
      </c>
      <c r="AB80" s="61">
        <v>0.19892543665663409</v>
      </c>
      <c r="AC80" s="61">
        <v>0.19749317351270632</v>
      </c>
      <c r="AD80" s="61">
        <v>0.19607122266341484</v>
      </c>
      <c r="AE80" s="61">
        <v>0.19465950986023825</v>
      </c>
      <c r="AF80" s="61">
        <v>0.19325796138924453</v>
      </c>
      <c r="AG80" s="61">
        <v>0.19186650406724198</v>
      </c>
      <c r="AH80" s="61">
        <v>0.19048506523795786</v>
      </c>
      <c r="AI80" s="61">
        <v>0.18911357276824456</v>
      </c>
      <c r="AJ80" s="61">
        <v>0.18775195504431319</v>
      </c>
      <c r="AK80" s="61">
        <v>0.18640014096799415</v>
      </c>
      <c r="AL80" s="61">
        <v>0.1850580599530246</v>
      </c>
      <c r="AM80" s="61">
        <v>0.18372564192136281</v>
      </c>
      <c r="AN80" s="61">
        <v>0.18240281729952901</v>
      </c>
      <c r="AO80" s="61">
        <v>0.18108951701497239</v>
      </c>
      <c r="AP80" s="61">
        <v>0.1797856724924646</v>
      </c>
      <c r="AQ80" s="61">
        <v>0.17849121565051887</v>
      </c>
      <c r="AR80" s="61">
        <v>0.17720607889783513</v>
      </c>
      <c r="AS80" s="61">
        <v>0.17593019512977071</v>
      </c>
      <c r="AT80" s="61">
        <v>0.17466349772483636</v>
      </c>
      <c r="AU80" s="61">
        <v>0.17340592054121753</v>
      </c>
      <c r="AV80" s="61">
        <v>0.17215739791332077</v>
      </c>
      <c r="AW80" s="61">
        <v>0.17091786464834485</v>
      </c>
      <c r="AX80" s="61">
        <v>0.16968725602287676</v>
      </c>
      <c r="AY80" s="61">
        <v>0.16846550777951205</v>
      </c>
      <c r="AZ80" s="61">
        <v>0.16725255612349957</v>
      </c>
      <c r="BA80" s="61">
        <v>0.16604833771941038</v>
      </c>
      <c r="BB80" s="61">
        <v>0.16485278968783063</v>
      </c>
      <c r="BC80" s="61">
        <v>0.16366584960207825</v>
      </c>
      <c r="BD80" s="61">
        <v>0.16248745548494328</v>
      </c>
      <c r="BE80" s="61">
        <v>0.16131754580545168</v>
      </c>
      <c r="BF80" s="61">
        <v>0.16015605947565242</v>
      </c>
      <c r="BG80" s="61">
        <v>0.15900293584742772</v>
      </c>
      <c r="BH80" s="61">
        <v>0.15785811470932626</v>
      </c>
      <c r="BI80" s="61">
        <v>0.15672153628341912</v>
      </c>
      <c r="BJ80" s="61">
        <v>0.15559314122217849</v>
      </c>
      <c r="BK80" s="61">
        <v>0.15447287060537881</v>
      </c>
      <c r="BL80" s="61">
        <v>0.15336066593702008</v>
      </c>
      <c r="BM80" s="61">
        <v>0.15225646914227353</v>
      </c>
      <c r="BN80" s="61">
        <v>0.15116022256444916</v>
      </c>
      <c r="BO80" s="61">
        <v>0.15007186896198513</v>
      </c>
      <c r="BP80" s="61">
        <v>0.14899135150545884</v>
      </c>
      <c r="BQ80" s="61">
        <v>0.14791861377461954</v>
      </c>
      <c r="BR80" s="61">
        <v>0.14685359975544229</v>
      </c>
      <c r="BS80" s="61">
        <v>0.1457962538372031</v>
      </c>
      <c r="BT80" s="61">
        <v>0.14474652080957523</v>
      </c>
      <c r="BU80" s="61">
        <v>0.14370434585974629</v>
      </c>
      <c r="BV80" s="61">
        <v>0.14266967456955612</v>
      </c>
      <c r="BW80" s="61">
        <v>0.14164245291265531</v>
      </c>
      <c r="BX80" s="61">
        <v>0.1406226272516842</v>
      </c>
      <c r="BY80" s="61">
        <v>0.13961014433547209</v>
      </c>
      <c r="BZ80" s="61">
        <v>0.13860495129625669</v>
      </c>
      <c r="CA80" s="61">
        <v>0.13760699564692364</v>
      </c>
      <c r="CB80" s="61">
        <v>0.13661622527826578</v>
      </c>
      <c r="CC80" s="61">
        <v>0.13563258845626228</v>
      </c>
      <c r="CD80" s="61">
        <v>0.13465603381937719</v>
      </c>
      <c r="CE80" s="61">
        <v>0.13368651037587767</v>
      </c>
      <c r="CF80" s="61">
        <v>0.13272396750117135</v>
      </c>
      <c r="CG80" s="61">
        <v>0.13176835493516292</v>
      </c>
      <c r="CH80" s="61">
        <v>0.13081962277962975</v>
      </c>
      <c r="CI80" s="61">
        <v>0.12987772149561641</v>
      </c>
      <c r="CJ80" s="61">
        <v>0.12894260190084797</v>
      </c>
      <c r="CK80" s="61">
        <v>0.12801421516716185</v>
      </c>
      <c r="CL80" s="61">
        <v>0.1270925128179583</v>
      </c>
      <c r="CM80" s="61">
        <v>0.126177446725669</v>
      </c>
      <c r="CN80" s="61">
        <v>0.12526896910924418</v>
      </c>
      <c r="CO80" s="61">
        <v>0.12436703253165762</v>
      </c>
      <c r="CP80" s="61">
        <v>0.12347158989742969</v>
      </c>
      <c r="CQ80" s="61">
        <v>0.1225825944501682</v>
      </c>
      <c r="CR80" s="61">
        <v>0.12169999977012699</v>
      </c>
      <c r="CS80" s="61">
        <v>0.12082375977178209</v>
      </c>
      <c r="CT80" s="61">
        <v>0.11995382870142525</v>
      </c>
      <c r="CU80" s="61">
        <v>0.119090161134775</v>
      </c>
      <c r="CV80" s="61">
        <v>0.11823271197460462</v>
      </c>
      <c r="CW80" s="61">
        <v>0.11738143644838747</v>
      </c>
      <c r="CX80" s="61">
        <v>0.11653629010595909</v>
      </c>
      <c r="CY80" s="53">
        <v>0.11569722881719618</v>
      </c>
    </row>
    <row r="81" spans="1:103">
      <c r="A81" s="60">
        <v>99</v>
      </c>
      <c r="B81" s="60">
        <v>0.25112299999999999</v>
      </c>
      <c r="C81" s="60">
        <v>0.24999294650000001</v>
      </c>
      <c r="D81" s="60">
        <v>0.24891797683005001</v>
      </c>
      <c r="E81" s="60">
        <v>0.24784762952968081</v>
      </c>
      <c r="F81" s="60">
        <v>0.24680666948565616</v>
      </c>
      <c r="G81" s="60">
        <v>0.24574540080686785</v>
      </c>
      <c r="H81" s="60">
        <v>0.24466412104331764</v>
      </c>
      <c r="I81" s="60">
        <v>0.24356313249862271</v>
      </c>
      <c r="J81" s="60">
        <v>0.24244274208912903</v>
      </c>
      <c r="K81" s="60">
        <v>0.2413032612013101</v>
      </c>
      <c r="L81" s="60">
        <v>0.24012087522142367</v>
      </c>
      <c r="M81" s="60">
        <v>0.23892027084531656</v>
      </c>
      <c r="N81" s="60">
        <v>0.23767788543692092</v>
      </c>
      <c r="O81" s="60">
        <v>0.23639442485556156</v>
      </c>
      <c r="P81" s="60">
        <v>0.23507061607637039</v>
      </c>
      <c r="Q81" s="60">
        <v>0.23370720650312743</v>
      </c>
      <c r="R81" s="60">
        <v>0.23228159254345834</v>
      </c>
      <c r="S81" s="60">
        <v>0.23081821851043458</v>
      </c>
      <c r="T81" s="61">
        <v>0.22934098191196781</v>
      </c>
      <c r="U81" s="61">
        <v>0.22782733143134881</v>
      </c>
      <c r="V81" s="61">
        <v>0.22627810557761563</v>
      </c>
      <c r="W81" s="61">
        <v>0.22473941445968784</v>
      </c>
      <c r="X81" s="61">
        <v>0.22321118644136195</v>
      </c>
      <c r="Y81" s="61">
        <v>0.22169335037356069</v>
      </c>
      <c r="Z81" s="61">
        <v>0.22018583559102048</v>
      </c>
      <c r="AA81" s="61">
        <v>0.21868857190900154</v>
      </c>
      <c r="AB81" s="61">
        <v>0.21720148962002031</v>
      </c>
      <c r="AC81" s="61">
        <v>0.21572451949060417</v>
      </c>
      <c r="AD81" s="61">
        <v>0.21425759275806805</v>
      </c>
      <c r="AE81" s="61">
        <v>0.21280064112731317</v>
      </c>
      <c r="AF81" s="61">
        <v>0.21135359676764745</v>
      </c>
      <c r="AG81" s="61">
        <v>0.20991639230962744</v>
      </c>
      <c r="AH81" s="61">
        <v>0.20848896084192198</v>
      </c>
      <c r="AI81" s="61">
        <v>0.2070712359081969</v>
      </c>
      <c r="AJ81" s="61">
        <v>0.20566315150402115</v>
      </c>
      <c r="AK81" s="61">
        <v>0.2042646420737938</v>
      </c>
      <c r="AL81" s="61">
        <v>0.20287564250769199</v>
      </c>
      <c r="AM81" s="61">
        <v>0.20149608813863967</v>
      </c>
      <c r="AN81" s="61">
        <v>0.20012591473929692</v>
      </c>
      <c r="AO81" s="61">
        <v>0.1987650585190697</v>
      </c>
      <c r="AP81" s="61">
        <v>0.19741345612114003</v>
      </c>
      <c r="AQ81" s="61">
        <v>0.19607104461951627</v>
      </c>
      <c r="AR81" s="61">
        <v>0.19473776151610356</v>
      </c>
      <c r="AS81" s="61">
        <v>0.19341354473779404</v>
      </c>
      <c r="AT81" s="61">
        <v>0.19209833263357703</v>
      </c>
      <c r="AU81" s="61">
        <v>0.1907920639716687</v>
      </c>
      <c r="AV81" s="61">
        <v>0.18949467793666136</v>
      </c>
      <c r="AW81" s="61">
        <v>0.18820611412669205</v>
      </c>
      <c r="AX81" s="61">
        <v>0.18692631255063055</v>
      </c>
      <c r="AY81" s="61">
        <v>0.18565521362528625</v>
      </c>
      <c r="AZ81" s="61">
        <v>0.18439275817263431</v>
      </c>
      <c r="BA81" s="61">
        <v>0.18313888741706039</v>
      </c>
      <c r="BB81" s="61">
        <v>0.18189354298262436</v>
      </c>
      <c r="BC81" s="61">
        <v>0.18065666689034252</v>
      </c>
      <c r="BD81" s="61">
        <v>0.17942820155548819</v>
      </c>
      <c r="BE81" s="61">
        <v>0.17820808978491087</v>
      </c>
      <c r="BF81" s="61">
        <v>0.17699627477437346</v>
      </c>
      <c r="BG81" s="61">
        <v>0.17579270010590772</v>
      </c>
      <c r="BH81" s="61">
        <v>0.17459730974518756</v>
      </c>
      <c r="BI81" s="61">
        <v>0.17341004803892027</v>
      </c>
      <c r="BJ81" s="61">
        <v>0.1722308597122556</v>
      </c>
      <c r="BK81" s="61">
        <v>0.17105968986621226</v>
      </c>
      <c r="BL81" s="61">
        <v>0.169896483975122</v>
      </c>
      <c r="BM81" s="61">
        <v>0.16874118788409118</v>
      </c>
      <c r="BN81" s="61">
        <v>0.16759374780647934</v>
      </c>
      <c r="BO81" s="61">
        <v>0.16645411032139529</v>
      </c>
      <c r="BP81" s="61">
        <v>0.1653222223712098</v>
      </c>
      <c r="BQ81" s="61">
        <v>0.16419803125908558</v>
      </c>
      <c r="BR81" s="61">
        <v>0.16308148464652381</v>
      </c>
      <c r="BS81" s="61">
        <v>0.16197253055092745</v>
      </c>
      <c r="BT81" s="61">
        <v>0.16087111734318113</v>
      </c>
      <c r="BU81" s="61">
        <v>0.15977719374524749</v>
      </c>
      <c r="BV81" s="61">
        <v>0.1586907088277798</v>
      </c>
      <c r="BW81" s="61">
        <v>0.1576116120077509</v>
      </c>
      <c r="BX81" s="61">
        <v>0.15653985304609819</v>
      </c>
      <c r="BY81" s="61">
        <v>0.15547538204538472</v>
      </c>
      <c r="BZ81" s="61">
        <v>0.15441814944747609</v>
      </c>
      <c r="CA81" s="61">
        <v>0.15336810603123324</v>
      </c>
      <c r="CB81" s="61">
        <v>0.15232520291022086</v>
      </c>
      <c r="CC81" s="61">
        <v>0.15128939153043136</v>
      </c>
      <c r="CD81" s="61">
        <v>0.15026062366802442</v>
      </c>
      <c r="CE81" s="61">
        <v>0.14923885142708185</v>
      </c>
      <c r="CF81" s="61">
        <v>0.14822402723737768</v>
      </c>
      <c r="CG81" s="61">
        <v>0.14721610385216352</v>
      </c>
      <c r="CH81" s="61">
        <v>0.1462150343459688</v>
      </c>
      <c r="CI81" s="61">
        <v>0.14522077211241621</v>
      </c>
      <c r="CJ81" s="61">
        <v>0.14423327086205179</v>
      </c>
      <c r="CK81" s="61">
        <v>0.14325248462018983</v>
      </c>
      <c r="CL81" s="61">
        <v>0.14227836772477254</v>
      </c>
      <c r="CM81" s="61">
        <v>0.14131087482424409</v>
      </c>
      <c r="CN81" s="61">
        <v>0.14034996087543922</v>
      </c>
      <c r="CO81" s="61">
        <v>0.13939558114148623</v>
      </c>
      <c r="CP81" s="61">
        <v>0.13844769118972411</v>
      </c>
      <c r="CQ81" s="61">
        <v>0.13750624688963398</v>
      </c>
      <c r="CR81" s="61">
        <v>0.13657120441078446</v>
      </c>
      <c r="CS81" s="61">
        <v>0.13564252022079112</v>
      </c>
      <c r="CT81" s="61">
        <v>0.13472015108328975</v>
      </c>
      <c r="CU81" s="61">
        <v>0.13380405405592338</v>
      </c>
      <c r="CV81" s="61">
        <v>0.13289418648834311</v>
      </c>
      <c r="CW81" s="61">
        <v>0.13199050602022239</v>
      </c>
      <c r="CX81" s="61">
        <v>0.13109297057928487</v>
      </c>
      <c r="CY81" s="53">
        <v>0.13020153837934573</v>
      </c>
    </row>
    <row r="82" spans="1:103">
      <c r="A82" s="60">
        <v>100</v>
      </c>
      <c r="B82" s="60">
        <v>0.27085799999999999</v>
      </c>
      <c r="C82" s="60">
        <v>0.26972039640000001</v>
      </c>
      <c r="D82" s="60">
        <v>0.26861454277475999</v>
      </c>
      <c r="E82" s="60">
        <v>0.26754008460366097</v>
      </c>
      <c r="F82" s="60">
        <v>0.26646992426524629</v>
      </c>
      <c r="G82" s="60">
        <v>0.26540404456818528</v>
      </c>
      <c r="H82" s="60">
        <v>0.26431588798545574</v>
      </c>
      <c r="I82" s="60">
        <v>0.26320576125591683</v>
      </c>
      <c r="J82" s="60">
        <v>0.2620739764825164</v>
      </c>
      <c r="K82" s="60">
        <v>0.26089464358834508</v>
      </c>
      <c r="L82" s="60">
        <v>0.25969452822783867</v>
      </c>
      <c r="M82" s="60">
        <v>0.25847396394516781</v>
      </c>
      <c r="N82" s="60">
        <v>0.2572074415218365</v>
      </c>
      <c r="O82" s="60">
        <v>0.25589568357007514</v>
      </c>
      <c r="P82" s="60">
        <v>0.25453943644715377</v>
      </c>
      <c r="Q82" s="60">
        <v>0.25313946954669442</v>
      </c>
      <c r="R82" s="60">
        <v>0.25169657457027828</v>
      </c>
      <c r="S82" s="60">
        <v>0.25021156478031364</v>
      </c>
      <c r="T82" s="61">
        <v>0.24871029539163175</v>
      </c>
      <c r="U82" s="61">
        <v>0.24716829156020365</v>
      </c>
      <c r="V82" s="61">
        <v>0.24558641449421836</v>
      </c>
      <c r="W82" s="61">
        <v>0.24401466144145537</v>
      </c>
      <c r="X82" s="61">
        <v>0.24245296760823007</v>
      </c>
      <c r="Y82" s="61">
        <v>0.2409012686155374</v>
      </c>
      <c r="Z82" s="61">
        <v>0.23935950049639798</v>
      </c>
      <c r="AA82" s="61">
        <v>0.23782759969322104</v>
      </c>
      <c r="AB82" s="61">
        <v>0.23630550305518444</v>
      </c>
      <c r="AC82" s="61">
        <v>0.23479314783563127</v>
      </c>
      <c r="AD82" s="61">
        <v>0.23329047168948325</v>
      </c>
      <c r="AE82" s="61">
        <v>0.23179741267067056</v>
      </c>
      <c r="AF82" s="61">
        <v>0.23031390922957828</v>
      </c>
      <c r="AG82" s="61">
        <v>0.22883990021050898</v>
      </c>
      <c r="AH82" s="61">
        <v>0.22737532484916173</v>
      </c>
      <c r="AI82" s="61">
        <v>0.2259201227701271</v>
      </c>
      <c r="AJ82" s="61">
        <v>0.22447423398439831</v>
      </c>
      <c r="AK82" s="61">
        <v>0.22303759888689817</v>
      </c>
      <c r="AL82" s="61">
        <v>0.22161015825402203</v>
      </c>
      <c r="AM82" s="61">
        <v>0.22019185324119631</v>
      </c>
      <c r="AN82" s="61">
        <v>0.21878262538045265</v>
      </c>
      <c r="AO82" s="61">
        <v>0.21738241657801777</v>
      </c>
      <c r="AP82" s="61">
        <v>0.21599116911191846</v>
      </c>
      <c r="AQ82" s="61">
        <v>0.21460882562960218</v>
      </c>
      <c r="AR82" s="61">
        <v>0.21323532914557272</v>
      </c>
      <c r="AS82" s="61">
        <v>0.21187062303904106</v>
      </c>
      <c r="AT82" s="61">
        <v>0.2105146510515912</v>
      </c>
      <c r="AU82" s="61">
        <v>0.20916735728486102</v>
      </c>
      <c r="AV82" s="61">
        <v>0.20782868619823791</v>
      </c>
      <c r="AW82" s="61">
        <v>0.2064985826065692</v>
      </c>
      <c r="AX82" s="61">
        <v>0.20517699167788717</v>
      </c>
      <c r="AY82" s="61">
        <v>0.20386385893114869</v>
      </c>
      <c r="AZ82" s="61">
        <v>0.20255913023398936</v>
      </c>
      <c r="BA82" s="61">
        <v>0.20126275180049183</v>
      </c>
      <c r="BB82" s="61">
        <v>0.1999746701889687</v>
      </c>
      <c r="BC82" s="61">
        <v>0.19869483229975932</v>
      </c>
      <c r="BD82" s="61">
        <v>0.19742318537304088</v>
      </c>
      <c r="BE82" s="61">
        <v>0.19615967698665343</v>
      </c>
      <c r="BF82" s="61">
        <v>0.19490425505393885</v>
      </c>
      <c r="BG82" s="61">
        <v>0.19365686782159366</v>
      </c>
      <c r="BH82" s="61">
        <v>0.19241746386753547</v>
      </c>
      <c r="BI82" s="61">
        <v>0.19118599209878326</v>
      </c>
      <c r="BJ82" s="61">
        <v>0.18996240174935106</v>
      </c>
      <c r="BK82" s="61">
        <v>0.18874664237815522</v>
      </c>
      <c r="BL82" s="61">
        <v>0.18753866386693505</v>
      </c>
      <c r="BM82" s="61">
        <v>0.18633841641818666</v>
      </c>
      <c r="BN82" s="61">
        <v>0.18514585055311028</v>
      </c>
      <c r="BO82" s="61">
        <v>0.18396091710957038</v>
      </c>
      <c r="BP82" s="61">
        <v>0.18278356724006914</v>
      </c>
      <c r="BQ82" s="61">
        <v>0.18161375240973271</v>
      </c>
      <c r="BR82" s="61">
        <v>0.18045142439431042</v>
      </c>
      <c r="BS82" s="61">
        <v>0.17929653527818684</v>
      </c>
      <c r="BT82" s="61">
        <v>0.17814903745240646</v>
      </c>
      <c r="BU82" s="61">
        <v>0.17700888361271105</v>
      </c>
      <c r="BV82" s="61">
        <v>0.1758760267575897</v>
      </c>
      <c r="BW82" s="61">
        <v>0.17475042018634113</v>
      </c>
      <c r="BX82" s="61">
        <v>0.17363201749714854</v>
      </c>
      <c r="BY82" s="61">
        <v>0.17252077258516679</v>
      </c>
      <c r="BZ82" s="61">
        <v>0.17141663964062173</v>
      </c>
      <c r="CA82" s="61">
        <v>0.17031957314692175</v>
      </c>
      <c r="CB82" s="61">
        <v>0.16922952787878145</v>
      </c>
      <c r="CC82" s="61">
        <v>0.16814645890035726</v>
      </c>
      <c r="CD82" s="61">
        <v>0.16707032156339499</v>
      </c>
      <c r="CE82" s="61">
        <v>0.16600107150538926</v>
      </c>
      <c r="CF82" s="61">
        <v>0.16493866464775478</v>
      </c>
      <c r="CG82" s="61">
        <v>0.16388305719400917</v>
      </c>
      <c r="CH82" s="61">
        <v>0.16283420562796752</v>
      </c>
      <c r="CI82" s="61">
        <v>0.16179206671194854</v>
      </c>
      <c r="CJ82" s="61">
        <v>0.16075659748499208</v>
      </c>
      <c r="CK82" s="61">
        <v>0.15972775526108812</v>
      </c>
      <c r="CL82" s="61">
        <v>0.15870549762741717</v>
      </c>
      <c r="CM82" s="61">
        <v>0.15768978244260171</v>
      </c>
      <c r="CN82" s="61">
        <v>0.15668056783496906</v>
      </c>
      <c r="CO82" s="61">
        <v>0.15567781220082527</v>
      </c>
      <c r="CP82" s="61">
        <v>0.15468147420274</v>
      </c>
      <c r="CQ82" s="61">
        <v>0.15369151276784249</v>
      </c>
      <c r="CR82" s="61">
        <v>0.15270788708612831</v>
      </c>
      <c r="CS82" s="61">
        <v>0.1517305566087771</v>
      </c>
      <c r="CT82" s="61">
        <v>0.15075948104648093</v>
      </c>
      <c r="CU82" s="61">
        <v>0.14979462036778346</v>
      </c>
      <c r="CV82" s="61">
        <v>0.14883593479742965</v>
      </c>
      <c r="CW82" s="61">
        <v>0.1478833848147261</v>
      </c>
      <c r="CX82" s="61">
        <v>0.14693693115191186</v>
      </c>
      <c r="CY82" s="53">
        <v>0.14599653479253963</v>
      </c>
    </row>
    <row r="83" spans="1:103">
      <c r="A83" s="60">
        <v>101</v>
      </c>
      <c r="B83" s="60">
        <v>0.29104000000000002</v>
      </c>
      <c r="C83" s="60">
        <v>0.289904944</v>
      </c>
      <c r="D83" s="60">
        <v>0.28880330521280001</v>
      </c>
      <c r="E83" s="60">
        <v>0.28773473298351265</v>
      </c>
      <c r="F83" s="60">
        <v>0.28667011447147367</v>
      </c>
      <c r="G83" s="60">
        <v>0.28560943504792918</v>
      </c>
      <c r="H83" s="60">
        <v>0.28452411919474707</v>
      </c>
      <c r="I83" s="60">
        <v>0.28341447512988754</v>
      </c>
      <c r="J83" s="60">
        <v>0.28228081722936799</v>
      </c>
      <c r="K83" s="60">
        <v>0.28109523779700463</v>
      </c>
      <c r="L83" s="60">
        <v>0.27988652827447752</v>
      </c>
      <c r="M83" s="60">
        <v>0.27865502755006982</v>
      </c>
      <c r="N83" s="60">
        <v>0.27737321442333951</v>
      </c>
      <c r="O83" s="60">
        <v>0.2760695603155498</v>
      </c>
      <c r="P83" s="60">
        <v>0.27471681947000359</v>
      </c>
      <c r="Q83" s="60">
        <v>0.27331576369070659</v>
      </c>
      <c r="R83" s="60">
        <v>0.27186719014314586</v>
      </c>
      <c r="S83" s="60">
        <v>0.27037192059735859</v>
      </c>
      <c r="T83" s="61">
        <v>0.26885783784201339</v>
      </c>
      <c r="U83" s="61">
        <v>0.26729846238252969</v>
      </c>
      <c r="V83" s="61">
        <v>0.26569467160823451</v>
      </c>
      <c r="W83" s="61">
        <v>0.26410050357858511</v>
      </c>
      <c r="X83" s="61">
        <v>0.2625159005571136</v>
      </c>
      <c r="Y83" s="61">
        <v>0.26094080515377094</v>
      </c>
      <c r="Z83" s="61">
        <v>0.2593751603228483</v>
      </c>
      <c r="AA83" s="61">
        <v>0.25781890936091123</v>
      </c>
      <c r="AB83" s="61">
        <v>0.25627199590474575</v>
      </c>
      <c r="AC83" s="61">
        <v>0.25473436392931725</v>
      </c>
      <c r="AD83" s="61">
        <v>0.25320595774574134</v>
      </c>
      <c r="AE83" s="61">
        <v>0.25168672199926689</v>
      </c>
      <c r="AF83" s="61">
        <v>0.25017660166727129</v>
      </c>
      <c r="AG83" s="61">
        <v>0.24867554205726766</v>
      </c>
      <c r="AH83" s="61">
        <v>0.24718348880492405</v>
      </c>
      <c r="AI83" s="61">
        <v>0.2457003878720945</v>
      </c>
      <c r="AJ83" s="61">
        <v>0.24422618554486192</v>
      </c>
      <c r="AK83" s="61">
        <v>0.24276082843159275</v>
      </c>
      <c r="AL83" s="61">
        <v>0.2413042634610032</v>
      </c>
      <c r="AM83" s="61">
        <v>0.23985643788023717</v>
      </c>
      <c r="AN83" s="61">
        <v>0.23841729925295574</v>
      </c>
      <c r="AO83" s="61">
        <v>0.236986795457438</v>
      </c>
      <c r="AP83" s="61">
        <v>0.23556487468469336</v>
      </c>
      <c r="AQ83" s="61">
        <v>0.2341514854365852</v>
      </c>
      <c r="AR83" s="61">
        <v>0.23274657652396569</v>
      </c>
      <c r="AS83" s="61">
        <v>0.2313500970648219</v>
      </c>
      <c r="AT83" s="61">
        <v>0.22996199648243296</v>
      </c>
      <c r="AU83" s="61">
        <v>0.22858222450353835</v>
      </c>
      <c r="AV83" s="61">
        <v>0.22721073115651713</v>
      </c>
      <c r="AW83" s="61">
        <v>0.22584746676957804</v>
      </c>
      <c r="AX83" s="61">
        <v>0.22449238196896057</v>
      </c>
      <c r="AY83" s="61">
        <v>0.22314542767714682</v>
      </c>
      <c r="AZ83" s="61">
        <v>0.22180655511108394</v>
      </c>
      <c r="BA83" s="61">
        <v>0.22047571578041744</v>
      </c>
      <c r="BB83" s="61">
        <v>0.21915286148573493</v>
      </c>
      <c r="BC83" s="61">
        <v>0.21783794431682052</v>
      </c>
      <c r="BD83" s="61">
        <v>0.21653091665091959</v>
      </c>
      <c r="BE83" s="61">
        <v>0.21523173115101407</v>
      </c>
      <c r="BF83" s="61">
        <v>0.21394034076410798</v>
      </c>
      <c r="BG83" s="61">
        <v>0.21265669871952333</v>
      </c>
      <c r="BH83" s="61">
        <v>0.2113807585272062</v>
      </c>
      <c r="BI83" s="61">
        <v>0.21011247397604296</v>
      </c>
      <c r="BJ83" s="61">
        <v>0.20885179913218671</v>
      </c>
      <c r="BK83" s="61">
        <v>0.20759868833739359</v>
      </c>
      <c r="BL83" s="61">
        <v>0.20635309620736922</v>
      </c>
      <c r="BM83" s="61">
        <v>0.20511497763012501</v>
      </c>
      <c r="BN83" s="61">
        <v>0.20388428776434425</v>
      </c>
      <c r="BO83" s="61">
        <v>0.20266098203775817</v>
      </c>
      <c r="BP83" s="61">
        <v>0.20144501614553162</v>
      </c>
      <c r="BQ83" s="61">
        <v>0.20023634604865842</v>
      </c>
      <c r="BR83" s="61">
        <v>0.19903492797236647</v>
      </c>
      <c r="BS83" s="61">
        <v>0.19784071840453227</v>
      </c>
      <c r="BT83" s="61">
        <v>0.19665367409410509</v>
      </c>
      <c r="BU83" s="61">
        <v>0.19547375204954046</v>
      </c>
      <c r="BV83" s="61">
        <v>0.19430090953724322</v>
      </c>
      <c r="BW83" s="61">
        <v>0.19313510408001974</v>
      </c>
      <c r="BX83" s="61">
        <v>0.19197629345553963</v>
      </c>
      <c r="BY83" s="61">
        <v>0.19082443569480639</v>
      </c>
      <c r="BZ83" s="61">
        <v>0.18967948908063756</v>
      </c>
      <c r="CA83" s="61">
        <v>0.18854141214615372</v>
      </c>
      <c r="CB83" s="61">
        <v>0.18741016367327679</v>
      </c>
      <c r="CC83" s="61">
        <v>0.18628570269123712</v>
      </c>
      <c r="CD83" s="61">
        <v>0.1851679884750897</v>
      </c>
      <c r="CE83" s="61">
        <v>0.18405698054423916</v>
      </c>
      <c r="CF83" s="61">
        <v>0.18295263866097372</v>
      </c>
      <c r="CG83" s="61">
        <v>0.18185492282900786</v>
      </c>
      <c r="CH83" s="61">
        <v>0.18076379329203382</v>
      </c>
      <c r="CI83" s="61">
        <v>0.17967921053228161</v>
      </c>
      <c r="CJ83" s="61">
        <v>0.17860113526908791</v>
      </c>
      <c r="CK83" s="61">
        <v>0.17752952845747338</v>
      </c>
      <c r="CL83" s="61">
        <v>0.17646435128672855</v>
      </c>
      <c r="CM83" s="61">
        <v>0.17540556517900818</v>
      </c>
      <c r="CN83" s="61">
        <v>0.17435313178793413</v>
      </c>
      <c r="CO83" s="61">
        <v>0.17330701299720652</v>
      </c>
      <c r="CP83" s="61">
        <v>0.17226717091922328</v>
      </c>
      <c r="CQ83" s="61">
        <v>0.17123356789370794</v>
      </c>
      <c r="CR83" s="61">
        <v>0.17020616648634571</v>
      </c>
      <c r="CS83" s="61">
        <v>0.16918492948742764</v>
      </c>
      <c r="CT83" s="61">
        <v>0.16816981991050306</v>
      </c>
      <c r="CU83" s="61">
        <v>0.16716080099104005</v>
      </c>
      <c r="CV83" s="61">
        <v>0.1661578361850938</v>
      </c>
      <c r="CW83" s="61">
        <v>0.16516088916798324</v>
      </c>
      <c r="CX83" s="61">
        <v>0.16416992383297535</v>
      </c>
      <c r="CY83" s="53">
        <v>0.16318490428997751</v>
      </c>
    </row>
    <row r="84" spans="1:103">
      <c r="A84" s="60">
        <v>102</v>
      </c>
      <c r="B84" s="60">
        <v>0.311444</v>
      </c>
      <c r="C84" s="60">
        <v>0.31032280159999998</v>
      </c>
      <c r="D84" s="60">
        <v>0.30923667179440001</v>
      </c>
      <c r="E84" s="60">
        <v>0.30815434344311965</v>
      </c>
      <c r="F84" s="60">
        <v>0.30710661867541306</v>
      </c>
      <c r="G84" s="60">
        <v>0.30603174551004914</v>
      </c>
      <c r="H84" s="60">
        <v>0.30496063440076399</v>
      </c>
      <c r="I84" s="60">
        <v>0.3038627761169212</v>
      </c>
      <c r="J84" s="60">
        <v>0.30273848384528856</v>
      </c>
      <c r="K84" s="60">
        <v>0.30155780375829194</v>
      </c>
      <c r="L84" s="60">
        <v>0.30035157254325878</v>
      </c>
      <c r="M84" s="60">
        <v>0.29912013109583141</v>
      </c>
      <c r="N84" s="60">
        <v>0.29786382654522892</v>
      </c>
      <c r="O84" s="60">
        <v>0.2965532257084299</v>
      </c>
      <c r="P84" s="60">
        <v>0.29518908087017109</v>
      </c>
      <c r="Q84" s="60">
        <v>0.29380169219008129</v>
      </c>
      <c r="R84" s="60">
        <v>0.2923620638983499</v>
      </c>
      <c r="S84" s="60">
        <v>0.29087101737246834</v>
      </c>
      <c r="T84" s="61">
        <v>0.28935848808213149</v>
      </c>
      <c r="U84" s="61">
        <v>0.28779595224648802</v>
      </c>
      <c r="V84" s="61">
        <v>0.28621307450913236</v>
      </c>
      <c r="W84" s="61">
        <v>0.28463890259933217</v>
      </c>
      <c r="X84" s="61">
        <v>0.28307338863503584</v>
      </c>
      <c r="Y84" s="61">
        <v>0.28151648499754317</v>
      </c>
      <c r="Z84" s="61">
        <v>0.27996814433005668</v>
      </c>
      <c r="AA84" s="61">
        <v>0.27842831953624136</v>
      </c>
      <c r="AB84" s="61">
        <v>0.27689696377879203</v>
      </c>
      <c r="AC84" s="61">
        <v>0.27537403047800868</v>
      </c>
      <c r="AD84" s="61">
        <v>0.27385947331037963</v>
      </c>
      <c r="AE84" s="61">
        <v>0.27235324620717255</v>
      </c>
      <c r="AF84" s="61">
        <v>0.27085530335303309</v>
      </c>
      <c r="AG84" s="61">
        <v>0.26936559918459141</v>
      </c>
      <c r="AH84" s="61">
        <v>0.26788408838907618</v>
      </c>
      <c r="AI84" s="61">
        <v>0.2664107259029363</v>
      </c>
      <c r="AJ84" s="61">
        <v>0.26494546691047016</v>
      </c>
      <c r="AK84" s="61">
        <v>0.26348826684246257</v>
      </c>
      <c r="AL84" s="61">
        <v>0.26203908137482906</v>
      </c>
      <c r="AM84" s="61">
        <v>0.26059786642726751</v>
      </c>
      <c r="AN84" s="61">
        <v>0.25916457816191757</v>
      </c>
      <c r="AO84" s="61">
        <v>0.25773917298202703</v>
      </c>
      <c r="AP84" s="61">
        <v>0.25632160753062588</v>
      </c>
      <c r="AQ84" s="61">
        <v>0.25491183868920747</v>
      </c>
      <c r="AR84" s="61">
        <v>0.25350982357641683</v>
      </c>
      <c r="AS84" s="61">
        <v>0.25211551954674655</v>
      </c>
      <c r="AT84" s="61">
        <v>0.25072888418923944</v>
      </c>
      <c r="AU84" s="61">
        <v>0.24934987532619865</v>
      </c>
      <c r="AV84" s="61">
        <v>0.24797845101190458</v>
      </c>
      <c r="AW84" s="61">
        <v>0.24661456953133912</v>
      </c>
      <c r="AX84" s="61">
        <v>0.24525818939891678</v>
      </c>
      <c r="AY84" s="61">
        <v>0.24390926935722274</v>
      </c>
      <c r="AZ84" s="61">
        <v>0.24256776837575802</v>
      </c>
      <c r="BA84" s="61">
        <v>0.24123364564969138</v>
      </c>
      <c r="BB84" s="61">
        <v>0.2399068605986181</v>
      </c>
      <c r="BC84" s="61">
        <v>0.23858737286532572</v>
      </c>
      <c r="BD84" s="61">
        <v>0.23727514231456645</v>
      </c>
      <c r="BE84" s="61">
        <v>0.23597012903183634</v>
      </c>
      <c r="BF84" s="61">
        <v>0.23467229332216125</v>
      </c>
      <c r="BG84" s="61">
        <v>0.23338159570888936</v>
      </c>
      <c r="BH84" s="61">
        <v>0.23209799693249047</v>
      </c>
      <c r="BI84" s="61">
        <v>0.23082145794936179</v>
      </c>
      <c r="BJ84" s="61">
        <v>0.22955193993064033</v>
      </c>
      <c r="BK84" s="61">
        <v>0.22828940426102182</v>
      </c>
      <c r="BL84" s="61">
        <v>0.2270338125375862</v>
      </c>
      <c r="BM84" s="61">
        <v>0.22578512656862948</v>
      </c>
      <c r="BN84" s="61">
        <v>0.22454330837250203</v>
      </c>
      <c r="BO84" s="61">
        <v>0.22330832017645327</v>
      </c>
      <c r="BP84" s="61">
        <v>0.2220801244154828</v>
      </c>
      <c r="BQ84" s="61">
        <v>0.22085868373119766</v>
      </c>
      <c r="BR84" s="61">
        <v>0.21964396097067609</v>
      </c>
      <c r="BS84" s="61">
        <v>0.21843591918533739</v>
      </c>
      <c r="BT84" s="61">
        <v>0.21723452162981804</v>
      </c>
      <c r="BU84" s="61">
        <v>0.21603973176085406</v>
      </c>
      <c r="BV84" s="61">
        <v>0.21485151323616938</v>
      </c>
      <c r="BW84" s="61">
        <v>0.21366982991337047</v>
      </c>
      <c r="BX84" s="61">
        <v>0.21249464584884695</v>
      </c>
      <c r="BY84" s="61">
        <v>0.21132592529667829</v>
      </c>
      <c r="BZ84" s="61">
        <v>0.21016363270754657</v>
      </c>
      <c r="CA84" s="61">
        <v>0.20900773272765508</v>
      </c>
      <c r="CB84" s="61">
        <v>0.20785819019765298</v>
      </c>
      <c r="CC84" s="61">
        <v>0.2067149701515659</v>
      </c>
      <c r="CD84" s="61">
        <v>0.20557803781573231</v>
      </c>
      <c r="CE84" s="61">
        <v>0.20444735860774579</v>
      </c>
      <c r="CF84" s="61">
        <v>0.20332289813540319</v>
      </c>
      <c r="CG84" s="61">
        <v>0.20220462219565849</v>
      </c>
      <c r="CH84" s="61">
        <v>0.20109249677358237</v>
      </c>
      <c r="CI84" s="61">
        <v>0.19998648804132768</v>
      </c>
      <c r="CJ84" s="61">
        <v>0.19888656235710039</v>
      </c>
      <c r="CK84" s="61">
        <v>0.19779268626413635</v>
      </c>
      <c r="CL84" s="61">
        <v>0.1967048264896836</v>
      </c>
      <c r="CM84" s="61">
        <v>0.19562294994399035</v>
      </c>
      <c r="CN84" s="61">
        <v>0.19454702371929841</v>
      </c>
      <c r="CO84" s="61">
        <v>0.19347701508884227</v>
      </c>
      <c r="CP84" s="61">
        <v>0.19241289150585364</v>
      </c>
      <c r="CQ84" s="61">
        <v>0.19135462060257144</v>
      </c>
      <c r="CR84" s="61">
        <v>0.1903021701892573</v>
      </c>
      <c r="CS84" s="61">
        <v>0.18925550825321638</v>
      </c>
      <c r="CT84" s="61">
        <v>0.18821460295782369</v>
      </c>
      <c r="CU84" s="61">
        <v>0.18717942264155568</v>
      </c>
      <c r="CV84" s="61">
        <v>0.18614993581702713</v>
      </c>
      <c r="CW84" s="61">
        <v>0.1851261111700335</v>
      </c>
      <c r="CX84" s="61">
        <v>0.18410791755859832</v>
      </c>
      <c r="CY84" s="53">
        <v>0.18309532401202602</v>
      </c>
    </row>
    <row r="85" spans="1:103">
      <c r="A85" s="60">
        <v>103</v>
      </c>
      <c r="B85" s="60">
        <v>0.33189999999999997</v>
      </c>
      <c r="C85" s="60">
        <v>0.33077153999999998</v>
      </c>
      <c r="D85" s="60">
        <v>0.32967999391799996</v>
      </c>
      <c r="E85" s="60">
        <v>0.32862501793746235</v>
      </c>
      <c r="F85" s="60">
        <v>0.3275734178800625</v>
      </c>
      <c r="G85" s="60">
        <v>0.32652518294284633</v>
      </c>
      <c r="H85" s="60">
        <v>0.32544764983913493</v>
      </c>
      <c r="I85" s="60">
        <v>0.32434112782968189</v>
      </c>
      <c r="J85" s="60">
        <v>0.32320593388227803</v>
      </c>
      <c r="K85" s="60">
        <v>0.32204239252030181</v>
      </c>
      <c r="L85" s="60">
        <v>0.32085083566797667</v>
      </c>
      <c r="M85" s="60">
        <v>0.31963160249243838</v>
      </c>
      <c r="N85" s="60">
        <v>0.31838503924271788</v>
      </c>
      <c r="O85" s="60">
        <v>0.31707966058182274</v>
      </c>
      <c r="P85" s="60">
        <v>0.31574792600737911</v>
      </c>
      <c r="Q85" s="60">
        <v>0.31435863513294665</v>
      </c>
      <c r="R85" s="60">
        <v>0.31294402127484838</v>
      </c>
      <c r="S85" s="60">
        <v>0.3114731843748566</v>
      </c>
      <c r="T85" s="61">
        <v>0.30997811308985729</v>
      </c>
      <c r="U85" s="61">
        <v>0.30842822252440799</v>
      </c>
      <c r="V85" s="61">
        <v>0.30685523858953351</v>
      </c>
      <c r="W85" s="61">
        <v>0.30529027687272686</v>
      </c>
      <c r="X85" s="61">
        <v>0.30373329646067598</v>
      </c>
      <c r="Y85" s="61">
        <v>0.30218425664872656</v>
      </c>
      <c r="Z85" s="61">
        <v>0.30064311693981804</v>
      </c>
      <c r="AA85" s="61">
        <v>0.29910983704342498</v>
      </c>
      <c r="AB85" s="61">
        <v>0.29758437687450351</v>
      </c>
      <c r="AC85" s="61">
        <v>0.29606669655244355</v>
      </c>
      <c r="AD85" s="61">
        <v>0.2945567564000261</v>
      </c>
      <c r="AE85" s="61">
        <v>0.29305451694238599</v>
      </c>
      <c r="AF85" s="61">
        <v>0.29155993890597981</v>
      </c>
      <c r="AG85" s="61">
        <v>0.29007298321755931</v>
      </c>
      <c r="AH85" s="61">
        <v>0.28859361100314979</v>
      </c>
      <c r="AI85" s="61">
        <v>0.28712178358703372</v>
      </c>
      <c r="AJ85" s="61">
        <v>0.28565746249073987</v>
      </c>
      <c r="AK85" s="61">
        <v>0.28420060943203712</v>
      </c>
      <c r="AL85" s="61">
        <v>0.28275118632393376</v>
      </c>
      <c r="AM85" s="61">
        <v>0.28130915527368172</v>
      </c>
      <c r="AN85" s="61">
        <v>0.27987447858178593</v>
      </c>
      <c r="AO85" s="61">
        <v>0.27844711874101885</v>
      </c>
      <c r="AP85" s="61">
        <v>0.27702703843543963</v>
      </c>
      <c r="AQ85" s="61">
        <v>0.27561420053941887</v>
      </c>
      <c r="AR85" s="61">
        <v>0.27420856811666783</v>
      </c>
      <c r="AS85" s="61">
        <v>0.27281010441927284</v>
      </c>
      <c r="AT85" s="61">
        <v>0.27141877288673455</v>
      </c>
      <c r="AU85" s="61">
        <v>0.27003453714501219</v>
      </c>
      <c r="AV85" s="61">
        <v>0.26865736100557264</v>
      </c>
      <c r="AW85" s="61">
        <v>0.2672872084644442</v>
      </c>
      <c r="AX85" s="61">
        <v>0.26592404370127554</v>
      </c>
      <c r="AY85" s="61">
        <v>0.26456783107839904</v>
      </c>
      <c r="AZ85" s="61">
        <v>0.26321853513989923</v>
      </c>
      <c r="BA85" s="61">
        <v>0.26187612061068577</v>
      </c>
      <c r="BB85" s="61">
        <v>0.26054055239557128</v>
      </c>
      <c r="BC85" s="61">
        <v>0.25921179557835389</v>
      </c>
      <c r="BD85" s="61">
        <v>0.25788981542090428</v>
      </c>
      <c r="BE85" s="61">
        <v>0.25657457736225769</v>
      </c>
      <c r="BF85" s="61">
        <v>0.25526604701771016</v>
      </c>
      <c r="BG85" s="61">
        <v>0.25396419017791982</v>
      </c>
      <c r="BH85" s="61">
        <v>0.25266897280801243</v>
      </c>
      <c r="BI85" s="61">
        <v>0.25138036104669159</v>
      </c>
      <c r="BJ85" s="61">
        <v>0.25009832120535347</v>
      </c>
      <c r="BK85" s="61">
        <v>0.24882281976720616</v>
      </c>
      <c r="BL85" s="61">
        <v>0.24755382338639342</v>
      </c>
      <c r="BM85" s="61">
        <v>0.24629129888712281</v>
      </c>
      <c r="BN85" s="61">
        <v>0.24503521326279848</v>
      </c>
      <c r="BO85" s="61">
        <v>0.24378553367515821</v>
      </c>
      <c r="BP85" s="61">
        <v>0.24254222745341489</v>
      </c>
      <c r="BQ85" s="61">
        <v>0.24130526209340247</v>
      </c>
      <c r="BR85" s="61">
        <v>0.24007460525672611</v>
      </c>
      <c r="BS85" s="61">
        <v>0.2388502247699168</v>
      </c>
      <c r="BT85" s="61">
        <v>0.23763208862359023</v>
      </c>
      <c r="BU85" s="61">
        <v>0.23642016497160992</v>
      </c>
      <c r="BV85" s="61">
        <v>0.2352144221302547</v>
      </c>
      <c r="BW85" s="61">
        <v>0.23401482857739039</v>
      </c>
      <c r="BX85" s="61">
        <v>0.23282135295164572</v>
      </c>
      <c r="BY85" s="61">
        <v>0.23163396405159231</v>
      </c>
      <c r="BZ85" s="61">
        <v>0.2304526308349292</v>
      </c>
      <c r="CA85" s="61">
        <v>0.22927732241767107</v>
      </c>
      <c r="CB85" s="61">
        <v>0.22810800807334095</v>
      </c>
      <c r="CC85" s="61">
        <v>0.22694465723216692</v>
      </c>
      <c r="CD85" s="61">
        <v>0.22578723948028287</v>
      </c>
      <c r="CE85" s="61">
        <v>0.22463572455893344</v>
      </c>
      <c r="CF85" s="61">
        <v>0.22349008236368287</v>
      </c>
      <c r="CG85" s="61">
        <v>0.22235028294362807</v>
      </c>
      <c r="CH85" s="61">
        <v>0.22121629650061558</v>
      </c>
      <c r="CI85" s="61">
        <v>0.22008809338846244</v>
      </c>
      <c r="CJ85" s="61">
        <v>0.21896564411218128</v>
      </c>
      <c r="CK85" s="61">
        <v>0.21784891932720915</v>
      </c>
      <c r="CL85" s="61">
        <v>0.2167378898386404</v>
      </c>
      <c r="CM85" s="61">
        <v>0.21563252660046334</v>
      </c>
      <c r="CN85" s="61">
        <v>0.21453280071480096</v>
      </c>
      <c r="CO85" s="61">
        <v>0.21343868343115549</v>
      </c>
      <c r="CP85" s="61">
        <v>0.21235014614565659</v>
      </c>
      <c r="CQ85" s="61">
        <v>0.21126716040031374</v>
      </c>
      <c r="CR85" s="61">
        <v>0.21018969788227213</v>
      </c>
      <c r="CS85" s="61">
        <v>0.20911773042307255</v>
      </c>
      <c r="CT85" s="61">
        <v>0.20805122999791489</v>
      </c>
      <c r="CU85" s="61">
        <v>0.20699016872492554</v>
      </c>
      <c r="CV85" s="61">
        <v>0.20593451886442843</v>
      </c>
      <c r="CW85" s="61">
        <v>0.20488425281821984</v>
      </c>
      <c r="CX85" s="61">
        <v>0.20383934312884691</v>
      </c>
      <c r="CY85" s="53">
        <v>0.20279976247888978</v>
      </c>
    </row>
    <row r="86" spans="1:103">
      <c r="A86" s="60">
        <v>104</v>
      </c>
      <c r="B86" s="60">
        <v>0.35223199999999999</v>
      </c>
      <c r="C86" s="60">
        <v>0.35114008079999998</v>
      </c>
      <c r="D86" s="60">
        <v>0.35008666055759996</v>
      </c>
      <c r="E86" s="60">
        <v>0.34907140924198293</v>
      </c>
      <c r="F86" s="60">
        <v>0.34805910215518115</v>
      </c>
      <c r="G86" s="60">
        <v>0.34704973075893114</v>
      </c>
      <c r="H86" s="60">
        <v>0.34600858156665437</v>
      </c>
      <c r="I86" s="60">
        <v>0.34493595496379775</v>
      </c>
      <c r="J86" s="60">
        <v>0.3438321599079136</v>
      </c>
      <c r="K86" s="60">
        <v>0.34269751378021751</v>
      </c>
      <c r="L86" s="60">
        <v>0.34153234223336476</v>
      </c>
      <c r="M86" s="60">
        <v>0.34033697903554799</v>
      </c>
      <c r="N86" s="60">
        <v>0.33911176591101999</v>
      </c>
      <c r="O86" s="60">
        <v>0.33785705237714919</v>
      </c>
      <c r="P86" s="60">
        <v>0.33653940987287828</v>
      </c>
      <c r="Q86" s="60">
        <v>0.33519325223338675</v>
      </c>
      <c r="R86" s="60">
        <v>0.33378544057400655</v>
      </c>
      <c r="S86" s="60">
        <v>0.33235016317953836</v>
      </c>
      <c r="T86" s="61">
        <v>0.33088782246154841</v>
      </c>
      <c r="U86" s="61">
        <v>0.32936573847822526</v>
      </c>
      <c r="V86" s="61">
        <v>0.32781771950737759</v>
      </c>
      <c r="W86" s="61">
        <v>0.32627697622569291</v>
      </c>
      <c r="X86" s="61">
        <v>0.32474347443743212</v>
      </c>
      <c r="Y86" s="61">
        <v>0.32321718010757616</v>
      </c>
      <c r="Z86" s="61">
        <v>0.32169805936107054</v>
      </c>
      <c r="AA86" s="61">
        <v>0.32018607848207348</v>
      </c>
      <c r="AB86" s="61">
        <v>0.3186812039132077</v>
      </c>
      <c r="AC86" s="61">
        <v>0.31718340225481562</v>
      </c>
      <c r="AD86" s="61">
        <v>0.31569264026421795</v>
      </c>
      <c r="AE86" s="61">
        <v>0.31420888485497611</v>
      </c>
      <c r="AF86" s="61">
        <v>0.31273210309615773</v>
      </c>
      <c r="AG86" s="61">
        <v>0.3112622622116058</v>
      </c>
      <c r="AH86" s="61">
        <v>0.30979932957921125</v>
      </c>
      <c r="AI86" s="61">
        <v>0.30834327273018897</v>
      </c>
      <c r="AJ86" s="61">
        <v>0.30689405934835706</v>
      </c>
      <c r="AK86" s="61">
        <v>0.30545165726941975</v>
      </c>
      <c r="AL86" s="61">
        <v>0.30401603448025349</v>
      </c>
      <c r="AM86" s="61">
        <v>0.30258715911819628</v>
      </c>
      <c r="AN86" s="61">
        <v>0.30116499947034076</v>
      </c>
      <c r="AO86" s="61">
        <v>0.29974952397283017</v>
      </c>
      <c r="AP86" s="61">
        <v>0.29834070121015788</v>
      </c>
      <c r="AQ86" s="61">
        <v>0.29693849991447013</v>
      </c>
      <c r="AR86" s="61">
        <v>0.29554288896487213</v>
      </c>
      <c r="AS86" s="61">
        <v>0.29415383738673723</v>
      </c>
      <c r="AT86" s="61">
        <v>0.29277131435101955</v>
      </c>
      <c r="AU86" s="61">
        <v>0.29139528917356977</v>
      </c>
      <c r="AV86" s="61">
        <v>0.29002573131445397</v>
      </c>
      <c r="AW86" s="61">
        <v>0.28866261037727603</v>
      </c>
      <c r="AX86" s="61">
        <v>0.28730589610850282</v>
      </c>
      <c r="AY86" s="61">
        <v>0.28595555839679287</v>
      </c>
      <c r="AZ86" s="61">
        <v>0.28461156727232795</v>
      </c>
      <c r="BA86" s="61">
        <v>0.28327389290614802</v>
      </c>
      <c r="BB86" s="61">
        <v>0.28194250560948914</v>
      </c>
      <c r="BC86" s="61">
        <v>0.28061737583312452</v>
      </c>
      <c r="BD86" s="61">
        <v>0.27929847416670883</v>
      </c>
      <c r="BE86" s="61">
        <v>0.2779857713381253</v>
      </c>
      <c r="BF86" s="61">
        <v>0.27667923821283608</v>
      </c>
      <c r="BG86" s="61">
        <v>0.27537884579323574</v>
      </c>
      <c r="BH86" s="61">
        <v>0.2740845652180075</v>
      </c>
      <c r="BI86" s="61">
        <v>0.27279636776148286</v>
      </c>
      <c r="BJ86" s="61">
        <v>0.27151422483300386</v>
      </c>
      <c r="BK86" s="61">
        <v>0.27023810797628872</v>
      </c>
      <c r="BL86" s="61">
        <v>0.26896798886880013</v>
      </c>
      <c r="BM86" s="61">
        <v>0.26770383932111674</v>
      </c>
      <c r="BN86" s="61">
        <v>0.26644563127630749</v>
      </c>
      <c r="BO86" s="61">
        <v>0.26519333680930884</v>
      </c>
      <c r="BP86" s="61">
        <v>0.2639469281263051</v>
      </c>
      <c r="BQ86" s="61">
        <v>0.26270637756411147</v>
      </c>
      <c r="BR86" s="61">
        <v>0.26147165758956015</v>
      </c>
      <c r="BS86" s="61">
        <v>0.2602427407988892</v>
      </c>
      <c r="BT86" s="61">
        <v>0.25901959991713441</v>
      </c>
      <c r="BU86" s="61">
        <v>0.25780220779752389</v>
      </c>
      <c r="BV86" s="61">
        <v>0.25659053742087551</v>
      </c>
      <c r="BW86" s="61">
        <v>0.25538456189499736</v>
      </c>
      <c r="BX86" s="61">
        <v>0.25418425445409087</v>
      </c>
      <c r="BY86" s="61">
        <v>0.25298958845815661</v>
      </c>
      <c r="BZ86" s="61">
        <v>0.25180053739240327</v>
      </c>
      <c r="CA86" s="61">
        <v>0.25061707486665896</v>
      </c>
      <c r="CB86" s="61">
        <v>0.24943917461478565</v>
      </c>
      <c r="CC86" s="61">
        <v>0.24826681049409616</v>
      </c>
      <c r="CD86" s="61">
        <v>0.2470999564847739</v>
      </c>
      <c r="CE86" s="61">
        <v>0.24593858668929544</v>
      </c>
      <c r="CF86" s="61">
        <v>0.24478267533185574</v>
      </c>
      <c r="CG86" s="61">
        <v>0.24363219675779602</v>
      </c>
      <c r="CH86" s="61">
        <v>0.24248712543303436</v>
      </c>
      <c r="CI86" s="61">
        <v>0.24134743594349908</v>
      </c>
      <c r="CJ86" s="61">
        <v>0.24021310299456464</v>
      </c>
      <c r="CK86" s="61">
        <v>0.23908410141049016</v>
      </c>
      <c r="CL86" s="61">
        <v>0.23796040613386085</v>
      </c>
      <c r="CM86" s="61">
        <v>0.23684199222503169</v>
      </c>
      <c r="CN86" s="61">
        <v>0.23572883486157403</v>
      </c>
      <c r="CO86" s="61">
        <v>0.23462090933772461</v>
      </c>
      <c r="CP86" s="61">
        <v>0.23351819106383731</v>
      </c>
      <c r="CQ86" s="61">
        <v>0.23242065556583727</v>
      </c>
      <c r="CR86" s="61">
        <v>0.23132827848467782</v>
      </c>
      <c r="CS86" s="61">
        <v>0.23024103557579984</v>
      </c>
      <c r="CT86" s="61">
        <v>0.22915890270859357</v>
      </c>
      <c r="CU86" s="61">
        <v>0.22808185586586316</v>
      </c>
      <c r="CV86" s="61">
        <v>0.2270098711432936</v>
      </c>
      <c r="CW86" s="61">
        <v>0.22594292474892011</v>
      </c>
      <c r="CX86" s="61">
        <v>0.22488099300260017</v>
      </c>
      <c r="CY86" s="53">
        <v>0.22382405233548794</v>
      </c>
    </row>
    <row r="87" spans="1:103">
      <c r="A87" s="60">
        <v>105</v>
      </c>
      <c r="B87" s="60">
        <v>0.37227300000000002</v>
      </c>
      <c r="C87" s="60">
        <v>0.37123063560000003</v>
      </c>
      <c r="D87" s="60">
        <v>0.37022831288388003</v>
      </c>
      <c r="E87" s="60">
        <v>0.36922869643909356</v>
      </c>
      <c r="F87" s="60">
        <v>0.36823177895870801</v>
      </c>
      <c r="G87" s="60">
        <v>0.36723755315551948</v>
      </c>
      <c r="H87" s="60">
        <v>0.36624601176199956</v>
      </c>
      <c r="I87" s="60">
        <v>0.36522052292906593</v>
      </c>
      <c r="J87" s="60">
        <v>0.36416138341257165</v>
      </c>
      <c r="K87" s="60">
        <v>0.36306889926233393</v>
      </c>
      <c r="L87" s="60">
        <v>0.3619433856746207</v>
      </c>
      <c r="M87" s="60">
        <v>0.36082136117902935</v>
      </c>
      <c r="N87" s="60">
        <v>0.35963065068713856</v>
      </c>
      <c r="O87" s="60">
        <v>0.35840790647480231</v>
      </c>
      <c r="P87" s="60">
        <v>0.35715347880214054</v>
      </c>
      <c r="Q87" s="60">
        <v>0.35586772627845281</v>
      </c>
      <c r="R87" s="60">
        <v>0.35451542891859467</v>
      </c>
      <c r="S87" s="60">
        <v>0.35313281874581215</v>
      </c>
      <c r="T87" s="61">
        <v>0.3517202874708289</v>
      </c>
      <c r="U87" s="61">
        <v>0.35027823429219851</v>
      </c>
      <c r="V87" s="61">
        <v>0.34877203788474209</v>
      </c>
      <c r="W87" s="61">
        <v>0.34727231812183773</v>
      </c>
      <c r="X87" s="61">
        <v>0.34577904715391383</v>
      </c>
      <c r="Y87" s="61">
        <v>0.34429219725115201</v>
      </c>
      <c r="Z87" s="61">
        <v>0.34281174080297205</v>
      </c>
      <c r="AA87" s="61">
        <v>0.34133765031751928</v>
      </c>
      <c r="AB87" s="61">
        <v>0.33986989842115395</v>
      </c>
      <c r="AC87" s="61">
        <v>0.33840845785794299</v>
      </c>
      <c r="AD87" s="61">
        <v>0.33695330148915387</v>
      </c>
      <c r="AE87" s="61">
        <v>0.33550440229275053</v>
      </c>
      <c r="AF87" s="61">
        <v>0.33406173336289169</v>
      </c>
      <c r="AG87" s="61">
        <v>0.33262526790943125</v>
      </c>
      <c r="AH87" s="61">
        <v>0.3311949792574207</v>
      </c>
      <c r="AI87" s="61">
        <v>0.32977084084661379</v>
      </c>
      <c r="AJ87" s="61">
        <v>0.32835282623097334</v>
      </c>
      <c r="AK87" s="61">
        <v>0.32694090907818019</v>
      </c>
      <c r="AL87" s="61">
        <v>0.32553506316914405</v>
      </c>
      <c r="AM87" s="61">
        <v>0.32413526239751672</v>
      </c>
      <c r="AN87" s="61">
        <v>0.32274148076920739</v>
      </c>
      <c r="AO87" s="61">
        <v>0.32135369240189982</v>
      </c>
      <c r="AP87" s="61">
        <v>0.31997187152457168</v>
      </c>
      <c r="AQ87" s="61">
        <v>0.31859599247701603</v>
      </c>
      <c r="AR87" s="61">
        <v>0.31722602970936487</v>
      </c>
      <c r="AS87" s="61">
        <v>0.31586195778161463</v>
      </c>
      <c r="AT87" s="61">
        <v>0.31450375136315367</v>
      </c>
      <c r="AU87" s="61">
        <v>0.31315138523229213</v>
      </c>
      <c r="AV87" s="61">
        <v>0.31180483427579331</v>
      </c>
      <c r="AW87" s="61">
        <v>0.31046407348840743</v>
      </c>
      <c r="AX87" s="61">
        <v>0.3091290779724073</v>
      </c>
      <c r="AY87" s="61">
        <v>0.30779982293712593</v>
      </c>
      <c r="AZ87" s="61">
        <v>0.30647628369849628</v>
      </c>
      <c r="BA87" s="61">
        <v>0.30515843567859274</v>
      </c>
      <c r="BB87" s="61">
        <v>0.30384625440517482</v>
      </c>
      <c r="BC87" s="61">
        <v>0.3025397155112326</v>
      </c>
      <c r="BD87" s="61">
        <v>0.3012387947345343</v>
      </c>
      <c r="BE87" s="61">
        <v>0.2999434679171758</v>
      </c>
      <c r="BF87" s="61">
        <v>0.29865371100513194</v>
      </c>
      <c r="BG87" s="61">
        <v>0.29736950004780988</v>
      </c>
      <c r="BH87" s="61">
        <v>0.29609081119760428</v>
      </c>
      <c r="BI87" s="61">
        <v>0.29481762070945461</v>
      </c>
      <c r="BJ87" s="61">
        <v>0.29354990494040395</v>
      </c>
      <c r="BK87" s="61">
        <v>0.29228764034916022</v>
      </c>
      <c r="BL87" s="61">
        <v>0.29103080349565885</v>
      </c>
      <c r="BM87" s="61">
        <v>0.28977937104062751</v>
      </c>
      <c r="BN87" s="61">
        <v>0.28853331974515284</v>
      </c>
      <c r="BO87" s="61">
        <v>0.28729262647024867</v>
      </c>
      <c r="BP87" s="61">
        <v>0.28605726817642663</v>
      </c>
      <c r="BQ87" s="61">
        <v>0.28482722192326798</v>
      </c>
      <c r="BR87" s="61">
        <v>0.28360246486899793</v>
      </c>
      <c r="BS87" s="61">
        <v>0.28238297427006126</v>
      </c>
      <c r="BT87" s="61">
        <v>0.28116872748069999</v>
      </c>
      <c r="BU87" s="61">
        <v>0.279959701952533</v>
      </c>
      <c r="BV87" s="61">
        <v>0.27875587523413714</v>
      </c>
      <c r="BW87" s="61">
        <v>0.27755722497063035</v>
      </c>
      <c r="BX87" s="61">
        <v>0.27636372890325667</v>
      </c>
      <c r="BY87" s="61">
        <v>0.27517536486897265</v>
      </c>
      <c r="BZ87" s="61">
        <v>0.27399211080003605</v>
      </c>
      <c r="CA87" s="61">
        <v>0.27281394472359588</v>
      </c>
      <c r="CB87" s="61">
        <v>0.27164084476128442</v>
      </c>
      <c r="CC87" s="61">
        <v>0.2704727891288109</v>
      </c>
      <c r="CD87" s="61">
        <v>0.26930975613555702</v>
      </c>
      <c r="CE87" s="61">
        <v>0.26815172418417416</v>
      </c>
      <c r="CF87" s="61">
        <v>0.26699867177018222</v>
      </c>
      <c r="CG87" s="61">
        <v>0.26585057748157043</v>
      </c>
      <c r="CH87" s="61">
        <v>0.2647074199983997</v>
      </c>
      <c r="CI87" s="61">
        <v>0.2635691780924066</v>
      </c>
      <c r="CJ87" s="61">
        <v>0.26243583062660925</v>
      </c>
      <c r="CK87" s="61">
        <v>0.26130735655491483</v>
      </c>
      <c r="CL87" s="61">
        <v>0.26018373492172869</v>
      </c>
      <c r="CM87" s="61">
        <v>0.25906494486156528</v>
      </c>
      <c r="CN87" s="61">
        <v>0.25795096559866054</v>
      </c>
      <c r="CO87" s="61">
        <v>0.25684177644658629</v>
      </c>
      <c r="CP87" s="61">
        <v>0.25573735680786597</v>
      </c>
      <c r="CQ87" s="61">
        <v>0.25463768617359217</v>
      </c>
      <c r="CR87" s="61">
        <v>0.25354274412304573</v>
      </c>
      <c r="CS87" s="61">
        <v>0.25245251032331661</v>
      </c>
      <c r="CT87" s="61">
        <v>0.25136696452892637</v>
      </c>
      <c r="CU87" s="61">
        <v>0.25028608658145202</v>
      </c>
      <c r="CV87" s="61">
        <v>0.24920985640915178</v>
      </c>
      <c r="CW87" s="61">
        <v>0.24813825402659243</v>
      </c>
      <c r="CX87" s="61">
        <v>0.24707125953427808</v>
      </c>
      <c r="CY87" s="53">
        <v>0.24600885311828069</v>
      </c>
    </row>
    <row r="88" spans="1:103">
      <c r="A88" s="60">
        <v>106</v>
      </c>
      <c r="B88" s="60">
        <v>0.39185999999999999</v>
      </c>
      <c r="C88" s="60">
        <v>0.39088034999999999</v>
      </c>
      <c r="D88" s="60">
        <v>0.38994223715999998</v>
      </c>
      <c r="E88" s="60">
        <v>0.38900637579081598</v>
      </c>
      <c r="F88" s="60">
        <v>0.38807276048891803</v>
      </c>
      <c r="G88" s="60">
        <v>0.38714138586374464</v>
      </c>
      <c r="H88" s="60">
        <v>0.38617353239908531</v>
      </c>
      <c r="I88" s="60">
        <v>0.38520809856808763</v>
      </c>
      <c r="J88" s="60">
        <v>0.3842065575118106</v>
      </c>
      <c r="K88" s="60">
        <v>0.38316919980652869</v>
      </c>
      <c r="L88" s="60">
        <v>0.38213464296705107</v>
      </c>
      <c r="M88" s="60">
        <v>0.38106466596674332</v>
      </c>
      <c r="N88" s="60">
        <v>0.37995957843543976</v>
      </c>
      <c r="O88" s="60">
        <v>0.37881969970013346</v>
      </c>
      <c r="P88" s="60">
        <v>0.37760747666109307</v>
      </c>
      <c r="Q88" s="60">
        <v>0.37636137198811148</v>
      </c>
      <c r="R88" s="60">
        <v>0.37508174332335192</v>
      </c>
      <c r="S88" s="60">
        <v>0.37376895722172021</v>
      </c>
      <c r="T88" s="61">
        <v>0.37242338897572203</v>
      </c>
      <c r="U88" s="61">
        <v>0.37104542243651184</v>
      </c>
      <c r="V88" s="61">
        <v>0.36963544983125307</v>
      </c>
      <c r="W88" s="61">
        <v>0.36823083512189431</v>
      </c>
      <c r="X88" s="61">
        <v>0.36683155794843109</v>
      </c>
      <c r="Y88" s="61">
        <v>0.36543759802822706</v>
      </c>
      <c r="Z88" s="61">
        <v>0.36404893515571979</v>
      </c>
      <c r="AA88" s="61">
        <v>0.36266554920212807</v>
      </c>
      <c r="AB88" s="61">
        <v>0.36128742011515996</v>
      </c>
      <c r="AC88" s="61">
        <v>0.35991452791872236</v>
      </c>
      <c r="AD88" s="61">
        <v>0.3585468527126312</v>
      </c>
      <c r="AE88" s="61">
        <v>0.35718437467232317</v>
      </c>
      <c r="AF88" s="61">
        <v>0.35582707404856834</v>
      </c>
      <c r="AG88" s="61">
        <v>0.35447493116718376</v>
      </c>
      <c r="AH88" s="61">
        <v>0.35312792642874846</v>
      </c>
      <c r="AI88" s="61">
        <v>0.35178604030831923</v>
      </c>
      <c r="AJ88" s="61">
        <v>0.35044925335514759</v>
      </c>
      <c r="AK88" s="61">
        <v>0.34911754619239804</v>
      </c>
      <c r="AL88" s="61">
        <v>0.34779089951686692</v>
      </c>
      <c r="AM88" s="61">
        <v>0.34646929409870281</v>
      </c>
      <c r="AN88" s="61">
        <v>0.34515271078112775</v>
      </c>
      <c r="AO88" s="61">
        <v>0.34384113048015946</v>
      </c>
      <c r="AP88" s="61">
        <v>0.34253453418433483</v>
      </c>
      <c r="AQ88" s="61">
        <v>0.34123290295443437</v>
      </c>
      <c r="AR88" s="61">
        <v>0.3399362179232075</v>
      </c>
      <c r="AS88" s="61">
        <v>0.33864446029509931</v>
      </c>
      <c r="AT88" s="61">
        <v>0.33735761134597791</v>
      </c>
      <c r="AU88" s="61">
        <v>0.33607565242286319</v>
      </c>
      <c r="AV88" s="61">
        <v>0.33479856494365628</v>
      </c>
      <c r="AW88" s="61">
        <v>0.33352633039687041</v>
      </c>
      <c r="AX88" s="61">
        <v>0.33225893034136228</v>
      </c>
      <c r="AY88" s="61">
        <v>0.33099634640606507</v>
      </c>
      <c r="AZ88" s="61">
        <v>0.32973856028972204</v>
      </c>
      <c r="BA88" s="61">
        <v>0.32848555376062111</v>
      </c>
      <c r="BB88" s="61">
        <v>0.32723730865633072</v>
      </c>
      <c r="BC88" s="61">
        <v>0.32599380688343665</v>
      </c>
      <c r="BD88" s="61">
        <v>0.3247550304172796</v>
      </c>
      <c r="BE88" s="61">
        <v>0.32352096130169394</v>
      </c>
      <c r="BF88" s="61">
        <v>0.32229158164874749</v>
      </c>
      <c r="BG88" s="61">
        <v>0.32106687363848224</v>
      </c>
      <c r="BH88" s="61">
        <v>0.31984681951865601</v>
      </c>
      <c r="BI88" s="61">
        <v>0.31863140160448511</v>
      </c>
      <c r="BJ88" s="61">
        <v>0.31742060227838803</v>
      </c>
      <c r="BK88" s="61">
        <v>0.31621440398973016</v>
      </c>
      <c r="BL88" s="61">
        <v>0.31501278925456916</v>
      </c>
      <c r="BM88" s="61">
        <v>0.3138157406554018</v>
      </c>
      <c r="BN88" s="61">
        <v>0.31262324084091125</v>
      </c>
      <c r="BO88" s="61">
        <v>0.31143527252571579</v>
      </c>
      <c r="BP88" s="61">
        <v>0.31025181849011807</v>
      </c>
      <c r="BQ88" s="61">
        <v>0.30907286157985564</v>
      </c>
      <c r="BR88" s="61">
        <v>0.30789838470585218</v>
      </c>
      <c r="BS88" s="61">
        <v>0.30672837084396992</v>
      </c>
      <c r="BT88" s="61">
        <v>0.30556280303476285</v>
      </c>
      <c r="BU88" s="61">
        <v>0.30440166438323074</v>
      </c>
      <c r="BV88" s="61">
        <v>0.30324493805857444</v>
      </c>
      <c r="BW88" s="61">
        <v>0.30209260729395188</v>
      </c>
      <c r="BX88" s="61">
        <v>0.30094465538623483</v>
      </c>
      <c r="BY88" s="61">
        <v>0.29980106569576714</v>
      </c>
      <c r="BZ88" s="61">
        <v>0.2986618216461232</v>
      </c>
      <c r="CA88" s="61">
        <v>0.29752690672386795</v>
      </c>
      <c r="CB88" s="61">
        <v>0.29639630447831722</v>
      </c>
      <c r="CC88" s="61">
        <v>0.29526999852129959</v>
      </c>
      <c r="CD88" s="61">
        <v>0.29414797252691866</v>
      </c>
      <c r="CE88" s="61">
        <v>0.29303021023131637</v>
      </c>
      <c r="CF88" s="61">
        <v>0.29191669543243737</v>
      </c>
      <c r="CG88" s="61">
        <v>0.2908074119897941</v>
      </c>
      <c r="CH88" s="61">
        <v>0.28970234382423288</v>
      </c>
      <c r="CI88" s="61">
        <v>0.28860147491770077</v>
      </c>
      <c r="CJ88" s="61">
        <v>0.28750478931301349</v>
      </c>
      <c r="CK88" s="61">
        <v>0.28641227111362405</v>
      </c>
      <c r="CL88" s="61">
        <v>0.28532390448339229</v>
      </c>
      <c r="CM88" s="61">
        <v>0.28423967364635538</v>
      </c>
      <c r="CN88" s="61">
        <v>0.28315956288649924</v>
      </c>
      <c r="CO88" s="61">
        <v>0.28208355654753053</v>
      </c>
      <c r="CP88" s="61">
        <v>0.28101163903264992</v>
      </c>
      <c r="CQ88" s="61">
        <v>0.27994379480432585</v>
      </c>
      <c r="CR88" s="61">
        <v>0.2788800083840694</v>
      </c>
      <c r="CS88" s="61">
        <v>0.27782026435220991</v>
      </c>
      <c r="CT88" s="61">
        <v>0.27676454734767153</v>
      </c>
      <c r="CU88" s="61">
        <v>0.27571284206775037</v>
      </c>
      <c r="CV88" s="61">
        <v>0.27466513326789294</v>
      </c>
      <c r="CW88" s="61">
        <v>0.27362140576147492</v>
      </c>
      <c r="CX88" s="61">
        <v>0.27258164441958133</v>
      </c>
      <c r="CY88" s="53">
        <v>0.27154583417078693</v>
      </c>
    </row>
    <row r="89" spans="1:103">
      <c r="A89" s="60">
        <v>107</v>
      </c>
      <c r="B89" s="60">
        <v>0.41084900000000002</v>
      </c>
      <c r="C89" s="60">
        <v>0.40994513220000001</v>
      </c>
      <c r="D89" s="60">
        <v>0.40904325290915999</v>
      </c>
      <c r="E89" s="60">
        <v>0.40818426207805075</v>
      </c>
      <c r="F89" s="60">
        <v>0.40732707512768684</v>
      </c>
      <c r="G89" s="60">
        <v>0.4064716882699187</v>
      </c>
      <c r="H89" s="60">
        <v>0.40557745055572486</v>
      </c>
      <c r="I89" s="60">
        <v>0.40468518016450228</v>
      </c>
      <c r="J89" s="60">
        <v>0.40375440425012393</v>
      </c>
      <c r="K89" s="60">
        <v>0.40278539367992366</v>
      </c>
      <c r="L89" s="60">
        <v>0.40181870873509185</v>
      </c>
      <c r="M89" s="60">
        <v>0.40081416196325415</v>
      </c>
      <c r="N89" s="60">
        <v>0.39977204514214965</v>
      </c>
      <c r="O89" s="60">
        <v>0.39869266062026582</v>
      </c>
      <c r="P89" s="60">
        <v>0.39757632117052905</v>
      </c>
      <c r="Q89" s="60">
        <v>0.39642334983913452</v>
      </c>
      <c r="R89" s="60">
        <v>0.39523407978961711</v>
      </c>
      <c r="S89" s="60">
        <v>0.39400885414226933</v>
      </c>
      <c r="T89" s="61">
        <v>0.39274802580901408</v>
      </c>
      <c r="U89" s="61">
        <v>0.39145195732384436</v>
      </c>
      <c r="V89" s="61">
        <v>0.39012102066894333</v>
      </c>
      <c r="W89" s="61">
        <v>0.38879460919866893</v>
      </c>
      <c r="X89" s="61">
        <v>0.38747270752739349</v>
      </c>
      <c r="Y89" s="61">
        <v>0.38615530032180034</v>
      </c>
      <c r="Z89" s="61">
        <v>0.38484237230070623</v>
      </c>
      <c r="AA89" s="61">
        <v>0.38353390823488381</v>
      </c>
      <c r="AB89" s="61">
        <v>0.3822298929468852</v>
      </c>
      <c r="AC89" s="61">
        <v>0.3809303113108658</v>
      </c>
      <c r="AD89" s="61">
        <v>0.37963514825240885</v>
      </c>
      <c r="AE89" s="61">
        <v>0.37834438874835069</v>
      </c>
      <c r="AF89" s="61">
        <v>0.37705801782660631</v>
      </c>
      <c r="AG89" s="61">
        <v>0.37577602056599585</v>
      </c>
      <c r="AH89" s="61">
        <v>0.3744983820960715</v>
      </c>
      <c r="AI89" s="61">
        <v>0.37322508759694489</v>
      </c>
      <c r="AJ89" s="61">
        <v>0.37195612229911529</v>
      </c>
      <c r="AK89" s="61">
        <v>0.37069147148329828</v>
      </c>
      <c r="AL89" s="61">
        <v>0.36943112048025506</v>
      </c>
      <c r="AM89" s="61">
        <v>0.36817505467062223</v>
      </c>
      <c r="AN89" s="61">
        <v>0.36692325948474214</v>
      </c>
      <c r="AO89" s="61">
        <v>0.36567572040249402</v>
      </c>
      <c r="AP89" s="61">
        <v>0.36443242295312556</v>
      </c>
      <c r="AQ89" s="61">
        <v>0.36319335271508496</v>
      </c>
      <c r="AR89" s="61">
        <v>0.36195849531585367</v>
      </c>
      <c r="AS89" s="61">
        <v>0.3607278364317798</v>
      </c>
      <c r="AT89" s="61">
        <v>0.35950136178791176</v>
      </c>
      <c r="AU89" s="61">
        <v>0.35827905715783287</v>
      </c>
      <c r="AV89" s="61">
        <v>0.35706090836349624</v>
      </c>
      <c r="AW89" s="61">
        <v>0.35584690127506036</v>
      </c>
      <c r="AX89" s="61">
        <v>0.35463702181072515</v>
      </c>
      <c r="AY89" s="61">
        <v>0.35343125593656871</v>
      </c>
      <c r="AZ89" s="61">
        <v>0.3522295896663844</v>
      </c>
      <c r="BA89" s="61">
        <v>0.35103200906151871</v>
      </c>
      <c r="BB89" s="61">
        <v>0.34983850023070956</v>
      </c>
      <c r="BC89" s="61">
        <v>0.34864904932992519</v>
      </c>
      <c r="BD89" s="61">
        <v>0.34746364256220347</v>
      </c>
      <c r="BE89" s="61">
        <v>0.34628226617749197</v>
      </c>
      <c r="BF89" s="61">
        <v>0.34510490647248854</v>
      </c>
      <c r="BG89" s="61">
        <v>0.34393154979048207</v>
      </c>
      <c r="BH89" s="61">
        <v>0.34276218252119445</v>
      </c>
      <c r="BI89" s="61">
        <v>0.34159679110062241</v>
      </c>
      <c r="BJ89" s="61">
        <v>0.34043536201088032</v>
      </c>
      <c r="BK89" s="61">
        <v>0.33927788178004331</v>
      </c>
      <c r="BL89" s="61">
        <v>0.33812433698199118</v>
      </c>
      <c r="BM89" s="61">
        <v>0.33697471423625242</v>
      </c>
      <c r="BN89" s="61">
        <v>0.33582900020784917</v>
      </c>
      <c r="BO89" s="61">
        <v>0.3346871816071425</v>
      </c>
      <c r="BP89" s="61">
        <v>0.33354924518967821</v>
      </c>
      <c r="BQ89" s="61">
        <v>0.3324151777560333</v>
      </c>
      <c r="BR89" s="61">
        <v>0.33128496615166281</v>
      </c>
      <c r="BS89" s="61">
        <v>0.33015859726674718</v>
      </c>
      <c r="BT89" s="61">
        <v>0.32903605803604025</v>
      </c>
      <c r="BU89" s="61">
        <v>0.32791733543871771</v>
      </c>
      <c r="BV89" s="61">
        <v>0.32680241649822606</v>
      </c>
      <c r="BW89" s="61">
        <v>0.32569128828213212</v>
      </c>
      <c r="BX89" s="61">
        <v>0.32458393790197287</v>
      </c>
      <c r="BY89" s="61">
        <v>0.3234803525131062</v>
      </c>
      <c r="BZ89" s="61">
        <v>0.32238051931456163</v>
      </c>
      <c r="CA89" s="61">
        <v>0.32128442554889214</v>
      </c>
      <c r="CB89" s="61">
        <v>0.32019205850202592</v>
      </c>
      <c r="CC89" s="61">
        <v>0.31910340550311905</v>
      </c>
      <c r="CD89" s="61">
        <v>0.31801845392440847</v>
      </c>
      <c r="CE89" s="61">
        <v>0.3169371911810655</v>
      </c>
      <c r="CF89" s="61">
        <v>0.3158596047310499</v>
      </c>
      <c r="CG89" s="61">
        <v>0.31478568207496432</v>
      </c>
      <c r="CH89" s="61">
        <v>0.31371541075590947</v>
      </c>
      <c r="CI89" s="61">
        <v>0.31264877835933941</v>
      </c>
      <c r="CJ89" s="61">
        <v>0.31158577251291769</v>
      </c>
      <c r="CK89" s="61">
        <v>0.3105263808863738</v>
      </c>
      <c r="CL89" s="61">
        <v>0.30947059119136017</v>
      </c>
      <c r="CM89" s="61">
        <v>0.30841839118130954</v>
      </c>
      <c r="CN89" s="61">
        <v>0.30736976865129312</v>
      </c>
      <c r="CO89" s="61">
        <v>0.30632471143787876</v>
      </c>
      <c r="CP89" s="61">
        <v>0.30528320741899001</v>
      </c>
      <c r="CQ89" s="61">
        <v>0.30424524451376544</v>
      </c>
      <c r="CR89" s="61">
        <v>0.30321081068241867</v>
      </c>
      <c r="CS89" s="61">
        <v>0.30217989392609845</v>
      </c>
      <c r="CT89" s="61">
        <v>0.30115248228674973</v>
      </c>
      <c r="CU89" s="61">
        <v>0.30012856384697478</v>
      </c>
      <c r="CV89" s="61">
        <v>0.29910812672989506</v>
      </c>
      <c r="CW89" s="61">
        <v>0.29809115909901346</v>
      </c>
      <c r="CX89" s="61">
        <v>0.29707764915807683</v>
      </c>
      <c r="CY89" s="53">
        <v>0.29606758515093939</v>
      </c>
    </row>
    <row r="90" spans="1:103">
      <c r="A90" s="60">
        <v>108</v>
      </c>
      <c r="B90" s="60">
        <v>0.42911199999999999</v>
      </c>
      <c r="C90" s="60">
        <v>0.42825377599999997</v>
      </c>
      <c r="D90" s="60">
        <v>0.42744009382559994</v>
      </c>
      <c r="E90" s="60">
        <v>0.4266279576473313</v>
      </c>
      <c r="F90" s="60">
        <v>0.42581736452780139</v>
      </c>
      <c r="G90" s="60">
        <v>0.42500831153519858</v>
      </c>
      <c r="H90" s="60">
        <v>0.42420079574328168</v>
      </c>
      <c r="I90" s="60">
        <v>0.4233523941517951</v>
      </c>
      <c r="J90" s="60">
        <v>0.42250568936349153</v>
      </c>
      <c r="K90" s="60">
        <v>0.42161842741582822</v>
      </c>
      <c r="L90" s="60">
        <v>0.42073302871825496</v>
      </c>
      <c r="M90" s="60">
        <v>0.41980741605507482</v>
      </c>
      <c r="N90" s="60">
        <v>0.41884185899814819</v>
      </c>
      <c r="O90" s="60">
        <v>0.41783663853655267</v>
      </c>
      <c r="P90" s="60">
        <v>0.41679204694021132</v>
      </c>
      <c r="Q90" s="60">
        <v>0.41570838761816675</v>
      </c>
      <c r="R90" s="60">
        <v>0.41462754581035949</v>
      </c>
      <c r="S90" s="60">
        <v>0.41350805143667152</v>
      </c>
      <c r="T90" s="61">
        <v>0.41235022889264883</v>
      </c>
      <c r="U90" s="61">
        <v>0.41115441322886015</v>
      </c>
      <c r="V90" s="61">
        <v>0.40992094998917356</v>
      </c>
      <c r="W90" s="61">
        <v>0.40869118713920605</v>
      </c>
      <c r="X90" s="61">
        <v>0.40746511357778842</v>
      </c>
      <c r="Y90" s="61">
        <v>0.40624271823705504</v>
      </c>
      <c r="Z90" s="61">
        <v>0.40502399008234385</v>
      </c>
      <c r="AA90" s="61">
        <v>0.40380891811209685</v>
      </c>
      <c r="AB90" s="61">
        <v>0.40259749135776057</v>
      </c>
      <c r="AC90" s="61">
        <v>0.40138969888368731</v>
      </c>
      <c r="AD90" s="61">
        <v>0.40018552978703625</v>
      </c>
      <c r="AE90" s="61">
        <v>0.39898497319767512</v>
      </c>
      <c r="AF90" s="61">
        <v>0.39778801827808208</v>
      </c>
      <c r="AG90" s="61">
        <v>0.39659465422324786</v>
      </c>
      <c r="AH90" s="61">
        <v>0.39540487026057813</v>
      </c>
      <c r="AI90" s="61">
        <v>0.39421865564979641</v>
      </c>
      <c r="AJ90" s="61">
        <v>0.39303599968284703</v>
      </c>
      <c r="AK90" s="61">
        <v>0.3918568916837985</v>
      </c>
      <c r="AL90" s="61">
        <v>0.39068132100874708</v>
      </c>
      <c r="AM90" s="61">
        <v>0.38950927704572086</v>
      </c>
      <c r="AN90" s="61">
        <v>0.38834074921458367</v>
      </c>
      <c r="AO90" s="61">
        <v>0.38717572696693991</v>
      </c>
      <c r="AP90" s="61">
        <v>0.38601419978603907</v>
      </c>
      <c r="AQ90" s="61">
        <v>0.38485615718668092</v>
      </c>
      <c r="AR90" s="61">
        <v>0.38370158871512089</v>
      </c>
      <c r="AS90" s="61">
        <v>0.38255048394897551</v>
      </c>
      <c r="AT90" s="61">
        <v>0.38140283249712859</v>
      </c>
      <c r="AU90" s="61">
        <v>0.38025862399963722</v>
      </c>
      <c r="AV90" s="61">
        <v>0.37911784812763832</v>
      </c>
      <c r="AW90" s="61">
        <v>0.37798049458325539</v>
      </c>
      <c r="AX90" s="61">
        <v>0.3768465530995056</v>
      </c>
      <c r="AY90" s="61">
        <v>0.37571601344020711</v>
      </c>
      <c r="AZ90" s="61">
        <v>0.37458886539988651</v>
      </c>
      <c r="BA90" s="61">
        <v>0.37346509880368683</v>
      </c>
      <c r="BB90" s="61">
        <v>0.37234470350727578</v>
      </c>
      <c r="BC90" s="61">
        <v>0.37122766939675395</v>
      </c>
      <c r="BD90" s="61">
        <v>0.37011398638856369</v>
      </c>
      <c r="BE90" s="61">
        <v>0.36900364442939798</v>
      </c>
      <c r="BF90" s="61">
        <v>0.36789663349610979</v>
      </c>
      <c r="BG90" s="61">
        <v>0.36679294359562148</v>
      </c>
      <c r="BH90" s="61">
        <v>0.36569256476483464</v>
      </c>
      <c r="BI90" s="61">
        <v>0.36459548707054013</v>
      </c>
      <c r="BJ90" s="61">
        <v>0.36350170060932852</v>
      </c>
      <c r="BK90" s="61">
        <v>0.36241119550750051</v>
      </c>
      <c r="BL90" s="61">
        <v>0.36132396192097799</v>
      </c>
      <c r="BM90" s="61">
        <v>0.36023999003521506</v>
      </c>
      <c r="BN90" s="61">
        <v>0.35915927006510939</v>
      </c>
      <c r="BO90" s="61">
        <v>0.35808179225491404</v>
      </c>
      <c r="BP90" s="61">
        <v>0.35700754687814928</v>
      </c>
      <c r="BQ90" s="61">
        <v>0.35593652423751482</v>
      </c>
      <c r="BR90" s="61">
        <v>0.3548687146648023</v>
      </c>
      <c r="BS90" s="61">
        <v>0.3538041085208079</v>
      </c>
      <c r="BT90" s="61">
        <v>0.35274269619524545</v>
      </c>
      <c r="BU90" s="61">
        <v>0.35168446810665971</v>
      </c>
      <c r="BV90" s="61">
        <v>0.35062941470233971</v>
      </c>
      <c r="BW90" s="61">
        <v>0.3495775264582327</v>
      </c>
      <c r="BX90" s="61">
        <v>0.34852879387885799</v>
      </c>
      <c r="BY90" s="61">
        <v>0.34748320749722139</v>
      </c>
      <c r="BZ90" s="61">
        <v>0.34644075787472972</v>
      </c>
      <c r="CA90" s="61">
        <v>0.34540143560110553</v>
      </c>
      <c r="CB90" s="61">
        <v>0.34436523129430224</v>
      </c>
      <c r="CC90" s="61">
        <v>0.34333213560041931</v>
      </c>
      <c r="CD90" s="61">
        <v>0.34230213919361807</v>
      </c>
      <c r="CE90" s="61">
        <v>0.34127523277603722</v>
      </c>
      <c r="CF90" s="61">
        <v>0.34025140707770912</v>
      </c>
      <c r="CG90" s="61">
        <v>0.33923065285647597</v>
      </c>
      <c r="CH90" s="61">
        <v>0.33821296089790653</v>
      </c>
      <c r="CI90" s="61">
        <v>0.33719832201521283</v>
      </c>
      <c r="CJ90" s="61">
        <v>0.33618672704916719</v>
      </c>
      <c r="CK90" s="61">
        <v>0.33517816686801971</v>
      </c>
      <c r="CL90" s="61">
        <v>0.33417263236741568</v>
      </c>
      <c r="CM90" s="61">
        <v>0.33317011447031342</v>
      </c>
      <c r="CN90" s="61">
        <v>0.33217060412690247</v>
      </c>
      <c r="CO90" s="61">
        <v>0.33117409231452177</v>
      </c>
      <c r="CP90" s="61">
        <v>0.33018057003757822</v>
      </c>
      <c r="CQ90" s="61">
        <v>0.32919002832746547</v>
      </c>
      <c r="CR90" s="61">
        <v>0.32820245824248306</v>
      </c>
      <c r="CS90" s="61">
        <v>0.32721785086775562</v>
      </c>
      <c r="CT90" s="61">
        <v>0.32623619731515235</v>
      </c>
      <c r="CU90" s="61">
        <v>0.32525748872320692</v>
      </c>
      <c r="CV90" s="61">
        <v>0.32428171625703728</v>
      </c>
      <c r="CW90" s="61">
        <v>0.32330887110826617</v>
      </c>
      <c r="CX90" s="61">
        <v>0.32233894449494138</v>
      </c>
      <c r="CY90" s="53">
        <v>0.32137192766145656</v>
      </c>
    </row>
    <row r="91" spans="1:103">
      <c r="A91" s="60">
        <v>109</v>
      </c>
      <c r="B91" s="60">
        <v>0.446544</v>
      </c>
      <c r="C91" s="60">
        <v>0.44578487519999999</v>
      </c>
      <c r="D91" s="60">
        <v>0.44507161939967999</v>
      </c>
      <c r="E91" s="60">
        <v>0.4443595048086405</v>
      </c>
      <c r="F91" s="60">
        <v>0.44364852960094664</v>
      </c>
      <c r="G91" s="60">
        <v>0.4429386919535851</v>
      </c>
      <c r="H91" s="60">
        <v>0.44222999004645935</v>
      </c>
      <c r="I91" s="60">
        <v>0.44147819906338037</v>
      </c>
      <c r="J91" s="60">
        <v>0.4407276861249726</v>
      </c>
      <c r="K91" s="60">
        <v>0.43993437628994764</v>
      </c>
      <c r="L91" s="60">
        <v>0.43914249441262571</v>
      </c>
      <c r="M91" s="60">
        <v>0.43830812367324173</v>
      </c>
      <c r="N91" s="60">
        <v>0.43743150742589526</v>
      </c>
      <c r="O91" s="60">
        <v>0.43655664441104347</v>
      </c>
      <c r="P91" s="60">
        <v>0.43563987545778027</v>
      </c>
      <c r="Q91" s="60">
        <v>0.43468146773177319</v>
      </c>
      <c r="R91" s="60">
        <v>0.43368170035599013</v>
      </c>
      <c r="S91" s="60">
        <v>0.43268423244517135</v>
      </c>
      <c r="T91" s="61">
        <v>0.43164579028730293</v>
      </c>
      <c r="U91" s="61">
        <v>0.4305666758115847</v>
      </c>
      <c r="V91" s="61">
        <v>0.42944720245447454</v>
      </c>
      <c r="W91" s="61">
        <v>0.42833063972809288</v>
      </c>
      <c r="X91" s="61">
        <v>0.4272169800647998</v>
      </c>
      <c r="Y91" s="61">
        <v>0.42610621591663128</v>
      </c>
      <c r="Z91" s="61">
        <v>0.42499833975524803</v>
      </c>
      <c r="AA91" s="61">
        <v>0.42389334407188439</v>
      </c>
      <c r="AB91" s="61">
        <v>0.42279122137729747</v>
      </c>
      <c r="AC91" s="61">
        <v>0.42169196420171645</v>
      </c>
      <c r="AD91" s="61">
        <v>0.42059556509479196</v>
      </c>
      <c r="AE91" s="61">
        <v>0.41950201662554548</v>
      </c>
      <c r="AF91" s="61">
        <v>0.41841131138231902</v>
      </c>
      <c r="AG91" s="61">
        <v>0.41732344197272497</v>
      </c>
      <c r="AH91" s="61">
        <v>0.41623840102359588</v>
      </c>
      <c r="AI91" s="61">
        <v>0.4151561811809345</v>
      </c>
      <c r="AJ91" s="61">
        <v>0.41407677510986407</v>
      </c>
      <c r="AK91" s="61">
        <v>0.4130001754945784</v>
      </c>
      <c r="AL91" s="61">
        <v>0.41192637503829249</v>
      </c>
      <c r="AM91" s="61">
        <v>0.41085536646319293</v>
      </c>
      <c r="AN91" s="61">
        <v>0.40978714251038861</v>
      </c>
      <c r="AO91" s="61">
        <v>0.40872169593986157</v>
      </c>
      <c r="AP91" s="61">
        <v>0.40765901953041789</v>
      </c>
      <c r="AQ91" s="61">
        <v>0.40659910607963878</v>
      </c>
      <c r="AR91" s="61">
        <v>0.40554194840383173</v>
      </c>
      <c r="AS91" s="61">
        <v>0.40448753933798176</v>
      </c>
      <c r="AT91" s="61">
        <v>0.403435871735703</v>
      </c>
      <c r="AU91" s="61">
        <v>0.40238693846919016</v>
      </c>
      <c r="AV91" s="61">
        <v>0.40134073242917023</v>
      </c>
      <c r="AW91" s="61">
        <v>0.40029724652485438</v>
      </c>
      <c r="AX91" s="61">
        <v>0.39925647368388972</v>
      </c>
      <c r="AY91" s="61">
        <v>0.39821840685231158</v>
      </c>
      <c r="AZ91" s="61">
        <v>0.39718303899449553</v>
      </c>
      <c r="BA91" s="61">
        <v>0.3961503630931098</v>
      </c>
      <c r="BB91" s="61">
        <v>0.3951203721490677</v>
      </c>
      <c r="BC91" s="61">
        <v>0.39409305918148013</v>
      </c>
      <c r="BD91" s="61">
        <v>0.39306841722760827</v>
      </c>
      <c r="BE91" s="61">
        <v>0.39204643934281647</v>
      </c>
      <c r="BF91" s="61">
        <v>0.39102711860052514</v>
      </c>
      <c r="BG91" s="61">
        <v>0.39001044809216373</v>
      </c>
      <c r="BH91" s="61">
        <v>0.38899642092712411</v>
      </c>
      <c r="BI91" s="61">
        <v>0.38798503023271358</v>
      </c>
      <c r="BJ91" s="61">
        <v>0.38697626915410849</v>
      </c>
      <c r="BK91" s="61">
        <v>0.38597013085430781</v>
      </c>
      <c r="BL91" s="61">
        <v>0.38496660851408659</v>
      </c>
      <c r="BM91" s="61">
        <v>0.38396569533194996</v>
      </c>
      <c r="BN91" s="61">
        <v>0.38296738452408685</v>
      </c>
      <c r="BO91" s="61">
        <v>0.38197166932432419</v>
      </c>
      <c r="BP91" s="61">
        <v>0.38097854298408096</v>
      </c>
      <c r="BQ91" s="61">
        <v>0.37998799877232231</v>
      </c>
      <c r="BR91" s="61">
        <v>0.37900002997551424</v>
      </c>
      <c r="BS91" s="61">
        <v>0.37801462989757789</v>
      </c>
      <c r="BT91" s="61">
        <v>0.37703179185984415</v>
      </c>
      <c r="BU91" s="61">
        <v>0.37605150920100855</v>
      </c>
      <c r="BV91" s="61">
        <v>0.37507377527708591</v>
      </c>
      <c r="BW91" s="61">
        <v>0.37409858346136549</v>
      </c>
      <c r="BX91" s="61">
        <v>0.37312592714436593</v>
      </c>
      <c r="BY91" s="61">
        <v>0.37215579973379054</v>
      </c>
      <c r="BZ91" s="61">
        <v>0.37118819465448266</v>
      </c>
      <c r="CA91" s="61">
        <v>0.37022310534838099</v>
      </c>
      <c r="CB91" s="61">
        <v>0.36926052527447517</v>
      </c>
      <c r="CC91" s="61">
        <v>0.36830044790876154</v>
      </c>
      <c r="CD91" s="61">
        <v>0.36734286674419875</v>
      </c>
      <c r="CE91" s="61">
        <v>0.3663877752906638</v>
      </c>
      <c r="CF91" s="61">
        <v>0.36543516707490803</v>
      </c>
      <c r="CG91" s="61">
        <v>0.36448503564051327</v>
      </c>
      <c r="CH91" s="61">
        <v>0.3635373745478479</v>
      </c>
      <c r="CI91" s="61">
        <v>0.36259217737402349</v>
      </c>
      <c r="CJ91" s="61">
        <v>0.36164943771285102</v>
      </c>
      <c r="CK91" s="61">
        <v>0.36070914917479757</v>
      </c>
      <c r="CL91" s="61">
        <v>0.35977130538694307</v>
      </c>
      <c r="CM91" s="61">
        <v>0.35883589999293702</v>
      </c>
      <c r="CN91" s="61">
        <v>0.35790292665295537</v>
      </c>
      <c r="CO91" s="61">
        <v>0.35697237904365764</v>
      </c>
      <c r="CP91" s="61">
        <v>0.35604425085814412</v>
      </c>
      <c r="CQ91" s="61">
        <v>0.3551185358059129</v>
      </c>
      <c r="CR91" s="61">
        <v>0.35419522761281752</v>
      </c>
      <c r="CS91" s="61">
        <v>0.35327432002102416</v>
      </c>
      <c r="CT91" s="61">
        <v>0.35235580678896949</v>
      </c>
      <c r="CU91" s="61">
        <v>0.35143968169131817</v>
      </c>
      <c r="CV91" s="61">
        <v>0.35052593851892072</v>
      </c>
      <c r="CW91" s="61">
        <v>0.34961457107877153</v>
      </c>
      <c r="CX91" s="61">
        <v>0.34870557319396672</v>
      </c>
      <c r="CY91" s="53">
        <v>0.34779893870366241</v>
      </c>
    </row>
    <row r="92" spans="1:103">
      <c r="A92" s="60">
        <v>110</v>
      </c>
      <c r="B92" s="60">
        <v>0.463061</v>
      </c>
      <c r="C92" s="60">
        <v>0.4624127146</v>
      </c>
      <c r="D92" s="60">
        <v>0.46176533679956</v>
      </c>
      <c r="E92" s="60">
        <v>0.46116504186172058</v>
      </c>
      <c r="F92" s="60">
        <v>0.46056552730730038</v>
      </c>
      <c r="G92" s="60">
        <v>0.45996679212180092</v>
      </c>
      <c r="H92" s="60">
        <v>0.45932283861283041</v>
      </c>
      <c r="I92" s="60">
        <v>0.45867978663877246</v>
      </c>
      <c r="J92" s="60">
        <v>0.45803763493747818</v>
      </c>
      <c r="K92" s="60">
        <v>0.45735057848507199</v>
      </c>
      <c r="L92" s="60">
        <v>0.4566645526173444</v>
      </c>
      <c r="M92" s="60">
        <v>0.45593388933315665</v>
      </c>
      <c r="N92" s="60">
        <v>0.45520439511022359</v>
      </c>
      <c r="O92" s="60">
        <v>0.45443054763853619</v>
      </c>
      <c r="P92" s="60">
        <v>0.45361257265278682</v>
      </c>
      <c r="Q92" s="60">
        <v>0.45279607002201178</v>
      </c>
      <c r="R92" s="60">
        <v>0.45193575748896997</v>
      </c>
      <c r="S92" s="60">
        <v>0.45103188597399202</v>
      </c>
      <c r="T92" s="61">
        <v>0.45012982220204406</v>
      </c>
      <c r="U92" s="61">
        <v>0.44918454957541976</v>
      </c>
      <c r="V92" s="61">
        <v>0.44824126202131137</v>
      </c>
      <c r="W92" s="61">
        <v>0.44729995537106665</v>
      </c>
      <c r="X92" s="61">
        <v>0.44636062546478739</v>
      </c>
      <c r="Y92" s="61">
        <v>0.44542326815131134</v>
      </c>
      <c r="Z92" s="61">
        <v>0.44448787928819361</v>
      </c>
      <c r="AA92" s="61">
        <v>0.44355445474168842</v>
      </c>
      <c r="AB92" s="61">
        <v>0.44262299038673086</v>
      </c>
      <c r="AC92" s="61">
        <v>0.44169348210691872</v>
      </c>
      <c r="AD92" s="61">
        <v>0.4407659257944942</v>
      </c>
      <c r="AE92" s="61">
        <v>0.43984031735032575</v>
      </c>
      <c r="AF92" s="61">
        <v>0.43891665268389007</v>
      </c>
      <c r="AG92" s="61">
        <v>0.43799492771325393</v>
      </c>
      <c r="AH92" s="61">
        <v>0.43707513836505613</v>
      </c>
      <c r="AI92" s="61">
        <v>0.43615728057448949</v>
      </c>
      <c r="AJ92" s="61">
        <v>0.43524135028528305</v>
      </c>
      <c r="AK92" s="61">
        <v>0.43432734344968393</v>
      </c>
      <c r="AL92" s="61">
        <v>0.43341525602843961</v>
      </c>
      <c r="AM92" s="61">
        <v>0.43250508399077991</v>
      </c>
      <c r="AN92" s="61">
        <v>0.4315968233143993</v>
      </c>
      <c r="AO92" s="61">
        <v>0.43069046998543908</v>
      </c>
      <c r="AP92" s="61">
        <v>0.42978601999846966</v>
      </c>
      <c r="AQ92" s="61">
        <v>0.42888346935647287</v>
      </c>
      <c r="AR92" s="61">
        <v>0.42798281407082428</v>
      </c>
      <c r="AS92" s="61">
        <v>0.42708405016127554</v>
      </c>
      <c r="AT92" s="61">
        <v>0.42618717365593689</v>
      </c>
      <c r="AU92" s="61">
        <v>0.42529218059125945</v>
      </c>
      <c r="AV92" s="61">
        <v>0.42439906701201779</v>
      </c>
      <c r="AW92" s="61">
        <v>0.42350782897129258</v>
      </c>
      <c r="AX92" s="61">
        <v>0.42261846253045288</v>
      </c>
      <c r="AY92" s="61">
        <v>0.42173096375913893</v>
      </c>
      <c r="AZ92" s="61">
        <v>0.42084532873524477</v>
      </c>
      <c r="BA92" s="61">
        <v>0.41996155354490078</v>
      </c>
      <c r="BB92" s="61">
        <v>0.41907963428245648</v>
      </c>
      <c r="BC92" s="61">
        <v>0.41819956705046335</v>
      </c>
      <c r="BD92" s="61">
        <v>0.41732134795965736</v>
      </c>
      <c r="BE92" s="61">
        <v>0.41644497312894208</v>
      </c>
      <c r="BF92" s="61">
        <v>0.4155704386853713</v>
      </c>
      <c r="BG92" s="61">
        <v>0.41469774076413202</v>
      </c>
      <c r="BH92" s="61">
        <v>0.41382687550852737</v>
      </c>
      <c r="BI92" s="61">
        <v>0.41295783906995948</v>
      </c>
      <c r="BJ92" s="61">
        <v>0.41209062760791254</v>
      </c>
      <c r="BK92" s="61">
        <v>0.41122523728993593</v>
      </c>
      <c r="BL92" s="61">
        <v>0.41036166429162707</v>
      </c>
      <c r="BM92" s="61">
        <v>0.40949990479661463</v>
      </c>
      <c r="BN92" s="61">
        <v>0.40863995499654177</v>
      </c>
      <c r="BO92" s="61">
        <v>0.40778181109104905</v>
      </c>
      <c r="BP92" s="61">
        <v>0.40692546928775786</v>
      </c>
      <c r="BQ92" s="61">
        <v>0.40607092580225357</v>
      </c>
      <c r="BR92" s="61">
        <v>0.40521817685806882</v>
      </c>
      <c r="BS92" s="61">
        <v>0.40436721868666686</v>
      </c>
      <c r="BT92" s="61">
        <v>0.40351804752742487</v>
      </c>
      <c r="BU92" s="61">
        <v>0.40267065962761728</v>
      </c>
      <c r="BV92" s="61">
        <v>0.40182505124239931</v>
      </c>
      <c r="BW92" s="61">
        <v>0.4009812186347903</v>
      </c>
      <c r="BX92" s="61">
        <v>0.40013915807565725</v>
      </c>
      <c r="BY92" s="61">
        <v>0.39929886584369839</v>
      </c>
      <c r="BZ92" s="61">
        <v>0.39846033822542665</v>
      </c>
      <c r="CA92" s="61">
        <v>0.39762357151515326</v>
      </c>
      <c r="CB92" s="61">
        <v>0.39678856201497142</v>
      </c>
      <c r="CC92" s="61">
        <v>0.39595530603474</v>
      </c>
      <c r="CD92" s="61">
        <v>0.39512379989206703</v>
      </c>
      <c r="CE92" s="61">
        <v>0.39429403991229367</v>
      </c>
      <c r="CF92" s="61">
        <v>0.39346602242847784</v>
      </c>
      <c r="CG92" s="61">
        <v>0.39263974378137806</v>
      </c>
      <c r="CH92" s="61">
        <v>0.39181520031943717</v>
      </c>
      <c r="CI92" s="61">
        <v>0.39099238839876638</v>
      </c>
      <c r="CJ92" s="61">
        <v>0.39017130438312897</v>
      </c>
      <c r="CK92" s="61">
        <v>0.38935194464392442</v>
      </c>
      <c r="CL92" s="61">
        <v>0.38853430556017216</v>
      </c>
      <c r="CM92" s="61">
        <v>0.3877183835184958</v>
      </c>
      <c r="CN92" s="61">
        <v>0.38690417491310697</v>
      </c>
      <c r="CO92" s="61">
        <v>0.38609167614578943</v>
      </c>
      <c r="CP92" s="61">
        <v>0.38528088362588325</v>
      </c>
      <c r="CQ92" s="61">
        <v>0.38447179377026891</v>
      </c>
      <c r="CR92" s="61">
        <v>0.38366440300335136</v>
      </c>
      <c r="CS92" s="61">
        <v>0.38285870775704434</v>
      </c>
      <c r="CT92" s="61">
        <v>0.38205470447075457</v>
      </c>
      <c r="CU92" s="61">
        <v>0.38125238959136598</v>
      </c>
      <c r="CV92" s="61">
        <v>0.38045175957322414</v>
      </c>
      <c r="CW92" s="61">
        <v>0.37965281087812036</v>
      </c>
      <c r="CX92" s="61">
        <v>0.37885553997527632</v>
      </c>
      <c r="CY92" s="53">
        <v>0.37805994334132825</v>
      </c>
    </row>
    <row r="93" spans="1:103">
      <c r="A93" s="60">
        <v>111</v>
      </c>
      <c r="B93" s="60">
        <v>0.47860399999999997</v>
      </c>
      <c r="C93" s="60">
        <v>0.47807753559999999</v>
      </c>
      <c r="D93" s="60">
        <v>0.47755165031084001</v>
      </c>
      <c r="E93" s="60">
        <v>0.47702634349549811</v>
      </c>
      <c r="F93" s="60">
        <v>0.47650161451765305</v>
      </c>
      <c r="G93" s="60">
        <v>0.47597746274168362</v>
      </c>
      <c r="H93" s="60">
        <v>0.47545388753266776</v>
      </c>
      <c r="I93" s="60">
        <v>0.47493088825638186</v>
      </c>
      <c r="J93" s="60">
        <v>0.47436097119047421</v>
      </c>
      <c r="K93" s="60">
        <v>0.47379173802504565</v>
      </c>
      <c r="L93" s="60">
        <v>0.47322318793941559</v>
      </c>
      <c r="M93" s="60">
        <v>0.47260799779509438</v>
      </c>
      <c r="N93" s="60">
        <v>0.47199360739796076</v>
      </c>
      <c r="O93" s="60">
        <v>0.47133281634760366</v>
      </c>
      <c r="P93" s="60">
        <v>0.47067295040471702</v>
      </c>
      <c r="Q93" s="60">
        <v>0.46996694097910996</v>
      </c>
      <c r="R93" s="60">
        <v>0.46926199056764134</v>
      </c>
      <c r="S93" s="60">
        <v>0.46851117138273307</v>
      </c>
      <c r="T93" s="61">
        <v>0.46776155350852067</v>
      </c>
      <c r="U93" s="61">
        <v>0.46696635886755616</v>
      </c>
      <c r="V93" s="61">
        <v>0.46617251605748128</v>
      </c>
      <c r="W93" s="61">
        <v>0.46538002278018353</v>
      </c>
      <c r="X93" s="61">
        <v>0.46458887674145721</v>
      </c>
      <c r="Y93" s="61">
        <v>0.46379907565099671</v>
      </c>
      <c r="Z93" s="61">
        <v>0.46301061722239001</v>
      </c>
      <c r="AA93" s="61">
        <v>0.46222349917311195</v>
      </c>
      <c r="AB93" s="61">
        <v>0.46143771922451765</v>
      </c>
      <c r="AC93" s="61">
        <v>0.46065327510183596</v>
      </c>
      <c r="AD93" s="61">
        <v>0.4598701645341628</v>
      </c>
      <c r="AE93" s="61">
        <v>0.45908838525445472</v>
      </c>
      <c r="AF93" s="61">
        <v>0.45830793499952216</v>
      </c>
      <c r="AG93" s="61">
        <v>0.45752881151002295</v>
      </c>
      <c r="AH93" s="61">
        <v>0.45675101253045591</v>
      </c>
      <c r="AI93" s="61">
        <v>0.45597453580915415</v>
      </c>
      <c r="AJ93" s="61">
        <v>0.45519937909827857</v>
      </c>
      <c r="AK93" s="61">
        <v>0.45442554015381148</v>
      </c>
      <c r="AL93" s="61">
        <v>0.45365301673554997</v>
      </c>
      <c r="AM93" s="61">
        <v>0.45288180660709954</v>
      </c>
      <c r="AN93" s="61">
        <v>0.45211190753586744</v>
      </c>
      <c r="AO93" s="61">
        <v>0.45134331729305643</v>
      </c>
      <c r="AP93" s="61">
        <v>0.45057603365365823</v>
      </c>
      <c r="AQ93" s="61">
        <v>0.449810054396447</v>
      </c>
      <c r="AR93" s="61">
        <v>0.44904537730397304</v>
      </c>
      <c r="AS93" s="61">
        <v>0.44828200016255626</v>
      </c>
      <c r="AT93" s="61">
        <v>0.44751992076227992</v>
      </c>
      <c r="AU93" s="61">
        <v>0.44675913689698404</v>
      </c>
      <c r="AV93" s="61">
        <v>0.44599964636425915</v>
      </c>
      <c r="AW93" s="61">
        <v>0.44524144696543988</v>
      </c>
      <c r="AX93" s="61">
        <v>0.4444845365055986</v>
      </c>
      <c r="AY93" s="61">
        <v>0.4437289127935391</v>
      </c>
      <c r="AZ93" s="61">
        <v>0.44297457364179005</v>
      </c>
      <c r="BA93" s="61">
        <v>0.442221516866599</v>
      </c>
      <c r="BB93" s="61">
        <v>0.44146974028792574</v>
      </c>
      <c r="BC93" s="61">
        <v>0.44071924172943627</v>
      </c>
      <c r="BD93" s="61">
        <v>0.43997001901849619</v>
      </c>
      <c r="BE93" s="61">
        <v>0.43922206998616475</v>
      </c>
      <c r="BF93" s="61">
        <v>0.43847539246718825</v>
      </c>
      <c r="BG93" s="61">
        <v>0.43772998429999399</v>
      </c>
      <c r="BH93" s="61">
        <v>0.436985843326684</v>
      </c>
      <c r="BI93" s="61">
        <v>0.43624296739302865</v>
      </c>
      <c r="BJ93" s="61">
        <v>0.43550135434846049</v>
      </c>
      <c r="BK93" s="61">
        <v>0.4347610020460681</v>
      </c>
      <c r="BL93" s="61">
        <v>0.43402190834258975</v>
      </c>
      <c r="BM93" s="61">
        <v>0.43328407109840733</v>
      </c>
      <c r="BN93" s="61">
        <v>0.43254748817754002</v>
      </c>
      <c r="BO93" s="61">
        <v>0.43181215744763818</v>
      </c>
      <c r="BP93" s="61">
        <v>0.43107807677997717</v>
      </c>
      <c r="BQ93" s="61">
        <v>0.43034524404945118</v>
      </c>
      <c r="BR93" s="61">
        <v>0.42961365713456712</v>
      </c>
      <c r="BS93" s="61">
        <v>0.42888331391743834</v>
      </c>
      <c r="BT93" s="61">
        <v>0.4281542122837787</v>
      </c>
      <c r="BU93" s="61">
        <v>0.42742635012289626</v>
      </c>
      <c r="BV93" s="61">
        <v>0.4266997253276873</v>
      </c>
      <c r="BW93" s="61">
        <v>0.42597433579463023</v>
      </c>
      <c r="BX93" s="61">
        <v>0.42525017942377935</v>
      </c>
      <c r="BY93" s="61">
        <v>0.42452725411875891</v>
      </c>
      <c r="BZ93" s="61">
        <v>0.42380555778675699</v>
      </c>
      <c r="CA93" s="61">
        <v>0.42308508833851949</v>
      </c>
      <c r="CB93" s="61">
        <v>0.42236584368834401</v>
      </c>
      <c r="CC93" s="61">
        <v>0.42164782175407384</v>
      </c>
      <c r="CD93" s="61">
        <v>0.42093102045709191</v>
      </c>
      <c r="CE93" s="61">
        <v>0.42021543772231484</v>
      </c>
      <c r="CF93" s="61">
        <v>0.41950107147818688</v>
      </c>
      <c r="CG93" s="61">
        <v>0.41878791965667395</v>
      </c>
      <c r="CH93" s="61">
        <v>0.41807598019325759</v>
      </c>
      <c r="CI93" s="61">
        <v>0.41736525102692906</v>
      </c>
      <c r="CJ93" s="61">
        <v>0.41665573010018325</v>
      </c>
      <c r="CK93" s="61">
        <v>0.41594741535901292</v>
      </c>
      <c r="CL93" s="61">
        <v>0.41524030475290258</v>
      </c>
      <c r="CM93" s="61">
        <v>0.41453439623482263</v>
      </c>
      <c r="CN93" s="61">
        <v>0.41382968776122342</v>
      </c>
      <c r="CO93" s="61">
        <v>0.41312617729202933</v>
      </c>
      <c r="CP93" s="61">
        <v>0.41242386279063287</v>
      </c>
      <c r="CQ93" s="61">
        <v>0.41172274222388877</v>
      </c>
      <c r="CR93" s="61">
        <v>0.41102281356210812</v>
      </c>
      <c r="CS93" s="61">
        <v>0.41032407477905253</v>
      </c>
      <c r="CT93" s="61">
        <v>0.4096265238519281</v>
      </c>
      <c r="CU93" s="61">
        <v>0.40893015876137984</v>
      </c>
      <c r="CV93" s="61">
        <v>0.40823497749148546</v>
      </c>
      <c r="CW93" s="61">
        <v>0.40754097802974992</v>
      </c>
      <c r="CX93" s="61">
        <v>0.40684815836709931</v>
      </c>
      <c r="CY93" s="53">
        <v>0.40615651649787521</v>
      </c>
    </row>
    <row r="94" spans="1:103">
      <c r="A94" s="60">
        <v>112</v>
      </c>
      <c r="B94" s="60">
        <v>0.49313699999999999</v>
      </c>
      <c r="C94" s="60">
        <v>0.49274249039999996</v>
      </c>
      <c r="D94" s="60">
        <v>0.49234829640767996</v>
      </c>
      <c r="E94" s="60">
        <v>0.49195441777055382</v>
      </c>
      <c r="F94" s="60">
        <v>0.49156085423633739</v>
      </c>
      <c r="G94" s="60">
        <v>0.49116760555294831</v>
      </c>
      <c r="H94" s="60">
        <v>0.49077467146850595</v>
      </c>
      <c r="I94" s="60">
        <v>0.49038205173133115</v>
      </c>
      <c r="J94" s="60">
        <v>0.48994070788477295</v>
      </c>
      <c r="K94" s="60">
        <v>0.48949976124767663</v>
      </c>
      <c r="L94" s="60">
        <v>0.48905921146255371</v>
      </c>
      <c r="M94" s="60">
        <v>0.48861905817223739</v>
      </c>
      <c r="N94" s="60">
        <v>0.48813043911406517</v>
      </c>
      <c r="O94" s="60">
        <v>0.48764230867495112</v>
      </c>
      <c r="P94" s="60">
        <v>0.48710590213540866</v>
      </c>
      <c r="Q94" s="60">
        <v>0.4865700856430597</v>
      </c>
      <c r="R94" s="60">
        <v>0.48603485854885237</v>
      </c>
      <c r="S94" s="60">
        <v>0.48545161671859377</v>
      </c>
      <c r="T94" s="61">
        <v>0.48486907477853147</v>
      </c>
      <c r="U94" s="61">
        <v>0.48428723188879724</v>
      </c>
      <c r="V94" s="61">
        <v>0.48365765848734182</v>
      </c>
      <c r="W94" s="61">
        <v>0.48302890353130828</v>
      </c>
      <c r="X94" s="61">
        <v>0.48240096595671761</v>
      </c>
      <c r="Y94" s="61">
        <v>0.4817738447009739</v>
      </c>
      <c r="Z94" s="61">
        <v>0.48114753870286264</v>
      </c>
      <c r="AA94" s="61">
        <v>0.48052204690254896</v>
      </c>
      <c r="AB94" s="61">
        <v>0.47989736824157564</v>
      </c>
      <c r="AC94" s="61">
        <v>0.47927350166286159</v>
      </c>
      <c r="AD94" s="61">
        <v>0.4786504461106999</v>
      </c>
      <c r="AE94" s="61">
        <v>0.47802820053075601</v>
      </c>
      <c r="AF94" s="61">
        <v>0.47740676387006603</v>
      </c>
      <c r="AG94" s="61">
        <v>0.47678613507703493</v>
      </c>
      <c r="AH94" s="61">
        <v>0.47616631310143481</v>
      </c>
      <c r="AI94" s="61">
        <v>0.47554729689440295</v>
      </c>
      <c r="AJ94" s="61">
        <v>0.47492908540844025</v>
      </c>
      <c r="AK94" s="61">
        <v>0.47431167759740928</v>
      </c>
      <c r="AL94" s="61">
        <v>0.47369507241653264</v>
      </c>
      <c r="AM94" s="61">
        <v>0.47307926882239115</v>
      </c>
      <c r="AN94" s="61">
        <v>0.47246426577292205</v>
      </c>
      <c r="AO94" s="61">
        <v>0.47185006222741727</v>
      </c>
      <c r="AP94" s="61">
        <v>0.47123665714652163</v>
      </c>
      <c r="AQ94" s="61">
        <v>0.47062404949223119</v>
      </c>
      <c r="AR94" s="61">
        <v>0.47001223822789129</v>
      </c>
      <c r="AS94" s="61">
        <v>0.46940122231819503</v>
      </c>
      <c r="AT94" s="61">
        <v>0.4687910007291814</v>
      </c>
      <c r="AU94" s="61">
        <v>0.46818157242823349</v>
      </c>
      <c r="AV94" s="61">
        <v>0.46757293638407682</v>
      </c>
      <c r="AW94" s="61">
        <v>0.46696509156677751</v>
      </c>
      <c r="AX94" s="61">
        <v>0.4663580369477407</v>
      </c>
      <c r="AY94" s="61">
        <v>0.46575177149970864</v>
      </c>
      <c r="AZ94" s="61">
        <v>0.46514629419675901</v>
      </c>
      <c r="BA94" s="61">
        <v>0.46454160401430322</v>
      </c>
      <c r="BB94" s="61">
        <v>0.46393769992908462</v>
      </c>
      <c r="BC94" s="61">
        <v>0.46333458091917684</v>
      </c>
      <c r="BD94" s="61">
        <v>0.46273224596398194</v>
      </c>
      <c r="BE94" s="61">
        <v>0.4621306940442288</v>
      </c>
      <c r="BF94" s="61">
        <v>0.4615299241419713</v>
      </c>
      <c r="BG94" s="61">
        <v>0.46092993524058673</v>
      </c>
      <c r="BH94" s="61">
        <v>0.46033072632477401</v>
      </c>
      <c r="BI94" s="61">
        <v>0.4597322963805518</v>
      </c>
      <c r="BJ94" s="61">
        <v>0.45913464439525709</v>
      </c>
      <c r="BK94" s="61">
        <v>0.45853776935754326</v>
      </c>
      <c r="BL94" s="61">
        <v>0.45794167025737847</v>
      </c>
      <c r="BM94" s="61">
        <v>0.45734634608604391</v>
      </c>
      <c r="BN94" s="61">
        <v>0.45675179583613207</v>
      </c>
      <c r="BO94" s="61">
        <v>0.45615801850154514</v>
      </c>
      <c r="BP94" s="61">
        <v>0.45556501307749314</v>
      </c>
      <c r="BQ94" s="61">
        <v>0.4549727785604924</v>
      </c>
      <c r="BR94" s="61">
        <v>0.45438131394836379</v>
      </c>
      <c r="BS94" s="61">
        <v>0.45379061824023093</v>
      </c>
      <c r="BT94" s="61">
        <v>0.45320069043651862</v>
      </c>
      <c r="BU94" s="61">
        <v>0.45261152953895117</v>
      </c>
      <c r="BV94" s="61">
        <v>0.45202313455055054</v>
      </c>
      <c r="BW94" s="61">
        <v>0.45143550447563485</v>
      </c>
      <c r="BX94" s="61">
        <v>0.45084863831981653</v>
      </c>
      <c r="BY94" s="61">
        <v>0.4502625350900008</v>
      </c>
      <c r="BZ94" s="61">
        <v>0.44967719379438381</v>
      </c>
      <c r="CA94" s="61">
        <v>0.44909261344245111</v>
      </c>
      <c r="CB94" s="61">
        <v>0.44850879304497593</v>
      </c>
      <c r="CC94" s="61">
        <v>0.4479257316140175</v>
      </c>
      <c r="CD94" s="61">
        <v>0.44734342816291928</v>
      </c>
      <c r="CE94" s="61">
        <v>0.44676188170630748</v>
      </c>
      <c r="CF94" s="61">
        <v>0.44618109126008931</v>
      </c>
      <c r="CG94" s="61">
        <v>0.44560105584145121</v>
      </c>
      <c r="CH94" s="61">
        <v>0.44502177446885732</v>
      </c>
      <c r="CI94" s="61">
        <v>0.44444324616204783</v>
      </c>
      <c r="CJ94" s="61">
        <v>0.44386546994203718</v>
      </c>
      <c r="CK94" s="61">
        <v>0.44328844483111257</v>
      </c>
      <c r="CL94" s="61">
        <v>0.44271216985283213</v>
      </c>
      <c r="CM94" s="61">
        <v>0.44213664403202346</v>
      </c>
      <c r="CN94" s="61">
        <v>0.44156186639478184</v>
      </c>
      <c r="CO94" s="61">
        <v>0.44098783596846863</v>
      </c>
      <c r="CP94" s="61">
        <v>0.44041455178170963</v>
      </c>
      <c r="CQ94" s="61">
        <v>0.43984201286439339</v>
      </c>
      <c r="CR94" s="61">
        <v>0.43927021824766971</v>
      </c>
      <c r="CS94" s="61">
        <v>0.43869916696394773</v>
      </c>
      <c r="CT94" s="61">
        <v>0.43812885804689461</v>
      </c>
      <c r="CU94" s="61">
        <v>0.43755929053143366</v>
      </c>
      <c r="CV94" s="61">
        <v>0.43699046345374282</v>
      </c>
      <c r="CW94" s="61">
        <v>0.43642237585125299</v>
      </c>
      <c r="CX94" s="61">
        <v>0.43585502676264637</v>
      </c>
      <c r="CY94" s="53">
        <v>0.43528841522785494</v>
      </c>
    </row>
    <row r="95" spans="1:103">
      <c r="A95" s="60">
        <v>113</v>
      </c>
      <c r="B95" s="60">
        <v>0.5</v>
      </c>
      <c r="C95" s="60">
        <v>0.49969999999999998</v>
      </c>
      <c r="D95" s="60">
        <v>0.49945014999999998</v>
      </c>
      <c r="E95" s="60">
        <v>0.499200424925</v>
      </c>
      <c r="F95" s="60">
        <v>0.49895082471253754</v>
      </c>
      <c r="G95" s="60">
        <v>0.49870134930018128</v>
      </c>
      <c r="H95" s="60">
        <v>0.49845199862553125</v>
      </c>
      <c r="I95" s="60">
        <v>0.49815292742635592</v>
      </c>
      <c r="J95" s="60">
        <v>0.49785403566990011</v>
      </c>
      <c r="K95" s="60">
        <v>0.49755532324849816</v>
      </c>
      <c r="L95" s="60">
        <v>0.49725679005454904</v>
      </c>
      <c r="M95" s="60">
        <v>0.49695843598051631</v>
      </c>
      <c r="N95" s="60">
        <v>0.49661056507532991</v>
      </c>
      <c r="O95" s="60">
        <v>0.49626293767977714</v>
      </c>
      <c r="P95" s="60">
        <v>0.49591555362340128</v>
      </c>
      <c r="Q95" s="60">
        <v>0.49556841273586488</v>
      </c>
      <c r="R95" s="60">
        <v>0.4951719580056762</v>
      </c>
      <c r="S95" s="60">
        <v>0.49477582043927165</v>
      </c>
      <c r="T95" s="61">
        <v>0.49437999978292024</v>
      </c>
      <c r="U95" s="61">
        <v>0.49398449578309389</v>
      </c>
      <c r="V95" s="61">
        <v>0.4935399097368891</v>
      </c>
      <c r="W95" s="61">
        <v>0.49309572381812589</v>
      </c>
      <c r="X95" s="61">
        <v>0.49265193766668958</v>
      </c>
      <c r="Y95" s="61">
        <v>0.49220855092278953</v>
      </c>
      <c r="Z95" s="61">
        <v>0.49176556322695902</v>
      </c>
      <c r="AA95" s="61">
        <v>0.49132297422005478</v>
      </c>
      <c r="AB95" s="61">
        <v>0.4908807835432567</v>
      </c>
      <c r="AC95" s="61">
        <v>0.49043899083806775</v>
      </c>
      <c r="AD95" s="61">
        <v>0.48999759574631346</v>
      </c>
      <c r="AE95" s="61">
        <v>0.48955659791014178</v>
      </c>
      <c r="AF95" s="61">
        <v>0.48911599697202263</v>
      </c>
      <c r="AG95" s="61">
        <v>0.4886757925747478</v>
      </c>
      <c r="AH95" s="61">
        <v>0.48823598436143051</v>
      </c>
      <c r="AI95" s="61">
        <v>0.48779657197550519</v>
      </c>
      <c r="AJ95" s="61">
        <v>0.48735755506072725</v>
      </c>
      <c r="AK95" s="61">
        <v>0.48691893326117258</v>
      </c>
      <c r="AL95" s="61">
        <v>0.48648070622123751</v>
      </c>
      <c r="AM95" s="61">
        <v>0.48604287358563841</v>
      </c>
      <c r="AN95" s="61">
        <v>0.48560543499941133</v>
      </c>
      <c r="AO95" s="61">
        <v>0.48516839010791185</v>
      </c>
      <c r="AP95" s="61">
        <v>0.48473173855681473</v>
      </c>
      <c r="AQ95" s="61">
        <v>0.48429547999211359</v>
      </c>
      <c r="AR95" s="61">
        <v>0.48385961406012068</v>
      </c>
      <c r="AS95" s="61">
        <v>0.48342414040746656</v>
      </c>
      <c r="AT95" s="61">
        <v>0.48298905868109981</v>
      </c>
      <c r="AU95" s="61">
        <v>0.48255436852828681</v>
      </c>
      <c r="AV95" s="61">
        <v>0.48212006959661136</v>
      </c>
      <c r="AW95" s="61">
        <v>0.48168616153397442</v>
      </c>
      <c r="AX95" s="61">
        <v>0.48125264398859385</v>
      </c>
      <c r="AY95" s="61">
        <v>0.48081951660900413</v>
      </c>
      <c r="AZ95" s="61">
        <v>0.48038677904405602</v>
      </c>
      <c r="BA95" s="61">
        <v>0.47995443094291634</v>
      </c>
      <c r="BB95" s="61">
        <v>0.4795224719550677</v>
      </c>
      <c r="BC95" s="61">
        <v>0.47909090173030811</v>
      </c>
      <c r="BD95" s="61">
        <v>0.47865971991875084</v>
      </c>
      <c r="BE95" s="61">
        <v>0.47822892617082396</v>
      </c>
      <c r="BF95" s="61">
        <v>0.4777985201372702</v>
      </c>
      <c r="BG95" s="61">
        <v>0.47736850146914667</v>
      </c>
      <c r="BH95" s="61">
        <v>0.47693886981782441</v>
      </c>
      <c r="BI95" s="61">
        <v>0.47650962483498838</v>
      </c>
      <c r="BJ95" s="61">
        <v>0.47608076617263689</v>
      </c>
      <c r="BK95" s="61">
        <v>0.47565229348308152</v>
      </c>
      <c r="BL95" s="61">
        <v>0.47522420641894675</v>
      </c>
      <c r="BM95" s="61">
        <v>0.47479650463316969</v>
      </c>
      <c r="BN95" s="61">
        <v>0.47436918777899983</v>
      </c>
      <c r="BO95" s="61">
        <v>0.47394225550999874</v>
      </c>
      <c r="BP95" s="61">
        <v>0.47351570748003974</v>
      </c>
      <c r="BQ95" s="61">
        <v>0.47308954334330772</v>
      </c>
      <c r="BR95" s="61">
        <v>0.47266376275429872</v>
      </c>
      <c r="BS95" s="61">
        <v>0.47223836536781982</v>
      </c>
      <c r="BT95" s="61">
        <v>0.47181335083898879</v>
      </c>
      <c r="BU95" s="61">
        <v>0.47138871882323369</v>
      </c>
      <c r="BV95" s="61">
        <v>0.47096446897629279</v>
      </c>
      <c r="BW95" s="61">
        <v>0.47054060095421413</v>
      </c>
      <c r="BX95" s="61">
        <v>0.47011711441335535</v>
      </c>
      <c r="BY95" s="61">
        <v>0.46969400901038333</v>
      </c>
      <c r="BZ95" s="61">
        <v>0.469271284402274</v>
      </c>
      <c r="CA95" s="61">
        <v>0.46884894024631196</v>
      </c>
      <c r="CB95" s="61">
        <v>0.46842697620009027</v>
      </c>
      <c r="CC95" s="61">
        <v>0.46800539192151019</v>
      </c>
      <c r="CD95" s="61">
        <v>0.46758418706878085</v>
      </c>
      <c r="CE95" s="61">
        <v>0.46716336130041897</v>
      </c>
      <c r="CF95" s="61">
        <v>0.46674291427524861</v>
      </c>
      <c r="CG95" s="61">
        <v>0.4663228456524009</v>
      </c>
      <c r="CH95" s="61">
        <v>0.46590315509131375</v>
      </c>
      <c r="CI95" s="61">
        <v>0.46548384225173156</v>
      </c>
      <c r="CJ95" s="61">
        <v>0.46506490679370499</v>
      </c>
      <c r="CK95" s="61">
        <v>0.46464634837759067</v>
      </c>
      <c r="CL95" s="61">
        <v>0.46422816666405081</v>
      </c>
      <c r="CM95" s="61">
        <v>0.46381036131405318</v>
      </c>
      <c r="CN95" s="61">
        <v>0.46339293198887055</v>
      </c>
      <c r="CO95" s="61">
        <v>0.46297587835008058</v>
      </c>
      <c r="CP95" s="61">
        <v>0.46255920005956552</v>
      </c>
      <c r="CQ95" s="61">
        <v>0.46214289677951192</v>
      </c>
      <c r="CR95" s="61">
        <v>0.46172696817241038</v>
      </c>
      <c r="CS95" s="61">
        <v>0.46131141390105518</v>
      </c>
      <c r="CT95" s="61">
        <v>0.46089623362854421</v>
      </c>
      <c r="CU95" s="61">
        <v>0.46048142701827849</v>
      </c>
      <c r="CV95" s="61">
        <v>0.46006699373396204</v>
      </c>
      <c r="CW95" s="61">
        <v>0.45965293343960145</v>
      </c>
      <c r="CX95" s="61">
        <v>0.45923924579950581</v>
      </c>
      <c r="CY95" s="53">
        <v>0.45882593047828624</v>
      </c>
    </row>
    <row r="96" spans="1:103">
      <c r="A96" s="60">
        <v>114</v>
      </c>
      <c r="B96" s="60">
        <v>0.5</v>
      </c>
      <c r="C96" s="60">
        <v>0.49985000000000002</v>
      </c>
      <c r="D96" s="60">
        <v>0.49970004500000004</v>
      </c>
      <c r="E96" s="60">
        <v>0.49955013498650003</v>
      </c>
      <c r="F96" s="60">
        <v>0.49940026994600412</v>
      </c>
      <c r="G96" s="60">
        <v>0.49925044986502032</v>
      </c>
      <c r="H96" s="60">
        <v>0.49910067473006081</v>
      </c>
      <c r="I96" s="60">
        <v>0.49895094452764183</v>
      </c>
      <c r="J96" s="60">
        <v>0.49880125924428353</v>
      </c>
      <c r="K96" s="60">
        <v>0.49865161886651027</v>
      </c>
      <c r="L96" s="60">
        <v>0.49850202338085031</v>
      </c>
      <c r="M96" s="60">
        <v>0.4983524727738361</v>
      </c>
      <c r="N96" s="60">
        <v>0.49820296703200395</v>
      </c>
      <c r="O96" s="60">
        <v>0.49805350614189436</v>
      </c>
      <c r="P96" s="60">
        <v>0.4978542847394376</v>
      </c>
      <c r="Q96" s="60">
        <v>0.49765514302554187</v>
      </c>
      <c r="R96" s="60">
        <v>0.49745608096833166</v>
      </c>
      <c r="S96" s="60">
        <v>0.49725709853594435</v>
      </c>
      <c r="T96" s="61">
        <v>0.49705819569652998</v>
      </c>
      <c r="U96" s="61">
        <v>0.4968593724182514</v>
      </c>
      <c r="V96" s="61">
        <v>0.49666062866928412</v>
      </c>
      <c r="W96" s="61">
        <v>0.49646196441781643</v>
      </c>
      <c r="X96" s="61">
        <v>0.49626337963204931</v>
      </c>
      <c r="Y96" s="61">
        <v>0.49606487428019652</v>
      </c>
      <c r="Z96" s="61">
        <v>0.49586644833048449</v>
      </c>
      <c r="AA96" s="61">
        <v>0.49566810175115233</v>
      </c>
      <c r="AB96" s="61">
        <v>0.4954698345104519</v>
      </c>
      <c r="AC96" s="61">
        <v>0.49527164657664774</v>
      </c>
      <c r="AD96" s="61">
        <v>0.49507353791801711</v>
      </c>
      <c r="AE96" s="61">
        <v>0.49487550850284995</v>
      </c>
      <c r="AF96" s="61">
        <v>0.49467755829944882</v>
      </c>
      <c r="AG96" s="61">
        <v>0.49447968727612907</v>
      </c>
      <c r="AH96" s="61">
        <v>0.49428189540121864</v>
      </c>
      <c r="AI96" s="61">
        <v>0.4940841826430582</v>
      </c>
      <c r="AJ96" s="61">
        <v>0.493886548970001</v>
      </c>
      <c r="AK96" s="61">
        <v>0.49368899435041302</v>
      </c>
      <c r="AL96" s="61">
        <v>0.49349151875267289</v>
      </c>
      <c r="AM96" s="61">
        <v>0.49329412214517182</v>
      </c>
      <c r="AN96" s="61">
        <v>0.49309680449631377</v>
      </c>
      <c r="AO96" s="61">
        <v>0.49289956577451527</v>
      </c>
      <c r="AP96" s="61">
        <v>0.49270240594820547</v>
      </c>
      <c r="AQ96" s="61">
        <v>0.49250532498582622</v>
      </c>
      <c r="AR96" s="61">
        <v>0.49230832285583193</v>
      </c>
      <c r="AS96" s="61">
        <v>0.49211139952668964</v>
      </c>
      <c r="AT96" s="61">
        <v>0.49191455496687897</v>
      </c>
      <c r="AU96" s="61">
        <v>0.49171778914489223</v>
      </c>
      <c r="AV96" s="61">
        <v>0.49152110202923427</v>
      </c>
      <c r="AW96" s="61">
        <v>0.49132449358842262</v>
      </c>
      <c r="AX96" s="61">
        <v>0.49112796379098728</v>
      </c>
      <c r="AY96" s="61">
        <v>0.49093151260547091</v>
      </c>
      <c r="AZ96" s="61">
        <v>0.49073514000042873</v>
      </c>
      <c r="BA96" s="61">
        <v>0.49053884594442859</v>
      </c>
      <c r="BB96" s="61">
        <v>0.49034263040605086</v>
      </c>
      <c r="BC96" s="61">
        <v>0.49014649335388843</v>
      </c>
      <c r="BD96" s="61">
        <v>0.48995043475654693</v>
      </c>
      <c r="BE96" s="61">
        <v>0.48975445458264433</v>
      </c>
      <c r="BF96" s="61">
        <v>0.48955855280081129</v>
      </c>
      <c r="BG96" s="61">
        <v>0.489362729379691</v>
      </c>
      <c r="BH96" s="61">
        <v>0.48916698428793914</v>
      </c>
      <c r="BI96" s="61">
        <v>0.48897131749422401</v>
      </c>
      <c r="BJ96" s="61">
        <v>0.48877572896722632</v>
      </c>
      <c r="BK96" s="61">
        <v>0.48858021867563944</v>
      </c>
      <c r="BL96" s="61">
        <v>0.4883847865881692</v>
      </c>
      <c r="BM96" s="61">
        <v>0.48818943267353393</v>
      </c>
      <c r="BN96" s="61">
        <v>0.48799415690046455</v>
      </c>
      <c r="BO96" s="61">
        <v>0.48779895923770439</v>
      </c>
      <c r="BP96" s="61">
        <v>0.48760383965400933</v>
      </c>
      <c r="BQ96" s="61">
        <v>0.48740879811814775</v>
      </c>
      <c r="BR96" s="61">
        <v>0.4872138345989005</v>
      </c>
      <c r="BS96" s="61">
        <v>0.48701894906506094</v>
      </c>
      <c r="BT96" s="61">
        <v>0.48682414148543496</v>
      </c>
      <c r="BU96" s="61">
        <v>0.48662941182884079</v>
      </c>
      <c r="BV96" s="61">
        <v>0.4864347600641093</v>
      </c>
      <c r="BW96" s="61">
        <v>0.48624018616008369</v>
      </c>
      <c r="BX96" s="61">
        <v>0.48604569008561965</v>
      </c>
      <c r="BY96" s="61">
        <v>0.48585127180958543</v>
      </c>
      <c r="BZ96" s="61">
        <v>0.48565693130086163</v>
      </c>
      <c r="CA96" s="61">
        <v>0.4854626685283413</v>
      </c>
      <c r="CB96" s="61">
        <v>0.48526848346092999</v>
      </c>
      <c r="CC96" s="61">
        <v>0.48507437606754567</v>
      </c>
      <c r="CD96" s="61">
        <v>0.48488034631711868</v>
      </c>
      <c r="CE96" s="61">
        <v>0.48468639417859188</v>
      </c>
      <c r="CF96" s="61">
        <v>0.48449251962092049</v>
      </c>
      <c r="CG96" s="61">
        <v>0.48429872261307216</v>
      </c>
      <c r="CH96" s="61">
        <v>0.48410500312402693</v>
      </c>
      <c r="CI96" s="61">
        <v>0.48391136112277733</v>
      </c>
      <c r="CJ96" s="61">
        <v>0.48371779657832825</v>
      </c>
      <c r="CK96" s="61">
        <v>0.48352430945969693</v>
      </c>
      <c r="CL96" s="61">
        <v>0.48333089973591309</v>
      </c>
      <c r="CM96" s="61">
        <v>0.48313756737601876</v>
      </c>
      <c r="CN96" s="61">
        <v>0.48294431234906837</v>
      </c>
      <c r="CO96" s="61">
        <v>0.48275113462412877</v>
      </c>
      <c r="CP96" s="61">
        <v>0.48255803417027915</v>
      </c>
      <c r="CQ96" s="61">
        <v>0.48236501095661105</v>
      </c>
      <c r="CR96" s="61">
        <v>0.48217206495222842</v>
      </c>
      <c r="CS96" s="61">
        <v>0.48197919612624757</v>
      </c>
      <c r="CT96" s="61">
        <v>0.48178640444779708</v>
      </c>
      <c r="CU96" s="61">
        <v>0.48159368988601797</v>
      </c>
      <c r="CV96" s="61">
        <v>0.48140105241006359</v>
      </c>
      <c r="CW96" s="61">
        <v>0.4812084919890996</v>
      </c>
      <c r="CX96" s="61">
        <v>0.48101600859230398</v>
      </c>
      <c r="CY96" s="53">
        <v>0.48082360218886711</v>
      </c>
    </row>
    <row r="97" spans="1:103">
      <c r="A97" s="60">
        <v>115</v>
      </c>
      <c r="B97" s="60">
        <v>0.5</v>
      </c>
      <c r="C97" s="60">
        <v>0.5</v>
      </c>
      <c r="D97" s="60">
        <v>0.5</v>
      </c>
      <c r="E97" s="60">
        <v>0.5</v>
      </c>
      <c r="F97" s="60">
        <v>0.5</v>
      </c>
      <c r="G97" s="60">
        <v>0.5</v>
      </c>
      <c r="H97" s="60">
        <v>0.5</v>
      </c>
      <c r="I97" s="60">
        <v>0.5</v>
      </c>
      <c r="J97" s="60">
        <v>0.5</v>
      </c>
      <c r="K97" s="60">
        <v>0.5</v>
      </c>
      <c r="L97" s="60">
        <v>0.5</v>
      </c>
      <c r="M97" s="60">
        <v>0.5</v>
      </c>
      <c r="N97" s="60">
        <v>0.5</v>
      </c>
      <c r="O97" s="60">
        <v>0.5</v>
      </c>
      <c r="P97" s="60">
        <v>0.5</v>
      </c>
      <c r="Q97" s="60">
        <v>0.5</v>
      </c>
      <c r="R97" s="60">
        <v>0.5</v>
      </c>
      <c r="S97" s="60">
        <v>0.5</v>
      </c>
      <c r="T97" s="61">
        <v>0.5</v>
      </c>
      <c r="U97" s="61">
        <v>0.5</v>
      </c>
      <c r="V97" s="61">
        <v>0.5</v>
      </c>
      <c r="W97" s="61">
        <v>0.5</v>
      </c>
      <c r="X97" s="61">
        <v>0.5</v>
      </c>
      <c r="Y97" s="61">
        <v>0.5</v>
      </c>
      <c r="Z97" s="61">
        <v>0.5</v>
      </c>
      <c r="AA97" s="61">
        <v>0.5</v>
      </c>
      <c r="AB97" s="61">
        <v>0.5</v>
      </c>
      <c r="AC97" s="61">
        <v>0.5</v>
      </c>
      <c r="AD97" s="61">
        <v>0.5</v>
      </c>
      <c r="AE97" s="61">
        <v>0.5</v>
      </c>
      <c r="AF97" s="61">
        <v>0.5</v>
      </c>
      <c r="AG97" s="61">
        <v>0.5</v>
      </c>
      <c r="AH97" s="61">
        <v>0.5</v>
      </c>
      <c r="AI97" s="61">
        <v>0.5</v>
      </c>
      <c r="AJ97" s="61">
        <v>0.5</v>
      </c>
      <c r="AK97" s="61">
        <v>0.5</v>
      </c>
      <c r="AL97" s="61">
        <v>0.5</v>
      </c>
      <c r="AM97" s="61">
        <v>0.5</v>
      </c>
      <c r="AN97" s="61">
        <v>0.5</v>
      </c>
      <c r="AO97" s="61">
        <v>0.5</v>
      </c>
      <c r="AP97" s="61">
        <v>0.5</v>
      </c>
      <c r="AQ97" s="61">
        <v>0.5</v>
      </c>
      <c r="AR97" s="61">
        <v>0.5</v>
      </c>
      <c r="AS97" s="61">
        <v>0.5</v>
      </c>
      <c r="AT97" s="61">
        <v>0.5</v>
      </c>
      <c r="AU97" s="61">
        <v>0.5</v>
      </c>
      <c r="AV97" s="61">
        <v>0.5</v>
      </c>
      <c r="AW97" s="61">
        <v>0.5</v>
      </c>
      <c r="AX97" s="61">
        <v>0.5</v>
      </c>
      <c r="AY97" s="61">
        <v>0.5</v>
      </c>
      <c r="AZ97" s="61">
        <v>0.5</v>
      </c>
      <c r="BA97" s="61">
        <v>0.5</v>
      </c>
      <c r="BB97" s="61">
        <v>0.5</v>
      </c>
      <c r="BC97" s="61">
        <v>0.5</v>
      </c>
      <c r="BD97" s="61">
        <v>0.5</v>
      </c>
      <c r="BE97" s="61">
        <v>0.5</v>
      </c>
      <c r="BF97" s="61">
        <v>0.5</v>
      </c>
      <c r="BG97" s="61">
        <v>0.5</v>
      </c>
      <c r="BH97" s="61">
        <v>0.5</v>
      </c>
      <c r="BI97" s="61">
        <v>0.5</v>
      </c>
      <c r="BJ97" s="61">
        <v>0.5</v>
      </c>
      <c r="BK97" s="61">
        <v>0.5</v>
      </c>
      <c r="BL97" s="61">
        <v>0.5</v>
      </c>
      <c r="BM97" s="61">
        <v>0.5</v>
      </c>
      <c r="BN97" s="61">
        <v>0.5</v>
      </c>
      <c r="BO97" s="61">
        <v>0.5</v>
      </c>
      <c r="BP97" s="61">
        <v>0.5</v>
      </c>
      <c r="BQ97" s="61">
        <v>0.5</v>
      </c>
      <c r="BR97" s="61">
        <v>0.5</v>
      </c>
      <c r="BS97" s="61">
        <v>0.5</v>
      </c>
      <c r="BT97" s="61">
        <v>0.5</v>
      </c>
      <c r="BU97" s="61">
        <v>0.5</v>
      </c>
      <c r="BV97" s="61">
        <v>0.5</v>
      </c>
      <c r="BW97" s="61">
        <v>0.5</v>
      </c>
      <c r="BX97" s="61">
        <v>0.5</v>
      </c>
      <c r="BY97" s="61">
        <v>0.5</v>
      </c>
      <c r="BZ97" s="61">
        <v>0.5</v>
      </c>
      <c r="CA97" s="61">
        <v>0.5</v>
      </c>
      <c r="CB97" s="61">
        <v>0.5</v>
      </c>
      <c r="CC97" s="61">
        <v>0.5</v>
      </c>
      <c r="CD97" s="61">
        <v>0.5</v>
      </c>
      <c r="CE97" s="61">
        <v>0.5</v>
      </c>
      <c r="CF97" s="61">
        <v>0.5</v>
      </c>
      <c r="CG97" s="61">
        <v>0.5</v>
      </c>
      <c r="CH97" s="61">
        <v>0.5</v>
      </c>
      <c r="CI97" s="61">
        <v>0.5</v>
      </c>
      <c r="CJ97" s="61">
        <v>0.5</v>
      </c>
      <c r="CK97" s="61">
        <v>0.5</v>
      </c>
      <c r="CL97" s="61">
        <v>0.5</v>
      </c>
      <c r="CM97" s="61">
        <v>0.5</v>
      </c>
      <c r="CN97" s="61">
        <v>0.5</v>
      </c>
      <c r="CO97" s="61">
        <v>0.5</v>
      </c>
      <c r="CP97" s="61">
        <v>0.5</v>
      </c>
      <c r="CQ97" s="61">
        <v>0.5</v>
      </c>
      <c r="CR97" s="61">
        <v>0.5</v>
      </c>
      <c r="CS97" s="61">
        <v>0.5</v>
      </c>
      <c r="CT97" s="61">
        <v>0.5</v>
      </c>
      <c r="CU97" s="61">
        <v>0.5</v>
      </c>
      <c r="CV97" s="61">
        <v>0.5</v>
      </c>
      <c r="CW97" s="61">
        <v>0.5</v>
      </c>
      <c r="CX97" s="61">
        <v>0.5</v>
      </c>
      <c r="CY97" s="53">
        <v>0.5</v>
      </c>
    </row>
    <row r="98" spans="1:103">
      <c r="A98" s="60">
        <v>116</v>
      </c>
      <c r="B98" s="60">
        <v>0.5</v>
      </c>
      <c r="C98" s="60">
        <v>0.5</v>
      </c>
      <c r="D98" s="60">
        <v>0.5</v>
      </c>
      <c r="E98" s="60">
        <v>0.5</v>
      </c>
      <c r="F98" s="60">
        <v>0.5</v>
      </c>
      <c r="G98" s="60">
        <v>0.5</v>
      </c>
      <c r="H98" s="60">
        <v>0.5</v>
      </c>
      <c r="I98" s="60">
        <v>0.5</v>
      </c>
      <c r="J98" s="60">
        <v>0.5</v>
      </c>
      <c r="K98" s="60">
        <v>0.5</v>
      </c>
      <c r="L98" s="60">
        <v>0.5</v>
      </c>
      <c r="M98" s="60">
        <v>0.5</v>
      </c>
      <c r="N98" s="60">
        <v>0.5</v>
      </c>
      <c r="O98" s="60">
        <v>0.5</v>
      </c>
      <c r="P98" s="60">
        <v>0.5</v>
      </c>
      <c r="Q98" s="60">
        <v>0.5</v>
      </c>
      <c r="R98" s="60">
        <v>0.5</v>
      </c>
      <c r="S98" s="60">
        <v>0.5</v>
      </c>
      <c r="T98" s="61">
        <v>0.5</v>
      </c>
      <c r="U98" s="61">
        <v>0.5</v>
      </c>
      <c r="V98" s="61">
        <v>0.5</v>
      </c>
      <c r="W98" s="61">
        <v>0.5</v>
      </c>
      <c r="X98" s="61">
        <v>0.5</v>
      </c>
      <c r="Y98" s="61">
        <v>0.5</v>
      </c>
      <c r="Z98" s="61">
        <v>0.5</v>
      </c>
      <c r="AA98" s="61">
        <v>0.5</v>
      </c>
      <c r="AB98" s="61">
        <v>0.5</v>
      </c>
      <c r="AC98" s="61">
        <v>0.5</v>
      </c>
      <c r="AD98" s="61">
        <v>0.5</v>
      </c>
      <c r="AE98" s="61">
        <v>0.5</v>
      </c>
      <c r="AF98" s="61">
        <v>0.5</v>
      </c>
      <c r="AG98" s="61">
        <v>0.5</v>
      </c>
      <c r="AH98" s="61">
        <v>0.5</v>
      </c>
      <c r="AI98" s="61">
        <v>0.5</v>
      </c>
      <c r="AJ98" s="61">
        <v>0.5</v>
      </c>
      <c r="AK98" s="61">
        <v>0.5</v>
      </c>
      <c r="AL98" s="61">
        <v>0.5</v>
      </c>
      <c r="AM98" s="61">
        <v>0.5</v>
      </c>
      <c r="AN98" s="61">
        <v>0.5</v>
      </c>
      <c r="AO98" s="61">
        <v>0.5</v>
      </c>
      <c r="AP98" s="61">
        <v>0.5</v>
      </c>
      <c r="AQ98" s="61">
        <v>0.5</v>
      </c>
      <c r="AR98" s="61">
        <v>0.5</v>
      </c>
      <c r="AS98" s="61">
        <v>0.5</v>
      </c>
      <c r="AT98" s="61">
        <v>0.5</v>
      </c>
      <c r="AU98" s="61">
        <v>0.5</v>
      </c>
      <c r="AV98" s="61">
        <v>0.5</v>
      </c>
      <c r="AW98" s="61">
        <v>0.5</v>
      </c>
      <c r="AX98" s="61">
        <v>0.5</v>
      </c>
      <c r="AY98" s="61">
        <v>0.5</v>
      </c>
      <c r="AZ98" s="61">
        <v>0.5</v>
      </c>
      <c r="BA98" s="61">
        <v>0.5</v>
      </c>
      <c r="BB98" s="61">
        <v>0.5</v>
      </c>
      <c r="BC98" s="61">
        <v>0.5</v>
      </c>
      <c r="BD98" s="61">
        <v>0.5</v>
      </c>
      <c r="BE98" s="61">
        <v>0.5</v>
      </c>
      <c r="BF98" s="61">
        <v>0.5</v>
      </c>
      <c r="BG98" s="61">
        <v>0.5</v>
      </c>
      <c r="BH98" s="61">
        <v>0.5</v>
      </c>
      <c r="BI98" s="61">
        <v>0.5</v>
      </c>
      <c r="BJ98" s="61">
        <v>0.5</v>
      </c>
      <c r="BK98" s="61">
        <v>0.5</v>
      </c>
      <c r="BL98" s="61">
        <v>0.5</v>
      </c>
      <c r="BM98" s="61">
        <v>0.5</v>
      </c>
      <c r="BN98" s="61">
        <v>0.5</v>
      </c>
      <c r="BO98" s="61">
        <v>0.5</v>
      </c>
      <c r="BP98" s="61">
        <v>0.5</v>
      </c>
      <c r="BQ98" s="61">
        <v>0.5</v>
      </c>
      <c r="BR98" s="61">
        <v>0.5</v>
      </c>
      <c r="BS98" s="61">
        <v>0.5</v>
      </c>
      <c r="BT98" s="61">
        <v>0.5</v>
      </c>
      <c r="BU98" s="61">
        <v>0.5</v>
      </c>
      <c r="BV98" s="61">
        <v>0.5</v>
      </c>
      <c r="BW98" s="61">
        <v>0.5</v>
      </c>
      <c r="BX98" s="61">
        <v>0.5</v>
      </c>
      <c r="BY98" s="61">
        <v>0.5</v>
      </c>
      <c r="BZ98" s="61">
        <v>0.5</v>
      </c>
      <c r="CA98" s="61">
        <v>0.5</v>
      </c>
      <c r="CB98" s="61">
        <v>0.5</v>
      </c>
      <c r="CC98" s="61">
        <v>0.5</v>
      </c>
      <c r="CD98" s="61">
        <v>0.5</v>
      </c>
      <c r="CE98" s="61">
        <v>0.5</v>
      </c>
      <c r="CF98" s="61">
        <v>0.5</v>
      </c>
      <c r="CG98" s="61">
        <v>0.5</v>
      </c>
      <c r="CH98" s="61">
        <v>0.5</v>
      </c>
      <c r="CI98" s="61">
        <v>0.5</v>
      </c>
      <c r="CJ98" s="61">
        <v>0.5</v>
      </c>
      <c r="CK98" s="61">
        <v>0.5</v>
      </c>
      <c r="CL98" s="61">
        <v>0.5</v>
      </c>
      <c r="CM98" s="61">
        <v>0.5</v>
      </c>
      <c r="CN98" s="61">
        <v>0.5</v>
      </c>
      <c r="CO98" s="61">
        <v>0.5</v>
      </c>
      <c r="CP98" s="61">
        <v>0.5</v>
      </c>
      <c r="CQ98" s="61">
        <v>0.5</v>
      </c>
      <c r="CR98" s="61">
        <v>0.5</v>
      </c>
      <c r="CS98" s="61">
        <v>0.5</v>
      </c>
      <c r="CT98" s="61">
        <v>0.5</v>
      </c>
      <c r="CU98" s="61">
        <v>0.5</v>
      </c>
      <c r="CV98" s="61">
        <v>0.5</v>
      </c>
      <c r="CW98" s="61">
        <v>0.5</v>
      </c>
      <c r="CX98" s="61">
        <v>0.5</v>
      </c>
      <c r="CY98" s="53">
        <v>0.5</v>
      </c>
    </row>
    <row r="99" spans="1:103">
      <c r="A99" s="60">
        <v>117</v>
      </c>
      <c r="B99" s="60">
        <v>0.5</v>
      </c>
      <c r="C99" s="60">
        <v>0.5</v>
      </c>
      <c r="D99" s="60">
        <v>0.5</v>
      </c>
      <c r="E99" s="60">
        <v>0.5</v>
      </c>
      <c r="F99" s="60">
        <v>0.5</v>
      </c>
      <c r="G99" s="60">
        <v>0.5</v>
      </c>
      <c r="H99" s="60">
        <v>0.5</v>
      </c>
      <c r="I99" s="60">
        <v>0.5</v>
      </c>
      <c r="J99" s="60">
        <v>0.5</v>
      </c>
      <c r="K99" s="60">
        <v>0.5</v>
      </c>
      <c r="L99" s="60">
        <v>0.5</v>
      </c>
      <c r="M99" s="60">
        <v>0.5</v>
      </c>
      <c r="N99" s="60">
        <v>0.5</v>
      </c>
      <c r="O99" s="60">
        <v>0.5</v>
      </c>
      <c r="P99" s="60">
        <v>0.5</v>
      </c>
      <c r="Q99" s="60">
        <v>0.5</v>
      </c>
      <c r="R99" s="60">
        <v>0.5</v>
      </c>
      <c r="S99" s="60">
        <v>0.5</v>
      </c>
      <c r="T99" s="61">
        <v>0.5</v>
      </c>
      <c r="U99" s="61">
        <v>0.5</v>
      </c>
      <c r="V99" s="61">
        <v>0.5</v>
      </c>
      <c r="W99" s="61">
        <v>0.5</v>
      </c>
      <c r="X99" s="61">
        <v>0.5</v>
      </c>
      <c r="Y99" s="61">
        <v>0.5</v>
      </c>
      <c r="Z99" s="61">
        <v>0.5</v>
      </c>
      <c r="AA99" s="61">
        <v>0.5</v>
      </c>
      <c r="AB99" s="61">
        <v>0.5</v>
      </c>
      <c r="AC99" s="61">
        <v>0.5</v>
      </c>
      <c r="AD99" s="61">
        <v>0.5</v>
      </c>
      <c r="AE99" s="61">
        <v>0.5</v>
      </c>
      <c r="AF99" s="61">
        <v>0.5</v>
      </c>
      <c r="AG99" s="61">
        <v>0.5</v>
      </c>
      <c r="AH99" s="61">
        <v>0.5</v>
      </c>
      <c r="AI99" s="61">
        <v>0.5</v>
      </c>
      <c r="AJ99" s="61">
        <v>0.5</v>
      </c>
      <c r="AK99" s="61">
        <v>0.5</v>
      </c>
      <c r="AL99" s="61">
        <v>0.5</v>
      </c>
      <c r="AM99" s="61">
        <v>0.5</v>
      </c>
      <c r="AN99" s="61">
        <v>0.5</v>
      </c>
      <c r="AO99" s="61">
        <v>0.5</v>
      </c>
      <c r="AP99" s="61">
        <v>0.5</v>
      </c>
      <c r="AQ99" s="61">
        <v>0.5</v>
      </c>
      <c r="AR99" s="61">
        <v>0.5</v>
      </c>
      <c r="AS99" s="61">
        <v>0.5</v>
      </c>
      <c r="AT99" s="61">
        <v>0.5</v>
      </c>
      <c r="AU99" s="61">
        <v>0.5</v>
      </c>
      <c r="AV99" s="61">
        <v>0.5</v>
      </c>
      <c r="AW99" s="61">
        <v>0.5</v>
      </c>
      <c r="AX99" s="61">
        <v>0.5</v>
      </c>
      <c r="AY99" s="61">
        <v>0.5</v>
      </c>
      <c r="AZ99" s="61">
        <v>0.5</v>
      </c>
      <c r="BA99" s="61">
        <v>0.5</v>
      </c>
      <c r="BB99" s="61">
        <v>0.5</v>
      </c>
      <c r="BC99" s="61">
        <v>0.5</v>
      </c>
      <c r="BD99" s="61">
        <v>0.5</v>
      </c>
      <c r="BE99" s="61">
        <v>0.5</v>
      </c>
      <c r="BF99" s="61">
        <v>0.5</v>
      </c>
      <c r="BG99" s="61">
        <v>0.5</v>
      </c>
      <c r="BH99" s="61">
        <v>0.5</v>
      </c>
      <c r="BI99" s="61">
        <v>0.5</v>
      </c>
      <c r="BJ99" s="61">
        <v>0.5</v>
      </c>
      <c r="BK99" s="61">
        <v>0.5</v>
      </c>
      <c r="BL99" s="61">
        <v>0.5</v>
      </c>
      <c r="BM99" s="61">
        <v>0.5</v>
      </c>
      <c r="BN99" s="61">
        <v>0.5</v>
      </c>
      <c r="BO99" s="61">
        <v>0.5</v>
      </c>
      <c r="BP99" s="61">
        <v>0.5</v>
      </c>
      <c r="BQ99" s="61">
        <v>0.5</v>
      </c>
      <c r="BR99" s="61">
        <v>0.5</v>
      </c>
      <c r="BS99" s="61">
        <v>0.5</v>
      </c>
      <c r="BT99" s="61">
        <v>0.5</v>
      </c>
      <c r="BU99" s="61">
        <v>0.5</v>
      </c>
      <c r="BV99" s="61">
        <v>0.5</v>
      </c>
      <c r="BW99" s="61">
        <v>0.5</v>
      </c>
      <c r="BX99" s="61">
        <v>0.5</v>
      </c>
      <c r="BY99" s="61">
        <v>0.5</v>
      </c>
      <c r="BZ99" s="61">
        <v>0.5</v>
      </c>
      <c r="CA99" s="61">
        <v>0.5</v>
      </c>
      <c r="CB99" s="61">
        <v>0.5</v>
      </c>
      <c r="CC99" s="61">
        <v>0.5</v>
      </c>
      <c r="CD99" s="61">
        <v>0.5</v>
      </c>
      <c r="CE99" s="61">
        <v>0.5</v>
      </c>
      <c r="CF99" s="61">
        <v>0.5</v>
      </c>
      <c r="CG99" s="61">
        <v>0.5</v>
      </c>
      <c r="CH99" s="61">
        <v>0.5</v>
      </c>
      <c r="CI99" s="61">
        <v>0.5</v>
      </c>
      <c r="CJ99" s="61">
        <v>0.5</v>
      </c>
      <c r="CK99" s="61">
        <v>0.5</v>
      </c>
      <c r="CL99" s="61">
        <v>0.5</v>
      </c>
      <c r="CM99" s="61">
        <v>0.5</v>
      </c>
      <c r="CN99" s="61">
        <v>0.5</v>
      </c>
      <c r="CO99" s="61">
        <v>0.5</v>
      </c>
      <c r="CP99" s="61">
        <v>0.5</v>
      </c>
      <c r="CQ99" s="61">
        <v>0.5</v>
      </c>
      <c r="CR99" s="61">
        <v>0.5</v>
      </c>
      <c r="CS99" s="61">
        <v>0.5</v>
      </c>
      <c r="CT99" s="61">
        <v>0.5</v>
      </c>
      <c r="CU99" s="61">
        <v>0.5</v>
      </c>
      <c r="CV99" s="61">
        <v>0.5</v>
      </c>
      <c r="CW99" s="61">
        <v>0.5</v>
      </c>
      <c r="CX99" s="61">
        <v>0.5</v>
      </c>
      <c r="CY99" s="53">
        <v>0.5</v>
      </c>
    </row>
    <row r="100" spans="1:103">
      <c r="A100" s="60">
        <v>118</v>
      </c>
      <c r="B100" s="60">
        <v>0.5</v>
      </c>
      <c r="C100" s="60">
        <v>0.5</v>
      </c>
      <c r="D100" s="60">
        <v>0.5</v>
      </c>
      <c r="E100" s="60">
        <v>0.5</v>
      </c>
      <c r="F100" s="60">
        <v>0.5</v>
      </c>
      <c r="G100" s="60">
        <v>0.5</v>
      </c>
      <c r="H100" s="60">
        <v>0.5</v>
      </c>
      <c r="I100" s="60">
        <v>0.5</v>
      </c>
      <c r="J100" s="60">
        <v>0.5</v>
      </c>
      <c r="K100" s="60">
        <v>0.5</v>
      </c>
      <c r="L100" s="60">
        <v>0.5</v>
      </c>
      <c r="M100" s="60">
        <v>0.5</v>
      </c>
      <c r="N100" s="60">
        <v>0.5</v>
      </c>
      <c r="O100" s="60">
        <v>0.5</v>
      </c>
      <c r="P100" s="60">
        <v>0.5</v>
      </c>
      <c r="Q100" s="60">
        <v>0.5</v>
      </c>
      <c r="R100" s="60">
        <v>0.5</v>
      </c>
      <c r="S100" s="60">
        <v>0.5</v>
      </c>
      <c r="T100" s="61">
        <v>0.5</v>
      </c>
      <c r="U100" s="61">
        <v>0.5</v>
      </c>
      <c r="V100" s="61">
        <v>0.5</v>
      </c>
      <c r="W100" s="61">
        <v>0.5</v>
      </c>
      <c r="X100" s="61">
        <v>0.5</v>
      </c>
      <c r="Y100" s="61">
        <v>0.5</v>
      </c>
      <c r="Z100" s="61">
        <v>0.5</v>
      </c>
      <c r="AA100" s="61">
        <v>0.5</v>
      </c>
      <c r="AB100" s="61">
        <v>0.5</v>
      </c>
      <c r="AC100" s="61">
        <v>0.5</v>
      </c>
      <c r="AD100" s="61">
        <v>0.5</v>
      </c>
      <c r="AE100" s="61">
        <v>0.5</v>
      </c>
      <c r="AF100" s="61">
        <v>0.5</v>
      </c>
      <c r="AG100" s="61">
        <v>0.5</v>
      </c>
      <c r="AH100" s="61">
        <v>0.5</v>
      </c>
      <c r="AI100" s="61">
        <v>0.5</v>
      </c>
      <c r="AJ100" s="61">
        <v>0.5</v>
      </c>
      <c r="AK100" s="61">
        <v>0.5</v>
      </c>
      <c r="AL100" s="61">
        <v>0.5</v>
      </c>
      <c r="AM100" s="61">
        <v>0.5</v>
      </c>
      <c r="AN100" s="61">
        <v>0.5</v>
      </c>
      <c r="AO100" s="61">
        <v>0.5</v>
      </c>
      <c r="AP100" s="61">
        <v>0.5</v>
      </c>
      <c r="AQ100" s="61">
        <v>0.5</v>
      </c>
      <c r="AR100" s="61">
        <v>0.5</v>
      </c>
      <c r="AS100" s="61">
        <v>0.5</v>
      </c>
      <c r="AT100" s="61">
        <v>0.5</v>
      </c>
      <c r="AU100" s="61">
        <v>0.5</v>
      </c>
      <c r="AV100" s="61">
        <v>0.5</v>
      </c>
      <c r="AW100" s="61">
        <v>0.5</v>
      </c>
      <c r="AX100" s="61">
        <v>0.5</v>
      </c>
      <c r="AY100" s="61">
        <v>0.5</v>
      </c>
      <c r="AZ100" s="61">
        <v>0.5</v>
      </c>
      <c r="BA100" s="61">
        <v>0.5</v>
      </c>
      <c r="BB100" s="61">
        <v>0.5</v>
      </c>
      <c r="BC100" s="61">
        <v>0.5</v>
      </c>
      <c r="BD100" s="61">
        <v>0.5</v>
      </c>
      <c r="BE100" s="61">
        <v>0.5</v>
      </c>
      <c r="BF100" s="61">
        <v>0.5</v>
      </c>
      <c r="BG100" s="61">
        <v>0.5</v>
      </c>
      <c r="BH100" s="61">
        <v>0.5</v>
      </c>
      <c r="BI100" s="61">
        <v>0.5</v>
      </c>
      <c r="BJ100" s="61">
        <v>0.5</v>
      </c>
      <c r="BK100" s="61">
        <v>0.5</v>
      </c>
      <c r="BL100" s="61">
        <v>0.5</v>
      </c>
      <c r="BM100" s="61">
        <v>0.5</v>
      </c>
      <c r="BN100" s="61">
        <v>0.5</v>
      </c>
      <c r="BO100" s="61">
        <v>0.5</v>
      </c>
      <c r="BP100" s="61">
        <v>0.5</v>
      </c>
      <c r="BQ100" s="61">
        <v>0.5</v>
      </c>
      <c r="BR100" s="61">
        <v>0.5</v>
      </c>
      <c r="BS100" s="61">
        <v>0.5</v>
      </c>
      <c r="BT100" s="61">
        <v>0.5</v>
      </c>
      <c r="BU100" s="61">
        <v>0.5</v>
      </c>
      <c r="BV100" s="61">
        <v>0.5</v>
      </c>
      <c r="BW100" s="61">
        <v>0.5</v>
      </c>
      <c r="BX100" s="61">
        <v>0.5</v>
      </c>
      <c r="BY100" s="61">
        <v>0.5</v>
      </c>
      <c r="BZ100" s="61">
        <v>0.5</v>
      </c>
      <c r="CA100" s="61">
        <v>0.5</v>
      </c>
      <c r="CB100" s="61">
        <v>0.5</v>
      </c>
      <c r="CC100" s="61">
        <v>0.5</v>
      </c>
      <c r="CD100" s="61">
        <v>0.5</v>
      </c>
      <c r="CE100" s="61">
        <v>0.5</v>
      </c>
      <c r="CF100" s="61">
        <v>0.5</v>
      </c>
      <c r="CG100" s="61">
        <v>0.5</v>
      </c>
      <c r="CH100" s="61">
        <v>0.5</v>
      </c>
      <c r="CI100" s="61">
        <v>0.5</v>
      </c>
      <c r="CJ100" s="61">
        <v>0.5</v>
      </c>
      <c r="CK100" s="61">
        <v>0.5</v>
      </c>
      <c r="CL100" s="61">
        <v>0.5</v>
      </c>
      <c r="CM100" s="61">
        <v>0.5</v>
      </c>
      <c r="CN100" s="61">
        <v>0.5</v>
      </c>
      <c r="CO100" s="61">
        <v>0.5</v>
      </c>
      <c r="CP100" s="61">
        <v>0.5</v>
      </c>
      <c r="CQ100" s="61">
        <v>0.5</v>
      </c>
      <c r="CR100" s="61">
        <v>0.5</v>
      </c>
      <c r="CS100" s="61">
        <v>0.5</v>
      </c>
      <c r="CT100" s="61">
        <v>0.5</v>
      </c>
      <c r="CU100" s="61">
        <v>0.5</v>
      </c>
      <c r="CV100" s="61">
        <v>0.5</v>
      </c>
      <c r="CW100" s="61">
        <v>0.5</v>
      </c>
      <c r="CX100" s="61">
        <v>0.5</v>
      </c>
      <c r="CY100" s="53">
        <v>0.5</v>
      </c>
    </row>
    <row r="101" spans="1:103">
      <c r="A101" s="60">
        <v>119</v>
      </c>
      <c r="B101" s="60">
        <v>0.5</v>
      </c>
      <c r="C101" s="60">
        <v>0.5</v>
      </c>
      <c r="D101" s="60">
        <v>0.5</v>
      </c>
      <c r="E101" s="60">
        <v>0.5</v>
      </c>
      <c r="F101" s="60">
        <v>0.5</v>
      </c>
      <c r="G101" s="60">
        <v>0.5</v>
      </c>
      <c r="H101" s="60">
        <v>0.5</v>
      </c>
      <c r="I101" s="60">
        <v>0.5</v>
      </c>
      <c r="J101" s="60">
        <v>0.5</v>
      </c>
      <c r="K101" s="60">
        <v>0.5</v>
      </c>
      <c r="L101" s="60">
        <v>0.5</v>
      </c>
      <c r="M101" s="60">
        <v>0.5</v>
      </c>
      <c r="N101" s="60">
        <v>0.5</v>
      </c>
      <c r="O101" s="60">
        <v>0.5</v>
      </c>
      <c r="P101" s="60">
        <v>0.5</v>
      </c>
      <c r="Q101" s="60">
        <v>0.5</v>
      </c>
      <c r="R101" s="60">
        <v>0.5</v>
      </c>
      <c r="S101" s="60">
        <v>0.5</v>
      </c>
      <c r="T101" s="61">
        <v>0.5</v>
      </c>
      <c r="U101" s="61">
        <v>0.5</v>
      </c>
      <c r="V101" s="61">
        <v>0.5</v>
      </c>
      <c r="W101" s="61">
        <v>0.5</v>
      </c>
      <c r="X101" s="61">
        <v>0.5</v>
      </c>
      <c r="Y101" s="61">
        <v>0.5</v>
      </c>
      <c r="Z101" s="61">
        <v>0.5</v>
      </c>
      <c r="AA101" s="61">
        <v>0.5</v>
      </c>
      <c r="AB101" s="61">
        <v>0.5</v>
      </c>
      <c r="AC101" s="61">
        <v>0.5</v>
      </c>
      <c r="AD101" s="61">
        <v>0.5</v>
      </c>
      <c r="AE101" s="61">
        <v>0.5</v>
      </c>
      <c r="AF101" s="61">
        <v>0.5</v>
      </c>
      <c r="AG101" s="61">
        <v>0.5</v>
      </c>
      <c r="AH101" s="61">
        <v>0.5</v>
      </c>
      <c r="AI101" s="61">
        <v>0.5</v>
      </c>
      <c r="AJ101" s="61">
        <v>0.5</v>
      </c>
      <c r="AK101" s="61">
        <v>0.5</v>
      </c>
      <c r="AL101" s="61">
        <v>0.5</v>
      </c>
      <c r="AM101" s="61">
        <v>0.5</v>
      </c>
      <c r="AN101" s="61">
        <v>0.5</v>
      </c>
      <c r="AO101" s="61">
        <v>0.5</v>
      </c>
      <c r="AP101" s="61">
        <v>0.5</v>
      </c>
      <c r="AQ101" s="61">
        <v>0.5</v>
      </c>
      <c r="AR101" s="61">
        <v>0.5</v>
      </c>
      <c r="AS101" s="61">
        <v>0.5</v>
      </c>
      <c r="AT101" s="61">
        <v>0.5</v>
      </c>
      <c r="AU101" s="61">
        <v>0.5</v>
      </c>
      <c r="AV101" s="61">
        <v>0.5</v>
      </c>
      <c r="AW101" s="61">
        <v>0.5</v>
      </c>
      <c r="AX101" s="61">
        <v>0.5</v>
      </c>
      <c r="AY101" s="61">
        <v>0.5</v>
      </c>
      <c r="AZ101" s="61">
        <v>0.5</v>
      </c>
      <c r="BA101" s="61">
        <v>0.5</v>
      </c>
      <c r="BB101" s="61">
        <v>0.5</v>
      </c>
      <c r="BC101" s="61">
        <v>0.5</v>
      </c>
      <c r="BD101" s="61">
        <v>0.5</v>
      </c>
      <c r="BE101" s="61">
        <v>0.5</v>
      </c>
      <c r="BF101" s="61">
        <v>0.5</v>
      </c>
      <c r="BG101" s="61">
        <v>0.5</v>
      </c>
      <c r="BH101" s="61">
        <v>0.5</v>
      </c>
      <c r="BI101" s="61">
        <v>0.5</v>
      </c>
      <c r="BJ101" s="61">
        <v>0.5</v>
      </c>
      <c r="BK101" s="61">
        <v>0.5</v>
      </c>
      <c r="BL101" s="61">
        <v>0.5</v>
      </c>
      <c r="BM101" s="61">
        <v>0.5</v>
      </c>
      <c r="BN101" s="61">
        <v>0.5</v>
      </c>
      <c r="BO101" s="61">
        <v>0.5</v>
      </c>
      <c r="BP101" s="61">
        <v>0.5</v>
      </c>
      <c r="BQ101" s="61">
        <v>0.5</v>
      </c>
      <c r="BR101" s="61">
        <v>0.5</v>
      </c>
      <c r="BS101" s="61">
        <v>0.5</v>
      </c>
      <c r="BT101" s="61">
        <v>0.5</v>
      </c>
      <c r="BU101" s="61">
        <v>0.5</v>
      </c>
      <c r="BV101" s="61">
        <v>0.5</v>
      </c>
      <c r="BW101" s="61">
        <v>0.5</v>
      </c>
      <c r="BX101" s="61">
        <v>0.5</v>
      </c>
      <c r="BY101" s="61">
        <v>0.5</v>
      </c>
      <c r="BZ101" s="61">
        <v>0.5</v>
      </c>
      <c r="CA101" s="61">
        <v>0.5</v>
      </c>
      <c r="CB101" s="61">
        <v>0.5</v>
      </c>
      <c r="CC101" s="61">
        <v>0.5</v>
      </c>
      <c r="CD101" s="61">
        <v>0.5</v>
      </c>
      <c r="CE101" s="61">
        <v>0.5</v>
      </c>
      <c r="CF101" s="61">
        <v>0.5</v>
      </c>
      <c r="CG101" s="61">
        <v>0.5</v>
      </c>
      <c r="CH101" s="61">
        <v>0.5</v>
      </c>
      <c r="CI101" s="61">
        <v>0.5</v>
      </c>
      <c r="CJ101" s="61">
        <v>0.5</v>
      </c>
      <c r="CK101" s="61">
        <v>0.5</v>
      </c>
      <c r="CL101" s="61">
        <v>0.5</v>
      </c>
      <c r="CM101" s="61">
        <v>0.5</v>
      </c>
      <c r="CN101" s="61">
        <v>0.5</v>
      </c>
      <c r="CO101" s="61">
        <v>0.5</v>
      </c>
      <c r="CP101" s="61">
        <v>0.5</v>
      </c>
      <c r="CQ101" s="61">
        <v>0.5</v>
      </c>
      <c r="CR101" s="61">
        <v>0.5</v>
      </c>
      <c r="CS101" s="61">
        <v>0.5</v>
      </c>
      <c r="CT101" s="61">
        <v>0.5</v>
      </c>
      <c r="CU101" s="61">
        <v>0.5</v>
      </c>
      <c r="CV101" s="61">
        <v>0.5</v>
      </c>
      <c r="CW101" s="61">
        <v>0.5</v>
      </c>
      <c r="CX101" s="61">
        <v>0.5</v>
      </c>
      <c r="CY101" s="53">
        <v>0.5</v>
      </c>
    </row>
    <row r="102" spans="1:103">
      <c r="A102" s="60">
        <v>120</v>
      </c>
      <c r="B102" s="60">
        <v>1</v>
      </c>
      <c r="C102" s="60">
        <v>1</v>
      </c>
      <c r="D102" s="60">
        <v>1</v>
      </c>
      <c r="E102" s="60">
        <v>1</v>
      </c>
      <c r="F102" s="60">
        <v>1</v>
      </c>
      <c r="G102" s="60">
        <v>1</v>
      </c>
      <c r="H102" s="60">
        <v>1</v>
      </c>
      <c r="I102" s="60">
        <v>1</v>
      </c>
      <c r="J102" s="60">
        <v>1</v>
      </c>
      <c r="K102" s="60">
        <v>1</v>
      </c>
      <c r="L102" s="60">
        <v>1</v>
      </c>
      <c r="M102" s="60">
        <v>1</v>
      </c>
      <c r="N102" s="60">
        <v>1</v>
      </c>
      <c r="O102" s="60">
        <v>1</v>
      </c>
      <c r="P102" s="60">
        <v>1</v>
      </c>
      <c r="Q102" s="60">
        <v>1</v>
      </c>
      <c r="R102" s="60">
        <v>1</v>
      </c>
      <c r="S102" s="60">
        <v>1</v>
      </c>
      <c r="T102" s="61">
        <v>1</v>
      </c>
      <c r="U102" s="61">
        <v>1</v>
      </c>
      <c r="V102" s="61">
        <v>1</v>
      </c>
      <c r="W102" s="61">
        <v>1</v>
      </c>
      <c r="X102" s="61">
        <v>1</v>
      </c>
      <c r="Y102" s="61">
        <v>1</v>
      </c>
      <c r="Z102" s="61">
        <v>1</v>
      </c>
      <c r="AA102" s="61">
        <v>1</v>
      </c>
      <c r="AB102" s="61">
        <v>1</v>
      </c>
      <c r="AC102" s="61">
        <v>1</v>
      </c>
      <c r="AD102" s="61">
        <v>1</v>
      </c>
      <c r="AE102" s="61">
        <v>1</v>
      </c>
      <c r="AF102" s="61">
        <v>1</v>
      </c>
      <c r="AG102" s="61">
        <v>1</v>
      </c>
      <c r="AH102" s="61">
        <v>1</v>
      </c>
      <c r="AI102" s="61">
        <v>1</v>
      </c>
      <c r="AJ102" s="61">
        <v>1</v>
      </c>
      <c r="AK102" s="61">
        <v>1</v>
      </c>
      <c r="AL102" s="61">
        <v>1</v>
      </c>
      <c r="AM102" s="61">
        <v>1</v>
      </c>
      <c r="AN102" s="61">
        <v>1</v>
      </c>
      <c r="AO102" s="61">
        <v>1</v>
      </c>
      <c r="AP102" s="61">
        <v>1</v>
      </c>
      <c r="AQ102" s="61">
        <v>1</v>
      </c>
      <c r="AR102" s="61">
        <v>1</v>
      </c>
      <c r="AS102" s="61">
        <v>1</v>
      </c>
      <c r="AT102" s="61">
        <v>1</v>
      </c>
      <c r="AU102" s="61">
        <v>1</v>
      </c>
      <c r="AV102" s="61">
        <v>1</v>
      </c>
      <c r="AW102" s="61">
        <v>1</v>
      </c>
      <c r="AX102" s="61">
        <v>1</v>
      </c>
      <c r="AY102" s="61">
        <v>1</v>
      </c>
      <c r="AZ102" s="61">
        <v>1</v>
      </c>
      <c r="BA102" s="61">
        <v>1</v>
      </c>
      <c r="BB102" s="61">
        <v>1</v>
      </c>
      <c r="BC102" s="61">
        <v>1</v>
      </c>
      <c r="BD102" s="61">
        <v>1</v>
      </c>
      <c r="BE102" s="61">
        <v>1</v>
      </c>
      <c r="BF102" s="61">
        <v>1</v>
      </c>
      <c r="BG102" s="61">
        <v>1</v>
      </c>
      <c r="BH102" s="61">
        <v>1</v>
      </c>
      <c r="BI102" s="61">
        <v>1</v>
      </c>
      <c r="BJ102" s="61">
        <v>1</v>
      </c>
      <c r="BK102" s="61">
        <v>1</v>
      </c>
      <c r="BL102" s="61">
        <v>1</v>
      </c>
      <c r="BM102" s="61">
        <v>1</v>
      </c>
      <c r="BN102" s="61">
        <v>1</v>
      </c>
      <c r="BO102" s="61">
        <v>1</v>
      </c>
      <c r="BP102" s="61">
        <v>1</v>
      </c>
      <c r="BQ102" s="61">
        <v>1</v>
      </c>
      <c r="BR102" s="61">
        <v>1</v>
      </c>
      <c r="BS102" s="61">
        <v>1</v>
      </c>
      <c r="BT102" s="61">
        <v>1</v>
      </c>
      <c r="BU102" s="61">
        <v>1</v>
      </c>
      <c r="BV102" s="61">
        <v>1</v>
      </c>
      <c r="BW102" s="61">
        <v>1</v>
      </c>
      <c r="BX102" s="61">
        <v>1</v>
      </c>
      <c r="BY102" s="61">
        <v>1</v>
      </c>
      <c r="BZ102" s="61">
        <v>1</v>
      </c>
      <c r="CA102" s="61">
        <v>1</v>
      </c>
      <c r="CB102" s="61">
        <v>1</v>
      </c>
      <c r="CC102" s="61">
        <v>1</v>
      </c>
      <c r="CD102" s="61">
        <v>1</v>
      </c>
      <c r="CE102" s="61">
        <v>1</v>
      </c>
      <c r="CF102" s="61">
        <v>1</v>
      </c>
      <c r="CG102" s="61">
        <v>1</v>
      </c>
      <c r="CH102" s="61">
        <v>1</v>
      </c>
      <c r="CI102" s="61">
        <v>1</v>
      </c>
      <c r="CJ102" s="61">
        <v>1</v>
      </c>
      <c r="CK102" s="61">
        <v>1</v>
      </c>
      <c r="CL102" s="61">
        <v>1</v>
      </c>
      <c r="CM102" s="61">
        <v>1</v>
      </c>
      <c r="CN102" s="61">
        <v>1</v>
      </c>
      <c r="CO102" s="61">
        <v>1</v>
      </c>
      <c r="CP102" s="61">
        <v>1</v>
      </c>
      <c r="CQ102" s="61">
        <v>1</v>
      </c>
      <c r="CR102" s="61">
        <v>1</v>
      </c>
      <c r="CS102" s="61">
        <v>1</v>
      </c>
      <c r="CT102" s="61">
        <v>1</v>
      </c>
      <c r="CU102" s="61">
        <v>1</v>
      </c>
      <c r="CV102" s="61">
        <v>1</v>
      </c>
      <c r="CW102" s="61">
        <v>1</v>
      </c>
      <c r="CX102" s="61">
        <v>1</v>
      </c>
      <c r="CY102" s="5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Z102"/>
  <sheetViews>
    <sheetView topLeftCell="O74" zoomScale="110" workbookViewId="0">
      <selection activeCell="W1" sqref="W1:W1048576"/>
    </sheetView>
  </sheetViews>
  <sheetFormatPr defaultColWidth="10.75" defaultRowHeight="15"/>
  <cols>
    <col min="1" max="1" width="10.75" style="24"/>
    <col min="2" max="6" width="12" style="24" bestFit="1" customWidth="1"/>
    <col min="7" max="7" width="12" style="29" bestFit="1" customWidth="1"/>
    <col min="8" max="22" width="12" style="24" bestFit="1" customWidth="1"/>
    <col min="23" max="16384" width="10.75" style="24"/>
  </cols>
  <sheetData>
    <row r="1" spans="1:130" ht="18.75">
      <c r="A1" s="34" t="s">
        <v>84</v>
      </c>
      <c r="B1" s="30">
        <v>2014</v>
      </c>
      <c r="C1" s="33">
        <v>2015</v>
      </c>
      <c r="D1" s="33">
        <v>2016</v>
      </c>
      <c r="E1" s="33">
        <v>2017</v>
      </c>
      <c r="F1" s="33">
        <v>2018</v>
      </c>
      <c r="G1" s="33">
        <v>2019</v>
      </c>
      <c r="H1" s="33">
        <v>2020</v>
      </c>
      <c r="I1" s="33">
        <v>2021</v>
      </c>
      <c r="J1" s="33">
        <v>2022</v>
      </c>
      <c r="K1" s="33">
        <v>2023</v>
      </c>
      <c r="L1" s="33">
        <v>2024</v>
      </c>
      <c r="M1" s="33">
        <v>2025</v>
      </c>
      <c r="N1" s="33">
        <v>2026</v>
      </c>
      <c r="O1" s="33">
        <v>2027</v>
      </c>
      <c r="P1" s="33">
        <v>2028</v>
      </c>
      <c r="Q1" s="33">
        <v>2029</v>
      </c>
      <c r="R1" s="33">
        <v>2030</v>
      </c>
      <c r="S1" s="33">
        <v>2031</v>
      </c>
      <c r="T1" s="33">
        <v>2032</v>
      </c>
      <c r="U1" s="33">
        <v>2033</v>
      </c>
      <c r="V1" s="33" t="s">
        <v>83</v>
      </c>
      <c r="X1" s="21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</row>
    <row r="2" spans="1:130" ht="15.75">
      <c r="A2" s="32" t="s">
        <v>82</v>
      </c>
      <c r="B2" s="31">
        <v>1.6200000000000001E-4</v>
      </c>
      <c r="C2" s="30">
        <v>1.64236E-4</v>
      </c>
      <c r="D2" s="30">
        <v>1.6632100000000001E-4</v>
      </c>
      <c r="E2" s="30">
        <v>1.6813400000000001E-4</v>
      </c>
      <c r="F2" s="30">
        <v>1.6959700000000001E-4</v>
      </c>
      <c r="G2" s="30">
        <v>1.7066600000000001E-4</v>
      </c>
      <c r="H2" s="30">
        <v>1.7131399999999999E-4</v>
      </c>
      <c r="I2" s="30">
        <v>1.7153700000000001E-4</v>
      </c>
      <c r="J2" s="30">
        <v>1.7138200000000001E-4</v>
      </c>
      <c r="K2" s="30">
        <v>1.7092E-4</v>
      </c>
      <c r="L2" s="30">
        <v>1.7025300000000001E-4</v>
      </c>
      <c r="M2" s="30">
        <v>1.69436E-4</v>
      </c>
      <c r="N2" s="30">
        <v>1.6846999999999999E-4</v>
      </c>
      <c r="O2" s="30">
        <v>1.6735799999999999E-4</v>
      </c>
      <c r="P2" s="30">
        <v>1.6611999999999999E-4</v>
      </c>
      <c r="Q2" s="30">
        <v>1.6477399999999999E-4</v>
      </c>
      <c r="R2" s="30">
        <v>1.6334100000000001E-4</v>
      </c>
      <c r="S2" s="30">
        <v>1.61822E-4</v>
      </c>
      <c r="T2" s="30">
        <v>1.60252E-4</v>
      </c>
      <c r="U2" s="30">
        <v>1.58665E-4</v>
      </c>
      <c r="V2" s="30">
        <v>1.5707899999999999E-4</v>
      </c>
      <c r="X2" s="22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6"/>
    </row>
    <row r="3" spans="1:130" ht="15.75">
      <c r="A3" s="32">
        <v>21</v>
      </c>
      <c r="B3" s="31">
        <v>1.6200000000000001E-4</v>
      </c>
      <c r="C3" s="30">
        <v>1.6438100000000001E-4</v>
      </c>
      <c r="D3" s="30">
        <v>1.66584E-4</v>
      </c>
      <c r="E3" s="30">
        <v>1.6851600000000001E-4</v>
      </c>
      <c r="F3" s="30">
        <v>1.7008400000000001E-4</v>
      </c>
      <c r="G3" s="30">
        <v>1.71223E-4</v>
      </c>
      <c r="H3" s="30">
        <v>1.7192499999999999E-4</v>
      </c>
      <c r="I3" s="30">
        <v>1.7218299999999999E-4</v>
      </c>
      <c r="J3" s="30">
        <v>1.7204500000000001E-4</v>
      </c>
      <c r="K3" s="30">
        <v>1.71581E-4</v>
      </c>
      <c r="L3" s="30">
        <v>1.7091200000000001E-4</v>
      </c>
      <c r="M3" s="30">
        <v>1.7009100000000001E-4</v>
      </c>
      <c r="N3" s="30">
        <v>1.6912200000000001E-4</v>
      </c>
      <c r="O3" s="30">
        <v>1.68006E-4</v>
      </c>
      <c r="P3" s="30">
        <v>1.6676199999999999E-4</v>
      </c>
      <c r="Q3" s="30">
        <v>1.6541200000000001E-4</v>
      </c>
      <c r="R3" s="30">
        <v>1.6397300000000001E-4</v>
      </c>
      <c r="S3" s="30">
        <v>1.6244799999999999E-4</v>
      </c>
      <c r="T3" s="30">
        <v>1.60872E-4</v>
      </c>
      <c r="U3" s="30">
        <v>1.5927899999999999E-4</v>
      </c>
      <c r="V3" s="30">
        <v>1.5768600000000001E-4</v>
      </c>
      <c r="X3" s="22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</row>
    <row r="4" spans="1:130" ht="15.75">
      <c r="A4" s="32">
        <v>22</v>
      </c>
      <c r="B4" s="31">
        <v>1.6200000000000001E-4</v>
      </c>
      <c r="C4" s="30">
        <v>1.6465699999999999E-4</v>
      </c>
      <c r="D4" s="30">
        <v>1.67011E-4</v>
      </c>
      <c r="E4" s="30">
        <v>1.69066E-4</v>
      </c>
      <c r="F4" s="30">
        <v>1.7073899999999999E-4</v>
      </c>
      <c r="G4" s="30">
        <v>1.7196900000000001E-4</v>
      </c>
      <c r="H4" s="30">
        <v>1.7272500000000001E-4</v>
      </c>
      <c r="I4" s="30">
        <v>1.73019E-4</v>
      </c>
      <c r="J4" s="30">
        <v>1.72898E-4</v>
      </c>
      <c r="K4" s="30">
        <v>1.7244800000000001E-4</v>
      </c>
      <c r="L4" s="30">
        <v>1.71776E-4</v>
      </c>
      <c r="M4" s="30">
        <v>1.70951E-4</v>
      </c>
      <c r="N4" s="30">
        <v>1.69977E-4</v>
      </c>
      <c r="O4" s="30">
        <v>1.6885500000000001E-4</v>
      </c>
      <c r="P4" s="30">
        <v>1.6760500000000001E-4</v>
      </c>
      <c r="Q4" s="30">
        <v>1.66248E-4</v>
      </c>
      <c r="R4" s="30">
        <v>1.64802E-4</v>
      </c>
      <c r="S4" s="30">
        <v>1.6326900000000001E-4</v>
      </c>
      <c r="T4" s="30">
        <v>1.6168500000000001E-4</v>
      </c>
      <c r="U4" s="30">
        <v>1.6008400000000001E-4</v>
      </c>
      <c r="V4" s="30">
        <v>1.58484E-4</v>
      </c>
      <c r="X4" s="22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</row>
    <row r="5" spans="1:130" ht="15.75">
      <c r="A5" s="32">
        <v>23</v>
      </c>
      <c r="B5" s="31">
        <v>1.66E-4</v>
      </c>
      <c r="C5" s="30">
        <v>1.6903799999999999E-4</v>
      </c>
      <c r="D5" s="30">
        <v>1.7174200000000001E-4</v>
      </c>
      <c r="E5" s="30">
        <v>1.7399200000000001E-4</v>
      </c>
      <c r="F5" s="30">
        <v>1.75837E-4</v>
      </c>
      <c r="G5" s="30">
        <v>1.7719E-4</v>
      </c>
      <c r="H5" s="30">
        <v>1.7804100000000001E-4</v>
      </c>
      <c r="I5" s="30">
        <v>1.7837899999999999E-4</v>
      </c>
      <c r="J5" s="30">
        <v>1.7827199999999999E-4</v>
      </c>
      <c r="K5" s="30">
        <v>1.7780899999999999E-4</v>
      </c>
      <c r="L5" s="30">
        <v>1.7711499999999999E-4</v>
      </c>
      <c r="M5" s="30">
        <v>1.7626499999999999E-4</v>
      </c>
      <c r="N5" s="30">
        <v>1.7526E-4</v>
      </c>
      <c r="O5" s="30">
        <v>1.7410400000000001E-4</v>
      </c>
      <c r="P5" s="30">
        <v>1.7281499999999999E-4</v>
      </c>
      <c r="Q5" s="30">
        <v>1.71416E-4</v>
      </c>
      <c r="R5" s="30">
        <v>1.6992400000000001E-4</v>
      </c>
      <c r="S5" s="30">
        <v>1.6834400000000001E-4</v>
      </c>
      <c r="T5" s="30">
        <v>1.66711E-4</v>
      </c>
      <c r="U5" s="30">
        <v>1.6506100000000001E-4</v>
      </c>
      <c r="V5" s="30">
        <v>1.6341000000000001E-4</v>
      </c>
      <c r="X5" s="22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</row>
    <row r="6" spans="1:130" ht="15.75">
      <c r="A6" s="32">
        <v>24</v>
      </c>
      <c r="B6" s="31">
        <v>1.6899999999999999E-4</v>
      </c>
      <c r="C6" s="30">
        <v>1.7244800000000001E-4</v>
      </c>
      <c r="D6" s="30">
        <v>1.75534E-4</v>
      </c>
      <c r="E6" s="30">
        <v>1.7813200000000001E-4</v>
      </c>
      <c r="F6" s="30">
        <v>1.8014499999999999E-4</v>
      </c>
      <c r="G6" s="30">
        <v>1.8164E-4</v>
      </c>
      <c r="H6" s="30">
        <v>1.82585E-4</v>
      </c>
      <c r="I6" s="30">
        <v>1.8298699999999999E-4</v>
      </c>
      <c r="J6" s="30">
        <v>1.82895E-4</v>
      </c>
      <c r="K6" s="30">
        <v>1.8242000000000001E-4</v>
      </c>
      <c r="L6" s="30">
        <v>1.8170799999999999E-4</v>
      </c>
      <c r="M6" s="30">
        <v>1.80836E-4</v>
      </c>
      <c r="N6" s="30">
        <v>1.79805E-4</v>
      </c>
      <c r="O6" s="30">
        <v>1.7861900000000001E-4</v>
      </c>
      <c r="P6" s="30">
        <v>1.7729700000000001E-4</v>
      </c>
      <c r="Q6" s="30">
        <v>1.75861E-4</v>
      </c>
      <c r="R6" s="30">
        <v>1.7433100000000001E-4</v>
      </c>
      <c r="S6" s="30">
        <v>1.72709E-4</v>
      </c>
      <c r="T6" s="30">
        <v>1.71034E-4</v>
      </c>
      <c r="U6" s="30">
        <v>1.6934099999999999E-4</v>
      </c>
      <c r="V6" s="30">
        <v>1.6764699999999999E-4</v>
      </c>
      <c r="X6" s="22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</row>
    <row r="7" spans="1:130" ht="15.75">
      <c r="A7" s="32">
        <v>25</v>
      </c>
      <c r="B7" s="31">
        <v>1.73E-4</v>
      </c>
      <c r="C7" s="30">
        <v>1.7692700000000001E-4</v>
      </c>
      <c r="D7" s="30">
        <v>1.8044799999999999E-4</v>
      </c>
      <c r="E7" s="30">
        <v>1.8344300000000001E-4</v>
      </c>
      <c r="F7" s="30">
        <v>1.8579100000000001E-4</v>
      </c>
      <c r="G7" s="30">
        <v>1.87426E-4</v>
      </c>
      <c r="H7" s="30">
        <v>1.88476E-4</v>
      </c>
      <c r="I7" s="30">
        <v>1.8892799999999999E-4</v>
      </c>
      <c r="J7" s="30">
        <v>1.88872E-4</v>
      </c>
      <c r="K7" s="30">
        <v>1.8839900000000001E-4</v>
      </c>
      <c r="L7" s="30">
        <v>1.87665E-4</v>
      </c>
      <c r="M7" s="30">
        <v>1.8676399999999999E-4</v>
      </c>
      <c r="N7" s="30">
        <v>1.85699E-4</v>
      </c>
      <c r="O7" s="30">
        <v>1.8447400000000001E-4</v>
      </c>
      <c r="P7" s="30">
        <v>1.8310900000000001E-4</v>
      </c>
      <c r="Q7" s="30">
        <v>1.8162500000000001E-4</v>
      </c>
      <c r="R7" s="30">
        <v>1.8004499999999999E-4</v>
      </c>
      <c r="S7" s="30">
        <v>1.78371E-4</v>
      </c>
      <c r="T7" s="30">
        <v>1.7664100000000001E-4</v>
      </c>
      <c r="U7" s="30">
        <v>1.7489200000000001E-4</v>
      </c>
      <c r="V7" s="30">
        <v>1.7314300000000001E-4</v>
      </c>
      <c r="X7" s="23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8"/>
      <c r="DS7" s="28"/>
      <c r="DT7" s="28"/>
      <c r="DU7" s="28"/>
      <c r="DV7" s="29"/>
      <c r="DW7" s="29"/>
      <c r="DX7" s="29"/>
      <c r="DY7" s="29"/>
      <c r="DZ7" s="29"/>
    </row>
    <row r="8" spans="1:130" ht="15.75">
      <c r="A8" s="32">
        <v>26</v>
      </c>
      <c r="B8" s="31">
        <v>1.7899999999999999E-4</v>
      </c>
      <c r="C8" s="30">
        <v>1.83475E-4</v>
      </c>
      <c r="D8" s="30">
        <v>1.8752999999999999E-4</v>
      </c>
      <c r="E8" s="30">
        <v>1.9099899999999999E-4</v>
      </c>
      <c r="F8" s="30">
        <v>1.93749E-4</v>
      </c>
      <c r="G8" s="30">
        <v>1.95706E-4</v>
      </c>
      <c r="H8" s="30">
        <v>1.9688099999999999E-4</v>
      </c>
      <c r="I8" s="30">
        <v>1.97412E-4</v>
      </c>
      <c r="J8" s="30">
        <v>1.9737300000000001E-4</v>
      </c>
      <c r="K8" s="30">
        <v>1.9687900000000001E-4</v>
      </c>
      <c r="L8" s="30">
        <v>1.9611100000000001E-4</v>
      </c>
      <c r="M8" s="30">
        <v>1.9516999999999999E-4</v>
      </c>
      <c r="N8" s="30">
        <v>1.9405799999999999E-4</v>
      </c>
      <c r="O8" s="30">
        <v>1.9277699999999999E-4</v>
      </c>
      <c r="P8" s="30">
        <v>1.9134999999999999E-4</v>
      </c>
      <c r="Q8" s="30">
        <v>1.8980000000000001E-4</v>
      </c>
      <c r="R8" s="30">
        <v>1.88149E-4</v>
      </c>
      <c r="S8" s="30">
        <v>1.8639899999999999E-4</v>
      </c>
      <c r="T8" s="30">
        <v>1.8459100000000001E-4</v>
      </c>
      <c r="U8" s="30">
        <v>1.82764E-4</v>
      </c>
      <c r="V8" s="30">
        <v>1.80936E-4</v>
      </c>
      <c r="X8" s="22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</row>
    <row r="9" spans="1:130" ht="15.75">
      <c r="A9" s="32">
        <v>27</v>
      </c>
      <c r="B9" s="31">
        <v>1.8699999999999999E-4</v>
      </c>
      <c r="C9" s="30">
        <v>1.92105E-4</v>
      </c>
      <c r="D9" s="30">
        <v>1.9675399999999999E-4</v>
      </c>
      <c r="E9" s="30">
        <v>2.0076800000000001E-4</v>
      </c>
      <c r="F9" s="30">
        <v>2.04E-4</v>
      </c>
      <c r="G9" s="30">
        <v>2.0634599999999999E-4</v>
      </c>
      <c r="H9" s="30">
        <v>2.0781099999999999E-4</v>
      </c>
      <c r="I9" s="30">
        <v>2.08414E-4</v>
      </c>
      <c r="J9" s="30">
        <v>2.08393E-4</v>
      </c>
      <c r="K9" s="30">
        <v>2.07872E-4</v>
      </c>
      <c r="L9" s="30">
        <v>2.07061E-4</v>
      </c>
      <c r="M9" s="30">
        <v>2.0606699999999999E-4</v>
      </c>
      <c r="N9" s="30">
        <v>2.0489299999999999E-4</v>
      </c>
      <c r="O9" s="30">
        <v>2.0354100000000001E-4</v>
      </c>
      <c r="P9" s="30">
        <v>2.02034E-4</v>
      </c>
      <c r="Q9" s="30">
        <v>2.0039799999999999E-4</v>
      </c>
      <c r="R9" s="30">
        <v>1.9865400000000001E-4</v>
      </c>
      <c r="S9" s="30">
        <v>1.9680699999999999E-4</v>
      </c>
      <c r="T9" s="30">
        <v>1.9489799999999999E-4</v>
      </c>
      <c r="U9" s="30">
        <v>1.9296800000000001E-4</v>
      </c>
      <c r="V9" s="30">
        <v>1.91039E-4</v>
      </c>
      <c r="X9" s="22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</row>
    <row r="10" spans="1:130" ht="15.75">
      <c r="A10" s="32">
        <v>28</v>
      </c>
      <c r="B10" s="31">
        <v>1.9599999999999999E-4</v>
      </c>
      <c r="C10" s="30">
        <v>2.0178199999999999E-4</v>
      </c>
      <c r="D10" s="30">
        <v>2.07109E-4</v>
      </c>
      <c r="E10" s="30">
        <v>2.11728E-4</v>
      </c>
      <c r="F10" s="30">
        <v>2.15496E-4</v>
      </c>
      <c r="G10" s="30">
        <v>2.18276E-4</v>
      </c>
      <c r="H10" s="30">
        <v>2.2006599999999999E-4</v>
      </c>
      <c r="I10" s="30">
        <v>2.2090200000000001E-4</v>
      </c>
      <c r="J10" s="30">
        <v>2.2090200000000001E-4</v>
      </c>
      <c r="K10" s="30">
        <v>2.2037200000000001E-4</v>
      </c>
      <c r="L10" s="30">
        <v>2.1951300000000001E-4</v>
      </c>
      <c r="M10" s="30">
        <v>2.18459E-4</v>
      </c>
      <c r="N10" s="30">
        <v>2.17214E-4</v>
      </c>
      <c r="O10" s="30">
        <v>2.1578E-4</v>
      </c>
      <c r="P10" s="30">
        <v>2.1418300000000001E-4</v>
      </c>
      <c r="Q10" s="30">
        <v>2.12449E-4</v>
      </c>
      <c r="R10" s="30">
        <v>2.106E-4</v>
      </c>
      <c r="S10" s="30">
        <v>2.0864200000000001E-4</v>
      </c>
      <c r="T10" s="30">
        <v>2.0661799999999999E-4</v>
      </c>
      <c r="U10" s="30">
        <v>2.0457200000000001E-4</v>
      </c>
      <c r="V10" s="30">
        <v>2.0252700000000001E-4</v>
      </c>
      <c r="X10" s="22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</row>
    <row r="11" spans="1:130" ht="15.75">
      <c r="A11" s="32">
        <v>29</v>
      </c>
      <c r="B11" s="31">
        <v>2.0599999999999999E-4</v>
      </c>
      <c r="C11" s="30">
        <v>2.12489E-4</v>
      </c>
      <c r="D11" s="30">
        <v>2.18524E-4</v>
      </c>
      <c r="E11" s="30">
        <v>2.2381199999999999E-4</v>
      </c>
      <c r="F11" s="30">
        <v>2.28154E-4</v>
      </c>
      <c r="G11" s="30">
        <v>2.3141700000000001E-4</v>
      </c>
      <c r="H11" s="30">
        <v>2.3356900000000001E-4</v>
      </c>
      <c r="I11" s="30">
        <v>2.3466599999999999E-4</v>
      </c>
      <c r="J11" s="30">
        <v>2.3483099999999999E-4</v>
      </c>
      <c r="K11" s="30">
        <v>2.34267E-4</v>
      </c>
      <c r="L11" s="30">
        <v>2.33353E-4</v>
      </c>
      <c r="M11" s="30">
        <v>2.3223300000000001E-4</v>
      </c>
      <c r="N11" s="30">
        <v>2.3091E-4</v>
      </c>
      <c r="O11" s="30">
        <v>2.2938599999999999E-4</v>
      </c>
      <c r="P11" s="30">
        <v>2.2768800000000001E-4</v>
      </c>
      <c r="Q11" s="30">
        <v>2.25844E-4</v>
      </c>
      <c r="R11" s="30">
        <v>2.2387899999999999E-4</v>
      </c>
      <c r="S11" s="30">
        <v>2.21797E-4</v>
      </c>
      <c r="T11" s="30">
        <v>2.1964599999999999E-4</v>
      </c>
      <c r="U11" s="30">
        <v>2.1747100000000001E-4</v>
      </c>
      <c r="V11" s="30">
        <v>2.1529599999999999E-4</v>
      </c>
      <c r="X11" s="22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</row>
    <row r="12" spans="1:130" ht="15.75">
      <c r="A12" s="32">
        <v>30</v>
      </c>
      <c r="B12" s="31">
        <v>2.1800000000000001E-4</v>
      </c>
      <c r="C12" s="30">
        <v>2.25238E-4</v>
      </c>
      <c r="D12" s="30">
        <v>2.32017E-4</v>
      </c>
      <c r="E12" s="30">
        <v>2.3802599999999999E-4</v>
      </c>
      <c r="F12" s="30">
        <v>2.4302500000000001E-4</v>
      </c>
      <c r="G12" s="30">
        <v>2.4684099999999998E-4</v>
      </c>
      <c r="H12" s="30">
        <v>2.4943200000000001E-4</v>
      </c>
      <c r="I12" s="30">
        <v>2.5082899999999999E-4</v>
      </c>
      <c r="J12" s="30">
        <v>2.5115499999999998E-4</v>
      </c>
      <c r="K12" s="30">
        <v>2.50678E-4</v>
      </c>
      <c r="L12" s="30">
        <v>2.497E-4</v>
      </c>
      <c r="M12" s="30">
        <v>2.48502E-4</v>
      </c>
      <c r="N12" s="30">
        <v>2.4708500000000002E-4</v>
      </c>
      <c r="O12" s="30">
        <v>2.45455E-4</v>
      </c>
      <c r="P12" s="30">
        <v>2.4363799999999999E-4</v>
      </c>
      <c r="Q12" s="30">
        <v>2.4166500000000001E-4</v>
      </c>
      <c r="R12" s="30">
        <v>2.3956199999999999E-4</v>
      </c>
      <c r="S12" s="30">
        <v>2.3733399999999999E-4</v>
      </c>
      <c r="T12" s="30">
        <v>2.3503200000000001E-4</v>
      </c>
      <c r="U12" s="30">
        <v>2.3270499999999999E-4</v>
      </c>
      <c r="V12" s="30">
        <v>2.30378E-4</v>
      </c>
      <c r="X12" s="22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</row>
    <row r="13" spans="1:130" ht="15.75">
      <c r="A13" s="32">
        <v>31</v>
      </c>
      <c r="B13" s="31">
        <v>2.31E-4</v>
      </c>
      <c r="C13" s="30">
        <v>2.3899300000000001E-4</v>
      </c>
      <c r="D13" s="30">
        <v>2.4654499999999998E-4</v>
      </c>
      <c r="E13" s="30">
        <v>2.5329999999999998E-4</v>
      </c>
      <c r="F13" s="30">
        <v>2.5897399999999998E-4</v>
      </c>
      <c r="G13" s="30">
        <v>2.6337700000000002E-4</v>
      </c>
      <c r="H13" s="30">
        <v>2.6643199999999999E-4</v>
      </c>
      <c r="I13" s="30">
        <v>2.6816399999999999E-4</v>
      </c>
      <c r="J13" s="30">
        <v>2.6872700000000002E-4</v>
      </c>
      <c r="K13" s="30">
        <v>2.6834999999999999E-4</v>
      </c>
      <c r="L13" s="30">
        <v>2.6741100000000001E-4</v>
      </c>
      <c r="M13" s="30">
        <v>2.6612800000000002E-4</v>
      </c>
      <c r="N13" s="30">
        <v>2.6461099999999999E-4</v>
      </c>
      <c r="O13" s="30">
        <v>2.6286400000000002E-4</v>
      </c>
      <c r="P13" s="30">
        <v>2.6091899999999997E-4</v>
      </c>
      <c r="Q13" s="30">
        <v>2.5880599999999999E-4</v>
      </c>
      <c r="R13" s="30">
        <v>2.5655399999999998E-4</v>
      </c>
      <c r="S13" s="30">
        <v>2.5416799999999998E-4</v>
      </c>
      <c r="T13" s="30">
        <v>2.5170299999999999E-4</v>
      </c>
      <c r="U13" s="30">
        <v>2.49211E-4</v>
      </c>
      <c r="V13" s="30">
        <v>2.4671900000000001E-4</v>
      </c>
      <c r="X13" s="22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</row>
    <row r="14" spans="1:130" ht="15.75">
      <c r="A14" s="32">
        <v>32</v>
      </c>
      <c r="B14" s="31">
        <v>2.4399999999999999E-4</v>
      </c>
      <c r="C14" s="30">
        <v>2.5263800000000002E-4</v>
      </c>
      <c r="D14" s="30">
        <v>2.6087400000000002E-4</v>
      </c>
      <c r="E14" s="30">
        <v>2.6830799999999998E-4</v>
      </c>
      <c r="F14" s="30">
        <v>2.74641E-4</v>
      </c>
      <c r="G14" s="30">
        <v>2.7961199999999999E-4</v>
      </c>
      <c r="H14" s="30">
        <v>2.8313500000000001E-4</v>
      </c>
      <c r="I14" s="30">
        <v>2.8522999999999998E-4</v>
      </c>
      <c r="J14" s="30">
        <v>2.8602899999999998E-4</v>
      </c>
      <c r="K14" s="30">
        <v>2.8580000000000001E-4</v>
      </c>
      <c r="L14" s="30">
        <v>2.84942E-4</v>
      </c>
      <c r="M14" s="30">
        <v>2.8365999999999998E-4</v>
      </c>
      <c r="N14" s="30">
        <v>2.82043E-4</v>
      </c>
      <c r="O14" s="30">
        <v>2.8018200000000002E-4</v>
      </c>
      <c r="P14" s="30">
        <v>2.78108E-4</v>
      </c>
      <c r="Q14" s="30">
        <v>2.75856E-4</v>
      </c>
      <c r="R14" s="30">
        <v>2.7345599999999999E-4</v>
      </c>
      <c r="S14" s="30">
        <v>2.7091300000000001E-4</v>
      </c>
      <c r="T14" s="30">
        <v>2.68285E-4</v>
      </c>
      <c r="U14" s="30">
        <v>2.6562899999999997E-4</v>
      </c>
      <c r="V14" s="30">
        <v>2.6297199999999999E-4</v>
      </c>
      <c r="X14" s="22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</row>
    <row r="15" spans="1:130" ht="15.75">
      <c r="A15" s="32">
        <v>33</v>
      </c>
      <c r="B15" s="31">
        <v>2.5799999999999998E-4</v>
      </c>
      <c r="C15" s="30">
        <v>2.67211E-4</v>
      </c>
      <c r="D15" s="30">
        <v>2.7605499999999999E-4</v>
      </c>
      <c r="E15" s="30">
        <v>2.84116E-4</v>
      </c>
      <c r="F15" s="30">
        <v>2.9104899999999998E-4</v>
      </c>
      <c r="G15" s="30">
        <v>2.9657799999999998E-4</v>
      </c>
      <c r="H15" s="30">
        <v>3.0058199999999998E-4</v>
      </c>
      <c r="I15" s="30">
        <v>3.0304699999999997E-4</v>
      </c>
      <c r="J15" s="30">
        <v>3.0413800000000002E-4</v>
      </c>
      <c r="K15" s="30">
        <v>3.0410799999999998E-4</v>
      </c>
      <c r="L15" s="30">
        <v>3.0334699999999998E-4</v>
      </c>
      <c r="M15" s="30">
        <v>3.0210399999999998E-4</v>
      </c>
      <c r="N15" s="30">
        <v>3.0047199999999998E-4</v>
      </c>
      <c r="O15" s="30">
        <v>2.9848899999999998E-4</v>
      </c>
      <c r="P15" s="30">
        <v>2.9628E-4</v>
      </c>
      <c r="Q15" s="30">
        <v>2.9388E-4</v>
      </c>
      <c r="R15" s="30">
        <v>2.9132399999999998E-4</v>
      </c>
      <c r="S15" s="30">
        <v>2.8861400000000003E-4</v>
      </c>
      <c r="T15" s="30">
        <v>2.8581499999999997E-4</v>
      </c>
      <c r="U15" s="30">
        <v>2.8298499999999997E-4</v>
      </c>
      <c r="V15" s="30">
        <v>2.8015499999999998E-4</v>
      </c>
      <c r="X15" s="22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</row>
    <row r="16" spans="1:130" ht="15.75">
      <c r="A16" s="32">
        <v>34</v>
      </c>
      <c r="B16" s="31">
        <v>2.72E-4</v>
      </c>
      <c r="C16" s="30">
        <v>2.8157399999999998E-4</v>
      </c>
      <c r="D16" s="30">
        <v>2.90895E-4</v>
      </c>
      <c r="E16" s="30">
        <v>2.9947600000000002E-4</v>
      </c>
      <c r="F16" s="30">
        <v>3.0693300000000001E-4</v>
      </c>
      <c r="G16" s="30">
        <v>3.1294899999999997E-4</v>
      </c>
      <c r="H16" s="30">
        <v>3.1739300000000002E-4</v>
      </c>
      <c r="I16" s="30">
        <v>3.2024899999999999E-4</v>
      </c>
      <c r="J16" s="30">
        <v>3.2162599999999999E-4</v>
      </c>
      <c r="K16" s="30">
        <v>3.2178699999999997E-4</v>
      </c>
      <c r="L16" s="30">
        <v>3.2114300000000003E-4</v>
      </c>
      <c r="M16" s="30">
        <v>3.1998699999999998E-4</v>
      </c>
      <c r="N16" s="30">
        <v>3.1835499999999998E-4</v>
      </c>
      <c r="O16" s="30">
        <v>3.1635000000000002E-4</v>
      </c>
      <c r="P16" s="30">
        <v>3.1400900000000002E-4</v>
      </c>
      <c r="Q16" s="30">
        <v>3.1146499999999997E-4</v>
      </c>
      <c r="R16" s="30">
        <v>3.0875599999999998E-4</v>
      </c>
      <c r="S16" s="30">
        <v>3.0588399999999997E-4</v>
      </c>
      <c r="T16" s="30">
        <v>3.0291699999999999E-4</v>
      </c>
      <c r="U16" s="30">
        <v>2.9991799999999998E-4</v>
      </c>
      <c r="V16" s="30">
        <v>2.9691899999999998E-4</v>
      </c>
      <c r="X16" s="22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</row>
    <row r="17" spans="1:125" ht="15.75">
      <c r="A17" s="32">
        <v>35</v>
      </c>
      <c r="B17" s="31">
        <v>2.8600000000000001E-4</v>
      </c>
      <c r="C17" s="30">
        <v>2.9572399999999998E-4</v>
      </c>
      <c r="D17" s="30">
        <v>3.05276E-4</v>
      </c>
      <c r="E17" s="30">
        <v>3.14159E-4</v>
      </c>
      <c r="F17" s="30">
        <v>3.2195100000000001E-4</v>
      </c>
      <c r="G17" s="30">
        <v>3.2835699999999999E-4</v>
      </c>
      <c r="H17" s="30">
        <v>3.3318399999999999E-4</v>
      </c>
      <c r="I17" s="30">
        <v>3.3638299999999999E-4</v>
      </c>
      <c r="J17" s="30">
        <v>3.3806500000000002E-4</v>
      </c>
      <c r="K17" s="30">
        <v>3.3847E-4</v>
      </c>
      <c r="L17" s="30">
        <v>3.3799699999999998E-4</v>
      </c>
      <c r="M17" s="30">
        <v>3.3691500000000002E-4</v>
      </c>
      <c r="N17" s="30">
        <v>3.3533100000000002E-4</v>
      </c>
      <c r="O17" s="30">
        <v>3.3328600000000002E-4</v>
      </c>
      <c r="P17" s="30">
        <v>3.3088600000000002E-4</v>
      </c>
      <c r="Q17" s="30">
        <v>3.2820599999999999E-4</v>
      </c>
      <c r="R17" s="30">
        <v>3.2535099999999998E-4</v>
      </c>
      <c r="S17" s="30">
        <v>3.2232499999999999E-4</v>
      </c>
      <c r="T17" s="30">
        <v>3.1919799999999998E-4</v>
      </c>
      <c r="U17" s="30">
        <v>3.1603799999999999E-4</v>
      </c>
      <c r="V17" s="30">
        <v>3.12878E-4</v>
      </c>
      <c r="X17" s="22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</row>
    <row r="18" spans="1:125" ht="15.75">
      <c r="A18" s="32">
        <v>36</v>
      </c>
      <c r="B18" s="31">
        <v>2.9999999999999997E-4</v>
      </c>
      <c r="C18" s="30">
        <v>3.0962999999999997E-4</v>
      </c>
      <c r="D18" s="30">
        <v>3.1916699999999998E-4</v>
      </c>
      <c r="E18" s="30">
        <v>3.2813500000000002E-4</v>
      </c>
      <c r="F18" s="30">
        <v>3.3610900000000002E-4</v>
      </c>
      <c r="G18" s="30">
        <v>3.4276400000000001E-4</v>
      </c>
      <c r="H18" s="30">
        <v>3.4787099999999998E-4</v>
      </c>
      <c r="I18" s="30">
        <v>3.5135E-4</v>
      </c>
      <c r="J18" s="30">
        <v>3.5328200000000001E-4</v>
      </c>
      <c r="K18" s="30">
        <v>3.53918E-4</v>
      </c>
      <c r="L18" s="30">
        <v>3.5363499999999998E-4</v>
      </c>
      <c r="M18" s="30">
        <v>3.5268000000000002E-4</v>
      </c>
      <c r="N18" s="30">
        <v>3.5112799999999998E-4</v>
      </c>
      <c r="O18" s="30">
        <v>3.4909200000000001E-4</v>
      </c>
      <c r="P18" s="30">
        <v>3.4664800000000002E-4</v>
      </c>
      <c r="Q18" s="30">
        <v>3.43875E-4</v>
      </c>
      <c r="R18" s="30">
        <v>3.40883E-4</v>
      </c>
      <c r="S18" s="30">
        <v>3.3771300000000001E-4</v>
      </c>
      <c r="T18" s="30">
        <v>3.3443699999999998E-4</v>
      </c>
      <c r="U18" s="30">
        <v>3.31126E-4</v>
      </c>
      <c r="V18" s="30">
        <v>3.2781500000000002E-4</v>
      </c>
      <c r="X18" s="22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</row>
    <row r="19" spans="1:125" ht="15.75">
      <c r="A19" s="32">
        <v>37</v>
      </c>
      <c r="B19" s="31">
        <v>3.1799999999999998E-4</v>
      </c>
      <c r="C19" s="30">
        <v>3.27349E-4</v>
      </c>
      <c r="D19" s="30">
        <v>3.3671100000000001E-4</v>
      </c>
      <c r="E19" s="30">
        <v>3.4563399999999999E-4</v>
      </c>
      <c r="F19" s="30">
        <v>3.5368800000000001E-4</v>
      </c>
      <c r="G19" s="30">
        <v>3.6047800000000001E-4</v>
      </c>
      <c r="H19" s="30">
        <v>3.6581299999999999E-4</v>
      </c>
      <c r="I19" s="30">
        <v>3.6954499999999999E-4</v>
      </c>
      <c r="J19" s="30">
        <v>3.7176199999999998E-4</v>
      </c>
      <c r="K19" s="30">
        <v>3.7265399999999999E-4</v>
      </c>
      <c r="L19" s="30">
        <v>3.7258000000000001E-4</v>
      </c>
      <c r="M19" s="30">
        <v>3.7176E-4</v>
      </c>
      <c r="N19" s="30">
        <v>3.7031E-4</v>
      </c>
      <c r="O19" s="30">
        <v>3.6827300000000002E-4</v>
      </c>
      <c r="P19" s="30">
        <v>3.65769E-4</v>
      </c>
      <c r="Q19" s="30">
        <v>3.6291600000000002E-4</v>
      </c>
      <c r="R19" s="30">
        <v>3.5975900000000002E-4</v>
      </c>
      <c r="S19" s="30">
        <v>3.5641299999999998E-4</v>
      </c>
      <c r="T19" s="30">
        <v>3.5295599999999997E-4</v>
      </c>
      <c r="U19" s="30">
        <v>3.4946199999999998E-4</v>
      </c>
      <c r="V19" s="30">
        <v>3.4596699999999998E-4</v>
      </c>
      <c r="X19" s="22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</row>
    <row r="20" spans="1:125" ht="15.75">
      <c r="A20" s="32">
        <v>38</v>
      </c>
      <c r="B20" s="31">
        <v>3.39E-4</v>
      </c>
      <c r="C20" s="30">
        <v>3.47814E-4</v>
      </c>
      <c r="D20" s="30">
        <v>3.5678800000000003E-4</v>
      </c>
      <c r="E20" s="30">
        <v>3.6545799999999998E-4</v>
      </c>
      <c r="F20" s="30">
        <v>3.73388E-4</v>
      </c>
      <c r="G20" s="30">
        <v>3.8022099999999998E-4</v>
      </c>
      <c r="H20" s="30">
        <v>3.8565799999999999E-4</v>
      </c>
      <c r="I20" s="30">
        <v>3.8959200000000002E-4</v>
      </c>
      <c r="J20" s="30">
        <v>3.9204600000000001E-4</v>
      </c>
      <c r="K20" s="30">
        <v>3.9318300000000002E-4</v>
      </c>
      <c r="L20" s="30">
        <v>3.9330099999999998E-4</v>
      </c>
      <c r="M20" s="30">
        <v>3.9263299999999998E-4</v>
      </c>
      <c r="N20" s="30">
        <v>3.9125800000000001E-4</v>
      </c>
      <c r="O20" s="30">
        <v>3.8922400000000003E-4</v>
      </c>
      <c r="P20" s="30">
        <v>3.8669399999999998E-4</v>
      </c>
      <c r="Q20" s="30">
        <v>3.8371599999999998E-4</v>
      </c>
      <c r="R20" s="30">
        <v>3.8041600000000001E-4</v>
      </c>
      <c r="S20" s="30">
        <v>3.76917E-4</v>
      </c>
      <c r="T20" s="30">
        <v>3.7325999999999999E-4</v>
      </c>
      <c r="U20" s="30">
        <v>3.6956499999999998E-4</v>
      </c>
      <c r="V20" s="30">
        <v>3.65869E-4</v>
      </c>
      <c r="X20" s="22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</row>
    <row r="21" spans="1:125" ht="15.75">
      <c r="A21" s="32">
        <v>39</v>
      </c>
      <c r="B21" s="31">
        <v>3.6499999999999998E-4</v>
      </c>
      <c r="C21" s="30">
        <v>3.7306699999999998E-4</v>
      </c>
      <c r="D21" s="30">
        <v>3.8142299999999998E-4</v>
      </c>
      <c r="E21" s="30">
        <v>3.8962399999999998E-4</v>
      </c>
      <c r="F21" s="30">
        <v>3.9725999999999997E-4</v>
      </c>
      <c r="G21" s="30">
        <v>4.0397399999999998E-4</v>
      </c>
      <c r="H21" s="30">
        <v>4.0946800000000002E-4</v>
      </c>
      <c r="I21" s="30">
        <v>4.1356299999999998E-4</v>
      </c>
      <c r="J21" s="30">
        <v>4.1625100000000002E-4</v>
      </c>
      <c r="K21" s="30">
        <v>4.1762499999999997E-4</v>
      </c>
      <c r="L21" s="30">
        <v>4.1795899999999997E-4</v>
      </c>
      <c r="M21" s="30">
        <v>4.1745699999999998E-4</v>
      </c>
      <c r="N21" s="30">
        <v>4.1616299999999999E-4</v>
      </c>
      <c r="O21" s="30">
        <v>4.1416499999999998E-4</v>
      </c>
      <c r="P21" s="30">
        <v>4.1155599999999999E-4</v>
      </c>
      <c r="Q21" s="30">
        <v>4.0847000000000002E-4</v>
      </c>
      <c r="R21" s="30">
        <v>4.0503799999999998E-4</v>
      </c>
      <c r="S21" s="30">
        <v>4.0131200000000002E-4</v>
      </c>
      <c r="T21" s="30">
        <v>3.9745900000000002E-4</v>
      </c>
      <c r="U21" s="30">
        <v>3.9352499999999998E-4</v>
      </c>
      <c r="V21" s="30">
        <v>3.8958900000000003E-4</v>
      </c>
      <c r="X21" s="22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</row>
    <row r="22" spans="1:125" ht="15.75">
      <c r="A22" s="32">
        <v>40</v>
      </c>
      <c r="B22" s="31">
        <v>3.9599999999999998E-4</v>
      </c>
      <c r="C22" s="30">
        <v>4.03049E-4</v>
      </c>
      <c r="D22" s="30">
        <v>4.1050499999999997E-4</v>
      </c>
      <c r="E22" s="30">
        <v>4.1801700000000002E-4</v>
      </c>
      <c r="F22" s="30">
        <v>4.2516599999999999E-4</v>
      </c>
      <c r="G22" s="30">
        <v>4.3158600000000002E-4</v>
      </c>
      <c r="H22" s="30">
        <v>4.3698000000000001E-4</v>
      </c>
      <c r="I22" s="30">
        <v>4.41132E-4</v>
      </c>
      <c r="J22" s="30">
        <v>4.43955E-4</v>
      </c>
      <c r="K22" s="30">
        <v>4.4555300000000001E-4</v>
      </c>
      <c r="L22" s="30">
        <v>4.4608799999999997E-4</v>
      </c>
      <c r="M22" s="30">
        <v>4.4573099999999999E-4</v>
      </c>
      <c r="N22" s="30">
        <v>4.4452700000000001E-4</v>
      </c>
      <c r="O22" s="30">
        <v>4.4252700000000001E-4</v>
      </c>
      <c r="P22" s="30">
        <v>4.3987200000000001E-4</v>
      </c>
      <c r="Q22" s="30">
        <v>4.3666100000000003E-4</v>
      </c>
      <c r="R22" s="30">
        <v>4.3303699999999999E-4</v>
      </c>
      <c r="S22" s="30">
        <v>4.2909600000000001E-4</v>
      </c>
      <c r="T22" s="30">
        <v>4.2497699999999999E-4</v>
      </c>
      <c r="U22" s="30">
        <v>4.2076899999999998E-4</v>
      </c>
      <c r="V22" s="30">
        <v>4.1656199999999999E-4</v>
      </c>
      <c r="X22" s="22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</row>
    <row r="23" spans="1:125">
      <c r="A23" s="32">
        <v>41</v>
      </c>
      <c r="B23" s="31">
        <v>4.3300000000000001E-4</v>
      </c>
      <c r="C23" s="30">
        <v>4.3875899999999999E-4</v>
      </c>
      <c r="D23" s="30">
        <v>4.4507699999999999E-4</v>
      </c>
      <c r="E23" s="30">
        <v>4.5162000000000002E-4</v>
      </c>
      <c r="F23" s="30">
        <v>4.58033E-4</v>
      </c>
      <c r="G23" s="30">
        <v>4.63941E-4</v>
      </c>
      <c r="H23" s="30">
        <v>4.6904500000000002E-4</v>
      </c>
      <c r="I23" s="30">
        <v>4.7312500000000002E-4</v>
      </c>
      <c r="J23" s="30">
        <v>4.7605899999999998E-4</v>
      </c>
      <c r="K23" s="30">
        <v>4.7782E-4</v>
      </c>
      <c r="L23" s="30">
        <v>4.7853700000000002E-4</v>
      </c>
      <c r="M23" s="30">
        <v>4.7829799999999999E-4</v>
      </c>
      <c r="N23" s="30">
        <v>4.7715000000000002E-4</v>
      </c>
      <c r="O23" s="30">
        <v>4.7514600000000002E-4</v>
      </c>
      <c r="P23" s="30">
        <v>4.7239E-4</v>
      </c>
      <c r="Q23" s="30">
        <v>4.6903599999999999E-4</v>
      </c>
      <c r="R23" s="30">
        <v>4.6518999999999998E-4</v>
      </c>
      <c r="S23" s="30">
        <v>4.6100299999999998E-4</v>
      </c>
      <c r="T23" s="30">
        <v>4.56577E-4</v>
      </c>
      <c r="U23" s="30">
        <v>4.5205700000000001E-4</v>
      </c>
      <c r="V23" s="30">
        <v>4.4753700000000002E-4</v>
      </c>
    </row>
    <row r="24" spans="1:125">
      <c r="A24" s="32">
        <v>42</v>
      </c>
      <c r="B24" s="31">
        <v>4.7699999999999999E-4</v>
      </c>
      <c r="C24" s="30">
        <v>4.8124499999999999E-4</v>
      </c>
      <c r="D24" s="30">
        <v>4.8620199999999998E-4</v>
      </c>
      <c r="E24" s="30">
        <v>4.9154999999999999E-4</v>
      </c>
      <c r="F24" s="30">
        <v>4.9700700000000005E-4</v>
      </c>
      <c r="G24" s="30">
        <v>5.0222500000000002E-4</v>
      </c>
      <c r="H24" s="30">
        <v>5.0689599999999995E-4</v>
      </c>
      <c r="I24" s="30">
        <v>5.1079900000000004E-4</v>
      </c>
      <c r="J24" s="30">
        <v>5.1371000000000001E-4</v>
      </c>
      <c r="K24" s="30">
        <v>5.1555999999999998E-4</v>
      </c>
      <c r="L24" s="30">
        <v>5.1638499999999996E-4</v>
      </c>
      <c r="M24" s="30">
        <v>5.1628100000000005E-4</v>
      </c>
      <c r="N24" s="30">
        <v>5.1519700000000001E-4</v>
      </c>
      <c r="O24" s="30">
        <v>5.1318800000000003E-4</v>
      </c>
      <c r="P24" s="30">
        <v>5.1036500000000004E-4</v>
      </c>
      <c r="Q24" s="30">
        <v>5.06844E-4</v>
      </c>
      <c r="R24" s="30">
        <v>5.0273799999999997E-4</v>
      </c>
      <c r="S24" s="30">
        <v>4.9821399999999997E-4</v>
      </c>
      <c r="T24" s="30">
        <v>4.9343100000000001E-4</v>
      </c>
      <c r="U24" s="30">
        <v>4.8854599999999997E-4</v>
      </c>
      <c r="V24" s="30">
        <v>4.8366099999999998E-4</v>
      </c>
    </row>
    <row r="25" spans="1:125">
      <c r="A25" s="32">
        <v>43</v>
      </c>
      <c r="B25" s="31">
        <v>5.2899999999999996E-4</v>
      </c>
      <c r="C25" s="30">
        <v>5.31592E-4</v>
      </c>
      <c r="D25" s="30">
        <v>5.3494100000000004E-4</v>
      </c>
      <c r="E25" s="30">
        <v>5.3890000000000003E-4</v>
      </c>
      <c r="F25" s="30">
        <v>5.4315699999999995E-4</v>
      </c>
      <c r="G25" s="30">
        <v>5.4744799999999997E-4</v>
      </c>
      <c r="H25" s="30">
        <v>5.51499E-4</v>
      </c>
      <c r="I25" s="30">
        <v>5.5502899999999996E-4</v>
      </c>
      <c r="J25" s="30">
        <v>5.5774799999999995E-4</v>
      </c>
      <c r="K25" s="30">
        <v>5.5958899999999998E-4</v>
      </c>
      <c r="L25" s="30">
        <v>5.6048399999999998E-4</v>
      </c>
      <c r="M25" s="30">
        <v>5.6042799999999997E-4</v>
      </c>
      <c r="N25" s="30">
        <v>5.59363E-4</v>
      </c>
      <c r="O25" s="30">
        <v>5.5729399999999995E-4</v>
      </c>
      <c r="P25" s="30">
        <v>5.5433999999999995E-4</v>
      </c>
      <c r="Q25" s="30">
        <v>5.5057100000000002E-4</v>
      </c>
      <c r="R25" s="30">
        <v>5.4616599999999995E-4</v>
      </c>
      <c r="S25" s="30">
        <v>5.4130499999999995E-4</v>
      </c>
      <c r="T25" s="30">
        <v>5.3616299999999998E-4</v>
      </c>
      <c r="U25" s="30">
        <v>5.30855E-4</v>
      </c>
      <c r="V25" s="30">
        <v>5.25546E-4</v>
      </c>
    </row>
    <row r="26" spans="1:125">
      <c r="A26" s="32">
        <v>44</v>
      </c>
      <c r="B26" s="31">
        <v>5.8900000000000001E-4</v>
      </c>
      <c r="C26" s="30">
        <v>5.8976600000000003E-4</v>
      </c>
      <c r="D26" s="30">
        <v>5.9135800000000005E-4</v>
      </c>
      <c r="E26" s="30">
        <v>5.9366400000000004E-4</v>
      </c>
      <c r="F26" s="30">
        <v>5.9651400000000003E-4</v>
      </c>
      <c r="G26" s="30">
        <v>5.9967500000000003E-4</v>
      </c>
      <c r="H26" s="30">
        <v>6.02854E-4</v>
      </c>
      <c r="I26" s="30">
        <v>6.05808E-4</v>
      </c>
      <c r="J26" s="30">
        <v>6.0823099999999998E-4</v>
      </c>
      <c r="K26" s="30">
        <v>6.0993400000000002E-4</v>
      </c>
      <c r="L26" s="30">
        <v>6.1078800000000002E-4</v>
      </c>
      <c r="M26" s="30">
        <v>6.1072700000000004E-4</v>
      </c>
      <c r="N26" s="30">
        <v>6.0962799999999997E-4</v>
      </c>
      <c r="O26" s="30">
        <v>6.0749399999999998E-4</v>
      </c>
      <c r="P26" s="30">
        <v>6.0433500000000001E-4</v>
      </c>
      <c r="Q26" s="30">
        <v>6.0034599999999997E-4</v>
      </c>
      <c r="R26" s="30">
        <v>5.9560400000000001E-4</v>
      </c>
      <c r="S26" s="30">
        <v>5.9036199999999998E-4</v>
      </c>
      <c r="T26" s="30">
        <v>5.8475400000000005E-4</v>
      </c>
      <c r="U26" s="30">
        <v>5.7896499999999997E-4</v>
      </c>
      <c r="V26" s="30">
        <v>5.7317499999999999E-4</v>
      </c>
    </row>
    <row r="27" spans="1:125">
      <c r="A27" s="32">
        <v>45</v>
      </c>
      <c r="B27" s="31">
        <v>6.5700000000000003E-4</v>
      </c>
      <c r="C27" s="30">
        <v>6.5594899999999996E-4</v>
      </c>
      <c r="D27" s="30">
        <v>6.5568600000000005E-4</v>
      </c>
      <c r="E27" s="30">
        <v>6.5627700000000003E-4</v>
      </c>
      <c r="F27" s="30">
        <v>6.5752300000000003E-4</v>
      </c>
      <c r="G27" s="30">
        <v>6.5936499999999997E-4</v>
      </c>
      <c r="H27" s="30">
        <v>6.61474E-4</v>
      </c>
      <c r="I27" s="30">
        <v>6.6359100000000005E-4</v>
      </c>
      <c r="J27" s="30">
        <v>6.6544900000000003E-4</v>
      </c>
      <c r="K27" s="30">
        <v>6.6684700000000003E-4</v>
      </c>
      <c r="L27" s="30">
        <v>6.6751400000000002E-4</v>
      </c>
      <c r="M27" s="30">
        <v>6.67313E-4</v>
      </c>
      <c r="N27" s="30">
        <v>6.6611199999999995E-4</v>
      </c>
      <c r="O27" s="30">
        <v>6.6384699999999996E-4</v>
      </c>
      <c r="P27" s="30">
        <v>6.6052799999999996E-4</v>
      </c>
      <c r="Q27" s="30">
        <v>6.5623500000000002E-4</v>
      </c>
      <c r="R27" s="30">
        <v>6.5111599999999998E-4</v>
      </c>
      <c r="S27" s="30">
        <v>6.4545100000000001E-4</v>
      </c>
      <c r="T27" s="30">
        <v>6.3931999999999997E-4</v>
      </c>
      <c r="U27" s="30">
        <v>6.3299000000000005E-4</v>
      </c>
      <c r="V27" s="30">
        <v>6.2666000000000002E-4</v>
      </c>
    </row>
    <row r="28" spans="1:125">
      <c r="A28" s="32">
        <v>46</v>
      </c>
      <c r="B28" s="31">
        <v>7.3300000000000004E-4</v>
      </c>
      <c r="C28" s="30">
        <v>7.3028800000000005E-4</v>
      </c>
      <c r="D28" s="30">
        <v>7.2824299999999995E-4</v>
      </c>
      <c r="E28" s="30">
        <v>7.2700499999999997E-4</v>
      </c>
      <c r="F28" s="30">
        <v>7.26642E-4</v>
      </c>
      <c r="G28" s="30">
        <v>7.2693200000000001E-4</v>
      </c>
      <c r="H28" s="30">
        <v>7.2780499999999999E-4</v>
      </c>
      <c r="I28" s="30">
        <v>7.2889600000000004E-4</v>
      </c>
      <c r="J28" s="30">
        <v>7.2999000000000002E-4</v>
      </c>
      <c r="K28" s="30">
        <v>7.3079299999999998E-4</v>
      </c>
      <c r="L28" s="30">
        <v>7.3108500000000002E-4</v>
      </c>
      <c r="M28" s="30">
        <v>7.3064600000000005E-4</v>
      </c>
      <c r="N28" s="30">
        <v>7.2918500000000003E-4</v>
      </c>
      <c r="O28" s="30">
        <v>7.2663299999999997E-4</v>
      </c>
      <c r="P28" s="30">
        <v>7.2300000000000001E-4</v>
      </c>
      <c r="Q28" s="30">
        <v>7.18372E-4</v>
      </c>
      <c r="R28" s="30">
        <v>7.1284099999999997E-4</v>
      </c>
      <c r="S28" s="30">
        <v>7.0663900000000001E-4</v>
      </c>
      <c r="T28" s="30">
        <v>6.9999700000000005E-4</v>
      </c>
      <c r="U28" s="30">
        <v>6.9306700000000001E-4</v>
      </c>
      <c r="V28" s="30">
        <v>6.8613599999999995E-4</v>
      </c>
    </row>
    <row r="29" spans="1:125">
      <c r="A29" s="32">
        <v>47</v>
      </c>
      <c r="B29" s="31">
        <v>8.1599999999999999E-4</v>
      </c>
      <c r="C29" s="30">
        <v>8.1200200000000004E-4</v>
      </c>
      <c r="D29" s="30">
        <v>8.0851000000000002E-4</v>
      </c>
      <c r="E29" s="30">
        <v>8.0568000000000002E-4</v>
      </c>
      <c r="F29" s="30">
        <v>8.03585E-4</v>
      </c>
      <c r="G29" s="30">
        <v>8.0230000000000004E-4</v>
      </c>
      <c r="H29" s="30">
        <v>8.0173799999999997E-4</v>
      </c>
      <c r="I29" s="30">
        <v>8.0165800000000001E-4</v>
      </c>
      <c r="J29" s="30">
        <v>8.0173799999999997E-4</v>
      </c>
      <c r="K29" s="30">
        <v>8.0173799999999997E-4</v>
      </c>
      <c r="L29" s="30">
        <v>8.0141700000000001E-4</v>
      </c>
      <c r="M29" s="30">
        <v>8.0053600000000002E-4</v>
      </c>
      <c r="N29" s="30">
        <v>7.9869499999999998E-4</v>
      </c>
      <c r="O29" s="30">
        <v>7.9581900000000002E-4</v>
      </c>
      <c r="P29" s="30">
        <v>7.9184000000000004E-4</v>
      </c>
      <c r="Q29" s="30">
        <v>7.8677200000000004E-4</v>
      </c>
      <c r="R29" s="30">
        <v>7.80793E-4</v>
      </c>
      <c r="S29" s="30">
        <v>7.7407799999999998E-4</v>
      </c>
      <c r="T29" s="30">
        <v>7.6680200000000002E-4</v>
      </c>
      <c r="U29" s="30">
        <v>7.5920999999999996E-4</v>
      </c>
      <c r="V29" s="30">
        <v>7.5161800000000001E-4</v>
      </c>
    </row>
    <row r="30" spans="1:125">
      <c r="A30" s="32">
        <v>48</v>
      </c>
      <c r="B30" s="31">
        <v>9.0600000000000001E-4</v>
      </c>
      <c r="C30" s="30">
        <v>9.01379E-4</v>
      </c>
      <c r="D30" s="30">
        <v>8.9687299999999996E-4</v>
      </c>
      <c r="E30" s="30">
        <v>8.9274700000000005E-4</v>
      </c>
      <c r="F30" s="30">
        <v>8.8917599999999999E-4</v>
      </c>
      <c r="G30" s="30">
        <v>8.8633099999999997E-4</v>
      </c>
      <c r="H30" s="30">
        <v>8.8420299999999996E-4</v>
      </c>
      <c r="I30" s="30">
        <v>8.8270000000000004E-4</v>
      </c>
      <c r="J30" s="30">
        <v>8.8155299999999998E-4</v>
      </c>
      <c r="K30" s="30">
        <v>8.8049500000000002E-4</v>
      </c>
      <c r="L30" s="30">
        <v>8.7934999999999999E-4</v>
      </c>
      <c r="M30" s="30">
        <v>8.77767E-4</v>
      </c>
      <c r="N30" s="30">
        <v>8.7539699999999998E-4</v>
      </c>
      <c r="O30" s="30">
        <v>8.7207099999999998E-4</v>
      </c>
      <c r="P30" s="30">
        <v>8.6762299999999998E-4</v>
      </c>
      <c r="Q30" s="30">
        <v>8.6207099999999995E-4</v>
      </c>
      <c r="R30" s="30">
        <v>8.5551900000000001E-4</v>
      </c>
      <c r="S30" s="30">
        <v>8.4816100000000005E-4</v>
      </c>
      <c r="T30" s="30">
        <v>8.4018899999999997E-4</v>
      </c>
      <c r="U30" s="30">
        <v>8.31955E-4</v>
      </c>
      <c r="V30" s="30">
        <v>8.2363499999999997E-4</v>
      </c>
    </row>
    <row r="31" spans="1:125">
      <c r="A31" s="32">
        <v>49</v>
      </c>
      <c r="B31" s="31">
        <v>1.0009999999999999E-3</v>
      </c>
      <c r="C31" s="30">
        <v>9.9649599999999993E-4</v>
      </c>
      <c r="D31" s="30">
        <v>9.9161299999999991E-4</v>
      </c>
      <c r="E31" s="30">
        <v>9.8665499999999991E-4</v>
      </c>
      <c r="F31" s="30">
        <v>9.8191899999999993E-4</v>
      </c>
      <c r="G31" s="30">
        <v>9.776959999999999E-4</v>
      </c>
      <c r="H31" s="30">
        <v>9.7398099999999996E-4</v>
      </c>
      <c r="I31" s="30">
        <v>9.7086399999999999E-4</v>
      </c>
      <c r="J31" s="30">
        <v>9.6824300000000003E-4</v>
      </c>
      <c r="K31" s="30">
        <v>9.6591899999999998E-4</v>
      </c>
      <c r="L31" s="30">
        <v>9.6360100000000002E-4</v>
      </c>
      <c r="M31" s="30">
        <v>9.6109600000000004E-4</v>
      </c>
      <c r="N31" s="30">
        <v>9.5801999999999997E-4</v>
      </c>
      <c r="O31" s="30">
        <v>9.5409200000000003E-4</v>
      </c>
      <c r="P31" s="30">
        <v>9.4913099999999998E-4</v>
      </c>
      <c r="Q31" s="30">
        <v>9.4305699999999997E-4</v>
      </c>
      <c r="R31" s="30">
        <v>9.3588899999999997E-4</v>
      </c>
      <c r="S31" s="30">
        <v>9.27841E-4</v>
      </c>
      <c r="T31" s="30">
        <v>9.1911900000000003E-4</v>
      </c>
      <c r="U31" s="30">
        <v>9.1011200000000003E-4</v>
      </c>
      <c r="V31" s="30">
        <v>9.0101099999999996E-4</v>
      </c>
    </row>
    <row r="32" spans="1:125">
      <c r="A32" s="32">
        <v>50</v>
      </c>
      <c r="B32" s="31">
        <v>2.7680000000000001E-3</v>
      </c>
      <c r="C32" s="30">
        <v>2.7596959999999999E-3</v>
      </c>
      <c r="D32" s="30">
        <v>2.7489329999999998E-3</v>
      </c>
      <c r="E32" s="30">
        <v>2.7362879999999999E-3</v>
      </c>
      <c r="F32" s="30">
        <v>2.72288E-3</v>
      </c>
      <c r="G32" s="30">
        <v>2.7092660000000001E-3</v>
      </c>
      <c r="H32" s="30">
        <v>2.6962610000000001E-3</v>
      </c>
      <c r="I32" s="30">
        <v>2.6843980000000002E-3</v>
      </c>
      <c r="J32" s="30">
        <v>2.67366E-3</v>
      </c>
      <c r="K32" s="30">
        <v>2.663768E-3</v>
      </c>
      <c r="L32" s="30">
        <v>2.6544450000000001E-3</v>
      </c>
      <c r="M32" s="30">
        <v>2.6451539999999998E-3</v>
      </c>
      <c r="N32" s="30">
        <v>2.634838E-3</v>
      </c>
      <c r="O32" s="30">
        <v>2.622718E-3</v>
      </c>
      <c r="P32" s="30">
        <v>2.6082929999999998E-3</v>
      </c>
      <c r="Q32" s="30">
        <v>2.5910780000000001E-3</v>
      </c>
      <c r="R32" s="30">
        <v>2.5713860000000002E-3</v>
      </c>
      <c r="S32" s="30">
        <v>2.549272E-3</v>
      </c>
      <c r="T32" s="30">
        <v>2.5255640000000001E-3</v>
      </c>
      <c r="U32" s="30">
        <v>2.5008130000000002E-3</v>
      </c>
      <c r="V32" s="30">
        <v>2.4758050000000002E-3</v>
      </c>
    </row>
    <row r="33" spans="1:22">
      <c r="A33" s="32">
        <v>51</v>
      </c>
      <c r="B33" s="31">
        <v>2.905E-3</v>
      </c>
      <c r="C33" s="30">
        <v>2.9020949999999999E-3</v>
      </c>
      <c r="D33" s="30">
        <v>2.8951300000000001E-3</v>
      </c>
      <c r="E33" s="30">
        <v>2.8847080000000002E-3</v>
      </c>
      <c r="F33" s="30">
        <v>2.8717259999999998E-3</v>
      </c>
      <c r="G33" s="30">
        <v>2.857081E-3</v>
      </c>
      <c r="H33" s="30">
        <v>2.841938E-3</v>
      </c>
      <c r="I33" s="30">
        <v>2.8265920000000002E-3</v>
      </c>
      <c r="J33" s="30">
        <v>2.8118930000000002E-3</v>
      </c>
      <c r="K33" s="30">
        <v>2.7981149999999999E-3</v>
      </c>
      <c r="L33" s="30">
        <v>2.7852440000000001E-3</v>
      </c>
      <c r="M33" s="30">
        <v>2.7727099999999998E-3</v>
      </c>
      <c r="N33" s="30">
        <v>2.759956E-3</v>
      </c>
      <c r="O33" s="30">
        <v>2.74588E-3</v>
      </c>
      <c r="P33" s="30">
        <v>2.7299540000000001E-3</v>
      </c>
      <c r="Q33" s="30">
        <v>2.711663E-3</v>
      </c>
      <c r="R33" s="30">
        <v>2.690783E-3</v>
      </c>
      <c r="S33" s="30">
        <v>2.667642E-3</v>
      </c>
      <c r="T33" s="30">
        <v>2.6428329999999998E-3</v>
      </c>
      <c r="U33" s="30">
        <v>2.616934E-3</v>
      </c>
      <c r="V33" s="30">
        <v>2.5907640000000002E-3</v>
      </c>
    </row>
    <row r="34" spans="1:22">
      <c r="A34" s="32">
        <v>52</v>
      </c>
      <c r="B34" s="31">
        <v>3.0569999999999998E-3</v>
      </c>
      <c r="C34" s="30">
        <v>3.0615859999999998E-3</v>
      </c>
      <c r="D34" s="30">
        <v>3.060667E-3</v>
      </c>
      <c r="E34" s="30">
        <v>3.054546E-3</v>
      </c>
      <c r="F34" s="30">
        <v>3.0438549999999998E-3</v>
      </c>
      <c r="G34" s="30">
        <v>3.0295489999999999E-3</v>
      </c>
      <c r="H34" s="30">
        <v>3.0128860000000002E-3</v>
      </c>
      <c r="I34" s="30">
        <v>2.9948090000000002E-3</v>
      </c>
      <c r="J34" s="30">
        <v>2.9762410000000001E-3</v>
      </c>
      <c r="K34" s="30">
        <v>2.9583840000000001E-3</v>
      </c>
      <c r="L34" s="30">
        <v>2.9415209999999999E-3</v>
      </c>
      <c r="M34" s="30">
        <v>2.925637E-3</v>
      </c>
      <c r="N34" s="30">
        <v>2.9098380000000001E-3</v>
      </c>
      <c r="O34" s="30">
        <v>2.8932519999999998E-3</v>
      </c>
      <c r="P34" s="30">
        <v>2.8750249999999998E-3</v>
      </c>
      <c r="Q34" s="30">
        <v>2.8548990000000002E-3</v>
      </c>
      <c r="R34" s="30">
        <v>2.832631E-3</v>
      </c>
      <c r="S34" s="30">
        <v>2.8079870000000001E-3</v>
      </c>
      <c r="T34" s="30">
        <v>2.7815919999999998E-3</v>
      </c>
      <c r="U34" s="30">
        <v>2.7543329999999999E-3</v>
      </c>
      <c r="V34" s="30">
        <v>2.7267889999999999E-3</v>
      </c>
    </row>
    <row r="35" spans="1:22">
      <c r="A35" s="32">
        <v>53</v>
      </c>
      <c r="B35" s="31">
        <v>3.225E-3</v>
      </c>
      <c r="C35" s="30">
        <v>3.2385449999999998E-3</v>
      </c>
      <c r="D35" s="30">
        <v>3.2453460000000001E-3</v>
      </c>
      <c r="E35" s="30">
        <v>3.2453460000000001E-3</v>
      </c>
      <c r="F35" s="30">
        <v>3.2385309999999998E-3</v>
      </c>
      <c r="G35" s="30">
        <v>3.2258999999999999E-3</v>
      </c>
      <c r="H35" s="30">
        <v>3.2088030000000001E-3</v>
      </c>
      <c r="I35" s="30">
        <v>3.188588E-3</v>
      </c>
      <c r="J35" s="30">
        <v>3.1669049999999998E-3</v>
      </c>
      <c r="K35" s="30">
        <v>3.1447369999999999E-3</v>
      </c>
      <c r="L35" s="30">
        <v>3.1236670000000001E-3</v>
      </c>
      <c r="M35" s="30">
        <v>3.1036760000000001E-3</v>
      </c>
      <c r="N35" s="30">
        <v>3.0844330000000001E-3</v>
      </c>
      <c r="O35" s="30">
        <v>3.0650009999999999E-3</v>
      </c>
      <c r="P35" s="30">
        <v>3.044466E-3</v>
      </c>
      <c r="Q35" s="30">
        <v>3.0222410000000002E-3</v>
      </c>
      <c r="R35" s="30">
        <v>2.998063E-3</v>
      </c>
      <c r="S35" s="30">
        <v>2.9719799999999999E-3</v>
      </c>
      <c r="T35" s="30">
        <v>2.9440429999999999E-3</v>
      </c>
      <c r="U35" s="30">
        <v>2.915192E-3</v>
      </c>
      <c r="V35" s="30">
        <v>2.8860399999999999E-3</v>
      </c>
    </row>
    <row r="36" spans="1:22">
      <c r="A36" s="32">
        <v>54</v>
      </c>
      <c r="B36" s="31">
        <v>3.4120000000000001E-3</v>
      </c>
      <c r="C36" s="30">
        <v>3.435202E-3</v>
      </c>
      <c r="D36" s="30">
        <v>3.4510040000000001E-3</v>
      </c>
      <c r="E36" s="30">
        <v>3.4582509999999999E-3</v>
      </c>
      <c r="F36" s="30">
        <v>3.4565220000000001E-3</v>
      </c>
      <c r="G36" s="30">
        <v>3.4468430000000002E-3</v>
      </c>
      <c r="H36" s="30">
        <v>3.430298E-3</v>
      </c>
      <c r="I36" s="30">
        <v>3.408688E-3</v>
      </c>
      <c r="J36" s="30">
        <v>3.3841449999999999E-3</v>
      </c>
      <c r="K36" s="30">
        <v>3.3580870000000001E-3</v>
      </c>
      <c r="L36" s="30">
        <v>3.3325659999999999E-3</v>
      </c>
      <c r="M36" s="30">
        <v>3.3085710000000002E-3</v>
      </c>
      <c r="N36" s="30">
        <v>3.2854109999999998E-3</v>
      </c>
      <c r="O36" s="30">
        <v>3.262413E-3</v>
      </c>
      <c r="P36" s="30">
        <v>3.2389239999999998E-3</v>
      </c>
      <c r="Q36" s="30">
        <v>3.2143079999999999E-3</v>
      </c>
      <c r="R36" s="30">
        <v>3.1879510000000001E-3</v>
      </c>
      <c r="S36" s="30">
        <v>3.1598970000000001E-3</v>
      </c>
      <c r="T36" s="30">
        <v>3.1301940000000002E-3</v>
      </c>
      <c r="U36" s="30">
        <v>3.0995179999999999E-3</v>
      </c>
      <c r="V36" s="30">
        <v>3.0685230000000001E-3</v>
      </c>
    </row>
    <row r="37" spans="1:22">
      <c r="A37" s="32">
        <v>55</v>
      </c>
      <c r="B37" s="31">
        <v>3.6219999999999998E-3</v>
      </c>
      <c r="C37" s="30">
        <v>3.6549600000000001E-3</v>
      </c>
      <c r="D37" s="30">
        <v>3.680179E-3</v>
      </c>
      <c r="E37" s="30">
        <v>3.695636E-3</v>
      </c>
      <c r="F37" s="30">
        <v>3.7004410000000001E-3</v>
      </c>
      <c r="G37" s="30">
        <v>3.6948900000000002E-3</v>
      </c>
      <c r="H37" s="30">
        <v>3.6801099999999999E-3</v>
      </c>
      <c r="I37" s="30">
        <v>3.65803E-3</v>
      </c>
      <c r="J37" s="30">
        <v>3.6309599999999999E-3</v>
      </c>
      <c r="K37" s="30">
        <v>3.6015489999999999E-3</v>
      </c>
      <c r="L37" s="30">
        <v>3.5720169999999998E-3</v>
      </c>
      <c r="M37" s="30">
        <v>3.5437979999999999E-3</v>
      </c>
      <c r="N37" s="30">
        <v>3.5165109999999999E-3</v>
      </c>
      <c r="O37" s="30">
        <v>3.489785E-3</v>
      </c>
      <c r="P37" s="30">
        <v>3.4629140000000001E-3</v>
      </c>
      <c r="Q37" s="30">
        <v>3.4352100000000002E-3</v>
      </c>
      <c r="R37" s="30">
        <v>3.4063549999999998E-3</v>
      </c>
      <c r="S37" s="30">
        <v>3.376038E-3</v>
      </c>
      <c r="T37" s="30">
        <v>3.3439659999999999E-3</v>
      </c>
      <c r="U37" s="30">
        <v>3.3111949999999999E-3</v>
      </c>
      <c r="V37" s="30">
        <v>3.2780830000000002E-3</v>
      </c>
    </row>
    <row r="38" spans="1:22">
      <c r="A38" s="32">
        <v>56</v>
      </c>
      <c r="B38" s="31">
        <v>3.8579999999999999E-3</v>
      </c>
      <c r="C38" s="30">
        <v>3.900438E-3</v>
      </c>
      <c r="D38" s="30">
        <v>3.9351519999999999E-3</v>
      </c>
      <c r="E38" s="30">
        <v>3.9591560000000001E-3</v>
      </c>
      <c r="F38" s="30">
        <v>3.971034E-3</v>
      </c>
      <c r="G38" s="30">
        <v>3.970637E-3</v>
      </c>
      <c r="H38" s="30">
        <v>3.9587249999999997E-3</v>
      </c>
      <c r="I38" s="30">
        <v>3.9373480000000002E-3</v>
      </c>
      <c r="J38" s="30">
        <v>3.9089989999999998E-3</v>
      </c>
      <c r="K38" s="30">
        <v>3.8765539999999999E-3</v>
      </c>
      <c r="L38" s="30">
        <v>3.843216E-3</v>
      </c>
      <c r="M38" s="30">
        <v>3.810548E-3</v>
      </c>
      <c r="N38" s="30">
        <v>3.7789210000000002E-3</v>
      </c>
      <c r="O38" s="30">
        <v>3.7479340000000001E-3</v>
      </c>
      <c r="P38" s="30">
        <v>3.7172009999999998E-3</v>
      </c>
      <c r="Q38" s="30">
        <v>3.6863479999999999E-3</v>
      </c>
      <c r="R38" s="30">
        <v>3.6546450000000002E-3</v>
      </c>
      <c r="S38" s="30">
        <v>3.6213880000000001E-3</v>
      </c>
      <c r="T38" s="30">
        <v>3.586985E-3</v>
      </c>
      <c r="U38" s="30">
        <v>3.5514740000000002E-3</v>
      </c>
      <c r="V38" s="30">
        <v>3.5159589999999999E-3</v>
      </c>
    </row>
    <row r="39" spans="1:22">
      <c r="A39" s="32">
        <v>57</v>
      </c>
      <c r="B39" s="31">
        <v>4.1279999999999997E-3</v>
      </c>
      <c r="C39" s="30">
        <v>4.1783619999999997E-3</v>
      </c>
      <c r="D39" s="30">
        <v>4.2213989999999998E-3</v>
      </c>
      <c r="E39" s="30">
        <v>4.2534809999999999E-3</v>
      </c>
      <c r="F39" s="30">
        <v>4.2726220000000002E-3</v>
      </c>
      <c r="G39" s="30">
        <v>4.277749E-3</v>
      </c>
      <c r="H39" s="30">
        <v>4.2696210000000004E-3</v>
      </c>
      <c r="I39" s="30">
        <v>4.2499809999999999E-3</v>
      </c>
      <c r="J39" s="30">
        <v>4.2210809999999998E-3</v>
      </c>
      <c r="K39" s="30">
        <v>4.1864679999999996E-3</v>
      </c>
      <c r="L39" s="30">
        <v>4.1496279999999998E-3</v>
      </c>
      <c r="M39" s="30">
        <v>4.113111E-3</v>
      </c>
      <c r="N39" s="30">
        <v>4.0773270000000004E-3</v>
      </c>
      <c r="O39" s="30">
        <v>4.0422619999999996E-3</v>
      </c>
      <c r="P39" s="30">
        <v>4.007498E-3</v>
      </c>
      <c r="Q39" s="30">
        <v>3.9726329999999997E-3</v>
      </c>
      <c r="R39" s="30">
        <v>3.9372770000000003E-3</v>
      </c>
      <c r="S39" s="30">
        <v>3.9010540000000002E-3</v>
      </c>
      <c r="T39" s="30">
        <v>3.8636040000000001E-3</v>
      </c>
      <c r="U39" s="30">
        <v>3.825354E-3</v>
      </c>
      <c r="V39" s="30">
        <v>3.7870999999999998E-3</v>
      </c>
    </row>
    <row r="40" spans="1:22">
      <c r="A40" s="32">
        <v>58</v>
      </c>
      <c r="B40" s="31">
        <v>4.4359999999999998E-3</v>
      </c>
      <c r="C40" s="30">
        <v>4.4914500000000001E-3</v>
      </c>
      <c r="D40" s="30">
        <v>4.5408560000000002E-3</v>
      </c>
      <c r="E40" s="30">
        <v>4.5803609999999998E-3</v>
      </c>
      <c r="F40" s="30">
        <v>4.6064690000000002E-3</v>
      </c>
      <c r="G40" s="30">
        <v>4.6175249999999999E-3</v>
      </c>
      <c r="H40" s="30">
        <v>4.613369E-3</v>
      </c>
      <c r="I40" s="30">
        <v>4.5958379999999997E-3</v>
      </c>
      <c r="J40" s="30">
        <v>4.5673440000000001E-3</v>
      </c>
      <c r="K40" s="30">
        <v>4.5312620000000003E-3</v>
      </c>
      <c r="L40" s="30">
        <v>4.4918400000000004E-3</v>
      </c>
      <c r="M40" s="30">
        <v>4.4514139999999999E-3</v>
      </c>
      <c r="N40" s="30">
        <v>4.411351E-3</v>
      </c>
      <c r="O40" s="30">
        <v>4.371649E-3</v>
      </c>
      <c r="P40" s="30">
        <v>4.3327410000000002E-3</v>
      </c>
      <c r="Q40" s="30">
        <v>4.2937460000000002E-3</v>
      </c>
      <c r="R40" s="30">
        <v>4.2546729999999996E-3</v>
      </c>
      <c r="S40" s="30">
        <v>4.2151050000000002E-3</v>
      </c>
      <c r="T40" s="30">
        <v>4.1746400000000003E-3</v>
      </c>
      <c r="U40" s="30">
        <v>4.1333109999999998E-3</v>
      </c>
      <c r="V40" s="30">
        <v>4.0919779999999996E-3</v>
      </c>
    </row>
    <row r="41" spans="1:22">
      <c r="A41" s="32">
        <v>59</v>
      </c>
      <c r="B41" s="31">
        <v>4.7889999999999999E-3</v>
      </c>
      <c r="C41" s="30">
        <v>4.8469469999999999E-3</v>
      </c>
      <c r="D41" s="30">
        <v>4.9002630000000002E-3</v>
      </c>
      <c r="E41" s="30">
        <v>4.9443660000000004E-3</v>
      </c>
      <c r="F41" s="30">
        <v>4.9760100000000003E-3</v>
      </c>
      <c r="G41" s="30">
        <v>4.99243E-3</v>
      </c>
      <c r="H41" s="30">
        <v>4.9929299999999996E-3</v>
      </c>
      <c r="I41" s="30">
        <v>4.9784499999999997E-3</v>
      </c>
      <c r="J41" s="30">
        <v>4.9510689999999998E-3</v>
      </c>
      <c r="K41" s="30">
        <v>4.9144310000000004E-3</v>
      </c>
      <c r="L41" s="30">
        <v>4.8726580000000002E-3</v>
      </c>
      <c r="M41" s="30">
        <v>4.8292919999999998E-3</v>
      </c>
      <c r="N41" s="30">
        <v>4.7853449999999999E-3</v>
      </c>
      <c r="O41" s="30">
        <v>4.7413200000000003E-3</v>
      </c>
      <c r="P41" s="30">
        <v>4.6977E-3</v>
      </c>
      <c r="Q41" s="30">
        <v>4.6544810000000002E-3</v>
      </c>
      <c r="R41" s="30">
        <v>4.6111939999999999E-3</v>
      </c>
      <c r="S41" s="30">
        <v>4.5673880000000004E-3</v>
      </c>
      <c r="T41" s="30">
        <v>4.5230840000000001E-3</v>
      </c>
      <c r="U41" s="30">
        <v>4.4783059999999996E-3</v>
      </c>
      <c r="V41" s="30">
        <v>4.433523E-3</v>
      </c>
    </row>
    <row r="42" spans="1:22">
      <c r="A42" s="32">
        <v>60</v>
      </c>
      <c r="B42" s="31">
        <v>5.1910000000000003E-3</v>
      </c>
      <c r="C42" s="30">
        <v>5.2470629999999997E-3</v>
      </c>
      <c r="D42" s="30">
        <v>5.3011079999999997E-3</v>
      </c>
      <c r="E42" s="30">
        <v>5.3477569999999999E-3</v>
      </c>
      <c r="F42" s="30">
        <v>5.3825180000000002E-3</v>
      </c>
      <c r="G42" s="30">
        <v>5.4029710000000003E-3</v>
      </c>
      <c r="H42" s="30">
        <v>5.407294E-3</v>
      </c>
      <c r="I42" s="30">
        <v>5.3959380000000003E-3</v>
      </c>
      <c r="J42" s="30">
        <v>5.3705769999999996E-3</v>
      </c>
      <c r="K42" s="30">
        <v>5.3345950000000001E-3</v>
      </c>
      <c r="L42" s="30">
        <v>5.2919179999999996E-3</v>
      </c>
      <c r="M42" s="30">
        <v>5.2458779999999998E-3</v>
      </c>
      <c r="N42" s="30">
        <v>5.1981409999999999E-3</v>
      </c>
      <c r="O42" s="30">
        <v>5.1497979999999997E-3</v>
      </c>
      <c r="P42" s="30">
        <v>5.1013899999999999E-3</v>
      </c>
      <c r="Q42" s="30">
        <v>5.053437E-3</v>
      </c>
      <c r="R42" s="30">
        <v>5.0054289999999996E-3</v>
      </c>
      <c r="S42" s="30">
        <v>4.9573769999999998E-3</v>
      </c>
      <c r="T42" s="30">
        <v>4.9087949999999997E-3</v>
      </c>
      <c r="U42" s="30">
        <v>4.8601979999999996E-3</v>
      </c>
      <c r="V42" s="30">
        <v>4.8115959999999996E-3</v>
      </c>
    </row>
    <row r="43" spans="1:22">
      <c r="A43" s="32">
        <v>61</v>
      </c>
      <c r="B43" s="31">
        <v>5.646E-3</v>
      </c>
      <c r="C43" s="30">
        <v>5.6962489999999996E-3</v>
      </c>
      <c r="D43" s="30">
        <v>5.7463760000000001E-3</v>
      </c>
      <c r="E43" s="30">
        <v>5.791198E-3</v>
      </c>
      <c r="F43" s="30">
        <v>5.8265239999999996E-3</v>
      </c>
      <c r="G43" s="30">
        <v>5.8492479999999996E-3</v>
      </c>
      <c r="H43" s="30">
        <v>5.8562670000000001E-3</v>
      </c>
      <c r="I43" s="30">
        <v>5.8480679999999997E-3</v>
      </c>
      <c r="J43" s="30">
        <v>5.825261E-3</v>
      </c>
      <c r="K43" s="30">
        <v>5.7903090000000004E-3</v>
      </c>
      <c r="L43" s="30">
        <v>5.7474609999999997E-3</v>
      </c>
      <c r="M43" s="30">
        <v>5.6997569999999997E-3</v>
      </c>
      <c r="N43" s="30">
        <v>5.6490289999999999E-3</v>
      </c>
      <c r="O43" s="30">
        <v>5.5964930000000001E-3</v>
      </c>
      <c r="P43" s="30">
        <v>5.5433260000000003E-3</v>
      </c>
      <c r="Q43" s="30">
        <v>5.4901109999999998E-3</v>
      </c>
      <c r="R43" s="30">
        <v>5.4374050000000002E-3</v>
      </c>
      <c r="S43" s="30">
        <v>5.3846629999999996E-3</v>
      </c>
      <c r="T43" s="30">
        <v>5.3318929999999999E-3</v>
      </c>
      <c r="U43" s="30">
        <v>5.2791069999999999E-3</v>
      </c>
      <c r="V43" s="30">
        <v>5.2263159999999999E-3</v>
      </c>
    </row>
    <row r="44" spans="1:22">
      <c r="A44" s="32">
        <v>62</v>
      </c>
      <c r="B44" s="31">
        <v>6.156E-3</v>
      </c>
      <c r="C44" s="30">
        <v>6.1953980000000004E-3</v>
      </c>
      <c r="D44" s="30">
        <v>6.2369080000000002E-3</v>
      </c>
      <c r="E44" s="30">
        <v>6.2762E-3</v>
      </c>
      <c r="F44" s="30">
        <v>6.308836E-3</v>
      </c>
      <c r="G44" s="30">
        <v>6.3309170000000001E-3</v>
      </c>
      <c r="H44" s="30">
        <v>6.3397810000000001E-3</v>
      </c>
      <c r="I44" s="30">
        <v>6.3334410000000004E-3</v>
      </c>
      <c r="J44" s="30">
        <v>6.3131740000000004E-3</v>
      </c>
      <c r="K44" s="30">
        <v>6.2803449999999997E-3</v>
      </c>
      <c r="L44" s="30">
        <v>6.2382669999999996E-3</v>
      </c>
      <c r="M44" s="30">
        <v>6.1896080000000001E-3</v>
      </c>
      <c r="N44" s="30">
        <v>6.1363779999999996E-3</v>
      </c>
      <c r="O44" s="30">
        <v>6.0805369999999996E-3</v>
      </c>
      <c r="P44" s="30">
        <v>6.022772E-3</v>
      </c>
      <c r="Q44" s="30">
        <v>5.9649530000000003E-3</v>
      </c>
      <c r="R44" s="30">
        <v>5.9070930000000004E-3</v>
      </c>
      <c r="S44" s="30">
        <v>5.8492040000000002E-3</v>
      </c>
      <c r="T44" s="30">
        <v>5.7912959999999996E-3</v>
      </c>
      <c r="U44" s="30">
        <v>5.7333829999999999E-3</v>
      </c>
      <c r="V44" s="30">
        <v>5.6760500000000002E-3</v>
      </c>
    </row>
    <row r="45" spans="1:22">
      <c r="A45" s="32">
        <v>63</v>
      </c>
      <c r="B45" s="31">
        <v>6.7229999999999998E-3</v>
      </c>
      <c r="C45" s="30">
        <v>6.7465310000000001E-3</v>
      </c>
      <c r="D45" s="30">
        <v>6.7755410000000004E-3</v>
      </c>
      <c r="E45" s="30">
        <v>6.8053530000000001E-3</v>
      </c>
      <c r="F45" s="30">
        <v>6.831213E-3</v>
      </c>
      <c r="G45" s="30">
        <v>6.8496579999999998E-3</v>
      </c>
      <c r="H45" s="30">
        <v>6.8578770000000001E-3</v>
      </c>
      <c r="I45" s="30">
        <v>6.853077E-3</v>
      </c>
      <c r="J45" s="30">
        <v>6.834573E-3</v>
      </c>
      <c r="K45" s="30">
        <v>6.8038179999999997E-3</v>
      </c>
      <c r="L45" s="30">
        <v>6.7629949999999999E-3</v>
      </c>
      <c r="M45" s="30">
        <v>6.7143009999999998E-3</v>
      </c>
      <c r="N45" s="30">
        <v>6.6592439999999999E-3</v>
      </c>
      <c r="O45" s="30">
        <v>6.5999769999999999E-3</v>
      </c>
      <c r="P45" s="30">
        <v>6.5385970000000002E-3</v>
      </c>
      <c r="Q45" s="30">
        <v>6.4758259999999996E-3</v>
      </c>
      <c r="R45" s="30">
        <v>6.4130109999999997E-3</v>
      </c>
      <c r="S45" s="30">
        <v>6.3501629999999998E-3</v>
      </c>
      <c r="T45" s="30">
        <v>6.2872969999999999E-3</v>
      </c>
      <c r="U45" s="30">
        <v>6.2244240000000001E-3</v>
      </c>
      <c r="V45" s="30">
        <v>6.1621799999999997E-3</v>
      </c>
    </row>
    <row r="46" spans="1:22">
      <c r="A46" s="32">
        <v>64</v>
      </c>
      <c r="B46" s="31">
        <v>7.352E-3</v>
      </c>
      <c r="C46" s="30">
        <v>7.3564110000000002E-3</v>
      </c>
      <c r="D46" s="30">
        <v>7.3681809999999997E-3</v>
      </c>
      <c r="E46" s="30">
        <v>7.3836550000000003E-3</v>
      </c>
      <c r="F46" s="30">
        <v>7.3991600000000001E-3</v>
      </c>
      <c r="G46" s="30">
        <v>7.4109989999999997E-3</v>
      </c>
      <c r="H46" s="30">
        <v>7.415446E-3</v>
      </c>
      <c r="I46" s="30">
        <v>7.4095130000000004E-3</v>
      </c>
      <c r="J46" s="30">
        <v>7.3924710000000003E-3</v>
      </c>
      <c r="K46" s="30">
        <v>7.3629009999999998E-3</v>
      </c>
      <c r="L46" s="30">
        <v>7.3231420000000004E-3</v>
      </c>
      <c r="M46" s="30">
        <v>7.2748090000000001E-3</v>
      </c>
      <c r="N46" s="30">
        <v>7.2187930000000003E-3</v>
      </c>
      <c r="O46" s="30">
        <v>7.1574330000000004E-3</v>
      </c>
      <c r="P46" s="30">
        <v>7.0923009999999996E-3</v>
      </c>
      <c r="Q46" s="30">
        <v>7.0249240000000001E-3</v>
      </c>
      <c r="R46" s="30">
        <v>6.9567819999999999E-3</v>
      </c>
      <c r="S46" s="30">
        <v>6.8879099999999997E-3</v>
      </c>
      <c r="T46" s="30">
        <v>6.8197199999999996E-3</v>
      </c>
      <c r="U46" s="30">
        <v>6.7515220000000003E-3</v>
      </c>
      <c r="V46" s="30">
        <v>6.6840069999999996E-3</v>
      </c>
    </row>
    <row r="47" spans="1:22">
      <c r="A47" s="32">
        <v>65</v>
      </c>
      <c r="B47" s="31">
        <v>8.0479999999999996E-3</v>
      </c>
      <c r="C47" s="30">
        <v>8.0302940000000003E-3</v>
      </c>
      <c r="D47" s="30">
        <v>8.0214610000000006E-3</v>
      </c>
      <c r="E47" s="30">
        <v>8.0190550000000006E-3</v>
      </c>
      <c r="F47" s="30">
        <v>8.020658E-3</v>
      </c>
      <c r="G47" s="30">
        <v>8.022263E-3</v>
      </c>
      <c r="H47" s="30">
        <v>8.020658E-3</v>
      </c>
      <c r="I47" s="30">
        <v>8.0118350000000001E-3</v>
      </c>
      <c r="J47" s="30">
        <v>7.9942090000000004E-3</v>
      </c>
      <c r="K47" s="30">
        <v>7.9662299999999995E-3</v>
      </c>
      <c r="L47" s="30">
        <v>7.9271949999999997E-3</v>
      </c>
      <c r="M47" s="30">
        <v>7.8788390000000003E-3</v>
      </c>
      <c r="N47" s="30">
        <v>7.8221120000000009E-3</v>
      </c>
      <c r="O47" s="30">
        <v>7.7579700000000003E-3</v>
      </c>
      <c r="P47" s="30">
        <v>7.6889239999999998E-3</v>
      </c>
      <c r="Q47" s="30">
        <v>7.6166480000000002E-3</v>
      </c>
      <c r="R47" s="30">
        <v>7.5427669999999997E-3</v>
      </c>
      <c r="S47" s="30">
        <v>7.4688480000000002E-3</v>
      </c>
      <c r="T47" s="30">
        <v>7.3949059999999997E-3</v>
      </c>
      <c r="U47" s="30">
        <v>7.3209570000000003E-3</v>
      </c>
      <c r="V47" s="30">
        <v>7.247748E-3</v>
      </c>
    </row>
    <row r="48" spans="1:22">
      <c r="A48" s="32">
        <v>66</v>
      </c>
      <c r="B48" s="31">
        <v>8.8210000000000007E-3</v>
      </c>
      <c r="C48" s="30">
        <v>8.7795410000000001E-3</v>
      </c>
      <c r="D48" s="30">
        <v>8.7479350000000001E-3</v>
      </c>
      <c r="E48" s="30">
        <v>8.7251900000000007E-3</v>
      </c>
      <c r="F48" s="30">
        <v>8.7094849999999994E-3</v>
      </c>
      <c r="G48" s="30">
        <v>8.6981630000000001E-3</v>
      </c>
      <c r="H48" s="30">
        <v>8.6868550000000003E-3</v>
      </c>
      <c r="I48" s="30">
        <v>8.6729560000000008E-3</v>
      </c>
      <c r="J48" s="30">
        <v>8.6521410000000003E-3</v>
      </c>
      <c r="K48" s="30">
        <v>8.6235889999999992E-3</v>
      </c>
      <c r="L48" s="30">
        <v>8.5847830000000003E-3</v>
      </c>
      <c r="M48" s="30">
        <v>8.5367080000000005E-3</v>
      </c>
      <c r="N48" s="30">
        <v>8.478658E-3</v>
      </c>
      <c r="O48" s="30">
        <v>8.4125250000000006E-3</v>
      </c>
      <c r="P48" s="30">
        <v>8.3401770000000007E-3</v>
      </c>
      <c r="Q48" s="30">
        <v>8.2634470000000002E-3</v>
      </c>
      <c r="R48" s="30">
        <v>8.1841180000000006E-3</v>
      </c>
      <c r="S48" s="30">
        <v>8.1039140000000003E-3</v>
      </c>
      <c r="T48" s="30">
        <v>8.0236849999999992E-3</v>
      </c>
      <c r="U48" s="30">
        <v>7.9434480000000005E-3</v>
      </c>
      <c r="V48" s="30">
        <v>7.8640140000000008E-3</v>
      </c>
    </row>
    <row r="49" spans="1:22">
      <c r="A49" s="32">
        <v>67</v>
      </c>
      <c r="B49" s="31">
        <v>9.6790000000000001E-3</v>
      </c>
      <c r="C49" s="30">
        <v>9.6141509999999996E-3</v>
      </c>
      <c r="D49" s="30">
        <v>9.5593499999999994E-3</v>
      </c>
      <c r="E49" s="30">
        <v>9.5144210000000003E-3</v>
      </c>
      <c r="F49" s="30">
        <v>9.4792179999999993E-3</v>
      </c>
      <c r="G49" s="30">
        <v>9.4507800000000006E-3</v>
      </c>
      <c r="H49" s="30">
        <v>9.4271530000000006E-3</v>
      </c>
      <c r="I49" s="30">
        <v>9.4045280000000005E-3</v>
      </c>
      <c r="J49" s="30">
        <v>9.3791359999999997E-3</v>
      </c>
      <c r="K49" s="30">
        <v>9.3472469999999995E-3</v>
      </c>
      <c r="L49" s="30">
        <v>9.3070540000000004E-3</v>
      </c>
      <c r="M49" s="30">
        <v>9.2577260000000008E-3</v>
      </c>
      <c r="N49" s="30">
        <v>9.198477E-3</v>
      </c>
      <c r="O49" s="30">
        <v>9.1304079999999996E-3</v>
      </c>
      <c r="P49" s="30">
        <v>9.0546259999999996E-3</v>
      </c>
      <c r="Q49" s="30">
        <v>8.9731340000000007E-3</v>
      </c>
      <c r="R49" s="30">
        <v>8.8878889999999995E-3</v>
      </c>
      <c r="S49" s="30">
        <v>8.8007880000000004E-3</v>
      </c>
      <c r="T49" s="30">
        <v>8.7136599999999998E-3</v>
      </c>
      <c r="U49" s="30">
        <v>8.6265230000000005E-3</v>
      </c>
      <c r="V49" s="30">
        <v>8.5402580000000002E-3</v>
      </c>
    </row>
    <row r="50" spans="1:22">
      <c r="A50" s="32">
        <v>68</v>
      </c>
      <c r="B50" s="31">
        <v>1.0633E-2</v>
      </c>
      <c r="C50" s="30">
        <v>1.0545809E-2</v>
      </c>
      <c r="D50" s="30">
        <v>1.046777E-2</v>
      </c>
      <c r="E50" s="30">
        <v>1.0400777E-2</v>
      </c>
      <c r="F50" s="30">
        <v>1.0344612E-2</v>
      </c>
      <c r="G50" s="30">
        <v>1.0298062E-2</v>
      </c>
      <c r="H50" s="30">
        <v>1.0258929E-2</v>
      </c>
      <c r="I50" s="30">
        <v>1.0224049000000001E-2</v>
      </c>
      <c r="J50" s="30">
        <v>1.0190309E-2</v>
      </c>
      <c r="K50" s="30">
        <v>1.0152605E-2</v>
      </c>
      <c r="L50" s="30">
        <v>1.0108949000000001E-2</v>
      </c>
      <c r="M50" s="30">
        <v>1.0057393E-2</v>
      </c>
      <c r="N50" s="30">
        <v>9.9960429999999996E-3</v>
      </c>
      <c r="O50" s="30">
        <v>9.9250710000000006E-3</v>
      </c>
      <c r="P50" s="30">
        <v>9.8456710000000003E-3</v>
      </c>
      <c r="Q50" s="30">
        <v>9.7590290000000007E-3</v>
      </c>
      <c r="R50" s="30">
        <v>9.6682699999999996E-3</v>
      </c>
      <c r="S50" s="30">
        <v>9.5744880000000008E-3</v>
      </c>
      <c r="T50" s="30">
        <v>9.4797000000000006E-3</v>
      </c>
      <c r="U50" s="30">
        <v>9.384903E-3</v>
      </c>
      <c r="V50" s="30">
        <v>9.291054E-3</v>
      </c>
    </row>
    <row r="51" spans="1:22">
      <c r="A51" s="32">
        <v>69</v>
      </c>
      <c r="B51" s="31">
        <v>1.1691999999999999E-2</v>
      </c>
      <c r="C51" s="30">
        <v>1.1585603E-2</v>
      </c>
      <c r="D51" s="30">
        <v>1.1485967E-2</v>
      </c>
      <c r="E51" s="30">
        <v>1.1396376E-2</v>
      </c>
      <c r="F51" s="30">
        <v>1.1317740999999999E-2</v>
      </c>
      <c r="G51" s="30">
        <v>1.1250965999999999E-2</v>
      </c>
      <c r="H51" s="30">
        <v>1.1193586E-2</v>
      </c>
      <c r="I51" s="30">
        <v>1.1143215E-2</v>
      </c>
      <c r="J51" s="30">
        <v>1.1097528000000001E-2</v>
      </c>
      <c r="K51" s="30">
        <v>1.1052028E-2</v>
      </c>
      <c r="L51" s="30">
        <v>1.1002293999999999E-2</v>
      </c>
      <c r="M51" s="30">
        <v>1.0946182E-2</v>
      </c>
      <c r="N51" s="30">
        <v>1.0880505E-2</v>
      </c>
      <c r="O51" s="30">
        <v>1.080543E-2</v>
      </c>
      <c r="P51" s="30">
        <v>1.0721148E-2</v>
      </c>
      <c r="Q51" s="30">
        <v>1.0628946E-2</v>
      </c>
      <c r="R51" s="30">
        <v>1.0531159E-2</v>
      </c>
      <c r="S51" s="30">
        <v>1.043006E-2</v>
      </c>
      <c r="T51" s="30">
        <v>1.0326803000000001E-2</v>
      </c>
      <c r="U51" s="30">
        <v>1.0223535000000001E-2</v>
      </c>
      <c r="V51" s="30">
        <v>1.0121299E-2</v>
      </c>
    </row>
    <row r="52" spans="1:22">
      <c r="A52" s="32">
        <v>70</v>
      </c>
      <c r="B52" s="31">
        <v>1.2867999999999999E-2</v>
      </c>
      <c r="C52" s="30">
        <v>1.2744467000000001E-2</v>
      </c>
      <c r="D52" s="30">
        <v>1.2627218000000001E-2</v>
      </c>
      <c r="E52" s="30">
        <v>1.2517360999999999E-2</v>
      </c>
      <c r="F52" s="30">
        <v>1.2417222E-2</v>
      </c>
      <c r="G52" s="30">
        <v>1.2327818000000001E-2</v>
      </c>
      <c r="H52" s="30">
        <v>1.2250153E-2</v>
      </c>
      <c r="I52" s="30">
        <v>1.2181552E-2</v>
      </c>
      <c r="J52" s="30">
        <v>1.2120644999999999E-2</v>
      </c>
      <c r="K52" s="30">
        <v>1.2062465E-2</v>
      </c>
      <c r="L52" s="30">
        <v>1.2003359E-2</v>
      </c>
      <c r="M52" s="30">
        <v>1.1939742E-2</v>
      </c>
      <c r="N52" s="30">
        <v>1.1868103E-2</v>
      </c>
      <c r="O52" s="30">
        <v>1.17874E-2</v>
      </c>
      <c r="P52" s="30">
        <v>1.1697816E-2</v>
      </c>
      <c r="Q52" s="30">
        <v>1.1599554E-2</v>
      </c>
      <c r="R52" s="30">
        <v>1.1495158E-2</v>
      </c>
      <c r="S52" s="30">
        <v>1.1385954E-2</v>
      </c>
      <c r="T52" s="30">
        <v>1.1274372E-2</v>
      </c>
      <c r="U52" s="30">
        <v>1.1161628E-2</v>
      </c>
      <c r="V52" s="30">
        <v>1.1050012E-2</v>
      </c>
    </row>
    <row r="53" spans="1:22">
      <c r="A53" s="32">
        <v>71</v>
      </c>
      <c r="B53" s="31">
        <v>1.4171E-2</v>
      </c>
      <c r="C53" s="30">
        <v>1.4034958E-2</v>
      </c>
      <c r="D53" s="30">
        <v>1.3901626E-2</v>
      </c>
      <c r="E53" s="30">
        <v>1.3773731000000001E-2</v>
      </c>
      <c r="F53" s="30">
        <v>1.3652522E-2</v>
      </c>
      <c r="G53" s="30">
        <v>1.3541937E-2</v>
      </c>
      <c r="H53" s="30">
        <v>1.3441727000000001E-2</v>
      </c>
      <c r="I53" s="30">
        <v>1.3353011E-2</v>
      </c>
      <c r="J53" s="30">
        <v>1.3272892999999999E-2</v>
      </c>
      <c r="K53" s="30">
        <v>1.3198565000000001E-2</v>
      </c>
      <c r="L53" s="30">
        <v>1.3125973000000001E-2</v>
      </c>
      <c r="M53" s="30">
        <v>1.3051155E-2</v>
      </c>
      <c r="N53" s="30">
        <v>1.2971543E-2</v>
      </c>
      <c r="O53" s="30">
        <v>1.2883336E-2</v>
      </c>
      <c r="P53" s="30">
        <v>1.2786710999999999E-2</v>
      </c>
      <c r="Q53" s="30">
        <v>1.2680581999999999E-2</v>
      </c>
      <c r="R53" s="30">
        <v>1.2567724000000001E-2</v>
      </c>
      <c r="S53" s="30">
        <v>1.2449587999999999E-2</v>
      </c>
      <c r="T53" s="30">
        <v>1.2327582E-2</v>
      </c>
      <c r="U53" s="30">
        <v>1.2204306E-2</v>
      </c>
      <c r="V53" s="30">
        <v>1.2082262999999999E-2</v>
      </c>
    </row>
    <row r="54" spans="1:22">
      <c r="A54" s="32">
        <v>72</v>
      </c>
      <c r="B54" s="31">
        <v>1.5613999999999999E-2</v>
      </c>
      <c r="C54" s="30">
        <v>1.5467228E-2</v>
      </c>
      <c r="D54" s="30">
        <v>1.532029E-2</v>
      </c>
      <c r="E54" s="30">
        <v>1.5176279000000001E-2</v>
      </c>
      <c r="F54" s="30">
        <v>1.5036657E-2</v>
      </c>
      <c r="G54" s="30">
        <v>1.4904334999999999E-2</v>
      </c>
      <c r="H54" s="30">
        <v>1.4782119E-2</v>
      </c>
      <c r="I54" s="30">
        <v>1.4669774999999999E-2</v>
      </c>
      <c r="J54" s="30">
        <v>1.4567086999999999E-2</v>
      </c>
      <c r="K54" s="30">
        <v>1.4472400999999999E-2</v>
      </c>
      <c r="L54" s="30">
        <v>1.4382672000000001E-2</v>
      </c>
      <c r="M54" s="30">
        <v>1.4293498999999999E-2</v>
      </c>
      <c r="N54" s="30">
        <v>1.4202021E-2</v>
      </c>
      <c r="O54" s="30">
        <v>1.4104027E-2</v>
      </c>
      <c r="P54" s="30">
        <v>1.3998247E-2</v>
      </c>
      <c r="Q54" s="30">
        <v>1.3883461E-2</v>
      </c>
      <c r="R54" s="30">
        <v>1.3761285999999999E-2</v>
      </c>
      <c r="S54" s="30">
        <v>1.363193E-2</v>
      </c>
      <c r="T54" s="30">
        <v>1.3499700999999999E-2</v>
      </c>
      <c r="U54" s="30">
        <v>1.3366054E-2</v>
      </c>
      <c r="V54" s="30">
        <v>1.3232393E-2</v>
      </c>
    </row>
    <row r="55" spans="1:22">
      <c r="A55" s="32">
        <v>73</v>
      </c>
      <c r="B55" s="31">
        <v>1.721E-2</v>
      </c>
      <c r="C55" s="30">
        <v>1.7055109999999998E-2</v>
      </c>
      <c r="D55" s="30">
        <v>1.6898203000000001E-2</v>
      </c>
      <c r="E55" s="30">
        <v>1.674105E-2</v>
      </c>
      <c r="F55" s="30">
        <v>1.6585358000000001E-2</v>
      </c>
      <c r="G55" s="30">
        <v>1.6434430999999999E-2</v>
      </c>
      <c r="H55" s="30">
        <v>1.6289807999999999E-2</v>
      </c>
      <c r="I55" s="30">
        <v>1.6154603E-2</v>
      </c>
      <c r="J55" s="30">
        <v>1.6028596999999999E-2</v>
      </c>
      <c r="K55" s="30">
        <v>1.5911588000000001E-2</v>
      </c>
      <c r="L55" s="30">
        <v>1.5801797999999999E-2</v>
      </c>
      <c r="M55" s="30">
        <v>1.5694346000000001E-2</v>
      </c>
      <c r="N55" s="30">
        <v>1.5587624E-2</v>
      </c>
      <c r="O55" s="30">
        <v>1.5476952E-2</v>
      </c>
      <c r="P55" s="30">
        <v>1.5359327000000001E-2</v>
      </c>
      <c r="Q55" s="30">
        <v>1.5233381000000001E-2</v>
      </c>
      <c r="R55" s="30">
        <v>1.5099326999999999E-2</v>
      </c>
      <c r="S55" s="30">
        <v>1.4958903000000001E-2</v>
      </c>
      <c r="T55" s="30">
        <v>1.4813801999999999E-2</v>
      </c>
      <c r="U55" s="30">
        <v>1.4667144999999999E-2</v>
      </c>
      <c r="V55" s="30">
        <v>1.4520474E-2</v>
      </c>
    </row>
    <row r="56" spans="1:22">
      <c r="A56" s="32">
        <v>74</v>
      </c>
      <c r="B56" s="31">
        <v>1.8977000000000001E-2</v>
      </c>
      <c r="C56" s="30">
        <v>1.8815696E-2</v>
      </c>
      <c r="D56" s="30">
        <v>1.8650117000000001E-2</v>
      </c>
      <c r="E56" s="30">
        <v>1.8480401E-2</v>
      </c>
      <c r="F56" s="30">
        <v>1.8310382E-2</v>
      </c>
      <c r="G56" s="30">
        <v>1.8140094999999998E-2</v>
      </c>
      <c r="H56" s="30">
        <v>1.7973205999999999E-2</v>
      </c>
      <c r="I56" s="30">
        <v>1.7813244999999998E-2</v>
      </c>
      <c r="J56" s="30">
        <v>1.7661831999999999E-2</v>
      </c>
      <c r="K56" s="30">
        <v>1.7518770999999999E-2</v>
      </c>
      <c r="L56" s="30">
        <v>1.7383876999999999E-2</v>
      </c>
      <c r="M56" s="30">
        <v>1.7255236E-2</v>
      </c>
      <c r="N56" s="30">
        <v>1.7129273E-2</v>
      </c>
      <c r="O56" s="30">
        <v>1.7000802999999998E-2</v>
      </c>
      <c r="P56" s="30">
        <v>1.6868197000000001E-2</v>
      </c>
      <c r="Q56" s="30">
        <v>1.6728191E-2</v>
      </c>
      <c r="R56" s="30">
        <v>1.6580983000000001E-2</v>
      </c>
      <c r="S56" s="30">
        <v>1.6426779999999998E-2</v>
      </c>
      <c r="T56" s="30">
        <v>1.6267440000000001E-2</v>
      </c>
      <c r="U56" s="30">
        <v>1.6106392000000001E-2</v>
      </c>
      <c r="V56" s="30">
        <v>1.5945328000000002E-2</v>
      </c>
    </row>
    <row r="57" spans="1:22">
      <c r="A57" s="32">
        <v>75</v>
      </c>
      <c r="B57" s="31">
        <v>2.0937999999999998E-2</v>
      </c>
      <c r="C57" s="30">
        <v>2.0770495999999999E-2</v>
      </c>
      <c r="D57" s="30">
        <v>2.0598101000000001E-2</v>
      </c>
      <c r="E57" s="30">
        <v>2.0418896999999998E-2</v>
      </c>
      <c r="F57" s="30">
        <v>2.0235126999999999E-2</v>
      </c>
      <c r="G57" s="30">
        <v>2.0048963999999999E-2</v>
      </c>
      <c r="H57" s="30">
        <v>1.9862509E-2</v>
      </c>
      <c r="I57" s="30">
        <v>1.9679774000000001E-2</v>
      </c>
      <c r="J57" s="30">
        <v>1.9502656E-2</v>
      </c>
      <c r="K57" s="30">
        <v>1.9332983000000002E-2</v>
      </c>
      <c r="L57" s="30">
        <v>1.9170586E-2</v>
      </c>
      <c r="M57" s="30">
        <v>1.9017221000000001E-2</v>
      </c>
      <c r="N57" s="30">
        <v>1.8868887000000001E-2</v>
      </c>
      <c r="O57" s="30">
        <v>1.8721709E-2</v>
      </c>
      <c r="P57" s="30">
        <v>1.8570063000000001E-2</v>
      </c>
      <c r="Q57" s="30">
        <v>1.8414074999999998E-2</v>
      </c>
      <c r="R57" s="30">
        <v>1.8250189999999999E-2</v>
      </c>
      <c r="S57" s="30">
        <v>1.8080463000000001E-2</v>
      </c>
      <c r="T57" s="30">
        <v>1.7905081999999999E-2</v>
      </c>
      <c r="U57" s="30">
        <v>1.7727822000000001E-2</v>
      </c>
      <c r="V57" s="30">
        <v>1.7550544000000001E-2</v>
      </c>
    </row>
    <row r="58" spans="1:22">
      <c r="A58" s="32">
        <v>76</v>
      </c>
      <c r="B58" s="31">
        <v>2.3118E-2</v>
      </c>
      <c r="C58" s="30">
        <v>2.2946926999999999E-2</v>
      </c>
      <c r="D58" s="30">
        <v>2.2767941E-2</v>
      </c>
      <c r="E58" s="30">
        <v>2.2581244E-2</v>
      </c>
      <c r="F58" s="30">
        <v>2.2387045000000001E-2</v>
      </c>
      <c r="G58" s="30">
        <v>2.2185561999999999E-2</v>
      </c>
      <c r="H58" s="30">
        <v>2.1979235999999999E-2</v>
      </c>
      <c r="I58" s="30">
        <v>2.1772631000000001E-2</v>
      </c>
      <c r="J58" s="30">
        <v>2.1567968E-2</v>
      </c>
      <c r="K58" s="30">
        <v>2.1369543000000001E-2</v>
      </c>
      <c r="L58" s="30">
        <v>2.1179354000000001E-2</v>
      </c>
      <c r="M58" s="30">
        <v>2.0997212000000001E-2</v>
      </c>
      <c r="N58" s="30">
        <v>2.0820834999999999E-2</v>
      </c>
      <c r="O58" s="30">
        <v>2.0648021999999999E-2</v>
      </c>
      <c r="P58" s="30">
        <v>2.0474579E-2</v>
      </c>
      <c r="Q58" s="30">
        <v>2.0298496999999999E-2</v>
      </c>
      <c r="R58" s="30">
        <v>2.0117841000000001E-2</v>
      </c>
      <c r="S58" s="30">
        <v>1.9930745E-2</v>
      </c>
      <c r="T58" s="30">
        <v>1.9737417E-2</v>
      </c>
      <c r="U58" s="30">
        <v>1.9542015999999999E-2</v>
      </c>
      <c r="V58" s="30">
        <v>1.9346596000000001E-2</v>
      </c>
    </row>
    <row r="59" spans="1:22">
      <c r="A59" s="32">
        <v>77</v>
      </c>
      <c r="B59" s="31">
        <v>2.5554E-2</v>
      </c>
      <c r="C59" s="30">
        <v>2.5380232999999999E-2</v>
      </c>
      <c r="D59" s="30">
        <v>2.5197495E-2</v>
      </c>
      <c r="E59" s="30">
        <v>2.5003474000000001E-2</v>
      </c>
      <c r="F59" s="30">
        <v>2.4798445999999998E-2</v>
      </c>
      <c r="G59" s="30">
        <v>2.4582699E-2</v>
      </c>
      <c r="H59" s="30">
        <v>2.4358997E-2</v>
      </c>
      <c r="I59" s="30">
        <v>2.4130022000000001E-2</v>
      </c>
      <c r="J59" s="30">
        <v>2.3900787E-2</v>
      </c>
      <c r="K59" s="30">
        <v>2.367373E-2</v>
      </c>
      <c r="L59" s="30">
        <v>2.3453564E-2</v>
      </c>
      <c r="M59" s="30">
        <v>2.3240136000000002E-2</v>
      </c>
      <c r="N59" s="30">
        <v>2.3035623000000002E-2</v>
      </c>
      <c r="O59" s="30">
        <v>2.2835213E-2</v>
      </c>
      <c r="P59" s="30">
        <v>2.2636547E-2</v>
      </c>
      <c r="Q59" s="30">
        <v>2.2437345000000001E-2</v>
      </c>
      <c r="R59" s="30">
        <v>2.2233165999999999E-2</v>
      </c>
      <c r="S59" s="30">
        <v>2.2024174000000001E-2</v>
      </c>
      <c r="T59" s="30">
        <v>2.1810539E-2</v>
      </c>
      <c r="U59" s="30">
        <v>2.1594615000000001E-2</v>
      </c>
      <c r="V59" s="30">
        <v>2.1378668999999999E-2</v>
      </c>
    </row>
    <row r="60" spans="1:22">
      <c r="A60" s="32">
        <v>78</v>
      </c>
      <c r="B60" s="31">
        <v>2.8288000000000001E-2</v>
      </c>
      <c r="C60" s="30">
        <v>2.8115443E-2</v>
      </c>
      <c r="D60" s="30">
        <v>2.7929881E-2</v>
      </c>
      <c r="E60" s="30">
        <v>2.7728785999999998E-2</v>
      </c>
      <c r="F60" s="30">
        <v>2.7512502000000001E-2</v>
      </c>
      <c r="G60" s="30">
        <v>2.7284148000000001E-2</v>
      </c>
      <c r="H60" s="30">
        <v>2.7044047000000002E-2</v>
      </c>
      <c r="I60" s="30">
        <v>2.6792538000000001E-2</v>
      </c>
      <c r="J60" s="30">
        <v>2.6538009000000001E-2</v>
      </c>
      <c r="K60" s="30">
        <v>2.628059E-2</v>
      </c>
      <c r="L60" s="30">
        <v>2.6028295999999999E-2</v>
      </c>
      <c r="M60" s="30">
        <v>2.5783629999999998E-2</v>
      </c>
      <c r="N60" s="30">
        <v>2.5546421E-2</v>
      </c>
      <c r="O60" s="30">
        <v>2.5313947999999999E-2</v>
      </c>
      <c r="P60" s="30">
        <v>2.5086122999999998E-2</v>
      </c>
      <c r="Q60" s="30">
        <v>2.4860348000000001E-2</v>
      </c>
      <c r="R60" s="30">
        <v>2.4631633E-2</v>
      </c>
      <c r="S60" s="30">
        <v>2.4397631999999999E-2</v>
      </c>
      <c r="T60" s="30">
        <v>2.4160975000000001E-2</v>
      </c>
      <c r="U60" s="30">
        <v>2.3921781E-2</v>
      </c>
      <c r="V60" s="30">
        <v>2.3682564E-2</v>
      </c>
    </row>
    <row r="61" spans="1:22">
      <c r="A61" s="32">
        <v>79</v>
      </c>
      <c r="B61" s="31">
        <v>3.1365999999999998E-2</v>
      </c>
      <c r="C61" s="30">
        <v>3.1193486999999999E-2</v>
      </c>
      <c r="D61" s="30">
        <v>3.1006326000000001E-2</v>
      </c>
      <c r="E61" s="30">
        <v>3.0801683999999999E-2</v>
      </c>
      <c r="F61" s="30">
        <v>3.0576832000000002E-2</v>
      </c>
      <c r="G61" s="30">
        <v>3.0335274999999998E-2</v>
      </c>
      <c r="H61" s="30">
        <v>3.0077425000000001E-2</v>
      </c>
      <c r="I61" s="30">
        <v>2.9803720999999998E-2</v>
      </c>
      <c r="J61" s="30">
        <v>2.9523566000000001E-2</v>
      </c>
      <c r="K61" s="30">
        <v>2.9237187000000001E-2</v>
      </c>
      <c r="L61" s="30">
        <v>2.8953586E-2</v>
      </c>
      <c r="M61" s="30">
        <v>2.8675632E-2</v>
      </c>
      <c r="N61" s="30">
        <v>2.8403213E-2</v>
      </c>
      <c r="O61" s="30">
        <v>2.8136222999999998E-2</v>
      </c>
      <c r="P61" s="30">
        <v>2.7874556000000002E-2</v>
      </c>
      <c r="Q61" s="30">
        <v>2.7615323000000001E-2</v>
      </c>
      <c r="R61" s="30">
        <v>2.7355739E-2</v>
      </c>
      <c r="S61" s="30">
        <v>2.7095859E-2</v>
      </c>
      <c r="T61" s="30">
        <v>2.6833030000000001E-2</v>
      </c>
      <c r="U61" s="30">
        <v>2.6567383E-2</v>
      </c>
      <c r="V61" s="30">
        <v>2.6301709E-2</v>
      </c>
    </row>
    <row r="62" spans="1:22">
      <c r="A62" s="32">
        <v>80</v>
      </c>
      <c r="B62" s="31">
        <v>3.4844E-2</v>
      </c>
      <c r="C62" s="30">
        <v>3.4673264000000002E-2</v>
      </c>
      <c r="D62" s="30">
        <v>3.4482561000000002E-2</v>
      </c>
      <c r="E62" s="30">
        <v>3.4272218E-2</v>
      </c>
      <c r="F62" s="30">
        <v>3.4039167000000002E-2</v>
      </c>
      <c r="G62" s="30">
        <v>3.3783872999999999E-2</v>
      </c>
      <c r="H62" s="30">
        <v>3.3506845E-2</v>
      </c>
      <c r="I62" s="30">
        <v>3.3211984999999999E-2</v>
      </c>
      <c r="J62" s="30">
        <v>3.2903113999999997E-2</v>
      </c>
      <c r="K62" s="30">
        <v>3.2587244000000001E-2</v>
      </c>
      <c r="L62" s="30">
        <v>3.2271147E-2</v>
      </c>
      <c r="M62" s="30">
        <v>3.1958117000000001E-2</v>
      </c>
      <c r="N62" s="30">
        <v>3.1651318999999997E-2</v>
      </c>
      <c r="O62" s="30">
        <v>3.1350632000000003E-2</v>
      </c>
      <c r="P62" s="30">
        <v>3.1052801000000001E-2</v>
      </c>
      <c r="Q62" s="30">
        <v>3.0757798999999999E-2</v>
      </c>
      <c r="R62" s="30">
        <v>3.0465599999999999E-2</v>
      </c>
      <c r="S62" s="30">
        <v>3.0173129999999999E-2</v>
      </c>
      <c r="T62" s="30">
        <v>2.9877434000000001E-2</v>
      </c>
      <c r="U62" s="30">
        <v>2.9581646999999999E-2</v>
      </c>
      <c r="V62" s="30">
        <v>2.9285830999999998E-2</v>
      </c>
    </row>
    <row r="63" spans="1:22">
      <c r="A63" s="32">
        <v>81</v>
      </c>
      <c r="B63" s="31">
        <v>3.8782999999999998E-2</v>
      </c>
      <c r="C63" s="30">
        <v>3.8612355000000001E-2</v>
      </c>
      <c r="D63" s="30">
        <v>3.8423154000000001E-2</v>
      </c>
      <c r="E63" s="30">
        <v>3.8207985E-2</v>
      </c>
      <c r="F63" s="30">
        <v>3.7967274000000002E-2</v>
      </c>
      <c r="G63" s="30">
        <v>3.7697706999999997E-2</v>
      </c>
      <c r="H63" s="30">
        <v>3.7399895000000002E-2</v>
      </c>
      <c r="I63" s="30">
        <v>3.7081995999999999E-2</v>
      </c>
      <c r="J63" s="30">
        <v>3.6744549000000001E-2</v>
      </c>
      <c r="K63" s="30">
        <v>3.6395476000000003E-2</v>
      </c>
      <c r="L63" s="30">
        <v>3.6042440000000002E-2</v>
      </c>
      <c r="M63" s="30">
        <v>3.5692828000000003E-2</v>
      </c>
      <c r="N63" s="30">
        <v>3.5346608000000002E-2</v>
      </c>
      <c r="O63" s="30">
        <v>3.5003746000000002E-2</v>
      </c>
      <c r="P63" s="30">
        <v>3.4667709999999997E-2</v>
      </c>
      <c r="Q63" s="30">
        <v>3.4334900000000002E-2</v>
      </c>
      <c r="R63" s="30">
        <v>3.4001851E-2</v>
      </c>
      <c r="S63" s="30">
        <v>3.3672032999999997E-2</v>
      </c>
      <c r="T63" s="30">
        <v>3.3342047999999999E-2</v>
      </c>
      <c r="U63" s="30">
        <v>3.3011960999999999E-2</v>
      </c>
      <c r="V63" s="30">
        <v>3.2681842000000003E-2</v>
      </c>
    </row>
    <row r="64" spans="1:22">
      <c r="A64" s="32">
        <v>82</v>
      </c>
      <c r="B64" s="31">
        <v>4.3246E-2</v>
      </c>
      <c r="C64" s="30">
        <v>4.3073015999999999E-2</v>
      </c>
      <c r="D64" s="30">
        <v>4.2879186999999999E-2</v>
      </c>
      <c r="E64" s="30">
        <v>4.2660504000000002E-2</v>
      </c>
      <c r="F64" s="30">
        <v>4.2408807E-2</v>
      </c>
      <c r="G64" s="30">
        <v>4.2124667999999997E-2</v>
      </c>
      <c r="H64" s="30">
        <v>4.1808733000000001E-2</v>
      </c>
      <c r="I64" s="30">
        <v>4.1461720000000001E-2</v>
      </c>
      <c r="J64" s="30">
        <v>4.1092710999999997E-2</v>
      </c>
      <c r="K64" s="30">
        <v>4.0710548999999999E-2</v>
      </c>
      <c r="L64" s="30">
        <v>4.0323798000000001E-2</v>
      </c>
      <c r="M64" s="30">
        <v>3.9936689999999997E-2</v>
      </c>
      <c r="N64" s="30">
        <v>3.9549304E-2</v>
      </c>
      <c r="O64" s="30">
        <v>3.9165676000000003E-2</v>
      </c>
      <c r="P64" s="30">
        <v>3.8785768999999998E-2</v>
      </c>
      <c r="Q64" s="30">
        <v>3.8409547000000002E-2</v>
      </c>
      <c r="R64" s="30">
        <v>3.8036974000000001E-2</v>
      </c>
      <c r="S64" s="30">
        <v>3.7664212000000002E-2</v>
      </c>
      <c r="T64" s="30">
        <v>3.7291336000000001E-2</v>
      </c>
      <c r="U64" s="30">
        <v>3.6918422999999999E-2</v>
      </c>
      <c r="V64" s="30">
        <v>3.6549238999999997E-2</v>
      </c>
    </row>
    <row r="65" spans="1:22">
      <c r="A65" s="32">
        <v>83</v>
      </c>
      <c r="B65" s="31">
        <v>4.8305000000000001E-2</v>
      </c>
      <c r="C65" s="30">
        <v>4.8126271999999998E-2</v>
      </c>
      <c r="D65" s="30">
        <v>4.7928954000000003E-2</v>
      </c>
      <c r="E65" s="30">
        <v>4.7698894999999998E-2</v>
      </c>
      <c r="F65" s="30">
        <v>4.7436551E-2</v>
      </c>
      <c r="G65" s="30">
        <v>4.7137700999999997E-2</v>
      </c>
      <c r="H65" s="30">
        <v>4.6798309000000003E-2</v>
      </c>
      <c r="I65" s="30">
        <v>4.6423922999999999E-2</v>
      </c>
      <c r="J65" s="30">
        <v>4.6024677E-2</v>
      </c>
      <c r="K65" s="30">
        <v>4.5605852000000002E-2</v>
      </c>
      <c r="L65" s="30">
        <v>4.5177157000000003E-2</v>
      </c>
      <c r="M65" s="30">
        <v>4.4747974000000003E-2</v>
      </c>
      <c r="N65" s="30">
        <v>4.4318393999999997E-2</v>
      </c>
      <c r="O65" s="30">
        <v>4.3888505000000001E-2</v>
      </c>
      <c r="P65" s="30">
        <v>4.3462787000000003E-2</v>
      </c>
      <c r="Q65" s="30">
        <v>4.3041198000000003E-2</v>
      </c>
      <c r="R65" s="30">
        <v>4.2623698000000002E-2</v>
      </c>
      <c r="S65" s="30">
        <v>4.2205986000000001E-2</v>
      </c>
      <c r="T65" s="30">
        <v>4.1788146999999998E-2</v>
      </c>
      <c r="U65" s="30">
        <v>4.1370265000000003E-2</v>
      </c>
      <c r="V65" s="30">
        <v>4.0956563000000001E-2</v>
      </c>
    </row>
    <row r="66" spans="1:22">
      <c r="A66" s="32">
        <v>84</v>
      </c>
      <c r="B66" s="31">
        <v>5.4031999999999997E-2</v>
      </c>
      <c r="C66" s="30">
        <v>5.3848291E-2</v>
      </c>
      <c r="D66" s="30">
        <v>5.3638283000000002E-2</v>
      </c>
      <c r="E66" s="30">
        <v>5.3396910999999998E-2</v>
      </c>
      <c r="F66" s="30">
        <v>5.3119247000000001E-2</v>
      </c>
      <c r="G66" s="30">
        <v>5.2800530999999998E-2</v>
      </c>
      <c r="H66" s="30">
        <v>5.2441488000000001E-2</v>
      </c>
      <c r="I66" s="30">
        <v>5.2042932E-2</v>
      </c>
      <c r="J66" s="30">
        <v>5.1610976000000003E-2</v>
      </c>
      <c r="K66" s="30">
        <v>5.1151637999999999E-2</v>
      </c>
      <c r="L66" s="30">
        <v>5.0681043000000002E-2</v>
      </c>
      <c r="M66" s="30">
        <v>5.0204641000000001E-2</v>
      </c>
      <c r="N66" s="30">
        <v>4.9727697000000001E-2</v>
      </c>
      <c r="O66" s="30">
        <v>4.9250310999999998E-2</v>
      </c>
      <c r="P66" s="30">
        <v>4.8772583000000001E-2</v>
      </c>
      <c r="Q66" s="30">
        <v>4.8299489000000001E-2</v>
      </c>
      <c r="R66" s="30">
        <v>4.7830984E-2</v>
      </c>
      <c r="S66" s="30">
        <v>4.7362240999999999E-2</v>
      </c>
      <c r="T66" s="30">
        <v>4.6893353999999998E-2</v>
      </c>
      <c r="U66" s="30">
        <v>4.6424421E-2</v>
      </c>
      <c r="V66" s="30">
        <v>4.5960176999999998E-2</v>
      </c>
    </row>
    <row r="67" spans="1:22">
      <c r="A67" s="32">
        <v>85</v>
      </c>
      <c r="B67" s="31">
        <v>6.0504000000000002E-2</v>
      </c>
      <c r="C67" s="30">
        <v>6.0304337E-2</v>
      </c>
      <c r="D67" s="30">
        <v>6.0081211000000002E-2</v>
      </c>
      <c r="E67" s="30">
        <v>5.9828869999999999E-2</v>
      </c>
      <c r="F67" s="30">
        <v>5.9535708E-2</v>
      </c>
      <c r="G67" s="30">
        <v>5.9196354999999999E-2</v>
      </c>
      <c r="H67" s="30">
        <v>5.8811578000000003E-2</v>
      </c>
      <c r="I67" s="30">
        <v>5.8382254000000001E-2</v>
      </c>
      <c r="J67" s="30">
        <v>5.7909358000000001E-2</v>
      </c>
      <c r="K67" s="30">
        <v>5.7411337E-2</v>
      </c>
      <c r="L67" s="30">
        <v>5.6894634999999999E-2</v>
      </c>
      <c r="M67" s="30">
        <v>5.6371204000000001E-2</v>
      </c>
      <c r="N67" s="30">
        <v>5.5841315000000002E-2</v>
      </c>
      <c r="O67" s="30">
        <v>5.5310823000000002E-2</v>
      </c>
      <c r="P67" s="30">
        <v>5.4779838999999997E-2</v>
      </c>
      <c r="Q67" s="30">
        <v>5.4248473999999998E-2</v>
      </c>
      <c r="R67" s="30">
        <v>5.3722263999999999E-2</v>
      </c>
      <c r="S67" s="30">
        <v>5.3195786000000002E-2</v>
      </c>
      <c r="T67" s="30">
        <v>5.2674467000000003E-2</v>
      </c>
      <c r="U67" s="30">
        <v>5.2152990000000003E-2</v>
      </c>
      <c r="V67" s="30">
        <v>5.1631459999999997E-2</v>
      </c>
    </row>
    <row r="68" spans="1:22">
      <c r="A68" s="32">
        <v>86</v>
      </c>
      <c r="B68" s="31">
        <v>6.7801E-2</v>
      </c>
      <c r="C68" s="30">
        <v>6.7577257000000002E-2</v>
      </c>
      <c r="D68" s="30">
        <v>6.7333979000000002E-2</v>
      </c>
      <c r="E68" s="30">
        <v>6.7057908999999999E-2</v>
      </c>
      <c r="F68" s="30">
        <v>6.6742736999999996E-2</v>
      </c>
      <c r="G68" s="30">
        <v>6.6382326000000005E-2</v>
      </c>
      <c r="H68" s="30">
        <v>6.5970756000000005E-2</v>
      </c>
      <c r="I68" s="30">
        <v>6.5508961000000004E-2</v>
      </c>
      <c r="J68" s="30">
        <v>6.5004541999999998E-2</v>
      </c>
      <c r="K68" s="30">
        <v>6.4465004000000006E-2</v>
      </c>
      <c r="L68" s="30">
        <v>6.3904158000000003E-2</v>
      </c>
      <c r="M68" s="30">
        <v>6.3329020999999999E-2</v>
      </c>
      <c r="N68" s="30">
        <v>6.2746393999999997E-2</v>
      </c>
      <c r="O68" s="30">
        <v>6.2162851999999998E-2</v>
      </c>
      <c r="P68" s="30">
        <v>6.1578521999999997E-2</v>
      </c>
      <c r="Q68" s="30">
        <v>6.0993525999999999E-2</v>
      </c>
      <c r="R68" s="30">
        <v>6.0407988000000003E-2</v>
      </c>
      <c r="S68" s="30">
        <v>5.9828070999999997E-2</v>
      </c>
      <c r="T68" s="30">
        <v>5.9247739000000001E-2</v>
      </c>
      <c r="U68" s="30">
        <v>5.8667111000000001E-2</v>
      </c>
      <c r="V68" s="30">
        <v>5.8086306999999997E-2</v>
      </c>
    </row>
    <row r="69" spans="1:22">
      <c r="A69" s="32">
        <v>87</v>
      </c>
      <c r="B69" s="31">
        <v>7.6011999999999996E-2</v>
      </c>
      <c r="C69" s="30">
        <v>7.5761159999999994E-2</v>
      </c>
      <c r="D69" s="30">
        <v>7.5488420000000001E-2</v>
      </c>
      <c r="E69" s="30">
        <v>7.5186467000000007E-2</v>
      </c>
      <c r="F69" s="30">
        <v>7.4840609000000002E-2</v>
      </c>
      <c r="G69" s="30">
        <v>7.4451437999999995E-2</v>
      </c>
      <c r="H69" s="30">
        <v>7.4004729000000005E-2</v>
      </c>
      <c r="I69" s="30">
        <v>7.3508897000000004E-2</v>
      </c>
      <c r="J69" s="30">
        <v>7.2964930999999997E-2</v>
      </c>
      <c r="K69" s="30">
        <v>7.2388509000000004E-2</v>
      </c>
      <c r="L69" s="30">
        <v>7.1780444999999998E-2</v>
      </c>
      <c r="M69" s="30">
        <v>7.1155955000000007E-2</v>
      </c>
      <c r="N69" s="30">
        <v>7.0515551999999995E-2</v>
      </c>
      <c r="O69" s="30">
        <v>6.9873859999999996E-2</v>
      </c>
      <c r="P69" s="30">
        <v>6.9231021000000004E-2</v>
      </c>
      <c r="Q69" s="30">
        <v>6.8587172000000002E-2</v>
      </c>
      <c r="R69" s="30">
        <v>6.7942453E-2</v>
      </c>
      <c r="S69" s="30">
        <v>6.7296998999999996E-2</v>
      </c>
      <c r="T69" s="30">
        <v>6.6650948000000002E-2</v>
      </c>
      <c r="U69" s="30">
        <v>6.6011099000000004E-2</v>
      </c>
      <c r="V69" s="30">
        <v>6.5370790999999998E-2</v>
      </c>
    </row>
    <row r="70" spans="1:22">
      <c r="A70" s="32">
        <v>88</v>
      </c>
      <c r="B70" s="31">
        <v>8.523E-2</v>
      </c>
      <c r="C70" s="30">
        <v>8.4940217999999998E-2</v>
      </c>
      <c r="D70" s="30">
        <v>8.4634432999999995E-2</v>
      </c>
      <c r="E70" s="30">
        <v>8.4295894999999996E-2</v>
      </c>
      <c r="F70" s="30">
        <v>8.3916563999999999E-2</v>
      </c>
      <c r="G70" s="30">
        <v>8.3488589000000002E-2</v>
      </c>
      <c r="H70" s="30">
        <v>8.3012705000000006E-2</v>
      </c>
      <c r="I70" s="30">
        <v>8.2481422999999998E-2</v>
      </c>
      <c r="J70" s="30">
        <v>8.1895805000000002E-2</v>
      </c>
      <c r="K70" s="30">
        <v>8.1273396999999997E-2</v>
      </c>
      <c r="L70" s="30">
        <v>8.0623210000000001E-2</v>
      </c>
      <c r="M70" s="30">
        <v>7.9954037000000006E-2</v>
      </c>
      <c r="N70" s="30">
        <v>7.9266431999999998E-2</v>
      </c>
      <c r="O70" s="30">
        <v>7.8560960999999999E-2</v>
      </c>
      <c r="P70" s="30">
        <v>7.7846055999999997E-2</v>
      </c>
      <c r="Q70" s="30">
        <v>7.7129873000000002E-2</v>
      </c>
      <c r="R70" s="30">
        <v>7.6412565000000002E-2</v>
      </c>
      <c r="S70" s="30">
        <v>7.5701928000000002E-2</v>
      </c>
      <c r="T70" s="30">
        <v>7.4990329999999994E-2</v>
      </c>
      <c r="U70" s="30">
        <v>7.4277921999999996E-2</v>
      </c>
      <c r="V70" s="30">
        <v>7.3564853999999999E-2</v>
      </c>
    </row>
    <row r="71" spans="1:22">
      <c r="A71" s="32">
        <v>89</v>
      </c>
      <c r="B71" s="31">
        <v>9.5562999999999995E-2</v>
      </c>
      <c r="C71" s="30">
        <v>9.5228530000000006E-2</v>
      </c>
      <c r="D71" s="30">
        <v>9.4876184000000002E-2</v>
      </c>
      <c r="E71" s="30">
        <v>9.4496679E-2</v>
      </c>
      <c r="F71" s="30">
        <v>9.4080893999999998E-2</v>
      </c>
      <c r="G71" s="30">
        <v>9.3610489000000005E-2</v>
      </c>
      <c r="H71" s="30">
        <v>9.3086270999999998E-2</v>
      </c>
      <c r="I71" s="30">
        <v>9.2509136000000006E-2</v>
      </c>
      <c r="J71" s="30">
        <v>9.1880074000000006E-2</v>
      </c>
      <c r="K71" s="30">
        <v>9.1209348999999995E-2</v>
      </c>
      <c r="L71" s="30">
        <v>9.0507036999999999E-2</v>
      </c>
      <c r="M71" s="30">
        <v>8.9782980999999998E-2</v>
      </c>
      <c r="N71" s="30">
        <v>8.9037781999999996E-2</v>
      </c>
      <c r="O71" s="30">
        <v>8.8272057000000001E-2</v>
      </c>
      <c r="P71" s="30">
        <v>8.7486436000000001E-2</v>
      </c>
      <c r="Q71" s="30">
        <v>8.6699057999999996E-2</v>
      </c>
      <c r="R71" s="30">
        <v>8.5910096000000005E-2</v>
      </c>
      <c r="S71" s="30">
        <v>8.5119723999999994E-2</v>
      </c>
      <c r="T71" s="30">
        <v>8.4328109999999998E-2</v>
      </c>
      <c r="U71" s="30">
        <v>8.3543858999999998E-2</v>
      </c>
      <c r="V71" s="30">
        <v>8.2758546000000002E-2</v>
      </c>
    </row>
    <row r="72" spans="1:22">
      <c r="A72" s="32">
        <v>90</v>
      </c>
      <c r="B72" s="31">
        <v>0.107126</v>
      </c>
      <c r="C72" s="30">
        <v>0.106729634</v>
      </c>
      <c r="D72" s="30">
        <v>0.10631338799999999</v>
      </c>
      <c r="E72" s="30">
        <v>0.105877503</v>
      </c>
      <c r="F72" s="30">
        <v>0.10540105499999999</v>
      </c>
      <c r="G72" s="30">
        <v>0.104884589</v>
      </c>
      <c r="H72" s="30">
        <v>0.10431821300000001</v>
      </c>
      <c r="I72" s="30">
        <v>0.103692303</v>
      </c>
      <c r="J72" s="30">
        <v>0.10301830300000001</v>
      </c>
      <c r="K72" s="30">
        <v>0.102297175</v>
      </c>
      <c r="L72" s="30">
        <v>0.101540176</v>
      </c>
      <c r="M72" s="30">
        <v>0.100758317</v>
      </c>
      <c r="N72" s="30">
        <v>9.9952250000000006E-2</v>
      </c>
      <c r="O72" s="30">
        <v>9.9122646999999994E-2</v>
      </c>
      <c r="P72" s="30">
        <v>9.8280103999999993E-2</v>
      </c>
      <c r="Q72" s="30">
        <v>9.7415239000000001E-2</v>
      </c>
      <c r="R72" s="30">
        <v>9.6548244000000005E-2</v>
      </c>
      <c r="S72" s="30">
        <v>9.5679309000000004E-2</v>
      </c>
      <c r="T72" s="30">
        <v>9.4808628000000006E-2</v>
      </c>
      <c r="U72" s="30">
        <v>9.3936387999999996E-2</v>
      </c>
      <c r="V72" s="30">
        <v>9.3062779999999998E-2</v>
      </c>
    </row>
    <row r="73" spans="1:22">
      <c r="A73" s="32">
        <v>91</v>
      </c>
      <c r="B73" s="31">
        <v>0.119744</v>
      </c>
      <c r="C73" s="30">
        <v>0.119265024</v>
      </c>
      <c r="D73" s="30">
        <v>0.118776037</v>
      </c>
      <c r="E73" s="30">
        <v>0.1182653</v>
      </c>
      <c r="F73" s="30">
        <v>0.117733107</v>
      </c>
      <c r="G73" s="30">
        <v>0.11715621399999999</v>
      </c>
      <c r="H73" s="30">
        <v>0.11652357100000001</v>
      </c>
      <c r="I73" s="30">
        <v>0.11584773399999999</v>
      </c>
      <c r="J73" s="30">
        <v>0.115117893</v>
      </c>
      <c r="K73" s="30">
        <v>0.114346603</v>
      </c>
      <c r="L73" s="30">
        <v>0.11353474299999999</v>
      </c>
      <c r="M73" s="30">
        <v>0.112694586</v>
      </c>
      <c r="N73" s="30">
        <v>0.111826837</v>
      </c>
      <c r="O73" s="30">
        <v>0.110932223</v>
      </c>
      <c r="P73" s="30">
        <v>0.110022578</v>
      </c>
      <c r="Q73" s="30">
        <v>0.10908738599999999</v>
      </c>
      <c r="R73" s="30">
        <v>0.108127417</v>
      </c>
      <c r="S73" s="30">
        <v>0.10716508299999999</v>
      </c>
      <c r="T73" s="30">
        <v>0.106211314</v>
      </c>
      <c r="U73" s="30">
        <v>0.10525541200000001</v>
      </c>
      <c r="V73" s="30">
        <v>0.104297588</v>
      </c>
    </row>
    <row r="74" spans="1:22">
      <c r="A74" s="32">
        <v>92</v>
      </c>
      <c r="B74" s="31">
        <v>0.133299</v>
      </c>
      <c r="C74" s="30">
        <v>0.132725814</v>
      </c>
      <c r="D74" s="30">
        <v>0.132155093</v>
      </c>
      <c r="E74" s="30">
        <v>0.13157361100000001</v>
      </c>
      <c r="F74" s="30">
        <v>0.13095521500000001</v>
      </c>
      <c r="G74" s="30">
        <v>0.13030043899999999</v>
      </c>
      <c r="H74" s="30">
        <v>0.129609847</v>
      </c>
      <c r="I74" s="30">
        <v>0.12887107</v>
      </c>
      <c r="J74" s="30">
        <v>0.128084957</v>
      </c>
      <c r="K74" s="30">
        <v>0.12725240500000001</v>
      </c>
      <c r="L74" s="30">
        <v>0.12638708800000001</v>
      </c>
      <c r="M74" s="30">
        <v>0.12548973999999999</v>
      </c>
      <c r="N74" s="30">
        <v>0.124573665</v>
      </c>
      <c r="O74" s="30">
        <v>0.123626905</v>
      </c>
      <c r="P74" s="30">
        <v>0.122650252</v>
      </c>
      <c r="Q74" s="30">
        <v>0.12164452000000001</v>
      </c>
      <c r="R74" s="30">
        <v>0.120610542</v>
      </c>
      <c r="S74" s="30">
        <v>0.11956123</v>
      </c>
      <c r="T74" s="30">
        <v>0.118509091</v>
      </c>
      <c r="U74" s="30">
        <v>0.11745436099999999</v>
      </c>
      <c r="V74" s="30">
        <v>0.116397271</v>
      </c>
    </row>
    <row r="75" spans="1:22">
      <c r="A75" s="32">
        <v>93</v>
      </c>
      <c r="B75" s="31">
        <v>0.14771999999999999</v>
      </c>
      <c r="C75" s="30">
        <v>0.147025716</v>
      </c>
      <c r="D75" s="30">
        <v>0.14634939799999999</v>
      </c>
      <c r="E75" s="30">
        <v>0.145661556</v>
      </c>
      <c r="F75" s="30">
        <v>0.14496238</v>
      </c>
      <c r="G75" s="30">
        <v>0.14422307200000001</v>
      </c>
      <c r="H75" s="30">
        <v>0.14345869</v>
      </c>
      <c r="I75" s="30">
        <v>0.142655321</v>
      </c>
      <c r="J75" s="30">
        <v>0.141799389</v>
      </c>
      <c r="K75" s="30">
        <v>0.140906053</v>
      </c>
      <c r="L75" s="30">
        <v>0.139990164</v>
      </c>
      <c r="M75" s="30">
        <v>0.13903823000000001</v>
      </c>
      <c r="N75" s="30">
        <v>0.13806496300000001</v>
      </c>
      <c r="O75" s="30">
        <v>0.13705708899999999</v>
      </c>
      <c r="P75" s="30">
        <v>0.13601545500000001</v>
      </c>
      <c r="Q75" s="30">
        <v>0.13494093300000001</v>
      </c>
      <c r="R75" s="30">
        <v>0.13383441700000001</v>
      </c>
      <c r="S75" s="30">
        <v>0.132710208</v>
      </c>
      <c r="T75" s="30">
        <v>0.13156889999999999</v>
      </c>
      <c r="U75" s="30">
        <v>0.13042425099999999</v>
      </c>
      <c r="V75" s="30">
        <v>0.12927651700000001</v>
      </c>
    </row>
    <row r="76" spans="1:22">
      <c r="A76" s="32">
        <v>94</v>
      </c>
      <c r="B76" s="31">
        <v>0.162971</v>
      </c>
      <c r="C76" s="30">
        <v>0.162139848</v>
      </c>
      <c r="D76" s="30">
        <v>0.16132914900000001</v>
      </c>
      <c r="E76" s="30">
        <v>0.16052250300000001</v>
      </c>
      <c r="F76" s="30">
        <v>0.15971989</v>
      </c>
      <c r="G76" s="30">
        <v>0.15888934699999999</v>
      </c>
      <c r="H76" s="30">
        <v>0.15803134399999999</v>
      </c>
      <c r="I76" s="30">
        <v>0.15714636900000001</v>
      </c>
      <c r="J76" s="30">
        <v>0.156219205</v>
      </c>
      <c r="K76" s="30">
        <v>0.15526626800000001</v>
      </c>
      <c r="L76" s="30">
        <v>0.15428809099999999</v>
      </c>
      <c r="M76" s="30">
        <v>0.153285218</v>
      </c>
      <c r="N76" s="30">
        <v>0.152242879</v>
      </c>
      <c r="O76" s="30">
        <v>0.15117717899999999</v>
      </c>
      <c r="P76" s="30">
        <v>0.15007358500000001</v>
      </c>
      <c r="Q76" s="30">
        <v>0.148933026</v>
      </c>
      <c r="R76" s="30">
        <v>0.14775645500000001</v>
      </c>
      <c r="S76" s="30">
        <v>0.146559628</v>
      </c>
      <c r="T76" s="30">
        <v>0.14534318299999999</v>
      </c>
      <c r="U76" s="30">
        <v>0.14409323099999999</v>
      </c>
      <c r="V76" s="30">
        <v>0.14283962</v>
      </c>
    </row>
    <row r="77" spans="1:22">
      <c r="A77" s="32">
        <v>95</v>
      </c>
      <c r="B77" s="31">
        <v>0.179034</v>
      </c>
      <c r="C77" s="30">
        <v>0.17803141</v>
      </c>
      <c r="D77" s="30">
        <v>0.17707004000000001</v>
      </c>
      <c r="E77" s="30">
        <v>0.17613156899999999</v>
      </c>
      <c r="F77" s="30">
        <v>0.17519807100000001</v>
      </c>
      <c r="G77" s="30">
        <v>0.17426952200000001</v>
      </c>
      <c r="H77" s="30">
        <v>0.17332846599999999</v>
      </c>
      <c r="I77" s="30">
        <v>0.17235782699999999</v>
      </c>
      <c r="J77" s="30">
        <v>0.17135815099999999</v>
      </c>
      <c r="K77" s="30">
        <v>0.17034713800000001</v>
      </c>
      <c r="L77" s="30">
        <v>0.169308021</v>
      </c>
      <c r="M77" s="30">
        <v>0.16824138</v>
      </c>
      <c r="N77" s="30">
        <v>0.16714781100000001</v>
      </c>
      <c r="O77" s="30">
        <v>0.16601120599999999</v>
      </c>
      <c r="P77" s="30">
        <v>0.16484912800000001</v>
      </c>
      <c r="Q77" s="30">
        <v>0.16364572899999999</v>
      </c>
      <c r="R77" s="30">
        <v>0.16240202200000001</v>
      </c>
      <c r="S77" s="30">
        <v>0.16113528599999999</v>
      </c>
      <c r="T77" s="30">
        <v>0.15983009000000001</v>
      </c>
      <c r="U77" s="30">
        <v>0.15850349999999999</v>
      </c>
      <c r="V77" s="30">
        <v>0.15715622100000001</v>
      </c>
    </row>
    <row r="78" spans="1:22">
      <c r="A78" s="32">
        <v>96</v>
      </c>
      <c r="B78" s="31">
        <v>0.19590299999999999</v>
      </c>
      <c r="C78" s="30">
        <v>0.19486471399999999</v>
      </c>
      <c r="D78" s="30">
        <v>0.19387090400000001</v>
      </c>
      <c r="E78" s="30">
        <v>0.192882162</v>
      </c>
      <c r="F78" s="30">
        <v>0.191917752</v>
      </c>
      <c r="G78" s="30">
        <v>0.19093897100000001</v>
      </c>
      <c r="H78" s="30">
        <v>0.18994608800000001</v>
      </c>
      <c r="I78" s="30">
        <v>0.18893937399999999</v>
      </c>
      <c r="J78" s="30">
        <v>0.18790020800000001</v>
      </c>
      <c r="K78" s="30">
        <v>0.186847966</v>
      </c>
      <c r="L78" s="30">
        <v>0.18576424799999999</v>
      </c>
      <c r="M78" s="30">
        <v>0.18464966299999999</v>
      </c>
      <c r="N78" s="30">
        <v>0.18350483500000001</v>
      </c>
      <c r="O78" s="30">
        <v>0.182330404</v>
      </c>
      <c r="P78" s="30">
        <v>0.18110878999999999</v>
      </c>
      <c r="Q78" s="30">
        <v>0.17985914</v>
      </c>
      <c r="R78" s="30">
        <v>0.178564154</v>
      </c>
      <c r="S78" s="30">
        <v>0.17724277899999999</v>
      </c>
      <c r="T78" s="30">
        <v>0.17587801</v>
      </c>
      <c r="U78" s="30">
        <v>0.17448857300000001</v>
      </c>
      <c r="V78" s="30">
        <v>0.173075216</v>
      </c>
    </row>
    <row r="79" spans="1:22">
      <c r="A79" s="32">
        <v>97</v>
      </c>
      <c r="B79" s="31">
        <v>0.213565</v>
      </c>
      <c r="C79" s="30">
        <v>0.21249717500000001</v>
      </c>
      <c r="D79" s="30">
        <v>0.21145593900000001</v>
      </c>
      <c r="E79" s="30">
        <v>0.21044094999999999</v>
      </c>
      <c r="F79" s="30">
        <v>0.20943083400000001</v>
      </c>
      <c r="G79" s="30">
        <v>0.20842556600000001</v>
      </c>
      <c r="H79" s="30">
        <v>0.207404281</v>
      </c>
      <c r="I79" s="30">
        <v>0.206367259</v>
      </c>
      <c r="J79" s="30">
        <v>0.20529414900000001</v>
      </c>
      <c r="K79" s="30">
        <v>0.20420609000000001</v>
      </c>
      <c r="L79" s="30">
        <v>0.20308295700000001</v>
      </c>
      <c r="M79" s="30">
        <v>0.20192538400000001</v>
      </c>
      <c r="N79" s="30">
        <v>0.20073402400000001</v>
      </c>
      <c r="O79" s="30">
        <v>0.19950954700000001</v>
      </c>
      <c r="P79" s="30">
        <v>0.19825263700000001</v>
      </c>
      <c r="Q79" s="30">
        <v>0.196944169</v>
      </c>
      <c r="R79" s="30">
        <v>0.195604949</v>
      </c>
      <c r="S79" s="30">
        <v>0.194235714</v>
      </c>
      <c r="T79" s="30">
        <v>0.19281779299999999</v>
      </c>
      <c r="U79" s="30">
        <v>0.19137166</v>
      </c>
      <c r="V79" s="30">
        <v>0.18989809799999999</v>
      </c>
    </row>
    <row r="80" spans="1:22">
      <c r="A80" s="32">
        <v>98</v>
      </c>
      <c r="B80" s="31">
        <v>0.231991</v>
      </c>
      <c r="C80" s="30">
        <v>0.23087744299999999</v>
      </c>
      <c r="D80" s="30">
        <v>0.229815407</v>
      </c>
      <c r="E80" s="30">
        <v>0.228781238</v>
      </c>
      <c r="F80" s="30">
        <v>0.22775172199999999</v>
      </c>
      <c r="G80" s="30">
        <v>0.22672683900000001</v>
      </c>
      <c r="H80" s="30">
        <v>0.22568389599999999</v>
      </c>
      <c r="I80" s="30">
        <v>0.224600613</v>
      </c>
      <c r="J80" s="30">
        <v>0.22350007</v>
      </c>
      <c r="K80" s="30">
        <v>0.22238257</v>
      </c>
      <c r="L80" s="30">
        <v>0.22122617999999999</v>
      </c>
      <c r="M80" s="30">
        <v>0.220053682</v>
      </c>
      <c r="N80" s="30">
        <v>0.218843386</v>
      </c>
      <c r="O80" s="30">
        <v>0.21759597899999999</v>
      </c>
      <c r="P80" s="30">
        <v>0.21629040299999999</v>
      </c>
      <c r="Q80" s="30">
        <v>0.21494940300000001</v>
      </c>
      <c r="R80" s="30">
        <v>0.21357372699999999</v>
      </c>
      <c r="S80" s="30">
        <v>0.21216414</v>
      </c>
      <c r="T80" s="30">
        <v>0.21072142399999999</v>
      </c>
      <c r="U80" s="30">
        <v>0.20924637400000001</v>
      </c>
      <c r="V80" s="30">
        <v>0.2077398</v>
      </c>
    </row>
    <row r="81" spans="1:22">
      <c r="A81" s="32">
        <v>99</v>
      </c>
      <c r="B81" s="31">
        <v>0.25112299999999999</v>
      </c>
      <c r="C81" s="30">
        <v>0.24999294699999999</v>
      </c>
      <c r="D81" s="30">
        <v>0.24891797700000001</v>
      </c>
      <c r="E81" s="30">
        <v>0.24784763000000001</v>
      </c>
      <c r="F81" s="30">
        <v>0.24680666900000001</v>
      </c>
      <c r="G81" s="30">
        <v>0.245745401</v>
      </c>
      <c r="H81" s="30">
        <v>0.24466412100000001</v>
      </c>
      <c r="I81" s="30">
        <v>0.24356313199999999</v>
      </c>
      <c r="J81" s="30">
        <v>0.24244274199999999</v>
      </c>
      <c r="K81" s="30">
        <v>0.24130326099999999</v>
      </c>
      <c r="L81" s="30">
        <v>0.24012087500000001</v>
      </c>
      <c r="M81" s="30">
        <v>0.23892027099999999</v>
      </c>
      <c r="N81" s="30">
        <v>0.23767788500000001</v>
      </c>
      <c r="O81" s="30">
        <v>0.23639442499999999</v>
      </c>
      <c r="P81" s="30">
        <v>0.23507061600000001</v>
      </c>
      <c r="Q81" s="30">
        <v>0.233707207</v>
      </c>
      <c r="R81" s="30">
        <v>0.23228159300000001</v>
      </c>
      <c r="S81" s="30">
        <v>0.23081821899999999</v>
      </c>
      <c r="T81" s="30">
        <v>0.229340982</v>
      </c>
      <c r="U81" s="30">
        <v>0.22782733099999999</v>
      </c>
      <c r="V81" s="30">
        <v>0.22627810600000001</v>
      </c>
    </row>
    <row r="82" spans="1:22">
      <c r="A82" s="32">
        <v>100</v>
      </c>
      <c r="B82" s="31">
        <v>0.27085799999999999</v>
      </c>
      <c r="C82" s="30">
        <v>0.26972039599999997</v>
      </c>
      <c r="D82" s="30">
        <v>0.26861454299999998</v>
      </c>
      <c r="E82" s="30">
        <v>0.26754008499999998</v>
      </c>
      <c r="F82" s="30">
        <v>0.26646992400000002</v>
      </c>
      <c r="G82" s="30">
        <v>0.26540404499999998</v>
      </c>
      <c r="H82" s="30">
        <v>0.264315888</v>
      </c>
      <c r="I82" s="30">
        <v>0.26320576099999998</v>
      </c>
      <c r="J82" s="30">
        <v>0.26207397599999999</v>
      </c>
      <c r="K82" s="30">
        <v>0.26089464400000001</v>
      </c>
      <c r="L82" s="30">
        <v>0.25969452799999998</v>
      </c>
      <c r="M82" s="30">
        <v>0.258473964</v>
      </c>
      <c r="N82" s="30">
        <v>0.25720744200000001</v>
      </c>
      <c r="O82" s="30">
        <v>0.25589568400000001</v>
      </c>
      <c r="P82" s="30">
        <v>0.25453943600000001</v>
      </c>
      <c r="Q82" s="30">
        <v>0.25313946999999998</v>
      </c>
      <c r="R82" s="30">
        <v>0.25169657499999998</v>
      </c>
      <c r="S82" s="30">
        <v>0.25021156500000002</v>
      </c>
      <c r="T82" s="30">
        <v>0.248710295</v>
      </c>
      <c r="U82" s="30">
        <v>0.24716829200000001</v>
      </c>
      <c r="V82" s="30">
        <v>0.245586414</v>
      </c>
    </row>
    <row r="83" spans="1:22">
      <c r="A83" s="32">
        <v>101</v>
      </c>
      <c r="B83" s="31">
        <v>0.29104000000000002</v>
      </c>
      <c r="C83" s="30">
        <v>0.289904944</v>
      </c>
      <c r="D83" s="30">
        <v>0.28880330500000001</v>
      </c>
      <c r="E83" s="30">
        <v>0.28773473300000002</v>
      </c>
      <c r="F83" s="30">
        <v>0.28667011399999998</v>
      </c>
      <c r="G83" s="30">
        <v>0.28560943500000002</v>
      </c>
      <c r="H83" s="30">
        <v>0.28452411900000002</v>
      </c>
      <c r="I83" s="30">
        <v>0.283414475</v>
      </c>
      <c r="J83" s="30">
        <v>0.28228081700000002</v>
      </c>
      <c r="K83" s="30">
        <v>0.28109523800000003</v>
      </c>
      <c r="L83" s="30">
        <v>0.27988652800000002</v>
      </c>
      <c r="M83" s="30">
        <v>0.27865502800000003</v>
      </c>
      <c r="N83" s="30">
        <v>0.27737321399999998</v>
      </c>
      <c r="O83" s="30">
        <v>0.27606955999999999</v>
      </c>
      <c r="P83" s="30">
        <v>0.274716819</v>
      </c>
      <c r="Q83" s="30">
        <v>0.27331576400000002</v>
      </c>
      <c r="R83" s="30">
        <v>0.27186718999999998</v>
      </c>
      <c r="S83" s="30">
        <v>0.27037192100000002</v>
      </c>
      <c r="T83" s="30">
        <v>0.26885783800000002</v>
      </c>
      <c r="U83" s="30">
        <v>0.26729846200000001</v>
      </c>
      <c r="V83" s="30">
        <v>0.26569467200000002</v>
      </c>
    </row>
    <row r="84" spans="1:22">
      <c r="A84" s="32">
        <v>102</v>
      </c>
      <c r="B84" s="31">
        <v>0.311444</v>
      </c>
      <c r="C84" s="30">
        <v>0.31032280200000001</v>
      </c>
      <c r="D84" s="30">
        <v>0.30923667199999999</v>
      </c>
      <c r="E84" s="30">
        <v>0.308154343</v>
      </c>
      <c r="F84" s="30">
        <v>0.30710661900000003</v>
      </c>
      <c r="G84" s="30">
        <v>0.30603174599999999</v>
      </c>
      <c r="H84" s="30">
        <v>0.30496063400000001</v>
      </c>
      <c r="I84" s="30">
        <v>0.303862776</v>
      </c>
      <c r="J84" s="30">
        <v>0.30273848399999997</v>
      </c>
      <c r="K84" s="30">
        <v>0.30155780399999998</v>
      </c>
      <c r="L84" s="30">
        <v>0.30035157299999998</v>
      </c>
      <c r="M84" s="30">
        <v>0.29912013100000001</v>
      </c>
      <c r="N84" s="30">
        <v>0.29786382700000003</v>
      </c>
      <c r="O84" s="30">
        <v>0.296553226</v>
      </c>
      <c r="P84" s="30">
        <v>0.29518908100000002</v>
      </c>
      <c r="Q84" s="30">
        <v>0.293801692</v>
      </c>
      <c r="R84" s="30">
        <v>0.29236206399999998</v>
      </c>
      <c r="S84" s="30">
        <v>0.29087101700000001</v>
      </c>
      <c r="T84" s="30">
        <v>0.28935848800000002</v>
      </c>
      <c r="U84" s="30">
        <v>0.28779595200000002</v>
      </c>
      <c r="V84" s="30">
        <v>0.28621307499999998</v>
      </c>
    </row>
    <row r="85" spans="1:22">
      <c r="A85" s="32">
        <v>103</v>
      </c>
      <c r="B85" s="31">
        <v>0.33189999999999997</v>
      </c>
      <c r="C85" s="30">
        <v>0.33077153999999998</v>
      </c>
      <c r="D85" s="30">
        <v>0.32967999399999998</v>
      </c>
      <c r="E85" s="30">
        <v>0.32862501799999999</v>
      </c>
      <c r="F85" s="30">
        <v>0.32757341800000001</v>
      </c>
      <c r="G85" s="30">
        <v>0.326525183</v>
      </c>
      <c r="H85" s="30">
        <v>0.32544764999999998</v>
      </c>
      <c r="I85" s="30">
        <v>0.32434112799999998</v>
      </c>
      <c r="J85" s="30">
        <v>0.32320593399999997</v>
      </c>
      <c r="K85" s="30">
        <v>0.32204239299999998</v>
      </c>
      <c r="L85" s="30">
        <v>0.32085083599999997</v>
      </c>
      <c r="M85" s="30">
        <v>0.31963160200000001</v>
      </c>
      <c r="N85" s="30">
        <v>0.31838503899999998</v>
      </c>
      <c r="O85" s="30">
        <v>0.31707966100000001</v>
      </c>
      <c r="P85" s="30">
        <v>0.31574792600000001</v>
      </c>
      <c r="Q85" s="30">
        <v>0.314358635</v>
      </c>
      <c r="R85" s="30">
        <v>0.31294402100000002</v>
      </c>
      <c r="S85" s="30">
        <v>0.31147318400000001</v>
      </c>
      <c r="T85" s="30">
        <v>0.309978113</v>
      </c>
      <c r="U85" s="30">
        <v>0.308428223</v>
      </c>
      <c r="V85" s="30">
        <v>0.306855239</v>
      </c>
    </row>
    <row r="86" spans="1:22">
      <c r="A86" s="32">
        <v>104</v>
      </c>
      <c r="B86" s="31">
        <v>0.35223199999999999</v>
      </c>
      <c r="C86" s="30">
        <v>0.35114008099999999</v>
      </c>
      <c r="D86" s="30">
        <v>0.35008666100000002</v>
      </c>
      <c r="E86" s="30">
        <v>0.349071409</v>
      </c>
      <c r="F86" s="30">
        <v>0.34805910200000001</v>
      </c>
      <c r="G86" s="30">
        <v>0.34704973099999997</v>
      </c>
      <c r="H86" s="30">
        <v>0.34600858200000001</v>
      </c>
      <c r="I86" s="30">
        <v>0.34493595500000002</v>
      </c>
      <c r="J86" s="30">
        <v>0.34383216</v>
      </c>
      <c r="K86" s="30">
        <v>0.34269751399999998</v>
      </c>
      <c r="L86" s="30">
        <v>0.34153234199999999</v>
      </c>
      <c r="M86" s="30">
        <v>0.34033697899999998</v>
      </c>
      <c r="N86" s="30">
        <v>0.33911176599999998</v>
      </c>
      <c r="O86" s="30">
        <v>0.33785705199999999</v>
      </c>
      <c r="P86" s="30">
        <v>0.33653940999999998</v>
      </c>
      <c r="Q86" s="30">
        <v>0.335193252</v>
      </c>
      <c r="R86" s="30">
        <v>0.33378544100000002</v>
      </c>
      <c r="S86" s="30">
        <v>0.33235016299999998</v>
      </c>
      <c r="T86" s="30">
        <v>0.330887822</v>
      </c>
      <c r="U86" s="30">
        <v>0.32936573800000002</v>
      </c>
      <c r="V86" s="30">
        <v>0.32781771999999998</v>
      </c>
    </row>
    <row r="87" spans="1:22">
      <c r="A87" s="32">
        <v>105</v>
      </c>
      <c r="B87" s="31">
        <v>0.37227300000000002</v>
      </c>
      <c r="C87" s="30">
        <v>0.371230636</v>
      </c>
      <c r="D87" s="30">
        <v>0.37022831299999998</v>
      </c>
      <c r="E87" s="30">
        <v>0.36922869600000002</v>
      </c>
      <c r="F87" s="30">
        <v>0.36823177899999998</v>
      </c>
      <c r="G87" s="30">
        <v>0.36723755299999999</v>
      </c>
      <c r="H87" s="30">
        <v>0.36624601200000001</v>
      </c>
      <c r="I87" s="30">
        <v>0.36522052300000002</v>
      </c>
      <c r="J87" s="30">
        <v>0.36416138300000001</v>
      </c>
      <c r="K87" s="30">
        <v>0.363068899</v>
      </c>
      <c r="L87" s="30">
        <v>0.36194338599999998</v>
      </c>
      <c r="M87" s="30">
        <v>0.36082136100000001</v>
      </c>
      <c r="N87" s="30">
        <v>0.35963065100000002</v>
      </c>
      <c r="O87" s="30">
        <v>0.358407906</v>
      </c>
      <c r="P87" s="30">
        <v>0.357153479</v>
      </c>
      <c r="Q87" s="30">
        <v>0.355867726</v>
      </c>
      <c r="R87" s="30">
        <v>0.35451542899999999</v>
      </c>
      <c r="S87" s="30">
        <v>0.35313281899999999</v>
      </c>
      <c r="T87" s="30">
        <v>0.35172028700000002</v>
      </c>
      <c r="U87" s="30">
        <v>0.35027823400000002</v>
      </c>
      <c r="V87" s="30">
        <v>0.34877203800000001</v>
      </c>
    </row>
    <row r="88" spans="1:22">
      <c r="A88" s="32">
        <v>106</v>
      </c>
      <c r="B88" s="31">
        <v>0.39185999999999999</v>
      </c>
      <c r="C88" s="30">
        <v>0.39088034999999999</v>
      </c>
      <c r="D88" s="30">
        <v>0.38994223700000002</v>
      </c>
      <c r="E88" s="30">
        <v>0.38900637599999999</v>
      </c>
      <c r="F88" s="30">
        <v>0.38807276000000002</v>
      </c>
      <c r="G88" s="30">
        <v>0.38714138599999998</v>
      </c>
      <c r="H88" s="30">
        <v>0.38617353199999999</v>
      </c>
      <c r="I88" s="30">
        <v>0.38520809900000003</v>
      </c>
      <c r="J88" s="30">
        <v>0.38420655799999998</v>
      </c>
      <c r="K88" s="30">
        <v>0.38316919999999999</v>
      </c>
      <c r="L88" s="30">
        <v>0.382134643</v>
      </c>
      <c r="M88" s="30">
        <v>0.381064666</v>
      </c>
      <c r="N88" s="30">
        <v>0.37995957800000002</v>
      </c>
      <c r="O88" s="30">
        <v>0.37881969999999998</v>
      </c>
      <c r="P88" s="30">
        <v>0.37760747700000002</v>
      </c>
      <c r="Q88" s="30">
        <v>0.37636137200000003</v>
      </c>
      <c r="R88" s="30">
        <v>0.37508174300000002</v>
      </c>
      <c r="S88" s="30">
        <v>0.37376895700000001</v>
      </c>
      <c r="T88" s="30">
        <v>0.37242338899999999</v>
      </c>
      <c r="U88" s="30">
        <v>0.37104542200000001</v>
      </c>
      <c r="V88" s="30">
        <v>0.36963544999999998</v>
      </c>
    </row>
    <row r="89" spans="1:22">
      <c r="A89" s="32">
        <v>107</v>
      </c>
      <c r="B89" s="31">
        <v>0.41084900000000002</v>
      </c>
      <c r="C89" s="30">
        <v>0.40994513199999999</v>
      </c>
      <c r="D89" s="30">
        <v>0.409043253</v>
      </c>
      <c r="E89" s="30">
        <v>0.40818426200000002</v>
      </c>
      <c r="F89" s="30">
        <v>0.40732707499999998</v>
      </c>
      <c r="G89" s="30">
        <v>0.406471688</v>
      </c>
      <c r="H89" s="30">
        <v>0.40557745099999998</v>
      </c>
      <c r="I89" s="30">
        <v>0.40468517999999998</v>
      </c>
      <c r="J89" s="30">
        <v>0.40375440400000001</v>
      </c>
      <c r="K89" s="30">
        <v>0.40278539400000002</v>
      </c>
      <c r="L89" s="30">
        <v>0.401818709</v>
      </c>
      <c r="M89" s="30">
        <v>0.40081416199999997</v>
      </c>
      <c r="N89" s="30">
        <v>0.39977204500000002</v>
      </c>
      <c r="O89" s="30">
        <v>0.398692661</v>
      </c>
      <c r="P89" s="30">
        <v>0.39757632100000001</v>
      </c>
      <c r="Q89" s="30">
        <v>0.39642335000000001</v>
      </c>
      <c r="R89" s="30">
        <v>0.39523407999999999</v>
      </c>
      <c r="S89" s="30">
        <v>0.39400885400000002</v>
      </c>
      <c r="T89" s="30">
        <v>0.39274802599999997</v>
      </c>
      <c r="U89" s="30">
        <v>0.39145195700000002</v>
      </c>
      <c r="V89" s="30">
        <v>0.39012102100000001</v>
      </c>
    </row>
    <row r="90" spans="1:22">
      <c r="A90" s="32">
        <v>108</v>
      </c>
      <c r="B90" s="31">
        <v>0.42911199999999999</v>
      </c>
      <c r="C90" s="30">
        <v>0.42825377599999997</v>
      </c>
      <c r="D90" s="30">
        <v>0.42744009399999999</v>
      </c>
      <c r="E90" s="30">
        <v>0.42662795799999997</v>
      </c>
      <c r="F90" s="30">
        <v>0.425817365</v>
      </c>
      <c r="G90" s="30">
        <v>0.425008312</v>
      </c>
      <c r="H90" s="30">
        <v>0.42420079599999999</v>
      </c>
      <c r="I90" s="30">
        <v>0.42335239400000002</v>
      </c>
      <c r="J90" s="30">
        <v>0.42250568900000002</v>
      </c>
      <c r="K90" s="30">
        <v>0.42161842700000002</v>
      </c>
      <c r="L90" s="30">
        <v>0.42073302899999998</v>
      </c>
      <c r="M90" s="30">
        <v>0.41980741599999999</v>
      </c>
      <c r="N90" s="30">
        <v>0.41884185899999998</v>
      </c>
      <c r="O90" s="30">
        <v>0.41783663900000001</v>
      </c>
      <c r="P90" s="30">
        <v>0.416792047</v>
      </c>
      <c r="Q90" s="30">
        <v>0.41570838799999998</v>
      </c>
      <c r="R90" s="30">
        <v>0.41462754600000001</v>
      </c>
      <c r="S90" s="30">
        <v>0.41350805099999999</v>
      </c>
      <c r="T90" s="30">
        <v>0.41235022900000001</v>
      </c>
      <c r="U90" s="30">
        <v>0.411154413</v>
      </c>
      <c r="V90" s="30">
        <v>0.40992095000000001</v>
      </c>
    </row>
    <row r="91" spans="1:22">
      <c r="A91" s="32">
        <v>109</v>
      </c>
      <c r="B91" s="31">
        <v>0.446544</v>
      </c>
      <c r="C91" s="30">
        <v>0.44578487500000002</v>
      </c>
      <c r="D91" s="30">
        <v>0.44507161899999997</v>
      </c>
      <c r="E91" s="30">
        <v>0.44435950499999999</v>
      </c>
      <c r="F91" s="30">
        <v>0.44364852999999999</v>
      </c>
      <c r="G91" s="30">
        <v>0.44293869200000002</v>
      </c>
      <c r="H91" s="30">
        <v>0.44222999000000002</v>
      </c>
      <c r="I91" s="30">
        <v>0.44147819900000002</v>
      </c>
      <c r="J91" s="30">
        <v>0.44072768600000001</v>
      </c>
      <c r="K91" s="30">
        <v>0.43993437600000002</v>
      </c>
      <c r="L91" s="30">
        <v>0.43914249399999999</v>
      </c>
      <c r="M91" s="30">
        <v>0.43830812400000002</v>
      </c>
      <c r="N91" s="30">
        <v>0.437431507</v>
      </c>
      <c r="O91" s="30">
        <v>0.43655664399999999</v>
      </c>
      <c r="P91" s="30">
        <v>0.43563987500000001</v>
      </c>
      <c r="Q91" s="30">
        <v>0.43468146800000002</v>
      </c>
      <c r="R91" s="30">
        <v>0.4336817</v>
      </c>
      <c r="S91" s="30">
        <v>0.432684232</v>
      </c>
      <c r="T91" s="30">
        <v>0.43164578999999997</v>
      </c>
      <c r="U91" s="30">
        <v>0.43056667599999998</v>
      </c>
      <c r="V91" s="30">
        <v>0.42944720199999997</v>
      </c>
    </row>
    <row r="92" spans="1:22">
      <c r="A92" s="32">
        <v>110</v>
      </c>
      <c r="B92" s="31">
        <v>0.463061</v>
      </c>
      <c r="C92" s="30">
        <v>0.46241271499999997</v>
      </c>
      <c r="D92" s="30">
        <v>0.461765337</v>
      </c>
      <c r="E92" s="30">
        <v>0.46116504200000003</v>
      </c>
      <c r="F92" s="30">
        <v>0.46056552699999997</v>
      </c>
      <c r="G92" s="30">
        <v>0.45996679200000001</v>
      </c>
      <c r="H92" s="30">
        <v>0.45932283899999998</v>
      </c>
      <c r="I92" s="30">
        <v>0.45867978700000001</v>
      </c>
      <c r="J92" s="30">
        <v>0.458037635</v>
      </c>
      <c r="K92" s="30">
        <v>0.45735057800000001</v>
      </c>
      <c r="L92" s="30">
        <v>0.45666455299999997</v>
      </c>
      <c r="M92" s="30">
        <v>0.45593388899999998</v>
      </c>
      <c r="N92" s="30">
        <v>0.45520439499999998</v>
      </c>
      <c r="O92" s="30">
        <v>0.45443054799999999</v>
      </c>
      <c r="P92" s="30">
        <v>0.45361257300000002</v>
      </c>
      <c r="Q92" s="30">
        <v>0.45279606999999999</v>
      </c>
      <c r="R92" s="30">
        <v>0.45193575699999999</v>
      </c>
      <c r="S92" s="30">
        <v>0.45103188599999999</v>
      </c>
      <c r="T92" s="30">
        <v>0.45012982200000001</v>
      </c>
      <c r="U92" s="30">
        <v>0.44918455000000002</v>
      </c>
      <c r="V92" s="30">
        <v>0.44824126199999997</v>
      </c>
    </row>
    <row r="93" spans="1:22">
      <c r="A93" s="32">
        <v>111</v>
      </c>
      <c r="B93" s="31">
        <v>0.47860399999999997</v>
      </c>
      <c r="C93" s="30">
        <v>0.47807753600000003</v>
      </c>
      <c r="D93" s="30">
        <v>0.47755164999999999</v>
      </c>
      <c r="E93" s="30">
        <v>0.47702634300000002</v>
      </c>
      <c r="F93" s="30">
        <v>0.47650161499999999</v>
      </c>
      <c r="G93" s="30">
        <v>0.47597746299999999</v>
      </c>
      <c r="H93" s="30">
        <v>0.47545388799999999</v>
      </c>
      <c r="I93" s="30">
        <v>0.474930888</v>
      </c>
      <c r="J93" s="30">
        <v>0.47436097100000002</v>
      </c>
      <c r="K93" s="30">
        <v>0.47379173800000002</v>
      </c>
      <c r="L93" s="30">
        <v>0.47322318800000002</v>
      </c>
      <c r="M93" s="30">
        <v>0.47260799799999997</v>
      </c>
      <c r="N93" s="30">
        <v>0.47199360699999998</v>
      </c>
      <c r="O93" s="30">
        <v>0.47133281599999999</v>
      </c>
      <c r="P93" s="30">
        <v>0.47067294999999998</v>
      </c>
      <c r="Q93" s="30">
        <v>0.46996694100000003</v>
      </c>
      <c r="R93" s="30">
        <v>0.46926199099999999</v>
      </c>
      <c r="S93" s="30">
        <v>0.468511171</v>
      </c>
      <c r="T93" s="30">
        <v>0.46776155400000002</v>
      </c>
      <c r="U93" s="30">
        <v>0.466966359</v>
      </c>
      <c r="V93" s="30">
        <v>0.46617251599999998</v>
      </c>
    </row>
    <row r="94" spans="1:22">
      <c r="A94" s="32">
        <v>112</v>
      </c>
      <c r="B94" s="31">
        <v>0.49313699999999999</v>
      </c>
      <c r="C94" s="30">
        <v>0.49274248999999998</v>
      </c>
      <c r="D94" s="30">
        <v>0.49234829600000002</v>
      </c>
      <c r="E94" s="30">
        <v>0.491954418</v>
      </c>
      <c r="F94" s="30">
        <v>0.49156085399999999</v>
      </c>
      <c r="G94" s="30">
        <v>0.49116760599999998</v>
      </c>
      <c r="H94" s="30">
        <v>0.490774671</v>
      </c>
      <c r="I94" s="30">
        <v>0.49038205200000001</v>
      </c>
      <c r="J94" s="30">
        <v>0.489940708</v>
      </c>
      <c r="K94" s="30">
        <v>0.48949976099999998</v>
      </c>
      <c r="L94" s="30">
        <v>0.48905921099999999</v>
      </c>
      <c r="M94" s="30">
        <v>0.488619058</v>
      </c>
      <c r="N94" s="30">
        <v>0.48813043900000003</v>
      </c>
      <c r="O94" s="30">
        <v>0.487642309</v>
      </c>
      <c r="P94" s="30">
        <v>0.48710590199999998</v>
      </c>
      <c r="Q94" s="30">
        <v>0.48657008600000001</v>
      </c>
      <c r="R94" s="30">
        <v>0.48603485899999999</v>
      </c>
      <c r="S94" s="30">
        <v>0.485451617</v>
      </c>
      <c r="T94" s="30">
        <v>0.48486907499999998</v>
      </c>
      <c r="U94" s="30">
        <v>0.48428723200000001</v>
      </c>
      <c r="V94" s="30">
        <v>0.48365765799999999</v>
      </c>
    </row>
    <row r="95" spans="1:22">
      <c r="A95" s="32">
        <v>113</v>
      </c>
      <c r="B95" s="31">
        <v>0.5</v>
      </c>
      <c r="C95" s="30">
        <v>0.49969999999999998</v>
      </c>
      <c r="D95" s="30">
        <v>0.49945014999999998</v>
      </c>
      <c r="E95" s="30">
        <v>0.499200425</v>
      </c>
      <c r="F95" s="30">
        <v>0.49895082499999999</v>
      </c>
      <c r="G95" s="30">
        <v>0.49870134900000002</v>
      </c>
      <c r="H95" s="30">
        <v>0.49845199899999998</v>
      </c>
      <c r="I95" s="30">
        <v>0.49815292700000002</v>
      </c>
      <c r="J95" s="30">
        <v>0.497854036</v>
      </c>
      <c r="K95" s="30">
        <v>0.49755532299999999</v>
      </c>
      <c r="L95" s="30">
        <v>0.49725679</v>
      </c>
      <c r="M95" s="30">
        <v>0.496958436</v>
      </c>
      <c r="N95" s="30">
        <v>0.496610565</v>
      </c>
      <c r="O95" s="30">
        <v>0.49626293799999999</v>
      </c>
      <c r="P95" s="30">
        <v>0.49591555399999998</v>
      </c>
      <c r="Q95" s="30">
        <v>0.49556841299999999</v>
      </c>
      <c r="R95" s="30">
        <v>0.49517195800000002</v>
      </c>
      <c r="S95" s="30">
        <v>0.49477581999999998</v>
      </c>
      <c r="T95" s="30">
        <v>0.49437999999999999</v>
      </c>
      <c r="U95" s="30">
        <v>0.493984496</v>
      </c>
      <c r="V95" s="30">
        <v>0.49353991000000003</v>
      </c>
    </row>
    <row r="96" spans="1:22">
      <c r="A96" s="32">
        <v>114</v>
      </c>
      <c r="B96" s="31">
        <v>0.5</v>
      </c>
      <c r="C96" s="30">
        <v>0.49985000000000002</v>
      </c>
      <c r="D96" s="30">
        <v>0.49970004499999998</v>
      </c>
      <c r="E96" s="30">
        <v>0.49955013500000001</v>
      </c>
      <c r="F96" s="30">
        <v>0.49940026999999998</v>
      </c>
      <c r="G96" s="30">
        <v>0.49925045000000001</v>
      </c>
      <c r="H96" s="30">
        <v>0.49910067499999999</v>
      </c>
      <c r="I96" s="30">
        <v>0.49895094499999998</v>
      </c>
      <c r="J96" s="30">
        <v>0.498801259</v>
      </c>
      <c r="K96" s="30">
        <v>0.49865161899999999</v>
      </c>
      <c r="L96" s="30">
        <v>0.49850202300000002</v>
      </c>
      <c r="M96" s="30">
        <v>0.49835247300000002</v>
      </c>
      <c r="N96" s="30">
        <v>0.498202967</v>
      </c>
      <c r="O96" s="30">
        <v>0.49805350599999998</v>
      </c>
      <c r="P96" s="30">
        <v>0.49785428500000001</v>
      </c>
      <c r="Q96" s="30">
        <v>0.49765514300000002</v>
      </c>
      <c r="R96" s="30">
        <v>0.49745608099999999</v>
      </c>
      <c r="S96" s="30">
        <v>0.49725709899999998</v>
      </c>
      <c r="T96" s="30">
        <v>0.49705819600000001</v>
      </c>
      <c r="U96" s="30">
        <v>0.49685937200000002</v>
      </c>
      <c r="V96" s="30">
        <v>0.49666062900000002</v>
      </c>
    </row>
    <row r="97" spans="1:22">
      <c r="A97" s="32">
        <v>115</v>
      </c>
      <c r="B97" s="31">
        <v>0.5</v>
      </c>
      <c r="C97" s="30">
        <v>0.5</v>
      </c>
      <c r="D97" s="30">
        <v>0.5</v>
      </c>
      <c r="E97" s="30">
        <v>0.5</v>
      </c>
      <c r="F97" s="30">
        <v>0.5</v>
      </c>
      <c r="G97" s="30">
        <v>0.5</v>
      </c>
      <c r="H97" s="30">
        <v>0.5</v>
      </c>
      <c r="I97" s="30">
        <v>0.5</v>
      </c>
      <c r="J97" s="30">
        <v>0.5</v>
      </c>
      <c r="K97" s="30">
        <v>0.5</v>
      </c>
      <c r="L97" s="30">
        <v>0.5</v>
      </c>
      <c r="M97" s="30">
        <v>0.5</v>
      </c>
      <c r="N97" s="30">
        <v>0.5</v>
      </c>
      <c r="O97" s="30">
        <v>0.5</v>
      </c>
      <c r="P97" s="30">
        <v>0.5</v>
      </c>
      <c r="Q97" s="30">
        <v>0.5</v>
      </c>
      <c r="R97" s="30">
        <v>0.5</v>
      </c>
      <c r="S97" s="30">
        <v>0.5</v>
      </c>
      <c r="T97" s="30">
        <v>0.5</v>
      </c>
      <c r="U97" s="30">
        <v>0.5</v>
      </c>
      <c r="V97" s="30">
        <v>0.5</v>
      </c>
    </row>
    <row r="98" spans="1:22">
      <c r="A98" s="32">
        <v>116</v>
      </c>
      <c r="B98" s="31">
        <v>0.5</v>
      </c>
      <c r="C98" s="30">
        <v>0.5</v>
      </c>
      <c r="D98" s="30">
        <v>0.5</v>
      </c>
      <c r="E98" s="30">
        <v>0.5</v>
      </c>
      <c r="F98" s="30">
        <v>0.5</v>
      </c>
      <c r="G98" s="30">
        <v>0.5</v>
      </c>
      <c r="H98" s="30">
        <v>0.5</v>
      </c>
      <c r="I98" s="30">
        <v>0.5</v>
      </c>
      <c r="J98" s="30">
        <v>0.5</v>
      </c>
      <c r="K98" s="30">
        <v>0.5</v>
      </c>
      <c r="L98" s="30">
        <v>0.5</v>
      </c>
      <c r="M98" s="30">
        <v>0.5</v>
      </c>
      <c r="N98" s="30">
        <v>0.5</v>
      </c>
      <c r="O98" s="30">
        <v>0.5</v>
      </c>
      <c r="P98" s="30">
        <v>0.5</v>
      </c>
      <c r="Q98" s="30">
        <v>0.5</v>
      </c>
      <c r="R98" s="30">
        <v>0.5</v>
      </c>
      <c r="S98" s="30">
        <v>0.5</v>
      </c>
      <c r="T98" s="30">
        <v>0.5</v>
      </c>
      <c r="U98" s="30">
        <v>0.5</v>
      </c>
      <c r="V98" s="30">
        <v>0.5</v>
      </c>
    </row>
    <row r="99" spans="1:22">
      <c r="A99" s="32">
        <v>117</v>
      </c>
      <c r="B99" s="31">
        <v>0.5</v>
      </c>
      <c r="C99" s="30">
        <v>0.5</v>
      </c>
      <c r="D99" s="30">
        <v>0.5</v>
      </c>
      <c r="E99" s="30">
        <v>0.5</v>
      </c>
      <c r="F99" s="30">
        <v>0.5</v>
      </c>
      <c r="G99" s="30">
        <v>0.5</v>
      </c>
      <c r="H99" s="30">
        <v>0.5</v>
      </c>
      <c r="I99" s="30">
        <v>0.5</v>
      </c>
      <c r="J99" s="30">
        <v>0.5</v>
      </c>
      <c r="K99" s="30">
        <v>0.5</v>
      </c>
      <c r="L99" s="30">
        <v>0.5</v>
      </c>
      <c r="M99" s="30">
        <v>0.5</v>
      </c>
      <c r="N99" s="30">
        <v>0.5</v>
      </c>
      <c r="O99" s="30">
        <v>0.5</v>
      </c>
      <c r="P99" s="30">
        <v>0.5</v>
      </c>
      <c r="Q99" s="30">
        <v>0.5</v>
      </c>
      <c r="R99" s="30">
        <v>0.5</v>
      </c>
      <c r="S99" s="30">
        <v>0.5</v>
      </c>
      <c r="T99" s="30">
        <v>0.5</v>
      </c>
      <c r="U99" s="30">
        <v>0.5</v>
      </c>
      <c r="V99" s="30">
        <v>0.5</v>
      </c>
    </row>
    <row r="100" spans="1:22">
      <c r="A100" s="32">
        <v>118</v>
      </c>
      <c r="B100" s="31">
        <v>0.5</v>
      </c>
      <c r="C100" s="30">
        <v>0.5</v>
      </c>
      <c r="D100" s="30">
        <v>0.5</v>
      </c>
      <c r="E100" s="30">
        <v>0.5</v>
      </c>
      <c r="F100" s="30">
        <v>0.5</v>
      </c>
      <c r="G100" s="30">
        <v>0.5</v>
      </c>
      <c r="H100" s="30">
        <v>0.5</v>
      </c>
      <c r="I100" s="30">
        <v>0.5</v>
      </c>
      <c r="J100" s="30">
        <v>0.5</v>
      </c>
      <c r="K100" s="30">
        <v>0.5</v>
      </c>
      <c r="L100" s="30">
        <v>0.5</v>
      </c>
      <c r="M100" s="30">
        <v>0.5</v>
      </c>
      <c r="N100" s="30">
        <v>0.5</v>
      </c>
      <c r="O100" s="30">
        <v>0.5</v>
      </c>
      <c r="P100" s="30">
        <v>0.5</v>
      </c>
      <c r="Q100" s="30">
        <v>0.5</v>
      </c>
      <c r="R100" s="30">
        <v>0.5</v>
      </c>
      <c r="S100" s="30">
        <v>0.5</v>
      </c>
      <c r="T100" s="30">
        <v>0.5</v>
      </c>
      <c r="U100" s="30">
        <v>0.5</v>
      </c>
      <c r="V100" s="30">
        <v>0.5</v>
      </c>
    </row>
    <row r="101" spans="1:22">
      <c r="A101" s="32">
        <v>119</v>
      </c>
      <c r="B101" s="31">
        <v>0.5</v>
      </c>
      <c r="C101" s="30">
        <v>0.5</v>
      </c>
      <c r="D101" s="30">
        <v>0.5</v>
      </c>
      <c r="E101" s="30">
        <v>0.5</v>
      </c>
      <c r="F101" s="30">
        <v>0.5</v>
      </c>
      <c r="G101" s="30">
        <v>0.5</v>
      </c>
      <c r="H101" s="30">
        <v>0.5</v>
      </c>
      <c r="I101" s="30">
        <v>0.5</v>
      </c>
      <c r="J101" s="30">
        <v>0.5</v>
      </c>
      <c r="K101" s="30">
        <v>0.5</v>
      </c>
      <c r="L101" s="30">
        <v>0.5</v>
      </c>
      <c r="M101" s="30">
        <v>0.5</v>
      </c>
      <c r="N101" s="30">
        <v>0.5</v>
      </c>
      <c r="O101" s="30">
        <v>0.5</v>
      </c>
      <c r="P101" s="30">
        <v>0.5</v>
      </c>
      <c r="Q101" s="30">
        <v>0.5</v>
      </c>
      <c r="R101" s="30">
        <v>0.5</v>
      </c>
      <c r="S101" s="30">
        <v>0.5</v>
      </c>
      <c r="T101" s="30">
        <v>0.5</v>
      </c>
      <c r="U101" s="30">
        <v>0.5</v>
      </c>
      <c r="V101" s="30">
        <v>0.5</v>
      </c>
    </row>
    <row r="102" spans="1:22">
      <c r="A102" s="32">
        <v>120</v>
      </c>
      <c r="B102" s="31">
        <v>1</v>
      </c>
      <c r="C102" s="30">
        <v>1</v>
      </c>
      <c r="D102" s="30">
        <v>1</v>
      </c>
      <c r="E102" s="30">
        <v>1</v>
      </c>
      <c r="F102" s="30">
        <v>1</v>
      </c>
      <c r="G102" s="30">
        <v>1</v>
      </c>
      <c r="H102" s="30">
        <v>1</v>
      </c>
      <c r="I102" s="30">
        <v>1</v>
      </c>
      <c r="J102" s="30">
        <v>1</v>
      </c>
      <c r="K102" s="30">
        <v>1</v>
      </c>
      <c r="L102" s="30">
        <v>1</v>
      </c>
      <c r="M102" s="30">
        <v>1</v>
      </c>
      <c r="N102" s="30">
        <v>1</v>
      </c>
      <c r="O102" s="30">
        <v>1</v>
      </c>
      <c r="P102" s="30">
        <v>1</v>
      </c>
      <c r="Q102" s="30">
        <v>1</v>
      </c>
      <c r="R102" s="30">
        <v>1</v>
      </c>
      <c r="S102" s="30">
        <v>1</v>
      </c>
      <c r="T102" s="30">
        <v>1</v>
      </c>
      <c r="U102" s="30">
        <v>1</v>
      </c>
      <c r="V102" s="30">
        <v>1</v>
      </c>
    </row>
  </sheetData>
  <phoneticPr fontId="1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U102"/>
  <sheetViews>
    <sheetView topLeftCell="I1" workbookViewId="0">
      <selection activeCell="W19" sqref="W19"/>
    </sheetView>
  </sheetViews>
  <sheetFormatPr defaultColWidth="10.75" defaultRowHeight="15"/>
  <cols>
    <col min="1" max="16384" width="10.75" style="24"/>
  </cols>
  <sheetData>
    <row r="1" spans="1:125" ht="18.75">
      <c r="A1" s="21" t="s">
        <v>84</v>
      </c>
      <c r="B1" s="22">
        <v>2014</v>
      </c>
      <c r="C1" s="22">
        <v>2015</v>
      </c>
      <c r="D1" s="22">
        <v>2016</v>
      </c>
      <c r="E1" s="22">
        <v>2017</v>
      </c>
      <c r="F1" s="22">
        <v>2018</v>
      </c>
      <c r="G1" s="23">
        <v>2019</v>
      </c>
      <c r="H1" s="22">
        <v>2020</v>
      </c>
      <c r="I1" s="22">
        <v>2021</v>
      </c>
      <c r="J1" s="22">
        <v>2022</v>
      </c>
      <c r="K1" s="22">
        <v>2023</v>
      </c>
      <c r="L1" s="22">
        <v>2024</v>
      </c>
      <c r="M1" s="22">
        <v>2025</v>
      </c>
      <c r="N1" s="22">
        <v>2026</v>
      </c>
      <c r="O1" s="22">
        <v>2027</v>
      </c>
      <c r="P1" s="22">
        <v>2028</v>
      </c>
      <c r="Q1" s="22">
        <v>2029</v>
      </c>
      <c r="R1" s="22">
        <v>2030</v>
      </c>
      <c r="S1" s="22">
        <v>2031</v>
      </c>
      <c r="T1" s="22">
        <v>2032</v>
      </c>
      <c r="U1" s="22">
        <v>2033</v>
      </c>
      <c r="V1" s="22" t="s">
        <v>83</v>
      </c>
      <c r="X1" s="21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</row>
    <row r="2" spans="1:125">
      <c r="A2" s="25" t="s">
        <v>82</v>
      </c>
      <c r="B2" s="24">
        <v>4.06E-4</v>
      </c>
      <c r="C2" s="24">
        <v>4.099382E-4</v>
      </c>
      <c r="D2" s="24">
        <v>4.1350466233999999E-4</v>
      </c>
      <c r="E2" s="24">
        <v>4.1652324637508203E-4</v>
      </c>
      <c r="F2" s="24">
        <v>4.1881412423014499E-4</v>
      </c>
      <c r="G2" s="24">
        <v>4.202799736649505E-4</v>
      </c>
      <c r="H2" s="24">
        <v>4.2086836562808144E-4</v>
      </c>
      <c r="I2" s="24">
        <v>4.2061584460870459E-4</v>
      </c>
      <c r="J2" s="24">
        <v>4.1956430499718287E-4</v>
      </c>
      <c r="K2" s="24">
        <v>4.1788604777719416E-4</v>
      </c>
      <c r="L2" s="24">
        <v>4.1579661753830821E-4</v>
      </c>
      <c r="M2" s="24">
        <v>4.1342657681833983E-4</v>
      </c>
      <c r="N2" s="24">
        <v>4.1073930406902064E-4</v>
      </c>
      <c r="O2" s="24">
        <v>4.0778198107972372E-4</v>
      </c>
      <c r="P2" s="24">
        <v>4.0460128162730187E-4</v>
      </c>
      <c r="Q2" s="24">
        <v>4.0120263086163254E-4</v>
      </c>
      <c r="R2" s="24">
        <v>3.9759180718387783E-4</v>
      </c>
      <c r="S2" s="24">
        <v>3.9385444419634937E-4</v>
      </c>
      <c r="T2" s="24">
        <v>3.9003405608764477E-4</v>
      </c>
      <c r="U2" s="24">
        <v>3.8617271893237707E-4</v>
      </c>
      <c r="V2" s="24">
        <v>3.8231099174305331E-4</v>
      </c>
    </row>
    <row r="3" spans="1:125">
      <c r="A3" s="25">
        <v>21</v>
      </c>
      <c r="B3" s="24">
        <v>4.4900000000000002E-4</v>
      </c>
      <c r="C3" s="24">
        <v>4.5398390000000007E-4</v>
      </c>
      <c r="D3" s="24">
        <v>4.585237390000001E-4</v>
      </c>
      <c r="E3" s="24">
        <v>4.6237533840760007E-4</v>
      </c>
      <c r="F3" s="24">
        <v>4.6533454057340871E-4</v>
      </c>
      <c r="G3" s="24">
        <v>4.67288945643817E-4</v>
      </c>
      <c r="H3" s="24">
        <v>4.6817679464054027E-4</v>
      </c>
      <c r="I3" s="24">
        <v>4.6803634160214811E-4</v>
      </c>
      <c r="J3" s="24">
        <v>4.6695985801646319E-4</v>
      </c>
      <c r="K3" s="24">
        <v>4.65138714570199E-4</v>
      </c>
      <c r="L3" s="24">
        <v>4.6281302099734797E-4</v>
      </c>
      <c r="M3" s="24">
        <v>4.601749867776631E-4</v>
      </c>
      <c r="N3" s="24">
        <v>4.5718384936360831E-4</v>
      </c>
      <c r="O3" s="24">
        <v>4.5389212564819032E-4</v>
      </c>
      <c r="P3" s="24">
        <v>4.5035176706813442E-4</v>
      </c>
      <c r="Q3" s="24">
        <v>4.4656881222476211E-4</v>
      </c>
      <c r="R3" s="24">
        <v>4.4254969291473924E-4</v>
      </c>
      <c r="S3" s="24">
        <v>4.3838972580134071E-4</v>
      </c>
      <c r="T3" s="24">
        <v>4.3413734546106771E-4</v>
      </c>
      <c r="U3" s="24">
        <v>4.2983938574100311E-4</v>
      </c>
      <c r="V3" s="24">
        <v>4.2554099188359308E-4</v>
      </c>
    </row>
    <row r="4" spans="1:125">
      <c r="A4" s="25">
        <v>22</v>
      </c>
      <c r="B4" s="24">
        <v>4.8799999999999999E-4</v>
      </c>
      <c r="C4" s="24">
        <v>4.9478320000000001E-4</v>
      </c>
      <c r="D4" s="24">
        <v>5.0037425016000007E-4</v>
      </c>
      <c r="E4" s="24">
        <v>5.0517784296153607E-4</v>
      </c>
      <c r="F4" s="24">
        <v>5.0891615899945151E-4</v>
      </c>
      <c r="G4" s="24">
        <v>5.1140984817854877E-4</v>
      </c>
      <c r="H4" s="24">
        <v>5.1263723181417726E-4</v>
      </c>
      <c r="I4" s="24">
        <v>5.1263723181417726E-4</v>
      </c>
      <c r="J4" s="24">
        <v>5.1150942990418609E-4</v>
      </c>
      <c r="K4" s="24">
        <v>5.0951454312755972E-4</v>
      </c>
      <c r="L4" s="24">
        <v>5.069669704119219E-4</v>
      </c>
      <c r="M4" s="24">
        <v>5.0407725868057394E-4</v>
      </c>
      <c r="N4" s="24">
        <v>5.0080075649915025E-4</v>
      </c>
      <c r="O4" s="24">
        <v>4.9719499105235635E-4</v>
      </c>
      <c r="P4" s="24">
        <v>4.9331687012214799E-4</v>
      </c>
      <c r="Q4" s="24">
        <v>4.8917300841312195E-4</v>
      </c>
      <c r="R4" s="24">
        <v>4.8477045133740385E-4</v>
      </c>
      <c r="S4" s="24">
        <v>4.8021360909483225E-4</v>
      </c>
      <c r="T4" s="24">
        <v>4.7555553708661234E-4</v>
      </c>
      <c r="U4" s="24">
        <v>4.7084753726945488E-4</v>
      </c>
      <c r="V4" s="24">
        <v>4.661390618967603E-4</v>
      </c>
    </row>
    <row r="5" spans="1:125">
      <c r="A5" s="25">
        <v>23</v>
      </c>
      <c r="B5" s="24">
        <v>5.0900000000000001E-4</v>
      </c>
      <c r="C5" s="24">
        <v>5.1765299999999997E-4</v>
      </c>
      <c r="D5" s="24">
        <v>5.2495190729999995E-4</v>
      </c>
      <c r="E5" s="24">
        <v>5.3062138789883989E-4</v>
      </c>
      <c r="F5" s="24">
        <v>5.3507860755719013E-4</v>
      </c>
      <c r="G5" s="24">
        <v>5.3812855562026618E-4</v>
      </c>
      <c r="H5" s="24">
        <v>5.3974294128712698E-4</v>
      </c>
      <c r="I5" s="24">
        <v>5.3990486416951309E-4</v>
      </c>
      <c r="J5" s="24">
        <v>5.3882505444117405E-4</v>
      </c>
      <c r="K5" s="24">
        <v>5.3677751923429759E-4</v>
      </c>
      <c r="L5" s="24">
        <v>5.3409363163812605E-4</v>
      </c>
      <c r="M5" s="24">
        <v>5.3104929793778872E-4</v>
      </c>
      <c r="N5" s="24">
        <v>5.2759747750119308E-4</v>
      </c>
      <c r="O5" s="24">
        <v>5.2379877566318452E-4</v>
      </c>
      <c r="P5" s="24">
        <v>5.1971314521301163E-4</v>
      </c>
      <c r="Q5" s="24">
        <v>5.1534755479322231E-4</v>
      </c>
      <c r="R5" s="24">
        <v>5.1070942680008326E-4</v>
      </c>
      <c r="S5" s="24">
        <v>5.0590875818816254E-4</v>
      </c>
      <c r="T5" s="24">
        <v>5.0100144323373731E-4</v>
      </c>
      <c r="U5" s="24">
        <v>4.9604152894572328E-4</v>
      </c>
      <c r="V5" s="24">
        <v>4.9108111365626602E-4</v>
      </c>
    </row>
    <row r="6" spans="1:125">
      <c r="A6" s="25">
        <v>24</v>
      </c>
      <c r="B6" s="24">
        <v>5.1599999999999997E-4</v>
      </c>
      <c r="C6" s="24">
        <v>5.264232E-4</v>
      </c>
      <c r="D6" s="24">
        <v>5.3542503671999994E-4</v>
      </c>
      <c r="E6" s="24">
        <v>5.4259973221204799E-4</v>
      </c>
      <c r="F6" s="24">
        <v>5.4775442966806254E-4</v>
      </c>
      <c r="G6" s="24">
        <v>5.5136960890387167E-4</v>
      </c>
      <c r="H6" s="24">
        <v>5.5335453949592562E-4</v>
      </c>
      <c r="I6" s="24">
        <v>5.5374188767357273E-4</v>
      </c>
      <c r="J6" s="24">
        <v>5.5274515227576025E-4</v>
      </c>
      <c r="K6" s="24">
        <v>5.5064472069711232E-4</v>
      </c>
      <c r="L6" s="24">
        <v>5.4789149709362679E-4</v>
      </c>
      <c r="M6" s="24">
        <v>5.4476851556019312E-4</v>
      </c>
      <c r="N6" s="24">
        <v>5.4122752020905186E-4</v>
      </c>
      <c r="O6" s="24">
        <v>5.3733068206354674E-4</v>
      </c>
      <c r="P6" s="24">
        <v>5.33139502743451E-4</v>
      </c>
      <c r="Q6" s="24">
        <v>5.2866113092040607E-4</v>
      </c>
      <c r="R6" s="24">
        <v>5.2390318074212237E-4</v>
      </c>
      <c r="S6" s="24">
        <v>5.1897849084314642E-4</v>
      </c>
      <c r="T6" s="24">
        <v>5.1394439948196792E-4</v>
      </c>
      <c r="U6" s="24">
        <v>5.0885634992709644E-4</v>
      </c>
      <c r="V6" s="24">
        <v>5.0376778642782544E-4</v>
      </c>
    </row>
    <row r="7" spans="1:125">
      <c r="A7" s="25">
        <v>25</v>
      </c>
      <c r="B7" s="24">
        <v>4.84E-4</v>
      </c>
      <c r="C7" s="24">
        <v>4.9537400000000003E-4</v>
      </c>
      <c r="D7" s="24">
        <v>5.0538055480000004E-4</v>
      </c>
      <c r="E7" s="24">
        <v>5.1356771978776003E-4</v>
      </c>
      <c r="F7" s="24">
        <v>5.196278188812556E-4</v>
      </c>
      <c r="G7" s="24">
        <v>5.234730647409769E-4</v>
      </c>
      <c r="H7" s="24">
        <v>5.2567165161288899E-4</v>
      </c>
      <c r="I7" s="24">
        <v>5.2624989042966317E-4</v>
      </c>
      <c r="J7" s="24">
        <v>5.2540789060497571E-4</v>
      </c>
      <c r="K7" s="24">
        <v>5.2346388140973724E-4</v>
      </c>
      <c r="L7" s="24">
        <v>5.2084656200268857E-4</v>
      </c>
      <c r="M7" s="24">
        <v>5.1787773659927325E-4</v>
      </c>
      <c r="N7" s="24">
        <v>5.1451153131137797E-4</v>
      </c>
      <c r="O7" s="24">
        <v>5.1080704828593607E-4</v>
      </c>
      <c r="P7" s="24">
        <v>5.0682275330930576E-4</v>
      </c>
      <c r="Q7" s="24">
        <v>5.0256544218150762E-4</v>
      </c>
      <c r="R7" s="24">
        <v>4.9804235320187408E-4</v>
      </c>
      <c r="S7" s="24">
        <v>4.9336075508177649E-4</v>
      </c>
      <c r="T7" s="24">
        <v>4.8857515575748329E-4</v>
      </c>
      <c r="U7" s="24">
        <v>4.8373826171548419E-4</v>
      </c>
      <c r="V7" s="24">
        <v>4.7890087909832933E-4</v>
      </c>
    </row>
    <row r="8" spans="1:125">
      <c r="A8" s="25">
        <v>26</v>
      </c>
      <c r="B8" s="24">
        <v>4.6200000000000001E-4</v>
      </c>
      <c r="C8" s="24">
        <v>4.743816E-4</v>
      </c>
      <c r="D8" s="24">
        <v>4.8543469128000007E-4</v>
      </c>
      <c r="E8" s="24">
        <v>4.9465795041432007E-4</v>
      </c>
      <c r="F8" s="24">
        <v>5.0173155910524479E-4</v>
      </c>
      <c r="G8" s="24">
        <v>5.0644783576083417E-4</v>
      </c>
      <c r="H8" s="24">
        <v>5.0887878537248616E-4</v>
      </c>
      <c r="I8" s="24">
        <v>5.095912156720077E-4</v>
      </c>
      <c r="J8" s="24">
        <v>5.0882682884849969E-4</v>
      </c>
      <c r="K8" s="24">
        <v>5.0694416958176026E-4</v>
      </c>
      <c r="L8" s="24">
        <v>5.0440944873385144E-4</v>
      </c>
      <c r="M8" s="24">
        <v>5.0153431487606846E-4</v>
      </c>
      <c r="N8" s="24">
        <v>4.9827434182937399E-4</v>
      </c>
      <c r="O8" s="24">
        <v>4.9468676656820251E-4</v>
      </c>
      <c r="P8" s="24">
        <v>4.9082820978897049E-4</v>
      </c>
      <c r="Q8" s="24">
        <v>4.8670525282674314E-4</v>
      </c>
      <c r="R8" s="24">
        <v>4.8232490555130247E-4</v>
      </c>
      <c r="S8" s="24">
        <v>4.7779105143912025E-4</v>
      </c>
      <c r="T8" s="24">
        <v>4.7315647824016076E-4</v>
      </c>
      <c r="U8" s="24">
        <v>4.6847222910558319E-4</v>
      </c>
      <c r="V8" s="24">
        <v>4.6378750681452737E-4</v>
      </c>
    </row>
    <row r="9" spans="1:125">
      <c r="A9" s="25">
        <v>27</v>
      </c>
      <c r="B9" s="24">
        <v>4.4900000000000002E-4</v>
      </c>
      <c r="C9" s="24">
        <v>4.6247000000000004E-4</v>
      </c>
      <c r="D9" s="24">
        <v>4.7467920800000002E-4</v>
      </c>
      <c r="E9" s="24">
        <v>4.8502721473440004E-4</v>
      </c>
      <c r="F9" s="24">
        <v>4.9312716922046446E-4</v>
      </c>
      <c r="G9" s="24">
        <v>4.9879813166649981E-4</v>
      </c>
      <c r="H9" s="24">
        <v>5.0199043970916536E-4</v>
      </c>
      <c r="I9" s="24">
        <v>5.0289402250064191E-4</v>
      </c>
      <c r="J9" s="24">
        <v>5.0224026027139107E-4</v>
      </c>
      <c r="K9" s="24">
        <v>5.0043219533441399E-4</v>
      </c>
      <c r="L9" s="24">
        <v>4.9793003435774196E-4</v>
      </c>
      <c r="M9" s="24">
        <v>4.9509183316190277E-4</v>
      </c>
      <c r="N9" s="24">
        <v>4.9187373624635044E-4</v>
      </c>
      <c r="O9" s="24">
        <v>4.8833224534537668E-4</v>
      </c>
      <c r="P9" s="24">
        <v>4.8452325383168272E-4</v>
      </c>
      <c r="Q9" s="24">
        <v>4.8045325849949659E-4</v>
      </c>
      <c r="R9" s="24">
        <v>4.7612917917300114E-4</v>
      </c>
      <c r="S9" s="24">
        <v>4.7165356488877496E-4</v>
      </c>
      <c r="T9" s="24">
        <v>4.6707852530935385E-4</v>
      </c>
      <c r="U9" s="24">
        <v>4.6245444790879122E-4</v>
      </c>
      <c r="V9" s="24">
        <v>4.5782990342970332E-4</v>
      </c>
    </row>
    <row r="10" spans="1:125">
      <c r="A10" s="25">
        <v>28</v>
      </c>
      <c r="B10" s="24">
        <v>4.44E-4</v>
      </c>
      <c r="C10" s="24">
        <v>4.5865199999999999E-4</v>
      </c>
      <c r="D10" s="24">
        <v>4.7209050360000001E-4</v>
      </c>
      <c r="E10" s="24">
        <v>4.8370392998856E-4</v>
      </c>
      <c r="F10" s="24">
        <v>4.9299104544434037E-4</v>
      </c>
      <c r="G10" s="24">
        <v>4.9969572366238347E-4</v>
      </c>
      <c r="H10" s="24">
        <v>5.0374325902404881E-4</v>
      </c>
      <c r="I10" s="24">
        <v>5.0530486312702345E-4</v>
      </c>
      <c r="J10" s="24">
        <v>5.047490277775837E-4</v>
      </c>
      <c r="K10" s="24">
        <v>5.0293193127758443E-4</v>
      </c>
      <c r="L10" s="24">
        <v>5.0041727162119653E-4</v>
      </c>
      <c r="M10" s="24">
        <v>4.9756489317295566E-4</v>
      </c>
      <c r="N10" s="24">
        <v>4.943307213673315E-4</v>
      </c>
      <c r="O10" s="24">
        <v>4.9077154017348676E-4</v>
      </c>
      <c r="P10" s="24">
        <v>4.8694352216013353E-4</v>
      </c>
      <c r="Q10" s="24">
        <v>4.8285319657398842E-4</v>
      </c>
      <c r="R10" s="24">
        <v>4.7850751780482254E-4</v>
      </c>
      <c r="S10" s="24">
        <v>4.740095471374572E-4</v>
      </c>
      <c r="T10" s="24">
        <v>4.6941165453022384E-4</v>
      </c>
      <c r="U10" s="24">
        <v>4.6476447915037459E-4</v>
      </c>
      <c r="V10" s="24">
        <v>4.6011683435887084E-4</v>
      </c>
    </row>
    <row r="11" spans="1:125">
      <c r="A11" s="25">
        <v>29</v>
      </c>
      <c r="B11" s="24">
        <v>4.46E-4</v>
      </c>
      <c r="C11" s="24">
        <v>4.6192220000000004E-4</v>
      </c>
      <c r="D11" s="24">
        <v>4.7670371040000004E-4</v>
      </c>
      <c r="E11" s="24">
        <v>4.8962238095183995E-4</v>
      </c>
      <c r="F11" s="24">
        <v>5.0014926214230458E-4</v>
      </c>
      <c r="G11" s="24">
        <v>5.079515906317246E-4</v>
      </c>
      <c r="H11" s="24">
        <v>5.1292951621991552E-4</v>
      </c>
      <c r="I11" s="24">
        <v>5.1523769904290515E-4</v>
      </c>
      <c r="J11" s="24">
        <v>5.1518617527300081E-4</v>
      </c>
      <c r="K11" s="24">
        <v>5.1333150504201798E-4</v>
      </c>
      <c r="L11" s="24">
        <v>5.1076484751680785E-4</v>
      </c>
      <c r="M11" s="24">
        <v>5.0785348788596205E-4</v>
      </c>
      <c r="N11" s="24">
        <v>5.0455244021470336E-4</v>
      </c>
      <c r="O11" s="24">
        <v>5.0091966264515745E-4</v>
      </c>
      <c r="P11" s="24">
        <v>4.9701248927652524E-4</v>
      </c>
      <c r="Q11" s="24">
        <v>4.928375843666024E-4</v>
      </c>
      <c r="R11" s="24">
        <v>4.8840204610730296E-4</v>
      </c>
      <c r="S11" s="24">
        <v>4.8381106687389434E-4</v>
      </c>
      <c r="T11" s="24">
        <v>4.7911809952521755E-4</v>
      </c>
      <c r="U11" s="24">
        <v>4.7437483033991787E-4</v>
      </c>
      <c r="V11" s="24">
        <v>4.6963108203651867E-4</v>
      </c>
    </row>
    <row r="12" spans="1:125">
      <c r="A12" s="25">
        <v>30</v>
      </c>
      <c r="B12" s="24">
        <v>4.5199999999999998E-4</v>
      </c>
      <c r="C12" s="24">
        <v>4.6917600000000002E-4</v>
      </c>
      <c r="D12" s="24">
        <v>4.8531565440000001E-4</v>
      </c>
      <c r="E12" s="24">
        <v>4.996324662048001E-4</v>
      </c>
      <c r="F12" s="24">
        <v>5.1147375565385386E-4</v>
      </c>
      <c r="G12" s="24">
        <v>5.2047569375336168E-4</v>
      </c>
      <c r="H12" s="24">
        <v>5.2646116423152539E-4</v>
      </c>
      <c r="I12" s="24">
        <v>5.2951463898406827E-4</v>
      </c>
      <c r="J12" s="24">
        <v>5.3004415362305224E-4</v>
      </c>
      <c r="K12" s="24">
        <v>5.2861303440827E-4</v>
      </c>
      <c r="L12" s="24">
        <v>5.2596996923622865E-4</v>
      </c>
      <c r="M12" s="24">
        <v>5.2297194041158216E-4</v>
      </c>
      <c r="N12" s="24">
        <v>5.1957262279890689E-4</v>
      </c>
      <c r="O12" s="24">
        <v>5.1583169991475475E-4</v>
      </c>
      <c r="P12" s="24">
        <v>5.1180821265541963E-4</v>
      </c>
      <c r="Q12" s="24">
        <v>5.0750902366911415E-4</v>
      </c>
      <c r="R12" s="24">
        <v>5.0294144245609208E-4</v>
      </c>
      <c r="S12" s="24">
        <v>4.9821379289700484E-4</v>
      </c>
      <c r="T12" s="24">
        <v>4.9338111910590384E-4</v>
      </c>
      <c r="U12" s="24">
        <v>4.8849664602675536E-4</v>
      </c>
      <c r="V12" s="24">
        <v>4.8361167956648777E-4</v>
      </c>
    </row>
    <row r="13" spans="1:125">
      <c r="A13" s="25">
        <v>31</v>
      </c>
      <c r="B13" s="24">
        <v>4.6299999999999998E-4</v>
      </c>
      <c r="C13" s="24">
        <v>4.8147370000000002E-4</v>
      </c>
      <c r="D13" s="24">
        <v>4.9899934268000001E-4</v>
      </c>
      <c r="E13" s="24">
        <v>5.147178219744201E-4</v>
      </c>
      <c r="F13" s="24">
        <v>5.2794606999916277E-4</v>
      </c>
      <c r="G13" s="24">
        <v>5.3818822375714659E-4</v>
      </c>
      <c r="H13" s="24">
        <v>5.4523848948836529E-4</v>
      </c>
      <c r="I13" s="24">
        <v>5.491642066126816E-4</v>
      </c>
      <c r="J13" s="24">
        <v>5.5031745144656821E-4</v>
      </c>
      <c r="K13" s="24">
        <v>5.4932688003396437E-4</v>
      </c>
      <c r="L13" s="24">
        <v>5.4696477444981834E-4</v>
      </c>
      <c r="M13" s="24">
        <v>5.4384707523545434E-4</v>
      </c>
      <c r="N13" s="24">
        <v>5.4031206924642396E-4</v>
      </c>
      <c r="O13" s="24">
        <v>5.3642182234784968E-4</v>
      </c>
      <c r="P13" s="24">
        <v>5.3223773213353649E-4</v>
      </c>
      <c r="Q13" s="24">
        <v>5.2776693518361483E-4</v>
      </c>
      <c r="R13" s="24">
        <v>5.2301703276696229E-4</v>
      </c>
      <c r="S13" s="24">
        <v>5.1810067265895291E-4</v>
      </c>
      <c r="T13" s="24">
        <v>5.1307509613416106E-4</v>
      </c>
      <c r="U13" s="24">
        <v>5.0799565268243286E-4</v>
      </c>
      <c r="V13" s="24">
        <v>5.0291569615560857E-4</v>
      </c>
    </row>
    <row r="14" spans="1:125">
      <c r="A14" s="25">
        <v>32</v>
      </c>
      <c r="B14" s="24">
        <v>4.7699999999999999E-4</v>
      </c>
      <c r="C14" s="24">
        <v>4.9670010000000002E-4</v>
      </c>
      <c r="D14" s="24">
        <v>5.1552503379000006E-4</v>
      </c>
      <c r="E14" s="24">
        <v>5.32588912408449E-4</v>
      </c>
      <c r="F14" s="24">
        <v>5.4718184860844056E-4</v>
      </c>
      <c r="G14" s="24">
        <v>5.5867266742921776E-4</v>
      </c>
      <c r="H14" s="24">
        <v>5.6682928837368434E-4</v>
      </c>
      <c r="I14" s="24">
        <v>5.7170402025369794E-4</v>
      </c>
      <c r="J14" s="24">
        <v>5.7359064352053516E-4</v>
      </c>
      <c r="K14" s="24">
        <v>5.7307441194136667E-4</v>
      </c>
      <c r="L14" s="24">
        <v>5.7106865149957194E-4</v>
      </c>
      <c r="M14" s="24">
        <v>5.6815620137692414E-4</v>
      </c>
      <c r="N14" s="24">
        <v>5.6446318606797414E-4</v>
      </c>
      <c r="O14" s="24">
        <v>5.6039905112828471E-4</v>
      </c>
      <c r="P14" s="24">
        <v>5.5602793852948412E-4</v>
      </c>
      <c r="Q14" s="24">
        <v>5.5135730384583644E-4</v>
      </c>
      <c r="R14" s="24">
        <v>5.4639508811122391E-4</v>
      </c>
      <c r="S14" s="24">
        <v>5.4125897428297838E-4</v>
      </c>
      <c r="T14" s="24">
        <v>5.3600876223243346E-4</v>
      </c>
      <c r="U14" s="24">
        <v>5.307022754863324E-4</v>
      </c>
      <c r="V14" s="24">
        <v>5.2539525273146911E-4</v>
      </c>
    </row>
    <row r="15" spans="1:125">
      <c r="A15" s="25">
        <v>33</v>
      </c>
      <c r="B15" s="24">
        <v>4.9200000000000003E-4</v>
      </c>
      <c r="C15" s="24">
        <v>5.127132E-4</v>
      </c>
      <c r="D15" s="24">
        <v>5.3270901480000001E-4</v>
      </c>
      <c r="E15" s="24">
        <v>5.5098093400763996E-4</v>
      </c>
      <c r="F15" s="24">
        <v>5.6679408681365915E-4</v>
      </c>
      <c r="G15" s="24">
        <v>5.7949027435828511E-4</v>
      </c>
      <c r="H15" s="24">
        <v>5.8876211874801766E-4</v>
      </c>
      <c r="I15" s="24">
        <v>5.9453198751174829E-4</v>
      </c>
      <c r="J15" s="24">
        <v>5.9714792825680001E-4</v>
      </c>
      <c r="K15" s="24">
        <v>5.9720764304962569E-4</v>
      </c>
      <c r="L15" s="24">
        <v>5.9559518241339166E-4</v>
      </c>
      <c r="M15" s="24">
        <v>5.9291500409253139E-4</v>
      </c>
      <c r="N15" s="24">
        <v>5.8935751406797622E-4</v>
      </c>
      <c r="O15" s="24">
        <v>5.8511413996668676E-4</v>
      </c>
      <c r="P15" s="24">
        <v>5.8055024967494661E-4</v>
      </c>
      <c r="Q15" s="24">
        <v>5.7567362757767707E-4</v>
      </c>
      <c r="R15" s="24">
        <v>5.7049256492947801E-4</v>
      </c>
      <c r="S15" s="24">
        <v>5.6512993481914098E-4</v>
      </c>
      <c r="T15" s="24">
        <v>5.5964817445139532E-4</v>
      </c>
      <c r="U15" s="24">
        <v>5.5410765752432652E-4</v>
      </c>
      <c r="V15" s="24">
        <v>5.4856658094908323E-4</v>
      </c>
    </row>
    <row r="16" spans="1:125">
      <c r="A16" s="25">
        <v>34</v>
      </c>
      <c r="B16" s="24">
        <v>5.0799999999999999E-4</v>
      </c>
      <c r="C16" s="24">
        <v>5.2938680000000002E-4</v>
      </c>
      <c r="D16" s="24">
        <v>5.5019170123999999E-4</v>
      </c>
      <c r="E16" s="24">
        <v>5.6944841078339998E-4</v>
      </c>
      <c r="F16" s="24">
        <v>5.8624713890151033E-4</v>
      </c>
      <c r="G16" s="24">
        <v>5.9996532195180576E-4</v>
      </c>
      <c r="H16" s="24">
        <v>6.1016473242498639E-4</v>
      </c>
      <c r="I16" s="24">
        <v>6.1681552800841872E-4</v>
      </c>
      <c r="J16" s="24">
        <v>6.2014633185966423E-4</v>
      </c>
      <c r="K16" s="24">
        <v>6.2076647819152384E-4</v>
      </c>
      <c r="L16" s="24">
        <v>6.1958702188295996E-4</v>
      </c>
      <c r="M16" s="24">
        <v>6.1723259119980472E-4</v>
      </c>
      <c r="N16" s="24">
        <v>6.1389953520732583E-4</v>
      </c>
      <c r="O16" s="24">
        <v>6.09725018367916E-4</v>
      </c>
      <c r="P16" s="24">
        <v>6.0496916322464627E-4</v>
      </c>
      <c r="Q16" s="24">
        <v>5.9988742225355928E-4</v>
      </c>
      <c r="R16" s="24">
        <v>5.9448843545327728E-4</v>
      </c>
      <c r="S16" s="24">
        <v>5.8890024416001648E-4</v>
      </c>
      <c r="T16" s="24">
        <v>5.8318791179166429E-4</v>
      </c>
      <c r="U16" s="24">
        <v>5.7741435146492677E-4</v>
      </c>
      <c r="V16" s="24">
        <v>5.7164020795027754E-4</v>
      </c>
    </row>
    <row r="17" spans="1:22">
      <c r="A17" s="25">
        <v>35</v>
      </c>
      <c r="B17" s="24">
        <v>5.2300000000000003E-4</v>
      </c>
      <c r="C17" s="24">
        <v>5.4465220000000003E-4</v>
      </c>
      <c r="D17" s="24">
        <v>5.6589363580000003E-4</v>
      </c>
      <c r="E17" s="24">
        <v>5.8575650241658001E-4</v>
      </c>
      <c r="F17" s="24">
        <v>6.0327062183883578E-4</v>
      </c>
      <c r="G17" s="24">
        <v>6.177491167629679E-4</v>
      </c>
      <c r="H17" s="24">
        <v>6.2880682595302503E-4</v>
      </c>
      <c r="I17" s="24">
        <v>6.3622674649927075E-4</v>
      </c>
      <c r="J17" s="24">
        <v>6.4029859767686609E-4</v>
      </c>
      <c r="K17" s="24">
        <v>6.4157919487221979E-4</v>
      </c>
      <c r="L17" s="24">
        <v>6.409376156773476E-4</v>
      </c>
      <c r="M17" s="24">
        <v>6.3895070906874784E-4</v>
      </c>
      <c r="N17" s="24">
        <v>6.3581985059431095E-4</v>
      </c>
      <c r="O17" s="24">
        <v>6.3175060355050736E-4</v>
      </c>
      <c r="P17" s="24">
        <v>6.2701247402387856E-4</v>
      </c>
      <c r="Q17" s="24">
        <v>6.21745569242078E-4</v>
      </c>
      <c r="R17" s="24">
        <v>6.1614985911889926E-4</v>
      </c>
      <c r="S17" s="24">
        <v>6.1035805044318161E-4</v>
      </c>
      <c r="T17" s="24">
        <v>6.0443757735388268E-4</v>
      </c>
      <c r="U17" s="24">
        <v>5.9845364533807918E-4</v>
      </c>
      <c r="V17" s="24">
        <v>5.9246910888469844E-4</v>
      </c>
    </row>
    <row r="18" spans="1:22">
      <c r="A18" s="25">
        <v>36</v>
      </c>
      <c r="B18" s="24">
        <v>5.3600000000000002E-4</v>
      </c>
      <c r="C18" s="24">
        <v>5.5733280000000007E-4</v>
      </c>
      <c r="D18" s="24">
        <v>5.7851144640000006E-4</v>
      </c>
      <c r="E18" s="24">
        <v>5.9847009130080007E-4</v>
      </c>
      <c r="F18" s="24">
        <v>6.162446530124339E-4</v>
      </c>
      <c r="G18" s="24">
        <v>6.311577736153348E-4</v>
      </c>
      <c r="H18" s="24">
        <v>6.4270796087249546E-4</v>
      </c>
      <c r="I18" s="24">
        <v>6.5074181038340159E-4</v>
      </c>
      <c r="J18" s="24">
        <v>6.5542715141816217E-4</v>
      </c>
      <c r="K18" s="24">
        <v>6.573278901572748E-4</v>
      </c>
      <c r="L18" s="24">
        <v>6.5719642457924337E-4</v>
      </c>
      <c r="M18" s="24">
        <v>6.5561915316025322E-4</v>
      </c>
      <c r="N18" s="24">
        <v>6.5279999080166415E-4</v>
      </c>
      <c r="O18" s="24">
        <v>6.4894847085593432E-4</v>
      </c>
      <c r="P18" s="24">
        <v>6.4427604186577164E-4</v>
      </c>
      <c r="Q18" s="24">
        <v>6.3899297832247231E-4</v>
      </c>
      <c r="R18" s="24">
        <v>6.332420415175701E-4</v>
      </c>
      <c r="S18" s="24">
        <v>6.2728956632730499E-4</v>
      </c>
      <c r="T18" s="24">
        <v>6.2120485753393013E-4</v>
      </c>
      <c r="U18" s="24">
        <v>6.1505492944434427E-4</v>
      </c>
      <c r="V18" s="24">
        <v>6.0890438014990077E-4</v>
      </c>
    </row>
    <row r="19" spans="1:22">
      <c r="A19" s="25">
        <v>37</v>
      </c>
      <c r="B19" s="24">
        <v>5.5099999999999995E-4</v>
      </c>
      <c r="C19" s="24">
        <v>5.7160740000000005E-4</v>
      </c>
      <c r="D19" s="24">
        <v>5.9224242714000011E-4</v>
      </c>
      <c r="E19" s="24">
        <v>6.1190487572104801E-4</v>
      </c>
      <c r="F19" s="24">
        <v>6.2965011711695832E-4</v>
      </c>
      <c r="G19" s="24">
        <v>6.4469875491605369E-4</v>
      </c>
      <c r="H19" s="24">
        <v>6.5662568188200061E-4</v>
      </c>
      <c r="I19" s="24">
        <v>6.6516181574646652E-4</v>
      </c>
      <c r="J19" s="24">
        <v>6.7041659409086359E-4</v>
      </c>
      <c r="K19" s="24">
        <v>6.7289713548899979E-4</v>
      </c>
      <c r="L19" s="24">
        <v>6.7330087377029315E-4</v>
      </c>
      <c r="M19" s="24">
        <v>6.7215626228488362E-4</v>
      </c>
      <c r="N19" s="24">
        <v>6.6966928411442948E-4</v>
      </c>
      <c r="O19" s="24">
        <v>6.6605306998021162E-4</v>
      </c>
      <c r="P19" s="24">
        <v>6.6145730379734812E-4</v>
      </c>
      <c r="Q19" s="24">
        <v>6.5616564536696929E-4</v>
      </c>
      <c r="R19" s="24">
        <v>6.5039138768773993E-4</v>
      </c>
      <c r="S19" s="24">
        <v>6.4427770864347524E-4</v>
      </c>
      <c r="T19" s="24">
        <v>6.3802821486963349E-4</v>
      </c>
      <c r="U19" s="24">
        <v>6.3171173554242414E-4</v>
      </c>
      <c r="V19" s="24">
        <v>6.2539461818699989E-4</v>
      </c>
    </row>
    <row r="20" spans="1:22">
      <c r="A20" s="25">
        <v>38</v>
      </c>
      <c r="B20" s="24">
        <v>5.6999999999999998E-4</v>
      </c>
      <c r="C20" s="24">
        <v>5.8938000000000003E-4</v>
      </c>
      <c r="D20" s="24">
        <v>6.0906529200000013E-4</v>
      </c>
      <c r="E20" s="24">
        <v>6.2800722258120009E-4</v>
      </c>
      <c r="F20" s="24">
        <v>6.4534022192444128E-4</v>
      </c>
      <c r="G20" s="24">
        <v>6.6031211507308835E-4</v>
      </c>
      <c r="H20" s="24">
        <v>6.7232979556741852E-4</v>
      </c>
      <c r="I20" s="24">
        <v>6.8120454886890847E-4</v>
      </c>
      <c r="J20" s="24">
        <v>6.8692666707940726E-4</v>
      </c>
      <c r="K20" s="24">
        <v>6.8988045174784868E-4</v>
      </c>
      <c r="L20" s="24">
        <v>6.90777296335121E-4</v>
      </c>
      <c r="M20" s="24">
        <v>6.9008651903878582E-4</v>
      </c>
      <c r="N20" s="24">
        <v>6.8794725082976555E-4</v>
      </c>
      <c r="O20" s="24">
        <v>6.8450751457561671E-4</v>
      </c>
      <c r="P20" s="24">
        <v>6.8005821573087521E-4</v>
      </c>
      <c r="Q20" s="24">
        <v>6.748217674697474E-4</v>
      </c>
      <c r="R20" s="24">
        <v>6.6895081809276061E-4</v>
      </c>
      <c r="S20" s="24">
        <v>6.6272957548449798E-4</v>
      </c>
      <c r="T20" s="24">
        <v>6.5630109860229829E-4</v>
      </c>
      <c r="U20" s="24">
        <v>6.4980371772613548E-4</v>
      </c>
      <c r="V20" s="24">
        <v>6.4330568054887414E-4</v>
      </c>
    </row>
    <row r="21" spans="1:22">
      <c r="A21" s="25">
        <v>39</v>
      </c>
      <c r="B21" s="24">
        <v>5.9500000000000004E-4</v>
      </c>
      <c r="C21" s="24">
        <v>6.1279050000000005E-4</v>
      </c>
      <c r="D21" s="24">
        <v>6.3111293595000009E-4</v>
      </c>
      <c r="E21" s="24">
        <v>6.489734320373851E-4</v>
      </c>
      <c r="F21" s="24">
        <v>6.6558715189754222E-4</v>
      </c>
      <c r="G21" s="24">
        <v>6.8016351052409838E-4</v>
      </c>
      <c r="H21" s="24">
        <v>6.9213438830932259E-4</v>
      </c>
      <c r="I21" s="24">
        <v>7.0120134879617481E-4</v>
      </c>
      <c r="J21" s="24">
        <v>7.0730180053070154E-4</v>
      </c>
      <c r="K21" s="24">
        <v>7.1076757935330194E-4</v>
      </c>
      <c r="L21" s="24">
        <v>7.121891145120085E-4</v>
      </c>
      <c r="M21" s="24">
        <v>7.1190423886620369E-4</v>
      </c>
      <c r="N21" s="24">
        <v>7.1005328784515156E-4</v>
      </c>
      <c r="O21" s="24">
        <v>7.0685804804984838E-4</v>
      </c>
      <c r="P21" s="24">
        <v>7.0254621395674432E-4</v>
      </c>
      <c r="Q21" s="24">
        <v>6.9727711735206876E-4</v>
      </c>
      <c r="R21" s="24">
        <v>6.9135026185457619E-4</v>
      </c>
      <c r="S21" s="24">
        <v>6.8498983944551407E-4</v>
      </c>
      <c r="T21" s="24">
        <v>6.7834543800289254E-4</v>
      </c>
      <c r="U21" s="24">
        <v>6.7162981816666384E-4</v>
      </c>
      <c r="V21" s="24">
        <v>6.6491351998499717E-4</v>
      </c>
    </row>
    <row r="22" spans="1:22">
      <c r="A22" s="25">
        <v>40</v>
      </c>
      <c r="B22" s="24">
        <v>6.2799999999999998E-4</v>
      </c>
      <c r="C22" s="24">
        <v>6.4376279999999993E-4</v>
      </c>
      <c r="D22" s="24">
        <v>6.6030750395999998E-4</v>
      </c>
      <c r="E22" s="24">
        <v>6.7674916080860388E-4</v>
      </c>
      <c r="F22" s="24">
        <v>6.9231439150720174E-4</v>
      </c>
      <c r="G22" s="24">
        <v>7.0622991077649649E-4</v>
      </c>
      <c r="H22" s="24">
        <v>7.1795332729538634E-4</v>
      </c>
      <c r="I22" s="24">
        <v>7.2707133455203769E-4</v>
      </c>
      <c r="J22" s="24">
        <v>7.3346956229609558E-4</v>
      </c>
      <c r="K22" s="24">
        <v>7.3735695097626496E-4</v>
      </c>
      <c r="L22" s="24">
        <v>7.3920034335370557E-4</v>
      </c>
      <c r="M22" s="24">
        <v>7.3934818342237627E-4</v>
      </c>
      <c r="N22" s="24">
        <v>7.3786948705553148E-4</v>
      </c>
      <c r="O22" s="24">
        <v>7.349180091073094E-4</v>
      </c>
      <c r="P22" s="24">
        <v>7.3065548465448698E-4</v>
      </c>
      <c r="Q22" s="24">
        <v>7.2539476516497465E-4</v>
      </c>
      <c r="R22" s="24">
        <v>7.1937398861410533E-4</v>
      </c>
      <c r="S22" s="24">
        <v>7.1282768531771693E-4</v>
      </c>
      <c r="T22" s="24">
        <v>7.0598453953866678E-4</v>
      </c>
      <c r="U22" s="24">
        <v>6.9899529259723398E-4</v>
      </c>
      <c r="V22" s="24">
        <v>6.9200533967126159E-4</v>
      </c>
    </row>
    <row r="23" spans="1:22">
      <c r="A23" s="25">
        <v>41</v>
      </c>
      <c r="B23" s="24">
        <v>6.7100000000000005E-4</v>
      </c>
      <c r="C23" s="24">
        <v>6.8435290000000003E-4</v>
      </c>
      <c r="D23" s="24">
        <v>6.9872431089999993E-4</v>
      </c>
      <c r="E23" s="24">
        <v>7.133975214288999E-4</v>
      </c>
      <c r="F23" s="24">
        <v>7.2759413210533505E-4</v>
      </c>
      <c r="G23" s="24">
        <v>7.4061806707002061E-4</v>
      </c>
      <c r="H23" s="24">
        <v>7.5187546168948498E-4</v>
      </c>
      <c r="I23" s="24">
        <v>7.6089796722975881E-4</v>
      </c>
      <c r="J23" s="24">
        <v>7.6751777954465767E-4</v>
      </c>
      <c r="K23" s="24">
        <v>7.7181587911010776E-4</v>
      </c>
      <c r="L23" s="24">
        <v>7.7405414515952702E-4</v>
      </c>
      <c r="M23" s="24">
        <v>7.7451857764662267E-4</v>
      </c>
      <c r="N23" s="24">
        <v>7.7327934792238804E-4</v>
      </c>
      <c r="O23" s="24">
        <v>7.7049554226986741E-4</v>
      </c>
      <c r="P23" s="24">
        <v>7.6633486634161013E-4</v>
      </c>
      <c r="Q23" s="24">
        <v>7.6104715576385303E-4</v>
      </c>
      <c r="R23" s="24">
        <v>7.5488267380216588E-4</v>
      </c>
      <c r="S23" s="24">
        <v>7.4808872973794634E-4</v>
      </c>
      <c r="T23" s="24">
        <v>7.4090707793246198E-4</v>
      </c>
      <c r="U23" s="24">
        <v>7.3357209786093056E-4</v>
      </c>
      <c r="V23" s="24">
        <v>7.2623637688232125E-4</v>
      </c>
    </row>
    <row r="24" spans="1:22">
      <c r="A24" s="25">
        <v>42</v>
      </c>
      <c r="B24" s="24">
        <v>7.2499999999999995E-4</v>
      </c>
      <c r="C24" s="24">
        <v>7.3558499999999986E-4</v>
      </c>
      <c r="D24" s="24">
        <v>7.4742791849999985E-4</v>
      </c>
      <c r="E24" s="24">
        <v>7.5990996473894977E-4</v>
      </c>
      <c r="F24" s="24">
        <v>7.7237248816066847E-4</v>
      </c>
      <c r="G24" s="24">
        <v>7.8418978722952682E-4</v>
      </c>
      <c r="H24" s="24">
        <v>7.9469793037840249E-4</v>
      </c>
      <c r="I24" s="24">
        <v>8.0343960761256484E-4</v>
      </c>
      <c r="J24" s="24">
        <v>8.1010815635574912E-4</v>
      </c>
      <c r="K24" s="24">
        <v>8.1464476203134135E-4</v>
      </c>
      <c r="L24" s="24">
        <v>8.1725162526984172E-4</v>
      </c>
      <c r="M24" s="24">
        <v>8.1806887689511146E-4</v>
      </c>
      <c r="N24" s="24">
        <v>8.1708719424283729E-4</v>
      </c>
      <c r="O24" s="24">
        <v>8.1439080650183592E-4</v>
      </c>
      <c r="P24" s="24">
        <v>8.1023741338867659E-4</v>
      </c>
      <c r="Q24" s="24">
        <v>8.0480882271897244E-4</v>
      </c>
      <c r="R24" s="24">
        <v>7.983703521372206E-4</v>
      </c>
      <c r="S24" s="24">
        <v>7.9126485600319928E-4</v>
      </c>
      <c r="T24" s="24">
        <v>7.8374783987116893E-4</v>
      </c>
      <c r="U24" s="24">
        <v>7.7598873625644429E-4</v>
      </c>
      <c r="V24" s="24">
        <v>7.6822884889387981E-4</v>
      </c>
    </row>
    <row r="25" spans="1:22">
      <c r="A25" s="25">
        <v>43</v>
      </c>
      <c r="B25" s="24">
        <v>7.9299999999999998E-4</v>
      </c>
      <c r="C25" s="24">
        <v>8.0037490000000005E-4</v>
      </c>
      <c r="D25" s="24">
        <v>8.0925906139000018E-4</v>
      </c>
      <c r="E25" s="24">
        <v>8.1913202193895822E-4</v>
      </c>
      <c r="F25" s="24">
        <v>8.2953499861758298E-4</v>
      </c>
      <c r="G25" s="24">
        <v>8.3973827910057927E-4</v>
      </c>
      <c r="H25" s="24">
        <v>8.4922732165441592E-4</v>
      </c>
      <c r="I25" s="24">
        <v>8.5746482667446375E-4</v>
      </c>
      <c r="J25" s="24">
        <v>8.6406730583985718E-4</v>
      </c>
      <c r="K25" s="24">
        <v>8.6873326929139247E-4</v>
      </c>
      <c r="L25" s="24">
        <v>8.7160008908005414E-4</v>
      </c>
      <c r="M25" s="24">
        <v>8.7264600918695028E-4</v>
      </c>
      <c r="N25" s="24">
        <v>8.7186062777868203E-4</v>
      </c>
      <c r="O25" s="24">
        <v>8.6924504589534594E-4</v>
      </c>
      <c r="P25" s="24">
        <v>8.6507266967504831E-4</v>
      </c>
      <c r="Q25" s="24">
        <v>8.5944969732216049E-4</v>
      </c>
      <c r="R25" s="24">
        <v>8.5274598968304767E-4</v>
      </c>
      <c r="S25" s="24">
        <v>8.452418249738368E-4</v>
      </c>
      <c r="T25" s="24">
        <v>8.3721202763658534E-4</v>
      </c>
      <c r="U25" s="24">
        <v>8.2892362856298309E-4</v>
      </c>
      <c r="V25" s="24">
        <v>8.2063439227735328E-4</v>
      </c>
    </row>
    <row r="26" spans="1:22">
      <c r="A26" s="25">
        <v>44</v>
      </c>
      <c r="B26" s="24">
        <v>8.7600000000000004E-4</v>
      </c>
      <c r="C26" s="24">
        <v>8.7985440000000004E-4</v>
      </c>
      <c r="D26" s="24">
        <v>8.8539748272000005E-4</v>
      </c>
      <c r="E26" s="24">
        <v>8.9230358308521607E-4</v>
      </c>
      <c r="F26" s="24">
        <v>9.0015585461636588E-4</v>
      </c>
      <c r="G26" s="24">
        <v>9.0843728847883653E-4</v>
      </c>
      <c r="H26" s="24">
        <v>9.1661322407514596E-4</v>
      </c>
      <c r="I26" s="24">
        <v>9.2403779119015468E-4</v>
      </c>
      <c r="J26" s="24">
        <v>9.302288443911287E-4</v>
      </c>
      <c r="K26" s="24">
        <v>9.348799886130842E-4</v>
      </c>
      <c r="L26" s="24">
        <v>9.3787160457664619E-4</v>
      </c>
      <c r="M26" s="24">
        <v>9.3909083766259593E-4</v>
      </c>
      <c r="N26" s="24">
        <v>9.3843347407623207E-4</v>
      </c>
      <c r="O26" s="24">
        <v>9.358997036962262E-4</v>
      </c>
      <c r="P26" s="24">
        <v>9.3159456505922348E-4</v>
      </c>
      <c r="Q26" s="24">
        <v>9.2572551929935045E-4</v>
      </c>
      <c r="R26" s="24">
        <v>9.1869000535267534E-4</v>
      </c>
      <c r="S26" s="24">
        <v>9.1069740230610707E-4</v>
      </c>
      <c r="T26" s="24">
        <v>9.0204577698419907E-4</v>
      </c>
      <c r="U26" s="24">
        <v>8.9311552379205551E-4</v>
      </c>
      <c r="V26" s="24">
        <v>8.841843685541349E-4</v>
      </c>
    </row>
    <row r="27" spans="1:22">
      <c r="A27" s="25">
        <v>45</v>
      </c>
      <c r="B27" s="24">
        <v>9.7300000000000002E-4</v>
      </c>
      <c r="C27" s="24">
        <v>9.7309730000000002E-4</v>
      </c>
      <c r="D27" s="24">
        <v>9.7504349460000004E-4</v>
      </c>
      <c r="E27" s="24">
        <v>9.7865115553002016E-4</v>
      </c>
      <c r="F27" s="24">
        <v>9.8364227642322335E-4</v>
      </c>
      <c r="G27" s="24">
        <v>9.8964249430940504E-4</v>
      </c>
      <c r="H27" s="24">
        <v>9.9607517052241619E-4</v>
      </c>
      <c r="I27" s="24">
        <v>1.0023504440967075E-3</v>
      </c>
      <c r="J27" s="24">
        <v>1.0079636065836492E-3</v>
      </c>
      <c r="K27" s="24">
        <v>1.0123986464526172E-3</v>
      </c>
      <c r="L27" s="24">
        <v>1.0153346025273298E-3</v>
      </c>
      <c r="M27" s="24">
        <v>1.0165530040503626E-3</v>
      </c>
      <c r="N27" s="24">
        <v>1.0159430722479323E-3</v>
      </c>
      <c r="O27" s="24">
        <v>1.0133016202600875E-3</v>
      </c>
      <c r="P27" s="24">
        <v>1.0088430931309432E-3</v>
      </c>
      <c r="Q27" s="24">
        <v>1.0026891502628445E-3</v>
      </c>
      <c r="R27" s="24">
        <v>9.9516898163587312E-4</v>
      </c>
      <c r="S27" s="24">
        <v>9.8661052839380458E-4</v>
      </c>
      <c r="T27" s="24">
        <v>9.7733638942690292E-4</v>
      </c>
      <c r="U27" s="24">
        <v>9.6766075917157658E-4</v>
      </c>
      <c r="V27" s="24">
        <v>9.579841515798608E-4</v>
      </c>
    </row>
    <row r="28" spans="1:22">
      <c r="A28" s="25">
        <v>46</v>
      </c>
      <c r="B28" s="24">
        <v>1.0870000000000001E-3</v>
      </c>
      <c r="C28" s="24">
        <v>1.0833042000000001E-3</v>
      </c>
      <c r="D28" s="24">
        <v>1.0814625828600001E-3</v>
      </c>
      <c r="E28" s="24">
        <v>1.0814625828600001E-3</v>
      </c>
      <c r="F28" s="24">
        <v>1.0831929229925762E-3</v>
      </c>
      <c r="G28" s="24">
        <v>1.0864425017615539E-3</v>
      </c>
      <c r="H28" s="24">
        <v>1.0906796275184239E-3</v>
      </c>
      <c r="I28" s="24">
        <v>1.0953695499167531E-3</v>
      </c>
      <c r="J28" s="24">
        <v>1.0999701020264034E-3</v>
      </c>
      <c r="K28" s="24">
        <v>1.1038199973834959E-3</v>
      </c>
      <c r="L28" s="24">
        <v>1.1064691653772162E-3</v>
      </c>
      <c r="M28" s="24">
        <v>1.1075756345425933E-3</v>
      </c>
      <c r="N28" s="24">
        <v>1.1068003315984135E-3</v>
      </c>
      <c r="O28" s="24">
        <v>1.1040333307694174E-3</v>
      </c>
      <c r="P28" s="24">
        <v>1.0992859874471089E-3</v>
      </c>
      <c r="Q28" s="24">
        <v>1.0926902715224262E-3</v>
      </c>
      <c r="R28" s="24">
        <v>1.0846043635131602E-3</v>
      </c>
      <c r="S28" s="24">
        <v>1.0753852264232984E-3</v>
      </c>
      <c r="T28" s="24">
        <v>1.0652766052949194E-3</v>
      </c>
      <c r="U28" s="24">
        <v>1.0548368945630291E-3</v>
      </c>
      <c r="V28" s="24">
        <v>1.0442885256173988E-3</v>
      </c>
    </row>
    <row r="29" spans="1:22">
      <c r="A29" s="25">
        <v>47</v>
      </c>
      <c r="B29" s="24">
        <v>1.2149999999999999E-3</v>
      </c>
      <c r="C29" s="24">
        <v>1.2077099999999999E-3</v>
      </c>
      <c r="D29" s="24">
        <v>1.2021545339999998E-3</v>
      </c>
      <c r="E29" s="24">
        <v>1.1984278549445999E-3</v>
      </c>
      <c r="F29" s="24">
        <v>1.1967500559476776E-3</v>
      </c>
      <c r="G29" s="24">
        <v>1.1968697309532724E-3</v>
      </c>
      <c r="H29" s="24">
        <v>1.1985453485766071E-3</v>
      </c>
      <c r="I29" s="24">
        <v>1.2011821483434756E-3</v>
      </c>
      <c r="J29" s="24">
        <v>1.2043052219291685E-3</v>
      </c>
      <c r="K29" s="24">
        <v>1.2071955544617984E-3</v>
      </c>
      <c r="L29" s="24">
        <v>1.2092477869043836E-3</v>
      </c>
      <c r="M29" s="24">
        <v>1.209973335576526E-3</v>
      </c>
      <c r="N29" s="24">
        <v>1.2088843595745072E-3</v>
      </c>
      <c r="O29" s="24">
        <v>1.205862148675571E-3</v>
      </c>
      <c r="P29" s="24">
        <v>1.2006769414362661E-3</v>
      </c>
      <c r="Q29" s="24">
        <v>1.1935929474817921E-3</v>
      </c>
      <c r="R29" s="24">
        <v>1.1848797189651749E-3</v>
      </c>
      <c r="S29" s="24">
        <v>1.1748082413539709E-3</v>
      </c>
      <c r="T29" s="24">
        <v>1.163882524709379E-3</v>
      </c>
      <c r="U29" s="24">
        <v>1.1524764759672272E-3</v>
      </c>
      <c r="V29" s="24">
        <v>1.1409517112075549E-3</v>
      </c>
    </row>
    <row r="30" spans="1:22">
      <c r="A30" s="25">
        <v>48</v>
      </c>
      <c r="B30" s="24">
        <v>1.358E-3</v>
      </c>
      <c r="C30" s="24">
        <v>1.3476791999999999E-3</v>
      </c>
      <c r="D30" s="24">
        <v>1.33864974936E-3</v>
      </c>
      <c r="E30" s="24">
        <v>1.331421040713456E-3</v>
      </c>
      <c r="F30" s="24">
        <v>1.3262284986546736E-3</v>
      </c>
      <c r="G30" s="24">
        <v>1.3230455502579025E-3</v>
      </c>
      <c r="H30" s="24">
        <v>1.3217225047076446E-3</v>
      </c>
      <c r="I30" s="24">
        <v>1.3219868492085861E-3</v>
      </c>
      <c r="J30" s="24">
        <v>1.3230444386879529E-3</v>
      </c>
      <c r="K30" s="24">
        <v>1.3243674831266408E-3</v>
      </c>
      <c r="L30" s="24">
        <v>1.3252945403648294E-3</v>
      </c>
      <c r="M30" s="24">
        <v>1.3251620109107928E-3</v>
      </c>
      <c r="N30" s="24">
        <v>1.3234393002966088E-3</v>
      </c>
      <c r="O30" s="24">
        <v>1.319866014185808E-3</v>
      </c>
      <c r="P30" s="24">
        <v>1.314190590324809E-3</v>
      </c>
      <c r="Q30" s="24">
        <v>1.306568284900925E-3</v>
      </c>
      <c r="R30" s="24">
        <v>1.2970303364211483E-3</v>
      </c>
      <c r="S30" s="24">
        <v>1.2861352815952108E-3</v>
      </c>
      <c r="T30" s="24">
        <v>1.2741742234763753E-3</v>
      </c>
      <c r="U30" s="24">
        <v>1.2616873160863067E-3</v>
      </c>
      <c r="V30" s="24">
        <v>1.2490704429254436E-3</v>
      </c>
    </row>
    <row r="31" spans="1:22">
      <c r="A31" s="25">
        <v>49</v>
      </c>
      <c r="B31" s="24">
        <v>1.5150000000000001E-3</v>
      </c>
      <c r="C31" s="24">
        <v>1.5024255000000001E-3</v>
      </c>
      <c r="D31" s="24">
        <v>1.4907065811E-3</v>
      </c>
      <c r="E31" s="24">
        <v>1.4802716350323E-3</v>
      </c>
      <c r="F31" s="24">
        <v>1.4716860595491126E-3</v>
      </c>
      <c r="G31" s="24">
        <v>1.4652106408870966E-3</v>
      </c>
      <c r="H31" s="24">
        <v>1.4606684879003467E-3</v>
      </c>
      <c r="I31" s="24">
        <v>1.4580392846221259E-3</v>
      </c>
      <c r="J31" s="24">
        <v>1.456727049265966E-3</v>
      </c>
      <c r="K31" s="24">
        <v>1.4561443584462596E-3</v>
      </c>
      <c r="L31" s="24">
        <v>1.4555619007028812E-3</v>
      </c>
      <c r="M31" s="24">
        <v>1.4542518949922487E-3</v>
      </c>
      <c r="N31" s="24">
        <v>1.4516342415812626E-3</v>
      </c>
      <c r="O31" s="24">
        <v>1.4472793388565189E-3</v>
      </c>
      <c r="P31" s="24">
        <v>1.4409113097655502E-3</v>
      </c>
      <c r="Q31" s="24">
        <v>1.4324099330379335E-3</v>
      </c>
      <c r="R31" s="24">
        <v>1.4220965815200605E-3</v>
      </c>
      <c r="S31" s="24">
        <v>1.4101509702352921E-3</v>
      </c>
      <c r="T31" s="24">
        <v>1.3970365662121038E-3</v>
      </c>
      <c r="U31" s="24">
        <v>1.3833456078632253E-3</v>
      </c>
      <c r="V31" s="24">
        <v>1.369512151784593E-3</v>
      </c>
    </row>
    <row r="32" spans="1:22">
      <c r="A32" s="25">
        <v>50</v>
      </c>
      <c r="B32" s="24">
        <v>4.0639999999999999E-3</v>
      </c>
      <c r="C32" s="24">
        <v>4.0302688000000003E-3</v>
      </c>
      <c r="D32" s="24">
        <v>3.9972205958400007E-3</v>
      </c>
      <c r="E32" s="24">
        <v>3.9660422751924482E-3</v>
      </c>
      <c r="F32" s="24">
        <v>3.9382799792661008E-3</v>
      </c>
      <c r="G32" s="24">
        <v>3.9146502993905041E-3</v>
      </c>
      <c r="H32" s="24">
        <v>3.8958599779534294E-3</v>
      </c>
      <c r="I32" s="24">
        <v>3.8814452960350015E-3</v>
      </c>
      <c r="J32" s="24">
        <v>3.8709653937357069E-3</v>
      </c>
      <c r="K32" s="24">
        <v>3.8632234629482356E-3</v>
      </c>
      <c r="L32" s="24">
        <v>3.8566559830612236E-3</v>
      </c>
      <c r="M32" s="24">
        <v>3.849328336693407E-3</v>
      </c>
      <c r="N32" s="24">
        <v>3.8397050158516738E-3</v>
      </c>
      <c r="O32" s="24">
        <v>3.8266500187977785E-3</v>
      </c>
      <c r="P32" s="24">
        <v>3.8090474287113085E-3</v>
      </c>
      <c r="Q32" s="24">
        <v>3.7861931441390407E-3</v>
      </c>
      <c r="R32" s="24">
        <v>3.7589325535012396E-3</v>
      </c>
      <c r="S32" s="24">
        <v>3.7273575200518294E-3</v>
      </c>
      <c r="T32" s="24">
        <v>3.6926930951153474E-3</v>
      </c>
      <c r="U32" s="24">
        <v>3.6565047027832167E-3</v>
      </c>
      <c r="V32" s="24">
        <v>3.6199396557553844E-3</v>
      </c>
    </row>
    <row r="33" spans="1:22">
      <c r="A33" s="25">
        <v>51</v>
      </c>
      <c r="B33" s="24">
        <v>4.3839999999999999E-3</v>
      </c>
      <c r="C33" s="24">
        <v>4.35112E-3</v>
      </c>
      <c r="D33" s="24">
        <v>4.316746152E-3</v>
      </c>
      <c r="E33" s="24">
        <v>4.2826438573992003E-3</v>
      </c>
      <c r="F33" s="24">
        <v>4.2496674996972267E-3</v>
      </c>
      <c r="G33" s="24">
        <v>4.2194948604493765E-3</v>
      </c>
      <c r="H33" s="24">
        <v>4.1933339923145903E-3</v>
      </c>
      <c r="I33" s="24">
        <v>4.1711093221553234E-3</v>
      </c>
      <c r="J33" s="24">
        <v>4.1531735520700559E-3</v>
      </c>
      <c r="K33" s="24">
        <v>4.1382221272826033E-3</v>
      </c>
      <c r="L33" s="24">
        <v>4.1253936386880276E-3</v>
      </c>
      <c r="M33" s="24">
        <v>4.1134299971358323E-3</v>
      </c>
      <c r="N33" s="24">
        <v>4.0998556781452842E-3</v>
      </c>
      <c r="O33" s="24">
        <v>4.0834562554327028E-3</v>
      </c>
      <c r="P33" s="24">
        <v>4.0630389741555389E-3</v>
      </c>
      <c r="Q33" s="24">
        <v>4.0382544364131901E-3</v>
      </c>
      <c r="R33" s="24">
        <v>4.0087751790273737E-3</v>
      </c>
      <c r="S33" s="24">
        <v>3.9751014675235442E-3</v>
      </c>
      <c r="T33" s="24">
        <v>3.938133023875575E-3</v>
      </c>
      <c r="U33" s="24">
        <v>3.8995393202415941E-3</v>
      </c>
      <c r="V33" s="24">
        <v>3.8605439270391782E-3</v>
      </c>
    </row>
    <row r="34" spans="1:22">
      <c r="A34" s="25">
        <v>52</v>
      </c>
      <c r="B34" s="24">
        <v>4.7089999999999996E-3</v>
      </c>
      <c r="C34" s="24">
        <v>4.6793332999999996E-3</v>
      </c>
      <c r="D34" s="24">
        <v>4.6465779669E-3</v>
      </c>
      <c r="E34" s="24">
        <v>4.6117286321482502E-3</v>
      </c>
      <c r="F34" s="24">
        <v>4.5762183216807089E-3</v>
      </c>
      <c r="G34" s="24">
        <v>4.5414390624359353E-3</v>
      </c>
      <c r="H34" s="24">
        <v>4.5087407011863969E-3</v>
      </c>
      <c r="I34" s="24">
        <v>4.4789830125585668E-3</v>
      </c>
      <c r="J34" s="24">
        <v>4.4530049110857268E-3</v>
      </c>
      <c r="K34" s="24">
        <v>4.4307398865302983E-3</v>
      </c>
      <c r="L34" s="24">
        <v>4.4112446310295653E-3</v>
      </c>
      <c r="M34" s="24">
        <v>4.3931585280423445E-3</v>
      </c>
      <c r="N34" s="24">
        <v>4.374707262224567E-3</v>
      </c>
      <c r="O34" s="24">
        <v>4.3545836088183338E-3</v>
      </c>
      <c r="P34" s="24">
        <v>4.3310688573307147E-3</v>
      </c>
      <c r="Q34" s="24">
        <v>4.3033500166437984E-3</v>
      </c>
      <c r="R34" s="24">
        <v>4.2715052265206348E-3</v>
      </c>
      <c r="S34" s="24">
        <v>4.2356245826178614E-3</v>
      </c>
      <c r="T34" s="24">
        <v>4.1962332739995155E-3</v>
      </c>
      <c r="U34" s="24">
        <v>4.1551101879143204E-3</v>
      </c>
      <c r="V34" s="24">
        <v>4.1135590860351774E-3</v>
      </c>
    </row>
    <row r="35" spans="1:22">
      <c r="A35" s="25">
        <v>53</v>
      </c>
      <c r="B35" s="24">
        <v>5.0419999999999996E-3</v>
      </c>
      <c r="C35" s="24">
        <v>5.0177983999999997E-3</v>
      </c>
      <c r="D35" s="24">
        <v>4.9886951692799993E-3</v>
      </c>
      <c r="E35" s="24">
        <v>4.9557697811627513E-3</v>
      </c>
      <c r="F35" s="24">
        <v>4.9195926617602633E-3</v>
      </c>
      <c r="G35" s="24">
        <v>4.8817117982647091E-3</v>
      </c>
      <c r="H35" s="24">
        <v>4.8441226174180708E-3</v>
      </c>
      <c r="I35" s="24">
        <v>4.807791697787436E-3</v>
      </c>
      <c r="J35" s="24">
        <v>4.7741371559029237E-3</v>
      </c>
      <c r="K35" s="24">
        <v>4.7435826781051455E-3</v>
      </c>
      <c r="L35" s="24">
        <v>4.7165442568399456E-3</v>
      </c>
      <c r="M35" s="24">
        <v>4.6915465722786936E-3</v>
      </c>
      <c r="N35" s="24">
        <v>4.667619684760072E-3</v>
      </c>
      <c r="O35" s="24">
        <v>4.642881300430844E-3</v>
      </c>
      <c r="P35" s="24">
        <v>4.615488300758302E-3</v>
      </c>
      <c r="Q35" s="24">
        <v>4.5845645291432216E-3</v>
      </c>
      <c r="R35" s="24">
        <v>4.5497218387217332E-3</v>
      </c>
      <c r="S35" s="24">
        <v>4.5110492030925988E-3</v>
      </c>
      <c r="T35" s="24">
        <v>4.4690964455038375E-3</v>
      </c>
      <c r="U35" s="24">
        <v>4.4252993003379001E-3</v>
      </c>
      <c r="V35" s="24">
        <v>4.3810463073345211E-3</v>
      </c>
    </row>
    <row r="36" spans="1:22">
      <c r="A36" s="25">
        <v>54</v>
      </c>
      <c r="B36" s="24">
        <v>5.3839999999999999E-3</v>
      </c>
      <c r="C36" s="24">
        <v>5.3678479999999997E-3</v>
      </c>
      <c r="D36" s="24">
        <v>5.3453030384000002E-3</v>
      </c>
      <c r="E36" s="24">
        <v>5.3164384019926403E-3</v>
      </c>
      <c r="F36" s="24">
        <v>5.2818815523796884E-3</v>
      </c>
      <c r="G36" s="24">
        <v>5.2433238170473172E-3</v>
      </c>
      <c r="H36" s="24">
        <v>5.2024258912743478E-3</v>
      </c>
      <c r="I36" s="24">
        <v>5.1608064841441531E-3</v>
      </c>
      <c r="J36" s="24">
        <v>5.120036112919414E-3</v>
      </c>
      <c r="K36" s="24">
        <v>5.0816358420725186E-3</v>
      </c>
      <c r="L36" s="24">
        <v>5.046572554762218E-3</v>
      </c>
      <c r="M36" s="24">
        <v>5.0142744904117399E-3</v>
      </c>
      <c r="N36" s="24">
        <v>4.9836874160202283E-3</v>
      </c>
      <c r="O36" s="24">
        <v>4.9532869227825052E-3</v>
      </c>
      <c r="P36" s="24">
        <v>4.9215858864766976E-3</v>
      </c>
      <c r="Q36" s="24">
        <v>4.8871347852713605E-3</v>
      </c>
      <c r="R36" s="24">
        <v>4.8490151339462438E-3</v>
      </c>
      <c r="S36" s="24">
        <v>4.8073136037943059E-3</v>
      </c>
      <c r="T36" s="24">
        <v>4.7626055872790193E-3</v>
      </c>
      <c r="U36" s="24">
        <v>4.715932052523685E-3</v>
      </c>
      <c r="V36" s="24">
        <v>4.6687727319984478E-3</v>
      </c>
    </row>
    <row r="37" spans="1:22">
      <c r="A37" s="25">
        <v>55</v>
      </c>
      <c r="B37" s="24">
        <v>5.7349999999999996E-3</v>
      </c>
      <c r="C37" s="24">
        <v>5.7292649999999999E-3</v>
      </c>
      <c r="D37" s="24">
        <v>5.7155147640000001E-3</v>
      </c>
      <c r="E37" s="24">
        <v>5.6932242564203999E-3</v>
      </c>
      <c r="F37" s="24">
        <v>5.6624808454357302E-3</v>
      </c>
      <c r="G37" s="24">
        <v>5.6251084718558541E-3</v>
      </c>
      <c r="H37" s="24">
        <v>5.5823576474697493E-3</v>
      </c>
      <c r="I37" s="24">
        <v>5.5365823147604971E-3</v>
      </c>
      <c r="J37" s="24">
        <v>5.4895213650850332E-3</v>
      </c>
      <c r="K37" s="24">
        <v>5.4434093856183191E-3</v>
      </c>
      <c r="L37" s="24">
        <v>5.4004064514719344E-3</v>
      </c>
      <c r="M37" s="24">
        <v>5.3604434437310427E-3</v>
      </c>
      <c r="N37" s="24">
        <v>5.3229203396249255E-3</v>
      </c>
      <c r="O37" s="24">
        <v>5.2861921892815135E-3</v>
      </c>
      <c r="P37" s="24">
        <v>5.2491888439565428E-3</v>
      </c>
      <c r="Q37" s="24">
        <v>5.2103448465112643E-3</v>
      </c>
      <c r="R37" s="24">
        <v>5.1686620877391745E-3</v>
      </c>
      <c r="S37" s="24">
        <v>5.1236947275758431E-3</v>
      </c>
      <c r="T37" s="24">
        <v>5.0760443666093879E-3</v>
      </c>
      <c r="U37" s="24">
        <v>5.0262991318166155E-3</v>
      </c>
      <c r="V37" s="24">
        <v>4.9760361404984493E-3</v>
      </c>
    </row>
    <row r="38" spans="1:22">
      <c r="A38" s="25">
        <v>56</v>
      </c>
      <c r="B38" s="24">
        <v>6.0990000000000003E-3</v>
      </c>
      <c r="C38" s="24">
        <v>6.1050989999999992E-3</v>
      </c>
      <c r="D38" s="24">
        <v>6.1014359405999986E-3</v>
      </c>
      <c r="E38" s="24">
        <v>6.0874026379366189E-3</v>
      </c>
      <c r="F38" s="24">
        <v>6.0630530273848727E-3</v>
      </c>
      <c r="G38" s="24">
        <v>6.0284936251287788E-3</v>
      </c>
      <c r="H38" s="24">
        <v>5.9856913203903649E-3</v>
      </c>
      <c r="I38" s="24">
        <v>5.9372072206952033E-3</v>
      </c>
      <c r="J38" s="24">
        <v>5.8849597971530852E-3</v>
      </c>
      <c r="K38" s="24">
        <v>5.8319951589787073E-3</v>
      </c>
      <c r="L38" s="24">
        <v>5.781256801095592E-3</v>
      </c>
      <c r="M38" s="24">
        <v>5.7338504953266083E-3</v>
      </c>
      <c r="N38" s="24">
        <v>5.6891264614630606E-3</v>
      </c>
      <c r="O38" s="24">
        <v>5.6458891003559409E-3</v>
      </c>
      <c r="P38" s="24">
        <v>5.6029803431932356E-3</v>
      </c>
      <c r="Q38" s="24">
        <v>5.5592770965163284E-3</v>
      </c>
      <c r="R38" s="24">
        <v>5.5131350966152433E-3</v>
      </c>
      <c r="S38" s="24">
        <v>5.4646195077650292E-3</v>
      </c>
      <c r="T38" s="24">
        <v>5.413252084392038E-3</v>
      </c>
      <c r="U38" s="24">
        <v>5.3602022139649956E-3</v>
      </c>
      <c r="V38" s="24">
        <v>5.3066001918253454E-3</v>
      </c>
    </row>
    <row r="39" spans="1:22">
      <c r="A39" s="25">
        <v>57</v>
      </c>
      <c r="B39" s="24">
        <v>6.4780000000000003E-3</v>
      </c>
      <c r="C39" s="24">
        <v>6.4974339999999998E-3</v>
      </c>
      <c r="D39" s="24">
        <v>6.5058806642E-3</v>
      </c>
      <c r="E39" s="24">
        <v>6.5019771358014794E-3</v>
      </c>
      <c r="F39" s="24">
        <v>6.4850719952483952E-3</v>
      </c>
      <c r="G39" s="24">
        <v>6.455240664070252E-3</v>
      </c>
      <c r="H39" s="24">
        <v>6.4145726478866093E-3</v>
      </c>
      <c r="I39" s="24">
        <v>6.3651804384978819E-3</v>
      </c>
      <c r="J39" s="24">
        <v>6.3091668506391006E-3</v>
      </c>
      <c r="K39" s="24">
        <v>6.2504915989281574E-3</v>
      </c>
      <c r="L39" s="24">
        <v>6.1929870762180185E-3</v>
      </c>
      <c r="M39" s="24">
        <v>6.1378694912396781E-3</v>
      </c>
      <c r="N39" s="24">
        <v>6.0856976005641411E-3</v>
      </c>
      <c r="O39" s="24">
        <v>6.0351863104794587E-3</v>
      </c>
      <c r="P39" s="24">
        <v>5.9856977827335272E-3</v>
      </c>
      <c r="Q39" s="24">
        <v>5.9360164911368392E-3</v>
      </c>
      <c r="R39" s="24">
        <v>5.8849667493130623E-3</v>
      </c>
      <c r="S39" s="24">
        <v>5.8320020485692443E-3</v>
      </c>
      <c r="T39" s="24">
        <v>5.7765980291078368E-3</v>
      </c>
      <c r="U39" s="24">
        <v>5.7199873684225799E-3</v>
      </c>
      <c r="V39" s="24">
        <v>5.6627874947383543E-3</v>
      </c>
    </row>
    <row r="40" spans="1:22">
      <c r="A40" s="25">
        <v>58</v>
      </c>
      <c r="B40" s="24">
        <v>6.8770000000000003E-3</v>
      </c>
      <c r="C40" s="24">
        <v>6.9106973E-3</v>
      </c>
      <c r="D40" s="24">
        <v>6.9328115313600008E-3</v>
      </c>
      <c r="E40" s="24">
        <v>6.9404376240444973E-3</v>
      </c>
      <c r="F40" s="24">
        <v>6.9328031426580481E-3</v>
      </c>
      <c r="G40" s="24">
        <v>6.9092316119730114E-3</v>
      </c>
      <c r="H40" s="24">
        <v>6.871921761268357E-3</v>
      </c>
      <c r="I40" s="24">
        <v>6.8224439245872246E-3</v>
      </c>
      <c r="J40" s="24">
        <v>6.7644531512282332E-3</v>
      </c>
      <c r="K40" s="24">
        <v>6.7015437369218108E-3</v>
      </c>
      <c r="L40" s="24">
        <v>6.6378790714210541E-3</v>
      </c>
      <c r="M40" s="24">
        <v>6.5754830081496962E-3</v>
      </c>
      <c r="N40" s="24">
        <v>6.5156461127755336E-3</v>
      </c>
      <c r="O40" s="24">
        <v>6.4583084269831089E-3</v>
      </c>
      <c r="P40" s="24">
        <v>6.4021211436683552E-3</v>
      </c>
      <c r="Q40" s="24">
        <v>6.3464226897184403E-3</v>
      </c>
      <c r="R40" s="24">
        <v>6.2905741700489178E-3</v>
      </c>
      <c r="S40" s="24">
        <v>6.2327008876844675E-3</v>
      </c>
      <c r="T40" s="24">
        <v>6.1734902292514653E-3</v>
      </c>
      <c r="U40" s="24">
        <v>6.112372675981876E-3</v>
      </c>
      <c r="V40" s="24">
        <v>6.0512489492220572E-3</v>
      </c>
    </row>
    <row r="41" spans="1:22">
      <c r="A41" s="25">
        <v>59</v>
      </c>
      <c r="B41" s="24">
        <v>7.3049999999999999E-3</v>
      </c>
      <c r="C41" s="24">
        <v>7.3532129999999991E-3</v>
      </c>
      <c r="D41" s="24">
        <v>7.388508422399998E-3</v>
      </c>
      <c r="E41" s="24">
        <v>7.4084573951404779E-3</v>
      </c>
      <c r="F41" s="24">
        <v>7.4106799323590197E-3</v>
      </c>
      <c r="G41" s="24">
        <v>7.3943764365078301E-3</v>
      </c>
      <c r="H41" s="24">
        <v>7.361101742543545E-3</v>
      </c>
      <c r="I41" s="24">
        <v>7.313254581217012E-3</v>
      </c>
      <c r="J41" s="24">
        <v>7.2540172191091542E-3</v>
      </c>
      <c r="K41" s="24">
        <v>7.1872802606933505E-3</v>
      </c>
      <c r="L41" s="24">
        <v>7.1182823701906942E-3</v>
      </c>
      <c r="M41" s="24">
        <v>7.0499468594368633E-3</v>
      </c>
      <c r="N41" s="24">
        <v>6.9829723642722136E-3</v>
      </c>
      <c r="O41" s="24">
        <v>6.9180307212844822E-3</v>
      </c>
      <c r="P41" s="24">
        <v>6.8550766417207936E-3</v>
      </c>
      <c r="Q41" s="24">
        <v>6.7933809519453063E-3</v>
      </c>
      <c r="R41" s="24">
        <v>6.731561185282604E-3</v>
      </c>
      <c r="S41" s="24">
        <v>6.6689576662594761E-3</v>
      </c>
      <c r="T41" s="24">
        <v>6.6049356726633843E-3</v>
      </c>
      <c r="U41" s="24">
        <v>6.539546809504017E-3</v>
      </c>
      <c r="V41" s="24">
        <v>6.4741513414089766E-3</v>
      </c>
    </row>
    <row r="42" spans="1:22">
      <c r="A42" s="25">
        <v>60</v>
      </c>
      <c r="B42" s="24">
        <v>7.7710000000000001E-3</v>
      </c>
      <c r="C42" s="24">
        <v>7.8323908999999997E-3</v>
      </c>
      <c r="D42" s="24">
        <v>7.8809517235800004E-3</v>
      </c>
      <c r="E42" s="24">
        <v>7.9124755304743211E-3</v>
      </c>
      <c r="F42" s="24">
        <v>7.9243442437700335E-3</v>
      </c>
      <c r="G42" s="24">
        <v>7.9164198995262634E-3</v>
      </c>
      <c r="H42" s="24">
        <v>7.8887124298779223E-3</v>
      </c>
      <c r="I42" s="24">
        <v>7.8429578977846307E-3</v>
      </c>
      <c r="J42" s="24">
        <v>7.7833514177614669E-3</v>
      </c>
      <c r="K42" s="24">
        <v>7.7140795901433894E-3</v>
      </c>
      <c r="L42" s="24">
        <v>7.6407958340370275E-3</v>
      </c>
      <c r="M42" s="24">
        <v>7.5666801144468679E-3</v>
      </c>
      <c r="N42" s="24">
        <v>7.4932833173367332E-3</v>
      </c>
      <c r="O42" s="24">
        <v>7.4213477974903004E-3</v>
      </c>
      <c r="P42" s="24">
        <v>7.3515871281938918E-3</v>
      </c>
      <c r="Q42" s="24">
        <v>7.2824822091888692E-3</v>
      </c>
      <c r="R42" s="24">
        <v>7.2140268764224937E-3</v>
      </c>
      <c r="S42" s="24">
        <v>7.14549362109648E-3</v>
      </c>
      <c r="T42" s="24">
        <v>7.076182332971844E-3</v>
      </c>
      <c r="U42" s="24">
        <v>7.0061281278754224E-3</v>
      </c>
      <c r="V42" s="24">
        <v>6.936066846596668E-3</v>
      </c>
    </row>
    <row r="43" spans="1:22">
      <c r="A43" s="25">
        <v>61</v>
      </c>
      <c r="B43" s="24">
        <v>8.2839999999999997E-3</v>
      </c>
      <c r="C43" s="24">
        <v>8.355242399999999E-3</v>
      </c>
      <c r="D43" s="24">
        <v>8.4154001452799998E-3</v>
      </c>
      <c r="E43" s="24">
        <v>8.4583186860209287E-3</v>
      </c>
      <c r="F43" s="24">
        <v>8.4803103146045833E-3</v>
      </c>
      <c r="G43" s="24">
        <v>8.4794622835731234E-3</v>
      </c>
      <c r="H43" s="24">
        <v>8.4565677354074761E-3</v>
      </c>
      <c r="I43" s="24">
        <v>8.4142848967304392E-3</v>
      </c>
      <c r="J43" s="24">
        <v>8.355384902453326E-3</v>
      </c>
      <c r="K43" s="24">
        <v>8.2843641307824723E-3</v>
      </c>
      <c r="L43" s="24">
        <v>8.2081479807792745E-3</v>
      </c>
      <c r="M43" s="24">
        <v>8.1293497601637923E-3</v>
      </c>
      <c r="N43" s="24">
        <v>8.0504950674902039E-3</v>
      </c>
      <c r="O43" s="24">
        <v>7.9724052653355488E-3</v>
      </c>
      <c r="P43" s="24">
        <v>7.8950729342617942E-3</v>
      </c>
      <c r="Q43" s="24">
        <v>7.8192802340928801E-3</v>
      </c>
      <c r="R43" s="24">
        <v>7.7442151438455878E-3</v>
      </c>
      <c r="S43" s="24">
        <v>7.6698706784646695E-3</v>
      </c>
      <c r="T43" s="24">
        <v>7.5947059458157159E-3</v>
      </c>
      <c r="U43" s="24">
        <v>7.5195183569521399E-3</v>
      </c>
      <c r="V43" s="24">
        <v>7.4443231733826182E-3</v>
      </c>
    </row>
    <row r="44" spans="1:22">
      <c r="A44" s="25">
        <v>62</v>
      </c>
      <c r="B44" s="24">
        <v>8.8540000000000008E-3</v>
      </c>
      <c r="C44" s="24">
        <v>8.9310298000000003E-3</v>
      </c>
      <c r="D44" s="24">
        <v>8.9989056264800013E-3</v>
      </c>
      <c r="E44" s="24">
        <v>9.050199388550938E-3</v>
      </c>
      <c r="F44" s="24">
        <v>9.0800650465331575E-3</v>
      </c>
      <c r="G44" s="24">
        <v>9.0864210920657308E-3</v>
      </c>
      <c r="H44" s="24">
        <v>9.069156891990806E-3</v>
      </c>
      <c r="I44" s="24">
        <v>9.0301595173552466E-3</v>
      </c>
      <c r="J44" s="24">
        <v>8.9723664964441729E-3</v>
      </c>
      <c r="K44" s="24">
        <v>8.9005875644726194E-3</v>
      </c>
      <c r="L44" s="24">
        <v>8.8213723351488124E-3</v>
      </c>
      <c r="M44" s="24">
        <v>8.7384514351984133E-3</v>
      </c>
      <c r="N44" s="24">
        <v>8.6545623014205077E-3</v>
      </c>
      <c r="O44" s="24">
        <v>8.5697475908665856E-3</v>
      </c>
      <c r="P44" s="24">
        <v>8.4857640644760927E-3</v>
      </c>
      <c r="Q44" s="24">
        <v>8.402603576644227E-3</v>
      </c>
      <c r="R44" s="24">
        <v>8.3210983219507775E-3</v>
      </c>
      <c r="S44" s="24">
        <v>8.2403836682278554E-3</v>
      </c>
      <c r="T44" s="24">
        <v>8.1596279082792218E-3</v>
      </c>
      <c r="U44" s="24">
        <v>8.0788475919872579E-3</v>
      </c>
      <c r="V44" s="24">
        <v>7.9980591160673849E-3</v>
      </c>
    </row>
    <row r="45" spans="1:22">
      <c r="A45" s="25">
        <v>63</v>
      </c>
      <c r="B45" s="24">
        <v>9.4920000000000004E-3</v>
      </c>
      <c r="C45" s="24">
        <v>9.5688852000000001E-3</v>
      </c>
      <c r="D45" s="24">
        <v>9.6387380619600005E-3</v>
      </c>
      <c r="E45" s="24">
        <v>9.6946427427193685E-3</v>
      </c>
      <c r="F45" s="24">
        <v>9.7305129208674311E-3</v>
      </c>
      <c r="G45" s="24">
        <v>9.743162587664559E-3</v>
      </c>
      <c r="H45" s="24">
        <v>9.7304964763005961E-3</v>
      </c>
      <c r="I45" s="24">
        <v>9.6944936393382839E-3</v>
      </c>
      <c r="J45" s="24">
        <v>9.6382655762301209E-3</v>
      </c>
      <c r="K45" s="24">
        <v>9.5669424109660183E-3</v>
      </c>
      <c r="L45" s="24">
        <v>9.485623400472808E-3</v>
      </c>
      <c r="M45" s="24">
        <v>9.3993042275285054E-3</v>
      </c>
      <c r="N45" s="24">
        <v>9.3100108373669853E-3</v>
      </c>
      <c r="O45" s="24">
        <v>9.2197037322445247E-3</v>
      </c>
      <c r="P45" s="24">
        <v>9.1293506356685278E-3</v>
      </c>
      <c r="Q45" s="24">
        <v>9.0389700643754099E-3</v>
      </c>
      <c r="R45" s="24">
        <v>8.9503881577445311E-3</v>
      </c>
      <c r="S45" s="24">
        <v>8.8626743537986337E-3</v>
      </c>
      <c r="T45" s="24">
        <v>8.7749338776960274E-3</v>
      </c>
      <c r="U45" s="24">
        <v>8.6871845389190662E-3</v>
      </c>
      <c r="V45" s="24">
        <v>8.6003126935298747E-3</v>
      </c>
    </row>
    <row r="46" spans="1:22">
      <c r="A46" s="25">
        <v>64</v>
      </c>
      <c r="B46" s="24">
        <v>1.0208999999999999E-2</v>
      </c>
      <c r="C46" s="24">
        <v>1.0279442099999998E-2</v>
      </c>
      <c r="D46" s="24">
        <v>1.0346258473649996E-2</v>
      </c>
      <c r="E46" s="24">
        <v>1.0402128269407708E-2</v>
      </c>
      <c r="F46" s="24">
        <v>1.0440616144004516E-2</v>
      </c>
      <c r="G46" s="24">
        <v>1.0457321129834924E-2</v>
      </c>
      <c r="H46" s="24">
        <v>1.0448955272931056E-2</v>
      </c>
      <c r="I46" s="24">
        <v>1.0416563511584969E-2</v>
      </c>
      <c r="J46" s="24">
        <v>1.0362397381324728E-2</v>
      </c>
      <c r="K46" s="24">
        <v>1.0290896839393587E-2</v>
      </c>
      <c r="L46" s="24">
        <v>1.0208569664678438E-2</v>
      </c>
      <c r="M46" s="24">
        <v>1.0119755108595736E-2</v>
      </c>
      <c r="N46" s="24">
        <v>1.0026653361596655E-2</v>
      </c>
      <c r="O46" s="24">
        <v>9.9303974893253273E-3</v>
      </c>
      <c r="P46" s="24">
        <v>9.833079593929938E-3</v>
      </c>
      <c r="Q46" s="24">
        <v>9.7357321059500321E-3</v>
      </c>
      <c r="R46" s="24">
        <v>9.6393483581011258E-3</v>
      </c>
      <c r="S46" s="24">
        <v>9.5439188093559245E-3</v>
      </c>
      <c r="T46" s="24">
        <v>9.4494340131433003E-3</v>
      </c>
      <c r="U46" s="24">
        <v>9.3549396730118681E-3</v>
      </c>
      <c r="V46" s="24">
        <v>9.2613902762817488E-3</v>
      </c>
    </row>
    <row r="47" spans="1:22">
      <c r="A47" s="25">
        <v>65</v>
      </c>
      <c r="B47" s="24">
        <v>1.1013E-2</v>
      </c>
      <c r="C47" s="24">
        <v>1.1070267600000001E-2</v>
      </c>
      <c r="D47" s="24">
        <v>1.1127832991520002E-2</v>
      </c>
      <c r="E47" s="24">
        <v>1.1177908239981842E-2</v>
      </c>
      <c r="F47" s="24">
        <v>1.1214795337173783E-2</v>
      </c>
      <c r="G47" s="24">
        <v>1.1231617530179545E-2</v>
      </c>
      <c r="H47" s="24">
        <v>1.1226001721414457E-2</v>
      </c>
      <c r="I47" s="24">
        <v>1.1196814116938779E-2</v>
      </c>
      <c r="J47" s="24">
        <v>1.114530877200086E-2</v>
      </c>
      <c r="K47" s="24">
        <v>1.1075093326737255E-2</v>
      </c>
      <c r="L47" s="24">
        <v>1.0992030126786725E-2</v>
      </c>
      <c r="M47" s="24">
        <v>1.0900796276734395E-2</v>
      </c>
      <c r="N47" s="24">
        <v>1.0803779189871458E-2</v>
      </c>
      <c r="O47" s="24">
        <v>1.0702223665486668E-2</v>
      </c>
      <c r="P47" s="24">
        <v>1.0598412095931447E-2</v>
      </c>
      <c r="Q47" s="24">
        <v>1.0494547657391318E-2</v>
      </c>
      <c r="R47" s="24">
        <v>1.0390651635583144E-2</v>
      </c>
      <c r="S47" s="24">
        <v>1.028778418439087E-2</v>
      </c>
      <c r="T47" s="24">
        <v>1.0184906342546962E-2</v>
      </c>
      <c r="U47" s="24">
        <v>1.0083057279121493E-2</v>
      </c>
      <c r="V47" s="24">
        <v>9.9822267063302775E-3</v>
      </c>
    </row>
    <row r="48" spans="1:22">
      <c r="A48" s="25">
        <v>66</v>
      </c>
      <c r="B48" s="24">
        <v>1.1916E-2</v>
      </c>
      <c r="C48" s="24">
        <v>1.1954131200000001E-2</v>
      </c>
      <c r="D48" s="24">
        <v>1.1995970659200002E-2</v>
      </c>
      <c r="E48" s="24">
        <v>1.2035557362375363E-2</v>
      </c>
      <c r="F48" s="24">
        <v>1.20656462557813E-2</v>
      </c>
      <c r="G48" s="24">
        <v>1.2080125031288238E-2</v>
      </c>
      <c r="H48" s="24">
        <v>1.2074084968772594E-2</v>
      </c>
      <c r="I48" s="24">
        <v>1.2046314573344418E-2</v>
      </c>
      <c r="J48" s="24">
        <v>1.1996924683593705E-2</v>
      </c>
      <c r="K48" s="24">
        <v>1.1928542212897221E-2</v>
      </c>
      <c r="L48" s="24">
        <v>1.184623527162823E-2</v>
      </c>
      <c r="M48" s="24">
        <v>1.175383463650953E-2</v>
      </c>
      <c r="N48" s="24">
        <v>1.1652751658635548E-2</v>
      </c>
      <c r="O48" s="24">
        <v>1.1546711618541965E-2</v>
      </c>
      <c r="P48" s="24">
        <v>1.1437017858165817E-2</v>
      </c>
      <c r="Q48" s="24">
        <v>1.1324935083155791E-2</v>
      </c>
      <c r="R48" s="24">
        <v>1.1212818225832548E-2</v>
      </c>
      <c r="S48" s="24">
        <v>1.1100690043574222E-2</v>
      </c>
      <c r="T48" s="24">
        <v>1.098968314313848E-2</v>
      </c>
      <c r="U48" s="24">
        <v>1.0879786311707095E-2</v>
      </c>
      <c r="V48" s="24">
        <v>1.0770988448590023E-2</v>
      </c>
    </row>
    <row r="49" spans="1:22">
      <c r="A49" s="25">
        <v>67</v>
      </c>
      <c r="B49" s="24">
        <v>1.2930000000000001E-2</v>
      </c>
      <c r="C49" s="24">
        <v>1.2944223000000001E-2</v>
      </c>
      <c r="D49" s="24">
        <v>1.2964933756800003E-2</v>
      </c>
      <c r="E49" s="24">
        <v>1.2986974144186564E-2</v>
      </c>
      <c r="F49" s="24">
        <v>1.3003857210574007E-2</v>
      </c>
      <c r="G49" s="24">
        <v>1.3010359139179292E-2</v>
      </c>
      <c r="H49" s="24">
        <v>1.3001251887781866E-2</v>
      </c>
      <c r="I49" s="24">
        <v>1.2972649133628746E-2</v>
      </c>
      <c r="J49" s="24">
        <v>1.292465033183432E-2</v>
      </c>
      <c r="K49" s="24">
        <v>1.2857442150108781E-2</v>
      </c>
      <c r="L49" s="24">
        <v>1.2775154520348086E-2</v>
      </c>
      <c r="M49" s="24">
        <v>1.2680618376897511E-2</v>
      </c>
      <c r="N49" s="24">
        <v>1.2576637306206952E-2</v>
      </c>
      <c r="O49" s="24">
        <v>1.246470523418171E-2</v>
      </c>
      <c r="P49" s="24">
        <v>1.2348783475503821E-2</v>
      </c>
      <c r="Q49" s="24">
        <v>1.2229000275791433E-2</v>
      </c>
      <c r="R49" s="24">
        <v>1.2109156073088677E-2</v>
      </c>
      <c r="S49" s="24">
        <v>1.1989275427965098E-2</v>
      </c>
      <c r="T49" s="24">
        <v>1.1869382673685447E-2</v>
      </c>
      <c r="U49" s="24">
        <v>1.1750688846948593E-2</v>
      </c>
      <c r="V49" s="24">
        <v>1.1633181958479108E-2</v>
      </c>
    </row>
    <row r="50" spans="1:22">
      <c r="A50" s="25">
        <v>68</v>
      </c>
      <c r="B50" s="24">
        <v>1.4067E-2</v>
      </c>
      <c r="C50" s="24">
        <v>1.4052933E-2</v>
      </c>
      <c r="D50" s="24">
        <v>1.4047311826800002E-2</v>
      </c>
      <c r="E50" s="24">
        <v>1.4047311826800002E-2</v>
      </c>
      <c r="F50" s="24">
        <v>1.4047311826800002E-2</v>
      </c>
      <c r="G50" s="24">
        <v>1.4041692902069282E-2</v>
      </c>
      <c r="H50" s="24">
        <v>1.40248428705868E-2</v>
      </c>
      <c r="I50" s="24">
        <v>1.3993988216271508E-2</v>
      </c>
      <c r="J50" s="24">
        <v>1.394500925751456E-2</v>
      </c>
      <c r="K50" s="24">
        <v>1.387807321307849E-2</v>
      </c>
      <c r="L50" s="24">
        <v>1.379480477380002E-2</v>
      </c>
      <c r="M50" s="24">
        <v>1.369824114038342E-2</v>
      </c>
      <c r="N50" s="24">
        <v>1.359139485948843E-2</v>
      </c>
      <c r="O50" s="24">
        <v>1.3474508863696829E-2</v>
      </c>
      <c r="P50" s="24">
        <v>1.3351890833037188E-2</v>
      </c>
      <c r="Q50" s="24">
        <v>1.3225047870123335E-2</v>
      </c>
      <c r="R50" s="24">
        <v>1.3095442400996126E-2</v>
      </c>
      <c r="S50" s="24">
        <v>1.2965797521226265E-2</v>
      </c>
      <c r="T50" s="24">
        <v>1.2836139546014001E-2</v>
      </c>
      <c r="U50" s="24">
        <v>1.270777815055386E-2</v>
      </c>
      <c r="V50" s="24">
        <v>1.2580700369048322E-2</v>
      </c>
    </row>
    <row r="51" spans="1:22">
      <c r="A51" s="25">
        <v>69</v>
      </c>
      <c r="B51" s="24">
        <v>1.5342E-2</v>
      </c>
      <c r="C51" s="24">
        <v>1.5297508199999999E-2</v>
      </c>
      <c r="D51" s="24">
        <v>1.526385368196E-2</v>
      </c>
      <c r="E51" s="24">
        <v>1.5237905130700667E-2</v>
      </c>
      <c r="F51" s="24">
        <v>1.5215048273004617E-2</v>
      </c>
      <c r="G51" s="24">
        <v>1.5192225700595112E-2</v>
      </c>
      <c r="H51" s="24">
        <v>1.5163360471763981E-2</v>
      </c>
      <c r="I51" s="24">
        <v>1.5125452070584572E-2</v>
      </c>
      <c r="J51" s="24">
        <v>1.5072512988337528E-2</v>
      </c>
      <c r="K51" s="24">
        <v>1.500468667989001E-2</v>
      </c>
      <c r="L51" s="24">
        <v>1.4920660434482626E-2</v>
      </c>
      <c r="M51" s="24">
        <v>1.4822184075615039E-2</v>
      </c>
      <c r="N51" s="24">
        <v>1.4711017695047927E-2</v>
      </c>
      <c r="O51" s="24">
        <v>1.458891624817903E-2</v>
      </c>
      <c r="P51" s="24">
        <v>1.4459074893570236E-2</v>
      </c>
      <c r="Q51" s="24">
        <v>1.4323159589570676E-2</v>
      </c>
      <c r="R51" s="24">
        <v>1.4184224941551839E-2</v>
      </c>
      <c r="S51" s="24">
        <v>1.4043801114630475E-2</v>
      </c>
      <c r="T51" s="24">
        <v>1.3903363103484171E-2</v>
      </c>
      <c r="U51" s="24">
        <v>1.3764329472449328E-2</v>
      </c>
      <c r="V51" s="24">
        <v>1.3626686177724836E-2</v>
      </c>
    </row>
    <row r="52" spans="1:22">
      <c r="A52" s="25">
        <v>70</v>
      </c>
      <c r="B52" s="24">
        <v>1.6768999999999999E-2</v>
      </c>
      <c r="C52" s="24">
        <v>1.66935395E-2</v>
      </c>
      <c r="D52" s="24">
        <v>1.662843469595E-2</v>
      </c>
      <c r="E52" s="24">
        <v>1.6573560861453365E-2</v>
      </c>
      <c r="F52" s="24">
        <v>1.652549753495515E-2</v>
      </c>
      <c r="G52" s="24">
        <v>1.648087869161077E-2</v>
      </c>
      <c r="H52" s="24">
        <v>1.643638031914342E-2</v>
      </c>
      <c r="I52" s="24">
        <v>1.638707117818599E-2</v>
      </c>
      <c r="J52" s="24">
        <v>1.6328077721944518E-2</v>
      </c>
      <c r="K52" s="24">
        <v>1.6256234179967962E-2</v>
      </c>
      <c r="L52" s="24">
        <v>1.6170076138814132E-2</v>
      </c>
      <c r="M52" s="24">
        <v>1.6069821666753484E-2</v>
      </c>
      <c r="N52" s="24">
        <v>1.5954118950752858E-2</v>
      </c>
      <c r="O52" s="24">
        <v>1.5826485999146836E-2</v>
      </c>
      <c r="P52" s="24">
        <v>1.5688795570954258E-2</v>
      </c>
      <c r="Q52" s="24">
        <v>1.554445865170148E-2</v>
      </c>
      <c r="R52" s="24">
        <v>1.5395231848645144E-2</v>
      </c>
      <c r="S52" s="24">
        <v>1.5244358576528422E-2</v>
      </c>
      <c r="T52" s="24">
        <v>1.5093439426620789E-2</v>
      </c>
      <c r="U52" s="24">
        <v>1.4942505032354581E-2</v>
      </c>
      <c r="V52" s="24">
        <v>1.4793079982031035E-2</v>
      </c>
    </row>
    <row r="53" spans="1:22">
      <c r="A53" s="25">
        <v>71</v>
      </c>
      <c r="B53" s="24">
        <v>1.8363000000000001E-2</v>
      </c>
      <c r="C53" s="24">
        <v>1.8256494599999999E-2</v>
      </c>
      <c r="D53" s="24">
        <v>1.8161560828080001E-2</v>
      </c>
      <c r="E53" s="24">
        <v>1.8076201492188023E-2</v>
      </c>
      <c r="F53" s="24">
        <v>1.8000281445920835E-2</v>
      </c>
      <c r="G53" s="24">
        <v>1.7930080348281745E-2</v>
      </c>
      <c r="H53" s="24">
        <v>1.7863739050993102E-2</v>
      </c>
      <c r="I53" s="24">
        <v>1.7797643216504427E-2</v>
      </c>
      <c r="J53" s="24">
        <v>1.772645264363841E-2</v>
      </c>
      <c r="K53" s="24">
        <v>1.7646683606742038E-2</v>
      </c>
      <c r="L53" s="24">
        <v>1.7554920851986979E-2</v>
      </c>
      <c r="M53" s="24">
        <v>1.7449591326875059E-2</v>
      </c>
      <c r="N53" s="24">
        <v>1.7329189146719621E-2</v>
      </c>
      <c r="O53" s="24">
        <v>1.7195754390289877E-2</v>
      </c>
      <c r="P53" s="24">
        <v>1.7049590477972415E-2</v>
      </c>
      <c r="Q53" s="24">
        <v>1.6896144163670662E-2</v>
      </c>
      <c r="R53" s="24">
        <v>1.6735630794115792E-2</v>
      </c>
      <c r="S53" s="24">
        <v>1.6571621612333456E-2</v>
      </c>
      <c r="T53" s="24">
        <v>1.6407562558371353E-2</v>
      </c>
      <c r="U53" s="24">
        <v>1.624348693278764E-2</v>
      </c>
      <c r="V53" s="24">
        <v>1.6081052063459764E-2</v>
      </c>
    </row>
    <row r="54" spans="1:22">
      <c r="A54" s="25">
        <v>72</v>
      </c>
      <c r="B54" s="24">
        <v>2.0140999999999999E-2</v>
      </c>
      <c r="C54" s="24">
        <v>2.0006055299999999E-2</v>
      </c>
      <c r="D54" s="24">
        <v>1.9880017151609999E-2</v>
      </c>
      <c r="E54" s="24">
        <v>1.97627250504155E-2</v>
      </c>
      <c r="F54" s="24">
        <v>1.9656006335143257E-2</v>
      </c>
      <c r="G54" s="24">
        <v>1.955772630346754E-2</v>
      </c>
      <c r="H54" s="24">
        <v>1.946776076247159E-2</v>
      </c>
      <c r="I54" s="24">
        <v>1.9380155839040469E-2</v>
      </c>
      <c r="J54" s="24">
        <v>1.9292945137764788E-2</v>
      </c>
      <c r="K54" s="24">
        <v>1.9200339001103517E-2</v>
      </c>
      <c r="L54" s="24">
        <v>1.9098577204397667E-2</v>
      </c>
      <c r="M54" s="24">
        <v>1.898589559889172E-2</v>
      </c>
      <c r="N54" s="24">
        <v>1.8858690098379146E-2</v>
      </c>
      <c r="O54" s="24">
        <v>1.8717249922641302E-2</v>
      </c>
      <c r="P54" s="24">
        <v>1.8561896748283381E-2</v>
      </c>
      <c r="Q54" s="24">
        <v>1.8396695867223659E-2</v>
      </c>
      <c r="R54" s="24">
        <v>1.8223766926071756E-2</v>
      </c>
      <c r="S54" s="24">
        <v>1.804699638688886E-2</v>
      </c>
      <c r="T54" s="24">
        <v>1.7868331122658659E-2</v>
      </c>
      <c r="U54" s="24">
        <v>1.7689647811432074E-2</v>
      </c>
      <c r="V54" s="24">
        <v>1.7512751333317752E-2</v>
      </c>
    </row>
    <row r="55" spans="1:22">
      <c r="A55" s="25">
        <v>73</v>
      </c>
      <c r="B55" s="24">
        <v>2.2127000000000001E-2</v>
      </c>
      <c r="C55" s="24">
        <v>2.1963260200000001E-2</v>
      </c>
      <c r="D55" s="24">
        <v>2.180732105258E-2</v>
      </c>
      <c r="E55" s="24">
        <v>2.1659031269422455E-2</v>
      </c>
      <c r="F55" s="24">
        <v>2.1520413469298151E-2</v>
      </c>
      <c r="G55" s="24">
        <v>2.139344302982929E-2</v>
      </c>
      <c r="H55" s="24">
        <v>2.1273639748862243E-2</v>
      </c>
      <c r="I55" s="24">
        <v>2.1160889458193274E-2</v>
      </c>
      <c r="J55" s="24">
        <v>2.1050852833010669E-2</v>
      </c>
      <c r="K55" s="24">
        <v>2.0939283312995712E-2</v>
      </c>
      <c r="L55" s="24">
        <v>2.0824117254774236E-2</v>
      </c>
      <c r="M55" s="24">
        <v>2.0699172551245589E-2</v>
      </c>
      <c r="N55" s="24">
        <v>2.0562558012407368E-2</v>
      </c>
      <c r="O55" s="24">
        <v>2.0410395083115554E-2</v>
      </c>
      <c r="P55" s="24">
        <v>2.0245070882942317E-2</v>
      </c>
      <c r="Q55" s="24">
        <v>2.006893876626072E-2</v>
      </c>
      <c r="R55" s="24">
        <v>1.9882297635734496E-2</v>
      </c>
      <c r="S55" s="24">
        <v>1.9691427578431443E-2</v>
      </c>
      <c r="T55" s="24">
        <v>1.9496482445404972E-2</v>
      </c>
      <c r="U55" s="24">
        <v>1.9301517620950923E-2</v>
      </c>
      <c r="V55" s="24">
        <v>1.9108502444741413E-2</v>
      </c>
    </row>
    <row r="56" spans="1:22">
      <c r="A56" s="25">
        <v>74</v>
      </c>
      <c r="B56" s="24">
        <v>2.4344999999999999E-2</v>
      </c>
      <c r="C56" s="24">
        <v>2.4152674499999999E-2</v>
      </c>
      <c r="D56" s="24">
        <v>2.3966698906349997E-2</v>
      </c>
      <c r="E56" s="24">
        <v>2.3789345334443008E-2</v>
      </c>
      <c r="F56" s="24">
        <v>2.3620440982568464E-2</v>
      </c>
      <c r="G56" s="24">
        <v>2.3459821983886998E-2</v>
      </c>
      <c r="H56" s="24">
        <v>2.3309679123190121E-2</v>
      </c>
      <c r="I56" s="24">
        <v>2.3167490080538661E-2</v>
      </c>
      <c r="J56" s="24">
        <v>2.3030801889063483E-2</v>
      </c>
      <c r="K56" s="24">
        <v>2.2897223238106914E-2</v>
      </c>
      <c r="L56" s="24">
        <v>2.2762129621002082E-2</v>
      </c>
      <c r="M56" s="24">
        <v>2.2621004417351868E-2</v>
      </c>
      <c r="N56" s="24">
        <v>2.2469443687755612E-2</v>
      </c>
      <c r="O56" s="24">
        <v>2.2305416748834996E-2</v>
      </c>
      <c r="P56" s="24">
        <v>2.2126973414844316E-2</v>
      </c>
      <c r="Q56" s="24">
        <v>2.1936681443476654E-2</v>
      </c>
      <c r="R56" s="24">
        <v>2.1734863974196668E-2</v>
      </c>
      <c r="S56" s="24">
        <v>2.1526209280044378E-2</v>
      </c>
      <c r="T56" s="24">
        <v>2.1315252429099943E-2</v>
      </c>
      <c r="U56" s="24">
        <v>2.1102099904808942E-2</v>
      </c>
      <c r="V56" s="24">
        <v>2.0891078905760852E-2</v>
      </c>
    </row>
    <row r="57" spans="1:22">
      <c r="A57" s="25">
        <v>75</v>
      </c>
      <c r="B57" s="24">
        <v>2.6825999999999999E-2</v>
      </c>
      <c r="C57" s="24">
        <v>2.66087094E-2</v>
      </c>
      <c r="D57" s="24">
        <v>2.6395839724799999E-2</v>
      </c>
      <c r="E57" s="24">
        <v>2.6187312590974079E-2</v>
      </c>
      <c r="F57" s="24">
        <v>2.5985670284023578E-2</v>
      </c>
      <c r="G57" s="24">
        <v>2.5793376323921806E-2</v>
      </c>
      <c r="H57" s="24">
        <v>2.5610243352021961E-2</v>
      </c>
      <c r="I57" s="24">
        <v>2.5436093697228213E-2</v>
      </c>
      <c r="J57" s="24">
        <v>2.5268215478826506E-2</v>
      </c>
      <c r="K57" s="24">
        <v>2.5106498899762016E-2</v>
      </c>
      <c r="L57" s="24">
        <v>2.494581730680354E-2</v>
      </c>
      <c r="M57" s="24">
        <v>2.4783669494309317E-2</v>
      </c>
      <c r="N57" s="24">
        <v>2.4615140541748012E-2</v>
      </c>
      <c r="O57" s="24">
        <v>2.4435450015793253E-2</v>
      </c>
      <c r="P57" s="24">
        <v>2.4242409960668485E-2</v>
      </c>
      <c r="Q57" s="24">
        <v>2.4036349476002805E-2</v>
      </c>
      <c r="R57" s="24">
        <v>2.3817618695771179E-2</v>
      </c>
      <c r="S57" s="24">
        <v>2.3591351318161355E-2</v>
      </c>
      <c r="T57" s="24">
        <v>2.3360156075243374E-2</v>
      </c>
      <c r="U57" s="24">
        <v>2.312655451449094E-2</v>
      </c>
      <c r="V57" s="24">
        <v>2.289528896934603E-2</v>
      </c>
    </row>
    <row r="58" spans="1:22">
      <c r="A58" s="25">
        <v>76</v>
      </c>
      <c r="B58" s="24">
        <v>2.9607999999999999E-2</v>
      </c>
      <c r="C58" s="24">
        <v>2.9365214399999999E-2</v>
      </c>
      <c r="D58" s="24">
        <v>2.9124419641919998E-2</v>
      </c>
      <c r="E58" s="24">
        <v>2.8885599400856256E-2</v>
      </c>
      <c r="F58" s="24">
        <v>2.8651626045709321E-2</v>
      </c>
      <c r="G58" s="24">
        <v>2.8425278199948216E-2</v>
      </c>
      <c r="H58" s="24">
        <v>2.8206403557808613E-2</v>
      </c>
      <c r="I58" s="24">
        <v>2.7997676171480832E-2</v>
      </c>
      <c r="J58" s="24">
        <v>2.7796092903046171E-2</v>
      </c>
      <c r="K58" s="24">
        <v>2.7601520252724845E-2</v>
      </c>
      <c r="L58" s="24">
        <v>2.7411069762981043E-2</v>
      </c>
      <c r="M58" s="24">
        <v>2.7221933381616471E-2</v>
      </c>
      <c r="N58" s="24">
        <v>2.7028657654606995E-2</v>
      </c>
      <c r="O58" s="24">
        <v>2.6825942722197443E-2</v>
      </c>
      <c r="P58" s="24">
        <v>2.6611335180419863E-2</v>
      </c>
      <c r="Q58" s="24">
        <v>2.6385138831386296E-2</v>
      </c>
      <c r="R58" s="24">
        <v>2.6147672581903817E-2</v>
      </c>
      <c r="S58" s="24">
        <v>2.5899269692375732E-2</v>
      </c>
      <c r="T58" s="24">
        <v>2.5645456849390451E-2</v>
      </c>
      <c r="U58" s="24">
        <v>2.5391566826581485E-2</v>
      </c>
      <c r="V58" s="24">
        <v>2.513765115831567E-2</v>
      </c>
    </row>
    <row r="59" spans="1:22">
      <c r="A59" s="25">
        <v>77</v>
      </c>
      <c r="B59" s="24">
        <v>3.2735E-2</v>
      </c>
      <c r="C59" s="24">
        <v>3.2466572999999999E-2</v>
      </c>
      <c r="D59" s="24">
        <v>3.2197100444099999E-2</v>
      </c>
      <c r="E59" s="24">
        <v>3.192986451041397E-2</v>
      </c>
      <c r="F59" s="24">
        <v>3.1664846634977532E-2</v>
      </c>
      <c r="G59" s="24">
        <v>3.1405194892570716E-2</v>
      </c>
      <c r="H59" s="24">
        <v>3.1150812813940894E-2</v>
      </c>
      <c r="I59" s="24">
        <v>3.0904721392710759E-2</v>
      </c>
      <c r="J59" s="24">
        <v>3.0666755037986885E-2</v>
      </c>
      <c r="K59" s="24">
        <v>3.0436754375201984E-2</v>
      </c>
      <c r="L59" s="24">
        <v>3.0211522392825492E-2</v>
      </c>
      <c r="M59" s="24">
        <v>2.9990978279357868E-2</v>
      </c>
      <c r="N59" s="24">
        <v>2.9766045942262686E-2</v>
      </c>
      <c r="O59" s="24">
        <v>2.9536847388507263E-2</v>
      </c>
      <c r="P59" s="24">
        <v>2.9297598924660353E-2</v>
      </c>
      <c r="Q59" s="24">
        <v>2.904856933380074E-2</v>
      </c>
      <c r="R59" s="24">
        <v>2.8787132209796534E-2</v>
      </c>
      <c r="S59" s="24">
        <v>2.8516533167024447E-2</v>
      </c>
      <c r="T59" s="24">
        <v>2.8237071141987605E-2</v>
      </c>
      <c r="U59" s="24">
        <v>2.7957524137681926E-2</v>
      </c>
      <c r="V59" s="24">
        <v>2.7677948896305107E-2</v>
      </c>
    </row>
    <row r="60" spans="1:22">
      <c r="A60" s="25">
        <v>78</v>
      </c>
      <c r="B60" s="24">
        <v>3.6257999999999999E-2</v>
      </c>
      <c r="C60" s="24">
        <v>3.5960684399999998E-2</v>
      </c>
      <c r="D60" s="24">
        <v>3.5665806787920001E-2</v>
      </c>
      <c r="E60" s="24">
        <v>3.5369780591580267E-2</v>
      </c>
      <c r="F60" s="24">
        <v>3.5072674434610991E-2</v>
      </c>
      <c r="G60" s="24">
        <v>3.4778063969360257E-2</v>
      </c>
      <c r="H60" s="24">
        <v>3.4485928232017633E-2</v>
      </c>
      <c r="I60" s="24">
        <v>3.4199695027691886E-2</v>
      </c>
      <c r="J60" s="24">
        <v>3.3919257528464815E-2</v>
      </c>
      <c r="K60" s="24">
        <v>3.3647903468237095E-2</v>
      </c>
      <c r="L60" s="24">
        <v>3.3382085030838018E-2</v>
      </c>
      <c r="M60" s="24">
        <v>3.312170476759748E-2</v>
      </c>
      <c r="N60" s="24">
        <v>3.2863355470410222E-2</v>
      </c>
      <c r="O60" s="24">
        <v>3.260044862664694E-2</v>
      </c>
      <c r="P60" s="24">
        <v>3.2333124947908437E-2</v>
      </c>
      <c r="Q60" s="24">
        <v>3.2055060073356421E-2</v>
      </c>
      <c r="R60" s="24">
        <v>3.1766564532696211E-2</v>
      </c>
      <c r="S60" s="24">
        <v>3.1467958826088868E-2</v>
      </c>
      <c r="T60" s="24">
        <v>3.1162719625475805E-2</v>
      </c>
      <c r="U60" s="24">
        <v>3.0854208701183595E-2</v>
      </c>
      <c r="V60" s="24">
        <v>3.0545666614171758E-2</v>
      </c>
    </row>
    <row r="61" spans="1:22">
      <c r="A61" s="25">
        <v>79</v>
      </c>
      <c r="B61" s="24">
        <v>4.0231999999999997E-2</v>
      </c>
      <c r="C61" s="24">
        <v>3.9910143999999995E-2</v>
      </c>
      <c r="D61" s="24">
        <v>3.9582880819199993E-2</v>
      </c>
      <c r="E61" s="24">
        <v>3.9254342908400637E-2</v>
      </c>
      <c r="F61" s="24">
        <v>3.8924606427970077E-2</v>
      </c>
      <c r="G61" s="24">
        <v>3.8593747273332334E-2</v>
      </c>
      <c r="H61" s="24">
        <v>3.8261841046781674E-2</v>
      </c>
      <c r="I61" s="24">
        <v>3.793278921377935E-2</v>
      </c>
      <c r="J61" s="24">
        <v>3.761036050546223E-2</v>
      </c>
      <c r="K61" s="24">
        <v>3.7294433477216352E-2</v>
      </c>
      <c r="L61" s="24">
        <v>3.6984889679355454E-2</v>
      </c>
      <c r="M61" s="24">
        <v>3.6685312072952676E-2</v>
      </c>
      <c r="N61" s="24">
        <v>3.6388161045161758E-2</v>
      </c>
      <c r="O61" s="24">
        <v>3.608977812459143E-2</v>
      </c>
      <c r="P61" s="24">
        <v>3.5786623988344861E-2</v>
      </c>
      <c r="Q61" s="24">
        <v>3.5475280359646262E-2</v>
      </c>
      <c r="R61" s="24">
        <v>3.5152455308373479E-2</v>
      </c>
      <c r="S61" s="24">
        <v>3.4822022228474768E-2</v>
      </c>
      <c r="T61" s="24">
        <v>3.4484248612858565E-2</v>
      </c>
      <c r="U61" s="24">
        <v>3.4142854551591266E-2</v>
      </c>
      <c r="V61" s="24">
        <v>3.3801426006075351E-2</v>
      </c>
    </row>
    <row r="62" spans="1:22">
      <c r="A62" s="25">
        <v>80</v>
      </c>
      <c r="B62" s="24">
        <v>4.4721999999999998E-2</v>
      </c>
      <c r="C62" s="24">
        <v>4.4368696199999995E-2</v>
      </c>
      <c r="D62" s="24">
        <v>4.4013746630399996E-2</v>
      </c>
      <c r="E62" s="24">
        <v>4.3652833908030715E-2</v>
      </c>
      <c r="F62" s="24">
        <v>4.3286150103203261E-2</v>
      </c>
      <c r="G62" s="24">
        <v>4.291388921231571E-2</v>
      </c>
      <c r="H62" s="24">
        <v>4.2540538376168564E-2</v>
      </c>
      <c r="I62" s="24">
        <v>4.2166181638458276E-2</v>
      </c>
      <c r="J62" s="24">
        <v>4.1795119240039841E-2</v>
      </c>
      <c r="K62" s="24">
        <v>4.1431501702651495E-2</v>
      </c>
      <c r="L62" s="24">
        <v>4.1075190788008691E-2</v>
      </c>
      <c r="M62" s="24">
        <v>4.0726051666310617E-2</v>
      </c>
      <c r="N62" s="24">
        <v>4.0383952832313608E-2</v>
      </c>
      <c r="O62" s="24">
        <v>4.0040689233238946E-2</v>
      </c>
      <c r="P62" s="24">
        <v>3.9696339305833092E-2</v>
      </c>
      <c r="Q62" s="24">
        <v>3.9343041886011176E-2</v>
      </c>
      <c r="R62" s="24">
        <v>3.8985020204848474E-2</v>
      </c>
      <c r="S62" s="24">
        <v>3.8614662512902416E-2</v>
      </c>
      <c r="T62" s="24">
        <v>3.8240100286527259E-2</v>
      </c>
      <c r="U62" s="24">
        <v>3.7861523293690635E-2</v>
      </c>
      <c r="V62" s="24">
        <v>3.7482908060753731E-2</v>
      </c>
    </row>
    <row r="63" spans="1:22">
      <c r="A63" s="25">
        <v>81</v>
      </c>
      <c r="B63" s="24">
        <v>4.9794999999999999E-2</v>
      </c>
      <c r="C63" s="24">
        <v>4.9411578499999997E-2</v>
      </c>
      <c r="D63" s="24">
        <v>4.9021227029849998E-2</v>
      </c>
      <c r="E63" s="24">
        <v>4.8624155090908214E-2</v>
      </c>
      <c r="F63" s="24">
        <v>4.8220574603653678E-2</v>
      </c>
      <c r="G63" s="24">
        <v>4.7810699719522627E-2</v>
      </c>
      <c r="H63" s="24">
        <v>4.7394746631962775E-2</v>
      </c>
      <c r="I63" s="24">
        <v>4.6977672861601504E-2</v>
      </c>
      <c r="J63" s="24">
        <v>4.655957157313325E-2</v>
      </c>
      <c r="K63" s="24">
        <v>4.6145191386132364E-2</v>
      </c>
      <c r="L63" s="24">
        <v>4.5739113701934397E-2</v>
      </c>
      <c r="M63" s="24">
        <v>4.5341183412727568E-2</v>
      </c>
      <c r="N63" s="24">
        <v>4.4946715117036837E-2</v>
      </c>
      <c r="O63" s="24">
        <v>4.4555678695518616E-2</v>
      </c>
      <c r="P63" s="24">
        <v>4.4163588722998054E-2</v>
      </c>
      <c r="Q63" s="24">
        <v>4.3766116424491068E-2</v>
      </c>
      <c r="R63" s="24">
        <v>4.3363468153385751E-2</v>
      </c>
      <c r="S63" s="24">
        <v>4.2951515205928589E-2</v>
      </c>
      <c r="T63" s="24">
        <v>4.2534885508431083E-2</v>
      </c>
      <c r="U63" s="24">
        <v>4.2113790141897617E-2</v>
      </c>
      <c r="V63" s="24">
        <v>4.1692652240478641E-2</v>
      </c>
    </row>
    <row r="64" spans="1:22">
      <c r="A64" s="25">
        <v>82</v>
      </c>
      <c r="B64" s="24">
        <v>5.5525999999999999E-2</v>
      </c>
      <c r="C64" s="24">
        <v>5.5109555000000005E-2</v>
      </c>
      <c r="D64" s="24">
        <v>5.4685211426499999E-2</v>
      </c>
      <c r="E64" s="24">
        <v>5.425319825623065E-2</v>
      </c>
      <c r="F64" s="24">
        <v>5.3808322030529557E-2</v>
      </c>
      <c r="G64" s="24">
        <v>5.335633212547311E-2</v>
      </c>
      <c r="H64" s="24">
        <v>5.2897467669194037E-2</v>
      </c>
      <c r="I64" s="24">
        <v>5.2426680206938206E-2</v>
      </c>
      <c r="J64" s="24">
        <v>5.1954840085075761E-2</v>
      </c>
      <c r="K64" s="24">
        <v>5.1487246524310082E-2</v>
      </c>
      <c r="L64" s="24">
        <v>5.1023861305591292E-2</v>
      </c>
      <c r="M64" s="24">
        <v>5.0569748939971529E-2</v>
      </c>
      <c r="N64" s="24">
        <v>5.0119678174405782E-2</v>
      </c>
      <c r="O64" s="24">
        <v>4.9673613038653572E-2</v>
      </c>
      <c r="P64" s="24">
        <v>4.9231517882609557E-2</v>
      </c>
      <c r="Q64" s="24">
        <v>4.8783511069877813E-2</v>
      </c>
      <c r="R64" s="24">
        <v>4.8329824416927951E-2</v>
      </c>
      <c r="S64" s="24">
        <v>4.7865858102525437E-2</v>
      </c>
      <c r="T64" s="24">
        <v>4.7396772693120683E-2</v>
      </c>
      <c r="U64" s="24">
        <v>4.6927544643458788E-2</v>
      </c>
      <c r="V64" s="24">
        <v>4.6458269197024199E-2</v>
      </c>
    </row>
    <row r="65" spans="1:22">
      <c r="A65" s="25">
        <v>83</v>
      </c>
      <c r="B65" s="24">
        <v>6.1996000000000002E-2</v>
      </c>
      <c r="C65" s="24">
        <v>6.1543429200000006E-2</v>
      </c>
      <c r="D65" s="24">
        <v>6.1081853481000009E-2</v>
      </c>
      <c r="E65" s="24">
        <v>6.0611523209196307E-2</v>
      </c>
      <c r="F65" s="24">
        <v>6.0126631023522739E-2</v>
      </c>
      <c r="G65" s="24">
        <v>5.9627579986027503E-2</v>
      </c>
      <c r="H65" s="24">
        <v>5.912074555614627E-2</v>
      </c>
      <c r="I65" s="24">
        <v>5.8600482995252182E-2</v>
      </c>
      <c r="J65" s="24">
        <v>5.8073078648294911E-2</v>
      </c>
      <c r="K65" s="24">
        <v>5.7544613632595429E-2</v>
      </c>
      <c r="L65" s="24">
        <v>5.702095764853881E-2</v>
      </c>
      <c r="M65" s="24">
        <v>5.6502066933937105E-2</v>
      </c>
      <c r="N65" s="24">
        <v>5.5993548331531667E-2</v>
      </c>
      <c r="O65" s="24">
        <v>5.5489606396547882E-2</v>
      </c>
      <c r="P65" s="24">
        <v>5.4984650978339294E-2</v>
      </c>
      <c r="Q65" s="24">
        <v>5.4478792189338571E-2</v>
      </c>
      <c r="R65" s="24">
        <v>5.3972139421977726E-2</v>
      </c>
      <c r="S65" s="24">
        <v>5.3454006883526736E-2</v>
      </c>
      <c r="T65" s="24">
        <v>5.2930157616068174E-2</v>
      </c>
      <c r="U65" s="24">
        <v>5.24061490556691E-2</v>
      </c>
      <c r="V65" s="24">
        <v>5.1882087565112409E-2</v>
      </c>
    </row>
    <row r="66" spans="1:22">
      <c r="A66" s="25">
        <v>84</v>
      </c>
      <c r="B66" s="24">
        <v>6.9290000000000004E-2</v>
      </c>
      <c r="C66" s="24">
        <v>6.8798041000000004E-2</v>
      </c>
      <c r="D66" s="24">
        <v>6.8295815300700002E-2</v>
      </c>
      <c r="E66" s="24">
        <v>6.7776767104414673E-2</v>
      </c>
      <c r="F66" s="24">
        <v>6.7248108321000241E-2</v>
      </c>
      <c r="G66" s="24">
        <v>6.6703398643600142E-2</v>
      </c>
      <c r="H66" s="24">
        <v>6.6143090094993903E-2</v>
      </c>
      <c r="I66" s="24">
        <v>6.5567645211167452E-2</v>
      </c>
      <c r="J66" s="24">
        <v>6.498409316878806E-2</v>
      </c>
      <c r="K66" s="24">
        <v>6.4392737920952084E-2</v>
      </c>
      <c r="L66" s="24">
        <v>6.3800324732079319E-2</v>
      </c>
      <c r="M66" s="24">
        <v>6.3213361744544186E-2</v>
      </c>
      <c r="N66" s="24">
        <v>6.2638120152668827E-2</v>
      </c>
      <c r="O66" s="24">
        <v>6.2068113259279543E-2</v>
      </c>
      <c r="P66" s="24">
        <v>6.1497086617294174E-2</v>
      </c>
      <c r="Q66" s="24">
        <v>6.0925163711753341E-2</v>
      </c>
      <c r="R66" s="24">
        <v>6.0352467172862863E-2</v>
      </c>
      <c r="S66" s="24">
        <v>5.9773083488003378E-2</v>
      </c>
      <c r="T66" s="24">
        <v>5.9187307269820945E-2</v>
      </c>
      <c r="U66" s="24">
        <v>5.8601352927849716E-2</v>
      </c>
      <c r="V66" s="24">
        <v>5.8015339398571217E-2</v>
      </c>
    </row>
    <row r="67" spans="1:22">
      <c r="A67" s="25">
        <v>85</v>
      </c>
      <c r="B67" s="24">
        <v>7.7496999999999996E-2</v>
      </c>
      <c r="C67" s="24">
        <v>7.6962270700000002E-2</v>
      </c>
      <c r="D67" s="24">
        <v>7.6415838578029999E-2</v>
      </c>
      <c r="E67" s="24">
        <v>7.5850361372552577E-2</v>
      </c>
      <c r="F67" s="24">
        <v>7.5266313589983924E-2</v>
      </c>
      <c r="G67" s="24">
        <v>7.4664183081264046E-2</v>
      </c>
      <c r="H67" s="24">
        <v>7.4044470361689554E-2</v>
      </c>
      <c r="I67" s="24">
        <v>7.340768791657902E-2</v>
      </c>
      <c r="J67" s="24">
        <v>7.276170026291312E-2</v>
      </c>
      <c r="K67" s="24">
        <v>7.2106844960546895E-2</v>
      </c>
      <c r="L67" s="24">
        <v>7.1443461986909859E-2</v>
      </c>
      <c r="M67" s="24">
        <v>7.0786182136630293E-2</v>
      </c>
      <c r="N67" s="24">
        <v>7.0134949260973301E-2</v>
      </c>
      <c r="O67" s="24">
        <v>6.9489707727772354E-2</v>
      </c>
      <c r="P67" s="24">
        <v>6.8850402416676851E-2</v>
      </c>
      <c r="Q67" s="24">
        <v>6.8210093674201763E-2</v>
      </c>
      <c r="R67" s="24">
        <v>6.7568918793664265E-2</v>
      </c>
      <c r="S67" s="24">
        <v>6.6927014065124454E-2</v>
      </c>
      <c r="T67" s="24">
        <v>6.6277822028692743E-2</v>
      </c>
      <c r="U67" s="24">
        <v>6.5621671590608679E-2</v>
      </c>
      <c r="V67" s="24">
        <v>6.4965454874702594E-2</v>
      </c>
    </row>
    <row r="68" spans="1:22">
      <c r="A68" s="25">
        <v>86</v>
      </c>
      <c r="B68" s="24">
        <v>8.6711999999999997E-2</v>
      </c>
      <c r="C68" s="24">
        <v>8.6139700799999996E-2</v>
      </c>
      <c r="D68" s="24">
        <v>8.5545336864480001E-2</v>
      </c>
      <c r="E68" s="24">
        <v>8.4937964972742197E-2</v>
      </c>
      <c r="F68" s="24">
        <v>8.4309424031943914E-2</v>
      </c>
      <c r="G68" s="24">
        <v>8.3651810524494746E-2</v>
      </c>
      <c r="H68" s="24">
        <v>8.2974230859246337E-2</v>
      </c>
      <c r="I68" s="24">
        <v>8.2277247320028668E-2</v>
      </c>
      <c r="J68" s="24">
        <v>8.1569662993076414E-2</v>
      </c>
      <c r="K68" s="24">
        <v>8.0843692992438029E-2</v>
      </c>
      <c r="L68" s="24">
        <v>8.0116099755506084E-2</v>
      </c>
      <c r="M68" s="24">
        <v>7.9387043247730979E-2</v>
      </c>
      <c r="N68" s="24">
        <v>7.8664621154176634E-2</v>
      </c>
      <c r="O68" s="24">
        <v>7.7940906639558216E-2</v>
      </c>
      <c r="P68" s="24">
        <v>7.7223850298474284E-2</v>
      </c>
      <c r="Q68" s="24">
        <v>7.6505668490698481E-2</v>
      </c>
      <c r="R68" s="24">
        <v>7.5794165773734989E-2</v>
      </c>
      <c r="S68" s="24">
        <v>7.5074121198884514E-2</v>
      </c>
      <c r="T68" s="24">
        <v>7.435340963537522E-2</v>
      </c>
      <c r="U68" s="24">
        <v>7.3632181561912077E-2</v>
      </c>
      <c r="V68" s="24">
        <v>7.2903222964449149E-2</v>
      </c>
    </row>
    <row r="69" spans="1:22">
      <c r="A69" s="25">
        <v>87</v>
      </c>
      <c r="B69" s="24">
        <v>9.7037999999999999E-2</v>
      </c>
      <c r="C69" s="24">
        <v>9.6416956800000009E-2</v>
      </c>
      <c r="D69" s="24">
        <v>9.5770963189440006E-2</v>
      </c>
      <c r="E69" s="24">
        <v>9.5110143543432862E-2</v>
      </c>
      <c r="F69" s="24">
        <v>9.4425350509920153E-2</v>
      </c>
      <c r="G69" s="24">
        <v>9.3707717846044758E-2</v>
      </c>
      <c r="H69" s="24">
        <v>9.2967426875061002E-2</v>
      </c>
      <c r="I69" s="24">
        <v>9.2205093974685501E-2</v>
      </c>
      <c r="J69" s="24">
        <v>9.143057118529814E-2</v>
      </c>
      <c r="K69" s="24">
        <v>9.0635125215986045E-2</v>
      </c>
      <c r="L69" s="24">
        <v>8.9837536114085362E-2</v>
      </c>
      <c r="M69" s="24">
        <v>8.9037982042669994E-2</v>
      </c>
      <c r="N69" s="24">
        <v>8.8236640204285968E-2</v>
      </c>
      <c r="O69" s="24">
        <v>8.7433686778426972E-2</v>
      </c>
      <c r="P69" s="24">
        <v>8.6638040228743288E-2</v>
      </c>
      <c r="Q69" s="24">
        <v>8.5840970258638849E-2</v>
      </c>
      <c r="R69" s="24">
        <v>8.5042649235233511E-2</v>
      </c>
      <c r="S69" s="24">
        <v>8.4251752597345839E-2</v>
      </c>
      <c r="T69" s="24">
        <v>8.3451360947671055E-2</v>
      </c>
      <c r="U69" s="24">
        <v>8.265022788257341E-2</v>
      </c>
      <c r="V69" s="24">
        <v>8.1848520672112443E-2</v>
      </c>
    </row>
    <row r="70" spans="1:22">
      <c r="A70" s="25">
        <v>88</v>
      </c>
      <c r="B70" s="24">
        <v>0.10859099999999999</v>
      </c>
      <c r="C70" s="24">
        <v>0.1079068767</v>
      </c>
      <c r="D70" s="24">
        <v>0.10720548200145001</v>
      </c>
      <c r="E70" s="24">
        <v>0.10648720527204029</v>
      </c>
      <c r="F70" s="24">
        <v>0.10574179483513602</v>
      </c>
      <c r="G70" s="24">
        <v>0.10495930555335602</v>
      </c>
      <c r="H70" s="24">
        <v>0.10415111890059517</v>
      </c>
      <c r="I70" s="24">
        <v>0.10331790994939041</v>
      </c>
      <c r="J70" s="24">
        <v>0.10247070308780541</v>
      </c>
      <c r="K70" s="24">
        <v>0.10159970211155907</v>
      </c>
      <c r="L70" s="24">
        <v>0.10072594467339965</v>
      </c>
      <c r="M70" s="24">
        <v>9.9849628954741074E-2</v>
      </c>
      <c r="N70" s="24">
        <v>9.8970952219939345E-2</v>
      </c>
      <c r="O70" s="24">
        <v>9.8080213649959891E-2</v>
      </c>
      <c r="P70" s="24">
        <v>9.7197491727110258E-2</v>
      </c>
      <c r="Q70" s="24">
        <v>9.631299455239356E-2</v>
      </c>
      <c r="R70" s="24">
        <v>9.5426915002511548E-2</v>
      </c>
      <c r="S70" s="24">
        <v>9.4548987384488442E-2</v>
      </c>
      <c r="T70" s="24">
        <v>9.3669681801812704E-2</v>
      </c>
      <c r="U70" s="24">
        <v>9.2779819824695492E-2</v>
      </c>
      <c r="V70" s="24">
        <v>9.1889133554378416E-2</v>
      </c>
    </row>
    <row r="71" spans="1:22">
      <c r="A71" s="25">
        <v>89</v>
      </c>
      <c r="B71" s="24">
        <v>0.121499</v>
      </c>
      <c r="C71" s="24">
        <v>0.1207457062</v>
      </c>
      <c r="D71" s="24">
        <v>0.11998500825094</v>
      </c>
      <c r="E71" s="24">
        <v>0.11919310719648378</v>
      </c>
      <c r="F71" s="24">
        <v>0.11837067475682804</v>
      </c>
      <c r="G71" s="24">
        <v>0.11751840589857888</v>
      </c>
      <c r="H71" s="24">
        <v>0.11663701785433955</v>
      </c>
      <c r="I71" s="24">
        <v>0.1157272491150757</v>
      </c>
      <c r="J71" s="24">
        <v>0.1148014311221551</v>
      </c>
      <c r="K71" s="24">
        <v>0.11386005938695343</v>
      </c>
      <c r="L71" s="24">
        <v>0.11290363488810302</v>
      </c>
      <c r="M71" s="24">
        <v>0.11194395399155416</v>
      </c>
      <c r="N71" s="24">
        <v>0.11098123598722678</v>
      </c>
      <c r="O71" s="24">
        <v>0.11000460111053918</v>
      </c>
      <c r="P71" s="24">
        <v>0.10902556016065539</v>
      </c>
      <c r="Q71" s="24">
        <v>0.10804433011920948</v>
      </c>
      <c r="R71" s="24">
        <v>0.1070719311481366</v>
      </c>
      <c r="S71" s="24">
        <v>0.10609757657468856</v>
      </c>
      <c r="T71" s="24">
        <v>0.10512147887020143</v>
      </c>
      <c r="U71" s="24">
        <v>0.10414384911670856</v>
      </c>
      <c r="V71" s="24">
        <v>0.1031648969350115</v>
      </c>
    </row>
    <row r="72" spans="1:22">
      <c r="A72" s="25">
        <v>90</v>
      </c>
      <c r="B72" s="24">
        <v>0.135908</v>
      </c>
      <c r="C72" s="24">
        <v>0.1350653704</v>
      </c>
      <c r="D72" s="24">
        <v>0.13421445856648001</v>
      </c>
      <c r="E72" s="24">
        <v>0.13334206458579789</v>
      </c>
      <c r="F72" s="24">
        <v>0.13244867275307304</v>
      </c>
      <c r="G72" s="24">
        <v>0.13152153204380151</v>
      </c>
      <c r="H72" s="24">
        <v>0.13056142485988176</v>
      </c>
      <c r="I72" s="24">
        <v>0.12956915803094665</v>
      </c>
      <c r="J72" s="24">
        <v>0.12855851859830528</v>
      </c>
      <c r="K72" s="24">
        <v>0.12753005044951884</v>
      </c>
      <c r="L72" s="24">
        <v>0.1264843040358328</v>
      </c>
      <c r="M72" s="24">
        <v>0.12543448431233539</v>
      </c>
      <c r="N72" s="24">
        <v>0.12438083464411177</v>
      </c>
      <c r="O72" s="24">
        <v>0.12332359754963683</v>
      </c>
      <c r="P72" s="24">
        <v>0.12225068225095498</v>
      </c>
      <c r="Q72" s="24">
        <v>0.12117487624714657</v>
      </c>
      <c r="R72" s="24">
        <v>0.12009641984854696</v>
      </c>
      <c r="S72" s="24">
        <v>0.11901555206991005</v>
      </c>
      <c r="T72" s="24">
        <v>0.11793251054607387</v>
      </c>
      <c r="U72" s="24">
        <v>0.11684753144905</v>
      </c>
      <c r="V72" s="24">
        <v>0.11576084940657383</v>
      </c>
    </row>
    <row r="73" spans="1:22">
      <c r="A73" s="25">
        <v>91</v>
      </c>
      <c r="B73" s="24">
        <v>0.15132200000000001</v>
      </c>
      <c r="C73" s="24">
        <v>0.1503838036</v>
      </c>
      <c r="D73" s="24">
        <v>0.14943638563732001</v>
      </c>
      <c r="E73" s="24">
        <v>0.14847999276924118</v>
      </c>
      <c r="F73" s="24">
        <v>0.14750002481696417</v>
      </c>
      <c r="G73" s="24">
        <v>0.14648227464572711</v>
      </c>
      <c r="H73" s="24">
        <v>0.14544225049574244</v>
      </c>
      <c r="I73" s="24">
        <v>0.14436597784207394</v>
      </c>
      <c r="J73" s="24">
        <v>0.14326879641047419</v>
      </c>
      <c r="K73" s="24">
        <v>0.14215129979847249</v>
      </c>
      <c r="L73" s="24">
        <v>0.14102830453006457</v>
      </c>
      <c r="M73" s="24">
        <v>0.13990007809382404</v>
      </c>
      <c r="N73" s="24">
        <v>0.13875289745345468</v>
      </c>
      <c r="O73" s="24">
        <v>0.13760124840459101</v>
      </c>
      <c r="P73" s="24">
        <v>0.13644539791799246</v>
      </c>
      <c r="Q73" s="24">
        <v>0.1352719674958977</v>
      </c>
      <c r="R73" s="24">
        <v>0.13408157418193381</v>
      </c>
      <c r="S73" s="24">
        <v>0.1328882481717146</v>
      </c>
      <c r="T73" s="24">
        <v>0.13170554276298635</v>
      </c>
      <c r="U73" s="24">
        <v>0.13052019287811947</v>
      </c>
      <c r="V73" s="24">
        <v>0.12933245912292859</v>
      </c>
    </row>
    <row r="74" spans="1:22">
      <c r="A74" s="25">
        <v>92</v>
      </c>
      <c r="B74" s="24">
        <v>0.16742199999999999</v>
      </c>
      <c r="C74" s="24">
        <v>0.1663504992</v>
      </c>
      <c r="D74" s="24">
        <v>0.16528585600512</v>
      </c>
      <c r="E74" s="24">
        <v>0.16421149794108672</v>
      </c>
      <c r="F74" s="24">
        <v>0.16312770205467553</v>
      </c>
      <c r="G74" s="24">
        <v>0.16201843368070373</v>
      </c>
      <c r="H74" s="24">
        <v>0.1608843046449388</v>
      </c>
      <c r="I74" s="24">
        <v>0.15972593765149526</v>
      </c>
      <c r="J74" s="24">
        <v>0.15854396571287421</v>
      </c>
      <c r="K74" s="24">
        <v>0.15733903157345636</v>
      </c>
      <c r="L74" s="24">
        <v>0.15612752103034075</v>
      </c>
      <c r="M74" s="24">
        <v>0.1549097263663041</v>
      </c>
      <c r="N74" s="24">
        <v>0.1536859395280103</v>
      </c>
      <c r="O74" s="24">
        <v>0.1524564520117862</v>
      </c>
      <c r="P74" s="24">
        <v>0.15120630910528957</v>
      </c>
      <c r="Q74" s="24">
        <v>0.14995129673971566</v>
      </c>
      <c r="R74" s="24">
        <v>0.14867671071742808</v>
      </c>
      <c r="S74" s="24">
        <v>0.14738322333418644</v>
      </c>
      <c r="T74" s="24">
        <v>0.14608625096884559</v>
      </c>
      <c r="U74" s="24">
        <v>0.14478608333522286</v>
      </c>
      <c r="V74" s="24">
        <v>0.14348300858520585</v>
      </c>
    </row>
    <row r="75" spans="1:22">
      <c r="A75" s="25">
        <v>93</v>
      </c>
      <c r="B75" s="24">
        <v>0.18403</v>
      </c>
      <c r="C75" s="24">
        <v>0.18279699899999999</v>
      </c>
      <c r="D75" s="24">
        <v>0.18159053880659998</v>
      </c>
      <c r="E75" s="24">
        <v>0.18039204125047642</v>
      </c>
      <c r="F75" s="24">
        <v>0.17918341457409823</v>
      </c>
      <c r="G75" s="24">
        <v>0.17796496735499434</v>
      </c>
      <c r="H75" s="24">
        <v>0.17673700908024487</v>
      </c>
      <c r="I75" s="24">
        <v>0.17548217631577512</v>
      </c>
      <c r="J75" s="24">
        <v>0.17421870464630154</v>
      </c>
      <c r="K75" s="24">
        <v>0.17292948623191892</v>
      </c>
      <c r="L75" s="24">
        <v>0.17163251508517954</v>
      </c>
      <c r="M75" s="24">
        <v>0.17032810797053216</v>
      </c>
      <c r="N75" s="24">
        <v>0.16901658153915905</v>
      </c>
      <c r="O75" s="24">
        <v>0.1676982522031536</v>
      </c>
      <c r="P75" s="24">
        <v>0.16637343601074869</v>
      </c>
      <c r="Q75" s="24">
        <v>0.16502581117906162</v>
      </c>
      <c r="R75" s="24">
        <v>0.16365609694627542</v>
      </c>
      <c r="S75" s="24">
        <v>0.16228138573192671</v>
      </c>
      <c r="T75" s="24">
        <v>0.16088576581463213</v>
      </c>
      <c r="U75" s="24">
        <v>0.15948605965204482</v>
      </c>
      <c r="V75" s="24">
        <v>0.15808258232710681</v>
      </c>
    </row>
    <row r="76" spans="1:22">
      <c r="A76" s="25">
        <v>94</v>
      </c>
      <c r="B76" s="24">
        <v>0.201074</v>
      </c>
      <c r="C76" s="24">
        <v>0.19962626720000001</v>
      </c>
      <c r="D76" s="24">
        <v>0.19822888332960001</v>
      </c>
      <c r="E76" s="24">
        <v>0.19688092692295872</v>
      </c>
      <c r="F76" s="24">
        <v>0.19554213661988259</v>
      </c>
      <c r="G76" s="24">
        <v>0.19421245009086738</v>
      </c>
      <c r="H76" s="24">
        <v>0.19287238418524039</v>
      </c>
      <c r="I76" s="24">
        <v>0.19154156473436224</v>
      </c>
      <c r="J76" s="24">
        <v>0.19020077378122169</v>
      </c>
      <c r="K76" s="24">
        <v>0.18885034828737501</v>
      </c>
      <c r="L76" s="24">
        <v>0.18749062577970591</v>
      </c>
      <c r="M76" s="24">
        <v>0.18612194421151407</v>
      </c>
      <c r="N76" s="24">
        <v>0.18474464182434888</v>
      </c>
      <c r="O76" s="24">
        <v>0.18335905701066627</v>
      </c>
      <c r="P76" s="24">
        <v>0.18194719227168413</v>
      </c>
      <c r="Q76" s="24">
        <v>0.18052800417196499</v>
      </c>
      <c r="R76" s="24">
        <v>0.17908378013858928</v>
      </c>
      <c r="S76" s="24">
        <v>0.17761529314145286</v>
      </c>
      <c r="T76" s="24">
        <v>0.17612332467906466</v>
      </c>
      <c r="U76" s="24">
        <v>0.17460866408682471</v>
      </c>
      <c r="V76" s="24">
        <v>0.17308956870926934</v>
      </c>
    </row>
    <row r="77" spans="1:22">
      <c r="A77" s="25">
        <v>95</v>
      </c>
      <c r="B77" s="24">
        <v>0.218559</v>
      </c>
      <c r="C77" s="24">
        <v>0.21687609569999999</v>
      </c>
      <c r="D77" s="24">
        <v>0.21527121259182</v>
      </c>
      <c r="E77" s="24">
        <v>0.21372125986115889</v>
      </c>
      <c r="F77" s="24">
        <v>0.21222521104213077</v>
      </c>
      <c r="G77" s="24">
        <v>0.21076085708594006</v>
      </c>
      <c r="H77" s="24">
        <v>0.20932768325775566</v>
      </c>
      <c r="I77" s="24">
        <v>0.20790425501160292</v>
      </c>
      <c r="J77" s="24">
        <v>0.20646971565202285</v>
      </c>
      <c r="K77" s="24">
        <v>0.20504507461402388</v>
      </c>
      <c r="L77" s="24">
        <v>0.20360975909172571</v>
      </c>
      <c r="M77" s="24">
        <v>0.20216412980217446</v>
      </c>
      <c r="N77" s="24">
        <v>0.2007085480675988</v>
      </c>
      <c r="O77" s="24">
        <v>0.19924337566670533</v>
      </c>
      <c r="P77" s="24">
        <v>0.19776897468677171</v>
      </c>
      <c r="Q77" s="24">
        <v>0.19628570737662093</v>
      </c>
      <c r="R77" s="24">
        <v>0.19477430742982094</v>
      </c>
      <c r="S77" s="24">
        <v>0.19323559040112534</v>
      </c>
      <c r="T77" s="24">
        <v>0.19167038211887621</v>
      </c>
      <c r="U77" s="24">
        <v>0.19007951794728956</v>
      </c>
      <c r="V77" s="24">
        <v>0.1884638420447376</v>
      </c>
    </row>
    <row r="78" spans="1:22">
      <c r="A78" s="25">
        <v>96</v>
      </c>
      <c r="B78" s="24">
        <v>0.236535</v>
      </c>
      <c r="C78" s="24">
        <v>0.23480829450000001</v>
      </c>
      <c r="D78" s="24">
        <v>0.23314115560905002</v>
      </c>
      <c r="E78" s="24">
        <v>0.23155579575090848</v>
      </c>
      <c r="F78" s="24">
        <v>0.23000437191937739</v>
      </c>
      <c r="G78" s="24">
        <v>0.2284863430647095</v>
      </c>
      <c r="H78" s="24">
        <v>0.2270011818347889</v>
      </c>
      <c r="I78" s="24">
        <v>0.22552567415286279</v>
      </c>
      <c r="J78" s="24">
        <v>0.22405975727086919</v>
      </c>
      <c r="K78" s="24">
        <v>0.22258096287288143</v>
      </c>
      <c r="L78" s="24">
        <v>0.22111192851792039</v>
      </c>
      <c r="M78" s="24">
        <v>0.21963047859685031</v>
      </c>
      <c r="N78" s="24">
        <v>0.21813699134239173</v>
      </c>
      <c r="O78" s="24">
        <v>0.21663184610212921</v>
      </c>
      <c r="P78" s="24">
        <v>0.21511542317941432</v>
      </c>
      <c r="Q78" s="24">
        <v>0.21356659213252255</v>
      </c>
      <c r="R78" s="24">
        <v>0.21200755600995513</v>
      </c>
      <c r="S78" s="24">
        <v>0.21041749933988049</v>
      </c>
      <c r="T78" s="24">
        <v>0.20879728459496341</v>
      </c>
      <c r="U78" s="24">
        <v>0.2071477860466632</v>
      </c>
      <c r="V78" s="24">
        <v>0.20546988897968524</v>
      </c>
    </row>
    <row r="79" spans="1:22">
      <c r="A79" s="25">
        <v>97</v>
      </c>
      <c r="B79" s="24">
        <v>0.25505899999999998</v>
      </c>
      <c r="C79" s="24">
        <v>0.25327358699999997</v>
      </c>
      <c r="D79" s="24">
        <v>0.25157665396709994</v>
      </c>
      <c r="E79" s="24">
        <v>0.24994140571631379</v>
      </c>
      <c r="F79" s="24">
        <v>0.24836677486030101</v>
      </c>
      <c r="G79" s="24">
        <v>0.24682690085616715</v>
      </c>
      <c r="H79" s="24">
        <v>0.24529657407085892</v>
      </c>
      <c r="I79" s="24">
        <v>0.24377573531161958</v>
      </c>
      <c r="J79" s="24">
        <v>0.24226432575268755</v>
      </c>
      <c r="K79" s="24">
        <v>0.2407622869330209</v>
      </c>
      <c r="L79" s="24">
        <v>0.23924548452534289</v>
      </c>
      <c r="M79" s="24">
        <v>0.23771431342438071</v>
      </c>
      <c r="N79" s="24">
        <v>0.23619294181846467</v>
      </c>
      <c r="O79" s="24">
        <v>0.23465768769664466</v>
      </c>
      <c r="P79" s="24">
        <v>0.23308548118907713</v>
      </c>
      <c r="Q79" s="24">
        <v>0.2315004999169914</v>
      </c>
      <c r="R79" s="24">
        <v>0.22990314646756416</v>
      </c>
      <c r="S79" s="24">
        <v>0.22827083412764446</v>
      </c>
      <c r="T79" s="24">
        <v>0.22660445703851265</v>
      </c>
      <c r="U79" s="24">
        <v>0.22490492361072381</v>
      </c>
      <c r="V79" s="24">
        <v>0.22317315569892124</v>
      </c>
    </row>
    <row r="80" spans="1:22">
      <c r="A80" s="25">
        <v>98</v>
      </c>
      <c r="B80" s="24">
        <v>0.27417000000000002</v>
      </c>
      <c r="C80" s="24">
        <v>0.27236047800000002</v>
      </c>
      <c r="D80" s="24">
        <v>0.27064460698860004</v>
      </c>
      <c r="E80" s="24">
        <v>0.26899367488596959</v>
      </c>
      <c r="F80" s="24">
        <v>0.26737971283665379</v>
      </c>
      <c r="G80" s="24">
        <v>0.26580217253091754</v>
      </c>
      <c r="H80" s="24">
        <v>0.26426051993023819</v>
      </c>
      <c r="I80" s="24">
        <v>0.26272780891464281</v>
      </c>
      <c r="J80" s="24">
        <v>0.26120398762293789</v>
      </c>
      <c r="K80" s="24">
        <v>0.25966288409596255</v>
      </c>
      <c r="L80" s="24">
        <v>0.25813087307979637</v>
      </c>
      <c r="M80" s="24">
        <v>0.25658208784131759</v>
      </c>
      <c r="N80" s="24">
        <v>0.25501693710548556</v>
      </c>
      <c r="O80" s="24">
        <v>0.25343583209543158</v>
      </c>
      <c r="P80" s="24">
        <v>0.25183918635323038</v>
      </c>
      <c r="Q80" s="24">
        <v>0.25022741556056971</v>
      </c>
      <c r="R80" s="24">
        <v>0.24857591461786993</v>
      </c>
      <c r="S80" s="24">
        <v>0.24691045598993019</v>
      </c>
      <c r="T80" s="24">
        <v>0.24520677384359968</v>
      </c>
      <c r="U80" s="24">
        <v>0.24349032642669449</v>
      </c>
      <c r="V80" s="24">
        <v>0.2417371960764223</v>
      </c>
    </row>
    <row r="81" spans="1:22">
      <c r="A81" s="25">
        <v>99</v>
      </c>
      <c r="B81" s="24">
        <v>0.293848</v>
      </c>
      <c r="C81" s="24">
        <v>0.29202614240000002</v>
      </c>
      <c r="D81" s="24">
        <v>0.29030318815984002</v>
      </c>
      <c r="E81" s="24">
        <v>0.28861942966851295</v>
      </c>
      <c r="F81" s="24">
        <v>0.28700316086236927</v>
      </c>
      <c r="G81" s="24">
        <v>0.28542464347762625</v>
      </c>
      <c r="H81" s="24">
        <v>0.28385480793849932</v>
      </c>
      <c r="I81" s="24">
        <v>0.28229360649483759</v>
      </c>
      <c r="J81" s="24">
        <v>0.28074099165911598</v>
      </c>
      <c r="K81" s="24">
        <v>0.27919691620499087</v>
      </c>
      <c r="L81" s="24">
        <v>0.27763341347424292</v>
      </c>
      <c r="M81" s="24">
        <v>0.27605090301743973</v>
      </c>
      <c r="N81" s="24">
        <v>0.2744774128702403</v>
      </c>
      <c r="O81" s="24">
        <v>0.27288544387559288</v>
      </c>
      <c r="P81" s="24">
        <v>0.27127541975672687</v>
      </c>
      <c r="Q81" s="24">
        <v>0.26964776723818651</v>
      </c>
      <c r="R81" s="24">
        <v>0.26797595108130978</v>
      </c>
      <c r="S81" s="24">
        <v>0.26628770258949752</v>
      </c>
      <c r="T81" s="24">
        <v>0.26455683252266582</v>
      </c>
      <c r="U81" s="24">
        <v>0.26281075742801618</v>
      </c>
      <c r="V81" s="24">
        <v>0.26102364427750568</v>
      </c>
    </row>
    <row r="82" spans="1:22">
      <c r="A82" s="25">
        <v>100</v>
      </c>
      <c r="B82" s="24">
        <v>0.31398799999999999</v>
      </c>
      <c r="C82" s="24">
        <v>0.31216686960000001</v>
      </c>
      <c r="D82" s="24">
        <v>0.31041873513023999</v>
      </c>
      <c r="E82" s="24">
        <v>0.30874247396053672</v>
      </c>
      <c r="F82" s="24">
        <v>0.30710613884854587</v>
      </c>
      <c r="G82" s="24">
        <v>0.30550918692653345</v>
      </c>
      <c r="H82" s="24">
        <v>0.30395109007320814</v>
      </c>
      <c r="I82" s="24">
        <v>0.30240093951383479</v>
      </c>
      <c r="J82" s="24">
        <v>0.30082845462836283</v>
      </c>
      <c r="K82" s="24">
        <v>0.29926414666429535</v>
      </c>
      <c r="L82" s="24">
        <v>0.29770797310164104</v>
      </c>
      <c r="M82" s="24">
        <v>0.29613012084420237</v>
      </c>
      <c r="N82" s="24">
        <v>0.29453101819164368</v>
      </c>
      <c r="O82" s="24">
        <v>0.29291109759158968</v>
      </c>
      <c r="P82" s="24">
        <v>0.29127079544507678</v>
      </c>
      <c r="Q82" s="24">
        <v>0.28961055191103985</v>
      </c>
      <c r="R82" s="24">
        <v>0.2879308107099558</v>
      </c>
      <c r="S82" s="24">
        <v>0.28623201892676703</v>
      </c>
      <c r="T82" s="24">
        <v>0.28448600361131376</v>
      </c>
      <c r="U82" s="24">
        <v>0.2827221903889236</v>
      </c>
      <c r="V82" s="24">
        <v>0.2809127683704345</v>
      </c>
    </row>
    <row r="83" spans="1:22">
      <c r="A83" s="25">
        <v>101</v>
      </c>
      <c r="B83" s="24">
        <v>0.33436500000000002</v>
      </c>
      <c r="C83" s="24">
        <v>0.33255942900000002</v>
      </c>
      <c r="D83" s="24">
        <v>0.33083011996920003</v>
      </c>
      <c r="E83" s="24">
        <v>0.329175969369354</v>
      </c>
      <c r="F83" s="24">
        <v>0.32756300711944414</v>
      </c>
      <c r="G83" s="24">
        <v>0.3259907046852708</v>
      </c>
      <c r="H83" s="24">
        <v>0.32442594930278151</v>
      </c>
      <c r="I83" s="24">
        <v>0.32286870474612817</v>
      </c>
      <c r="J83" s="24">
        <v>0.32131893496334674</v>
      </c>
      <c r="K83" s="24">
        <v>0.31977660407552266</v>
      </c>
      <c r="L83" s="24">
        <v>0.3182096987155526</v>
      </c>
      <c r="M83" s="24">
        <v>0.31665047119184642</v>
      </c>
      <c r="N83" s="24">
        <v>0.31506721883588718</v>
      </c>
      <c r="O83" s="24">
        <v>0.31346037601982413</v>
      </c>
      <c r="P83" s="24">
        <v>0.31183038206452107</v>
      </c>
      <c r="Q83" s="24">
        <v>0.3101776810395791</v>
      </c>
      <c r="R83" s="24">
        <v>0.3085027215619654</v>
      </c>
      <c r="S83" s="24">
        <v>0.30680595659337462</v>
      </c>
      <c r="T83" s="24">
        <v>0.30505716264079236</v>
      </c>
      <c r="U83" s="24">
        <v>0.30328783109747576</v>
      </c>
      <c r="V83" s="24">
        <v>0.30146810411089092</v>
      </c>
    </row>
    <row r="84" spans="1:22">
      <c r="A84" s="25">
        <v>102</v>
      </c>
      <c r="B84" s="24">
        <v>0.354599</v>
      </c>
      <c r="C84" s="24">
        <v>0.352826005</v>
      </c>
      <c r="D84" s="24">
        <v>0.35113244017599998</v>
      </c>
      <c r="E84" s="24">
        <v>0.34948211770717275</v>
      </c>
      <c r="F84" s="24">
        <v>0.34787449996571973</v>
      </c>
      <c r="G84" s="24">
        <v>0.34630906471587403</v>
      </c>
      <c r="H84" s="24">
        <v>0.34475067392465258</v>
      </c>
      <c r="I84" s="24">
        <v>0.34323377095938412</v>
      </c>
      <c r="J84" s="24">
        <v>0.34168921899006693</v>
      </c>
      <c r="K84" s="24">
        <v>0.34015161750461165</v>
      </c>
      <c r="L84" s="24">
        <v>0.33862093522584091</v>
      </c>
      <c r="M84" s="24">
        <v>0.337063278923802</v>
      </c>
      <c r="N84" s="24">
        <v>0.3354790815128601</v>
      </c>
      <c r="O84" s="24">
        <v>0.33390232982974966</v>
      </c>
      <c r="P84" s="24">
        <v>0.33229959864656683</v>
      </c>
      <c r="Q84" s="24">
        <v>0.33067133061319864</v>
      </c>
      <c r="R84" s="24">
        <v>0.32901797396013266</v>
      </c>
      <c r="S84" s="24">
        <v>0.32733998229293598</v>
      </c>
      <c r="T84" s="24">
        <v>0.32560508038678343</v>
      </c>
      <c r="U84" s="24">
        <v>0.3238468129526948</v>
      </c>
      <c r="V84" s="24">
        <v>0.32206565548145499</v>
      </c>
    </row>
    <row r="85" spans="1:22">
      <c r="A85" s="25">
        <v>103</v>
      </c>
      <c r="B85" s="24">
        <v>0.37452400000000002</v>
      </c>
      <c r="C85" s="24">
        <v>0.37280118960000003</v>
      </c>
      <c r="D85" s="24">
        <v>0.37112358424680003</v>
      </c>
      <c r="E85" s="24">
        <v>0.36952775283453881</v>
      </c>
      <c r="F85" s="24">
        <v>0.36797573627263375</v>
      </c>
      <c r="G85" s="24">
        <v>0.36646703575391593</v>
      </c>
      <c r="H85" s="24">
        <v>0.3649645209073249</v>
      </c>
      <c r="I85" s="24">
        <v>0.36346816637160484</v>
      </c>
      <c r="J85" s="24">
        <v>0.36197794688948126</v>
      </c>
      <c r="K85" s="24">
        <v>0.36045763951254545</v>
      </c>
      <c r="L85" s="24">
        <v>0.35894371742659276</v>
      </c>
      <c r="M85" s="24">
        <v>0.35743615381340105</v>
      </c>
      <c r="N85" s="24">
        <v>0.35589917835200341</v>
      </c>
      <c r="O85" s="24">
        <v>0.35433322196725459</v>
      </c>
      <c r="P85" s="24">
        <v>0.35277415579059868</v>
      </c>
      <c r="Q85" s="24">
        <v>0.35118667208954102</v>
      </c>
      <c r="R85" s="24">
        <v>0.34957121339792913</v>
      </c>
      <c r="S85" s="24">
        <v>0.34792822869495882</v>
      </c>
      <c r="T85" s="24">
        <v>0.34625817319722302</v>
      </c>
      <c r="U85" s="24">
        <v>0.34452688233123691</v>
      </c>
      <c r="V85" s="24">
        <v>0.3427697952313476</v>
      </c>
    </row>
    <row r="86" spans="1:22">
      <c r="A86" s="25">
        <v>104</v>
      </c>
      <c r="B86" s="24">
        <v>0.393982</v>
      </c>
      <c r="C86" s="24">
        <v>0.39228787739999998</v>
      </c>
      <c r="D86" s="24">
        <v>0.39067949710265998</v>
      </c>
      <c r="E86" s="24">
        <v>0.38911677911424936</v>
      </c>
      <c r="F86" s="24">
        <v>0.38759922367570376</v>
      </c>
      <c r="G86" s="24">
        <v>0.38612634662573608</v>
      </c>
      <c r="H86" s="24">
        <v>0.3846590665085583</v>
      </c>
      <c r="I86" s="24">
        <v>0.38319736205582577</v>
      </c>
      <c r="J86" s="24">
        <v>0.3817412120800136</v>
      </c>
      <c r="K86" s="24">
        <v>0.38029059547410954</v>
      </c>
      <c r="L86" s="24">
        <v>0.37884549121130789</v>
      </c>
      <c r="M86" s="24">
        <v>0.37736799379558378</v>
      </c>
      <c r="N86" s="24">
        <v>0.37589625861978099</v>
      </c>
      <c r="O86" s="24">
        <v>0.37439267358530187</v>
      </c>
      <c r="P86" s="24">
        <v>0.37285766362360212</v>
      </c>
      <c r="Q86" s="24">
        <v>0.37129166143638298</v>
      </c>
      <c r="R86" s="24">
        <v>0.36973223645835018</v>
      </c>
      <c r="S86" s="24">
        <v>0.36814238784157927</v>
      </c>
      <c r="T86" s="24">
        <v>0.36652256133507632</v>
      </c>
      <c r="U86" s="24">
        <v>0.36483655755293498</v>
      </c>
      <c r="V86" s="24">
        <v>0.36312182573243618</v>
      </c>
    </row>
    <row r="87" spans="1:22">
      <c r="A87" s="25">
        <v>105</v>
      </c>
      <c r="B87" s="24">
        <v>0.412831</v>
      </c>
      <c r="C87" s="24">
        <v>0.41122095910000001</v>
      </c>
      <c r="D87" s="24">
        <v>0.40969944155132998</v>
      </c>
      <c r="E87" s="24">
        <v>0.40822452356174516</v>
      </c>
      <c r="F87" s="24">
        <v>0.40679573772927907</v>
      </c>
      <c r="G87" s="24">
        <v>0.40537195264722664</v>
      </c>
      <c r="H87" s="24">
        <v>0.4039936880082261</v>
      </c>
      <c r="I87" s="24">
        <v>0.40262010946899818</v>
      </c>
      <c r="J87" s="24">
        <v>0.40125120109680362</v>
      </c>
      <c r="K87" s="24">
        <v>0.39984682189296483</v>
      </c>
      <c r="L87" s="24">
        <v>0.39844735801633946</v>
      </c>
      <c r="M87" s="24">
        <v>0.39705279226328227</v>
      </c>
      <c r="N87" s="24">
        <v>0.39562340221113446</v>
      </c>
      <c r="O87" s="24">
        <v>0.39419915796317434</v>
      </c>
      <c r="P87" s="24">
        <v>0.39274062107871061</v>
      </c>
      <c r="Q87" s="24">
        <v>0.39124820671861149</v>
      </c>
      <c r="R87" s="24">
        <v>0.38972233871240891</v>
      </c>
      <c r="S87" s="24">
        <v>0.38820242159143054</v>
      </c>
      <c r="T87" s="24">
        <v>0.38664961190506481</v>
      </c>
      <c r="U87" s="24">
        <v>0.38506434849625404</v>
      </c>
      <c r="V87" s="24">
        <v>0.38340857179772014</v>
      </c>
    </row>
    <row r="88" spans="1:22">
      <c r="A88" s="25">
        <v>106</v>
      </c>
      <c r="B88" s="24">
        <v>0.430946</v>
      </c>
      <c r="C88" s="24">
        <v>0.42943768900000001</v>
      </c>
      <c r="D88" s="24">
        <v>0.42802054462630001</v>
      </c>
      <c r="E88" s="24">
        <v>0.42665087888349584</v>
      </c>
      <c r="F88" s="24">
        <v>0.42528559607106864</v>
      </c>
      <c r="G88" s="24">
        <v>0.42396721072324833</v>
      </c>
      <c r="H88" s="24">
        <v>0.42265291237000624</v>
      </c>
      <c r="I88" s="24">
        <v>0.42134268834165922</v>
      </c>
      <c r="J88" s="24">
        <v>0.42003652600780006</v>
      </c>
      <c r="K88" s="24">
        <v>0.41873441277717588</v>
      </c>
      <c r="L88" s="24">
        <v>0.41743633609756664</v>
      </c>
      <c r="M88" s="24">
        <v>0.41610053982205442</v>
      </c>
      <c r="N88" s="24">
        <v>0.41476901809462385</v>
      </c>
      <c r="O88" s="24">
        <v>0.41340028033491161</v>
      </c>
      <c r="P88" s="24">
        <v>0.41203605940980642</v>
      </c>
      <c r="Q88" s="24">
        <v>0.41063513680781311</v>
      </c>
      <c r="R88" s="24">
        <v>0.40919791382898579</v>
      </c>
      <c r="S88" s="24">
        <v>0.40776572113058435</v>
      </c>
      <c r="T88" s="24">
        <v>0.40629776453451422</v>
      </c>
      <c r="U88" s="24">
        <v>0.4047944628057365</v>
      </c>
      <c r="V88" s="24">
        <v>0.4032562438470747</v>
      </c>
    </row>
    <row r="89" spans="1:22">
      <c r="A89" s="25">
        <v>107</v>
      </c>
      <c r="B89" s="24">
        <v>0.44822699999999999</v>
      </c>
      <c r="C89" s="24">
        <v>0.44683749629999997</v>
      </c>
      <c r="D89" s="24">
        <v>0.44549698381109998</v>
      </c>
      <c r="E89" s="24">
        <v>0.44420504255804777</v>
      </c>
      <c r="F89" s="24">
        <v>0.44296126843888523</v>
      </c>
      <c r="G89" s="24">
        <v>0.44172097688725631</v>
      </c>
      <c r="H89" s="24">
        <v>0.4405283302496607</v>
      </c>
      <c r="I89" s="24">
        <v>0.43933890375798662</v>
      </c>
      <c r="J89" s="24">
        <v>0.43815268871784002</v>
      </c>
      <c r="K89" s="24">
        <v>0.43692586118943005</v>
      </c>
      <c r="L89" s="24">
        <v>0.43570246877809965</v>
      </c>
      <c r="M89" s="24">
        <v>0.43448250186552095</v>
      </c>
      <c r="N89" s="24">
        <v>0.43322250261011092</v>
      </c>
      <c r="O89" s="24">
        <v>0.43196615735254157</v>
      </c>
      <c r="P89" s="24">
        <v>0.43067025888048394</v>
      </c>
      <c r="Q89" s="24">
        <v>0.42937824810384251</v>
      </c>
      <c r="R89" s="24">
        <v>0.4280471755347206</v>
      </c>
      <c r="S89" s="24">
        <v>0.4266774245730095</v>
      </c>
      <c r="T89" s="24">
        <v>0.42531205681437589</v>
      </c>
      <c r="U89" s="24">
        <v>0.42390852702688847</v>
      </c>
      <c r="V89" s="24">
        <v>0.42246723803499708</v>
      </c>
    </row>
    <row r="90" spans="1:22">
      <c r="A90" s="25">
        <v>108</v>
      </c>
      <c r="B90" s="24">
        <v>0.464592</v>
      </c>
      <c r="C90" s="24">
        <v>0.46333760159999998</v>
      </c>
      <c r="D90" s="24">
        <v>0.46213292383583998</v>
      </c>
      <c r="E90" s="24">
        <v>0.4609775915262504</v>
      </c>
      <c r="F90" s="24">
        <v>0.45982514754743481</v>
      </c>
      <c r="G90" s="24">
        <v>0.45872156719332097</v>
      </c>
      <c r="H90" s="24">
        <v>0.457620635432057</v>
      </c>
      <c r="I90" s="24">
        <v>0.45652234590702007</v>
      </c>
      <c r="J90" s="24">
        <v>0.45542669227684324</v>
      </c>
      <c r="K90" s="24">
        <v>0.45433366821537885</v>
      </c>
      <c r="L90" s="24">
        <v>0.45324326741166193</v>
      </c>
      <c r="M90" s="24">
        <v>0.4521101592431328</v>
      </c>
      <c r="N90" s="24">
        <v>0.45097988384502502</v>
      </c>
      <c r="O90" s="24">
        <v>0.44985243413541248</v>
      </c>
      <c r="P90" s="24">
        <v>0.44868281780666036</v>
      </c>
      <c r="Q90" s="24">
        <v>0.44751624248036304</v>
      </c>
      <c r="R90" s="24">
        <v>0.44630794862566603</v>
      </c>
      <c r="S90" s="24">
        <v>0.44505828636951417</v>
      </c>
      <c r="T90" s="24">
        <v>0.44381212316767954</v>
      </c>
      <c r="U90" s="24">
        <v>0.44252506801049324</v>
      </c>
      <c r="V90" s="24">
        <v>0.44119749280646176</v>
      </c>
    </row>
    <row r="91" spans="1:22">
      <c r="A91" s="25">
        <v>109</v>
      </c>
      <c r="B91" s="24">
        <v>0.479987</v>
      </c>
      <c r="C91" s="24">
        <v>0.47888302990000003</v>
      </c>
      <c r="D91" s="24">
        <v>0.47782948723422003</v>
      </c>
      <c r="E91" s="24">
        <v>0.47677826236230475</v>
      </c>
      <c r="F91" s="24">
        <v>0.47577702801134392</v>
      </c>
      <c r="G91" s="24">
        <v>0.47477789625252009</v>
      </c>
      <c r="H91" s="24">
        <v>0.47378086267038982</v>
      </c>
      <c r="I91" s="24">
        <v>0.47278592285878202</v>
      </c>
      <c r="J91" s="24">
        <v>0.47179307242077856</v>
      </c>
      <c r="K91" s="24">
        <v>0.47080230696869491</v>
      </c>
      <c r="L91" s="24">
        <v>0.46981362212406064</v>
      </c>
      <c r="M91" s="24">
        <v>0.46882701351760009</v>
      </c>
      <c r="N91" s="24">
        <v>0.46784247678921315</v>
      </c>
      <c r="O91" s="24">
        <v>0.46681322334027686</v>
      </c>
      <c r="P91" s="24">
        <v>0.46578623424892829</v>
      </c>
      <c r="Q91" s="24">
        <v>0.46471492591015578</v>
      </c>
      <c r="R91" s="24">
        <v>0.46364608158056242</v>
      </c>
      <c r="S91" s="24">
        <v>0.46253333098476906</v>
      </c>
      <c r="T91" s="24">
        <v>0.46142325099040565</v>
      </c>
      <c r="U91" s="24">
        <v>0.46026969286292968</v>
      </c>
      <c r="V91" s="24">
        <v>0.45907299166148602</v>
      </c>
    </row>
    <row r="92" spans="1:22">
      <c r="A92" s="25">
        <v>110</v>
      </c>
      <c r="B92" s="24">
        <v>0.49437599999999998</v>
      </c>
      <c r="C92" s="24">
        <v>0.49343668559999998</v>
      </c>
      <c r="D92" s="24">
        <v>0.49249915589735999</v>
      </c>
      <c r="E92" s="24">
        <v>0.4916126574167447</v>
      </c>
      <c r="F92" s="24">
        <v>0.49072775463339458</v>
      </c>
      <c r="G92" s="24">
        <v>0.48989351745051779</v>
      </c>
      <c r="H92" s="24">
        <v>0.48906069847085187</v>
      </c>
      <c r="I92" s="24">
        <v>0.48822929528345138</v>
      </c>
      <c r="J92" s="24">
        <v>0.48739930548146948</v>
      </c>
      <c r="K92" s="24">
        <v>0.48657072666215095</v>
      </c>
      <c r="L92" s="24">
        <v>0.48574355642682526</v>
      </c>
      <c r="M92" s="24">
        <v>0.48486921802525695</v>
      </c>
      <c r="N92" s="24">
        <v>0.4839964534328115</v>
      </c>
      <c r="O92" s="24">
        <v>0.48312525981663246</v>
      </c>
      <c r="P92" s="24">
        <v>0.48220732182298087</v>
      </c>
      <c r="Q92" s="24">
        <v>0.48129112791151718</v>
      </c>
      <c r="R92" s="24">
        <v>0.48037667476848528</v>
      </c>
      <c r="S92" s="24">
        <v>0.47941592141894829</v>
      </c>
      <c r="T92" s="24">
        <v>0.47845708957611038</v>
      </c>
      <c r="U92" s="24">
        <v>0.47745232968800055</v>
      </c>
      <c r="V92" s="24">
        <v>0.47644967979565578</v>
      </c>
    </row>
    <row r="93" spans="1:22">
      <c r="A93" s="25">
        <v>111</v>
      </c>
      <c r="B93" s="24">
        <v>0.5</v>
      </c>
      <c r="C93" s="24">
        <v>0.49925000000000003</v>
      </c>
      <c r="D93" s="24">
        <v>0.49850112500000004</v>
      </c>
      <c r="E93" s="24">
        <v>0.49780322342500005</v>
      </c>
      <c r="F93" s="24">
        <v>0.49710629891220509</v>
      </c>
      <c r="G93" s="24">
        <v>0.49641035009372803</v>
      </c>
      <c r="H93" s="24">
        <v>0.49571537560359685</v>
      </c>
      <c r="I93" s="24">
        <v>0.49502137407775182</v>
      </c>
      <c r="J93" s="24">
        <v>0.49432834415404298</v>
      </c>
      <c r="K93" s="24">
        <v>0.49363628447222735</v>
      </c>
      <c r="L93" s="24">
        <v>0.49294519367396628</v>
      </c>
      <c r="M93" s="24">
        <v>0.49225507040282274</v>
      </c>
      <c r="N93" s="24">
        <v>0.49156591330425881</v>
      </c>
      <c r="O93" s="24">
        <v>0.49082856443430245</v>
      </c>
      <c r="P93" s="24">
        <v>0.49009232158765104</v>
      </c>
      <c r="Q93" s="24">
        <v>0.4893571831052696</v>
      </c>
      <c r="R93" s="24">
        <v>0.48862314733061174</v>
      </c>
      <c r="S93" s="24">
        <v>0.48784135029488274</v>
      </c>
      <c r="T93" s="24">
        <v>0.48706080413441089</v>
      </c>
      <c r="U93" s="24">
        <v>0.48623280076738234</v>
      </c>
      <c r="V93" s="24">
        <v>0.48540620500607778</v>
      </c>
    </row>
    <row r="94" spans="1:22">
      <c r="A94" s="25">
        <v>112</v>
      </c>
      <c r="B94" s="24">
        <v>0.5</v>
      </c>
      <c r="C94" s="24">
        <v>0.49940000000000001</v>
      </c>
      <c r="D94" s="24">
        <v>0.49885066</v>
      </c>
      <c r="E94" s="24">
        <v>0.498301924274</v>
      </c>
      <c r="F94" s="24">
        <v>0.49775379215729859</v>
      </c>
      <c r="G94" s="24">
        <v>0.49725603836514132</v>
      </c>
      <c r="H94" s="24">
        <v>0.49675878232677617</v>
      </c>
      <c r="I94" s="24">
        <v>0.49626202354444937</v>
      </c>
      <c r="J94" s="24">
        <v>0.4957657615209049</v>
      </c>
      <c r="K94" s="24">
        <v>0.49526999575938402</v>
      </c>
      <c r="L94" s="24">
        <v>0.49477472576362463</v>
      </c>
      <c r="M94" s="24">
        <v>0.49423047356528466</v>
      </c>
      <c r="N94" s="24">
        <v>0.49368682004436287</v>
      </c>
      <c r="O94" s="24">
        <v>0.49314376454231407</v>
      </c>
      <c r="P94" s="24">
        <v>0.49260130640131755</v>
      </c>
      <c r="Q94" s="24">
        <v>0.49205944496427612</v>
      </c>
      <c r="R94" s="24">
        <v>0.49146897363031899</v>
      </c>
      <c r="S94" s="24">
        <v>0.49087921086196262</v>
      </c>
      <c r="T94" s="24">
        <v>0.49029015580892826</v>
      </c>
      <c r="U94" s="24">
        <v>0.48970180762195759</v>
      </c>
      <c r="V94" s="24">
        <v>0.48906519527204906</v>
      </c>
    </row>
    <row r="95" spans="1:22">
      <c r="A95" s="25">
        <v>113</v>
      </c>
      <c r="B95" s="24">
        <v>0.5</v>
      </c>
      <c r="C95" s="24">
        <v>0.49959999999999999</v>
      </c>
      <c r="D95" s="24">
        <v>0.49925027999999999</v>
      </c>
      <c r="E95" s="24">
        <v>0.49890080480399995</v>
      </c>
      <c r="F95" s="24">
        <v>0.49855157424063712</v>
      </c>
      <c r="G95" s="24">
        <v>0.49820258813866863</v>
      </c>
      <c r="H95" s="24">
        <v>0.49785384632697155</v>
      </c>
      <c r="I95" s="24">
        <v>0.49750534863454265</v>
      </c>
      <c r="J95" s="24">
        <v>0.49715709489049847</v>
      </c>
      <c r="K95" s="24">
        <v>0.49680908492407511</v>
      </c>
      <c r="L95" s="24">
        <v>0.49646131856462822</v>
      </c>
      <c r="M95" s="24">
        <v>0.49611379564163294</v>
      </c>
      <c r="N95" s="24">
        <v>0.4957665159846838</v>
      </c>
      <c r="O95" s="24">
        <v>0.49541947942349451</v>
      </c>
      <c r="P95" s="24">
        <v>0.49507268578789804</v>
      </c>
      <c r="Q95" s="24">
        <v>0.49467662763926773</v>
      </c>
      <c r="R95" s="24">
        <v>0.49428088633715628</v>
      </c>
      <c r="S95" s="24">
        <v>0.49388546162808655</v>
      </c>
      <c r="T95" s="24">
        <v>0.4934903532587841</v>
      </c>
      <c r="U95" s="24">
        <v>0.49309556097617707</v>
      </c>
      <c r="V95" s="24">
        <v>0.49265177497129853</v>
      </c>
    </row>
    <row r="96" spans="1:22">
      <c r="A96" s="25">
        <v>114</v>
      </c>
      <c r="B96" s="24">
        <v>0.5</v>
      </c>
      <c r="C96" s="24">
        <v>0.49980000000000002</v>
      </c>
      <c r="D96" s="24">
        <v>0.49960008000000006</v>
      </c>
      <c r="E96" s="24">
        <v>0.49940023996800009</v>
      </c>
      <c r="F96" s="24">
        <v>0.49920047987201294</v>
      </c>
      <c r="G96" s="24">
        <v>0.49905071972805137</v>
      </c>
      <c r="H96" s="24">
        <v>0.49890100451213298</v>
      </c>
      <c r="I96" s="24">
        <v>0.49875133421077938</v>
      </c>
      <c r="J96" s="24">
        <v>0.49860170881051619</v>
      </c>
      <c r="K96" s="24">
        <v>0.49845212829787305</v>
      </c>
      <c r="L96" s="24">
        <v>0.4983025926593837</v>
      </c>
      <c r="M96" s="24">
        <v>0.49810327162231999</v>
      </c>
      <c r="N96" s="24">
        <v>0.49790403031367109</v>
      </c>
      <c r="O96" s="24">
        <v>0.49770486870154562</v>
      </c>
      <c r="P96" s="24">
        <v>0.49750578675406504</v>
      </c>
      <c r="Q96" s="24">
        <v>0.49730678443936344</v>
      </c>
      <c r="R96" s="24">
        <v>0.49710786172558769</v>
      </c>
      <c r="S96" s="24">
        <v>0.49690901858089748</v>
      </c>
      <c r="T96" s="24">
        <v>0.49671025497346516</v>
      </c>
      <c r="U96" s="24">
        <v>0.49651157087147579</v>
      </c>
      <c r="V96" s="24">
        <v>0.49631296624312721</v>
      </c>
    </row>
    <row r="97" spans="1:22">
      <c r="A97" s="25">
        <v>115</v>
      </c>
      <c r="B97" s="24">
        <v>0.5</v>
      </c>
      <c r="C97" s="24">
        <v>0.5</v>
      </c>
      <c r="D97" s="24">
        <v>0.5</v>
      </c>
      <c r="E97" s="24">
        <v>0.5</v>
      </c>
      <c r="F97" s="24">
        <v>0.5</v>
      </c>
      <c r="G97" s="24">
        <v>0.5</v>
      </c>
      <c r="H97" s="24">
        <v>0.5</v>
      </c>
      <c r="I97" s="24">
        <v>0.5</v>
      </c>
      <c r="J97" s="24">
        <v>0.5</v>
      </c>
      <c r="K97" s="24">
        <v>0.5</v>
      </c>
      <c r="L97" s="24">
        <v>0.5</v>
      </c>
      <c r="M97" s="24">
        <v>0.5</v>
      </c>
      <c r="N97" s="24">
        <v>0.5</v>
      </c>
      <c r="O97" s="24">
        <v>0.5</v>
      </c>
      <c r="P97" s="24">
        <v>0.5</v>
      </c>
      <c r="Q97" s="24">
        <v>0.5</v>
      </c>
      <c r="R97" s="24">
        <v>0.5</v>
      </c>
      <c r="S97" s="24">
        <v>0.5</v>
      </c>
      <c r="T97" s="24">
        <v>0.5</v>
      </c>
      <c r="U97" s="24">
        <v>0.5</v>
      </c>
      <c r="V97" s="24">
        <v>0.5</v>
      </c>
    </row>
    <row r="98" spans="1:22">
      <c r="A98" s="25">
        <v>116</v>
      </c>
      <c r="B98" s="24">
        <v>0.5</v>
      </c>
      <c r="C98" s="24">
        <v>0.5</v>
      </c>
      <c r="D98" s="24">
        <v>0.5</v>
      </c>
      <c r="E98" s="24">
        <v>0.5</v>
      </c>
      <c r="F98" s="24">
        <v>0.5</v>
      </c>
      <c r="G98" s="24">
        <v>0.5</v>
      </c>
      <c r="H98" s="24">
        <v>0.5</v>
      </c>
      <c r="I98" s="24">
        <v>0.5</v>
      </c>
      <c r="J98" s="24">
        <v>0.5</v>
      </c>
      <c r="K98" s="24">
        <v>0.5</v>
      </c>
      <c r="L98" s="24">
        <v>0.5</v>
      </c>
      <c r="M98" s="24">
        <v>0.5</v>
      </c>
      <c r="N98" s="24">
        <v>0.5</v>
      </c>
      <c r="O98" s="24">
        <v>0.5</v>
      </c>
      <c r="P98" s="24">
        <v>0.5</v>
      </c>
      <c r="Q98" s="24">
        <v>0.5</v>
      </c>
      <c r="R98" s="24">
        <v>0.5</v>
      </c>
      <c r="S98" s="24">
        <v>0.5</v>
      </c>
      <c r="T98" s="24">
        <v>0.5</v>
      </c>
      <c r="U98" s="24">
        <v>0.5</v>
      </c>
      <c r="V98" s="24">
        <v>0.5</v>
      </c>
    </row>
    <row r="99" spans="1:22">
      <c r="A99" s="25">
        <v>117</v>
      </c>
      <c r="B99" s="24">
        <v>0.5</v>
      </c>
      <c r="C99" s="24">
        <v>0.5</v>
      </c>
      <c r="D99" s="24">
        <v>0.5</v>
      </c>
      <c r="E99" s="24">
        <v>0.5</v>
      </c>
      <c r="F99" s="24">
        <v>0.5</v>
      </c>
      <c r="G99" s="24">
        <v>0.5</v>
      </c>
      <c r="H99" s="24">
        <v>0.5</v>
      </c>
      <c r="I99" s="24">
        <v>0.5</v>
      </c>
      <c r="J99" s="24">
        <v>0.5</v>
      </c>
      <c r="K99" s="24">
        <v>0.5</v>
      </c>
      <c r="L99" s="24">
        <v>0.5</v>
      </c>
      <c r="M99" s="24">
        <v>0.5</v>
      </c>
      <c r="N99" s="24">
        <v>0.5</v>
      </c>
      <c r="O99" s="24">
        <v>0.5</v>
      </c>
      <c r="P99" s="24">
        <v>0.5</v>
      </c>
      <c r="Q99" s="24">
        <v>0.5</v>
      </c>
      <c r="R99" s="24">
        <v>0.5</v>
      </c>
      <c r="S99" s="24">
        <v>0.5</v>
      </c>
      <c r="T99" s="24">
        <v>0.5</v>
      </c>
      <c r="U99" s="24">
        <v>0.5</v>
      </c>
      <c r="V99" s="24">
        <v>0.5</v>
      </c>
    </row>
    <row r="100" spans="1:22">
      <c r="A100" s="25">
        <v>118</v>
      </c>
      <c r="B100" s="24">
        <v>0.5</v>
      </c>
      <c r="C100" s="24">
        <v>0.5</v>
      </c>
      <c r="D100" s="24">
        <v>0.5</v>
      </c>
      <c r="E100" s="24">
        <v>0.5</v>
      </c>
      <c r="F100" s="24">
        <v>0.5</v>
      </c>
      <c r="G100" s="24">
        <v>0.5</v>
      </c>
      <c r="H100" s="24">
        <v>0.5</v>
      </c>
      <c r="I100" s="24">
        <v>0.5</v>
      </c>
      <c r="J100" s="24">
        <v>0.5</v>
      </c>
      <c r="K100" s="24">
        <v>0.5</v>
      </c>
      <c r="L100" s="24">
        <v>0.5</v>
      </c>
      <c r="M100" s="24">
        <v>0.5</v>
      </c>
      <c r="N100" s="24">
        <v>0.5</v>
      </c>
      <c r="O100" s="24">
        <v>0.5</v>
      </c>
      <c r="P100" s="24">
        <v>0.5</v>
      </c>
      <c r="Q100" s="24">
        <v>0.5</v>
      </c>
      <c r="R100" s="24">
        <v>0.5</v>
      </c>
      <c r="S100" s="24">
        <v>0.5</v>
      </c>
      <c r="T100" s="24">
        <v>0.5</v>
      </c>
      <c r="U100" s="24">
        <v>0.5</v>
      </c>
      <c r="V100" s="24">
        <v>0.5</v>
      </c>
    </row>
    <row r="101" spans="1:22">
      <c r="A101" s="25">
        <v>119</v>
      </c>
      <c r="B101" s="24">
        <v>0.5</v>
      </c>
      <c r="C101" s="24">
        <v>0.5</v>
      </c>
      <c r="D101" s="24">
        <v>0.5</v>
      </c>
      <c r="E101" s="24">
        <v>0.5</v>
      </c>
      <c r="F101" s="24">
        <v>0.5</v>
      </c>
      <c r="G101" s="24">
        <v>0.5</v>
      </c>
      <c r="H101" s="24">
        <v>0.5</v>
      </c>
      <c r="I101" s="24">
        <v>0.5</v>
      </c>
      <c r="J101" s="24">
        <v>0.5</v>
      </c>
      <c r="K101" s="24">
        <v>0.5</v>
      </c>
      <c r="L101" s="24">
        <v>0.5</v>
      </c>
      <c r="M101" s="24">
        <v>0.5</v>
      </c>
      <c r="N101" s="24">
        <v>0.5</v>
      </c>
      <c r="O101" s="24">
        <v>0.5</v>
      </c>
      <c r="P101" s="24">
        <v>0.5</v>
      </c>
      <c r="Q101" s="24">
        <v>0.5</v>
      </c>
      <c r="R101" s="24">
        <v>0.5</v>
      </c>
      <c r="S101" s="24">
        <v>0.5</v>
      </c>
      <c r="T101" s="24">
        <v>0.5</v>
      </c>
      <c r="U101" s="24">
        <v>0.5</v>
      </c>
      <c r="V101" s="24">
        <v>0.5</v>
      </c>
    </row>
    <row r="102" spans="1:22">
      <c r="A102" s="25">
        <v>120</v>
      </c>
      <c r="B102" s="24">
        <v>1</v>
      </c>
      <c r="C102" s="24">
        <v>1</v>
      </c>
      <c r="D102" s="24">
        <v>1</v>
      </c>
      <c r="E102" s="24">
        <v>1</v>
      </c>
      <c r="F102" s="24">
        <v>1</v>
      </c>
      <c r="G102" s="24">
        <v>1</v>
      </c>
      <c r="H102" s="24">
        <v>1</v>
      </c>
      <c r="I102" s="24">
        <v>1</v>
      </c>
      <c r="J102" s="24">
        <v>1</v>
      </c>
      <c r="K102" s="24">
        <v>1</v>
      </c>
      <c r="L102" s="24">
        <v>1</v>
      </c>
      <c r="M102" s="24">
        <v>1</v>
      </c>
      <c r="N102" s="24">
        <v>1</v>
      </c>
      <c r="O102" s="24">
        <v>1</v>
      </c>
      <c r="P102" s="24">
        <v>1</v>
      </c>
      <c r="Q102" s="24">
        <v>1</v>
      </c>
      <c r="R102" s="24">
        <v>1</v>
      </c>
      <c r="S102" s="24">
        <v>1</v>
      </c>
      <c r="T102" s="24">
        <v>1</v>
      </c>
      <c r="U102" s="24">
        <v>1</v>
      </c>
      <c r="V102" s="24">
        <v>1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98"/>
  <sheetViews>
    <sheetView workbookViewId="0">
      <selection activeCell="D7" sqref="D7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Summary!H2</f>
        <v>24</v>
      </c>
      <c r="C2" s="1">
        <v>0</v>
      </c>
      <c r="D2" s="1">
        <f>IF(Summary!$G$2="M",VLOOKUP(B:B,'male g'!A:V,IF(A2&gt;2033,22,MATCH(A2,'male g'!$A$1:$V$1,0)),FALSE),VLOOKUP(B:B,'female g'!A:V,IF(A2&gt;2033,22,MATCH(A2,'female g'!$A$1:$V$1,0)),FALSE))</f>
        <v>5.5136960890387167E-4</v>
      </c>
      <c r="E2" s="1">
        <f>1-D2</f>
        <v>0.9994486303910961</v>
      </c>
      <c r="F2" s="1">
        <v>1</v>
      </c>
      <c r="G2" s="1">
        <f>1/(1+Summary!$O$2)^$C2</f>
        <v>1</v>
      </c>
      <c r="H2" s="1">
        <f>IF(B2&gt;64, Summary!$J$2, 0)*'TV 1'!G2*'TV 1'!F2</f>
        <v>0</v>
      </c>
      <c r="I2" s="1">
        <f>SUM(H2:H98)</f>
        <v>12800.001321559408</v>
      </c>
    </row>
    <row r="3" spans="1:9">
      <c r="A3" s="1">
        <f>$A$2+C3</f>
        <v>2020</v>
      </c>
      <c r="B3" s="1">
        <f>$B$2+C3</f>
        <v>25</v>
      </c>
      <c r="C3" s="1">
        <v>1</v>
      </c>
      <c r="D3" s="1">
        <f>IF(Summary!$G$2="M",VLOOKUP(B:B,'male g'!A:V,IF(A3&gt;2033,22,MATCH(A3,'male g'!$A$1:$V$1,0)),FALSE),VLOOKUP(B:B,'female g'!A:V,IF(A3&gt;2033,22,MATCH(A3,'female g'!$A$1:$V$1,0)),FALSE))</f>
        <v>5.2567165161288899E-4</v>
      </c>
      <c r="E3" s="1">
        <f t="shared" ref="E3:E66" si="0">1-D3</f>
        <v>0.99947432834838712</v>
      </c>
      <c r="F3" s="1">
        <f>E2</f>
        <v>0.9994486303910961</v>
      </c>
      <c r="G3" s="1">
        <f>1/(1+Summary!$O$2)^$C3</f>
        <v>0.95238095238095233</v>
      </c>
      <c r="H3" s="1">
        <f>IF(B3&gt;64, Summary!$J$2, 0)*'TV 1'!G3*'TV 1'!F3</f>
        <v>0</v>
      </c>
      <c r="I3" s="1"/>
    </row>
    <row r="4" spans="1:9">
      <c r="A4" s="1">
        <f t="shared" ref="A4:A17" si="1">$A$2+C4</f>
        <v>2021</v>
      </c>
      <c r="B4" s="1">
        <f t="shared" ref="B4:B67" si="2">$B$2+C4</f>
        <v>26</v>
      </c>
      <c r="C4" s="1">
        <v>2</v>
      </c>
      <c r="D4" s="1">
        <f>IF(Summary!$G$2="M",VLOOKUP(B:B,'male g'!A:V,IF(A4&gt;2033,22,MATCH(A4,'male g'!$A$1:$V$1,0)),FALSE),VLOOKUP(B:B,'female g'!A:V,IF(A4&gt;2033,22,MATCH(A4,'female g'!$A$1:$V$1,0)),FALSE))</f>
        <v>5.095912156720077E-4</v>
      </c>
      <c r="E4" s="1">
        <f t="shared" si="0"/>
        <v>0.99949040878432804</v>
      </c>
      <c r="F4" s="1">
        <f>E3*F3</f>
        <v>0.99892324857885617</v>
      </c>
      <c r="G4" s="1">
        <f>1/(1+Summary!$O$2)^$C4</f>
        <v>0.90702947845804982</v>
      </c>
      <c r="H4" s="1">
        <f>IF(B4&gt;64, Summary!$J$2, 0)*'TV 1'!G4*'TV 1'!F4</f>
        <v>0</v>
      </c>
      <c r="I4" s="1">
        <f>tvPVB_g($I$16,  'male g'!$A$1:$V$102, 'female g'!$A$1:$V$102, B2, A2, 8146, 0.05, 96)</f>
        <v>21440.049639438519</v>
      </c>
    </row>
    <row r="5" spans="1:9">
      <c r="A5" s="1">
        <f t="shared" si="1"/>
        <v>2022</v>
      </c>
      <c r="B5" s="1">
        <f t="shared" si="2"/>
        <v>27</v>
      </c>
      <c r="C5" s="1">
        <v>3</v>
      </c>
      <c r="D5" s="1">
        <f>IF(Summary!$G$2="M",VLOOKUP(B:B,'male g'!A:V,IF(A5&gt;2033,22,MATCH(A5,'male g'!$A$1:$V$1,0)),FALSE),VLOOKUP(B:B,'female g'!A:V,IF(A5&gt;2033,22,MATCH(A5,'female g'!$A$1:$V$1,0)),FALSE))</f>
        <v>5.0224026027139107E-4</v>
      </c>
      <c r="E5" s="1">
        <f t="shared" si="0"/>
        <v>0.99949775973972865</v>
      </c>
      <c r="F5" s="1">
        <f t="shared" ref="F5:F24" si="3">E4*F4</f>
        <v>0.99841420606624987</v>
      </c>
      <c r="G5" s="1">
        <f>1/(1+Summary!$O$2)^$C5</f>
        <v>0.86383759853147601</v>
      </c>
      <c r="H5" s="1">
        <f>IF(B5&gt;64, Summary!$J$2, 0)*'TV 1'!G5*'TV 1'!F5</f>
        <v>0</v>
      </c>
      <c r="I5" s="1"/>
    </row>
    <row r="6" spans="1:9">
      <c r="A6" s="1">
        <f t="shared" si="1"/>
        <v>2023</v>
      </c>
      <c r="B6" s="1">
        <f t="shared" si="2"/>
        <v>28</v>
      </c>
      <c r="C6" s="1">
        <v>4</v>
      </c>
      <c r="D6" s="1">
        <f>IF(Summary!$G$2="M",VLOOKUP(B:B,'male g'!A:V,IF(A6&gt;2033,22,MATCH(A6,'male g'!$A$1:$V$1,0)),FALSE),VLOOKUP(B:B,'female g'!A:V,IF(A6&gt;2033,22,MATCH(A6,'female g'!$A$1:$V$1,0)),FALSE))</f>
        <v>5.0293193127758443E-4</v>
      </c>
      <c r="E6" s="1">
        <f t="shared" si="0"/>
        <v>0.99949706806872241</v>
      </c>
      <c r="F6" s="1">
        <f t="shared" si="3"/>
        <v>0.99791276225553649</v>
      </c>
      <c r="G6" s="1">
        <f>1/(1+Summary!$O$2)^$C6</f>
        <v>0.82270247479188197</v>
      </c>
      <c r="H6" s="1">
        <f>IF(B6&gt;64, Summary!$J$2, 0)*'TV 1'!G6*'TV 1'!F6</f>
        <v>0</v>
      </c>
      <c r="I6" s="1">
        <f>cum_gp($I$16, 'male g'!A1:V102, 'female g'!A1:V102, 24,2019,96)</f>
        <v>0.99093583977599609</v>
      </c>
    </row>
    <row r="7" spans="1:9">
      <c r="A7" s="1">
        <f t="shared" si="1"/>
        <v>2024</v>
      </c>
      <c r="B7" s="1">
        <f t="shared" si="2"/>
        <v>29</v>
      </c>
      <c r="C7" s="1">
        <v>5</v>
      </c>
      <c r="D7" s="1">
        <f>IF(Summary!$G$2="M",VLOOKUP(B:B,'male g'!A:V,IF(A7&gt;2033,22,MATCH(A7,'male g'!$A$1:$V$1,0)),FALSE),VLOOKUP(B:B,'female g'!A:V,IF(A7&gt;2033,22,MATCH(A7,'female g'!$A$1:$V$1,0)),FALSE))</f>
        <v>5.1076484751680785E-4</v>
      </c>
      <c r="E7" s="1">
        <f t="shared" si="0"/>
        <v>0.99948923515248322</v>
      </c>
      <c r="F7" s="1">
        <f t="shared" si="3"/>
        <v>0.99741088006276879</v>
      </c>
      <c r="G7" s="1">
        <f>1/(1+Summary!$O$2)^$C7</f>
        <v>0.78352616646845896</v>
      </c>
      <c r="H7" s="1">
        <f>IF(B7&gt;64, Summary!$J$2, 0)*'TV 1'!G7*'TV 1'!F7</f>
        <v>0</v>
      </c>
      <c r="I7" s="1"/>
    </row>
    <row r="8" spans="1:9">
      <c r="A8" s="1">
        <f t="shared" si="1"/>
        <v>2025</v>
      </c>
      <c r="B8" s="1">
        <f t="shared" si="2"/>
        <v>30</v>
      </c>
      <c r="C8" s="1">
        <v>6</v>
      </c>
      <c r="D8" s="1">
        <f>IF(Summary!$G$2="M",VLOOKUP(B:B,'male g'!A:V,IF(A8&gt;2033,22,MATCH(A8,'male g'!$A$1:$V$1,0)),FALSE),VLOOKUP(B:B,'female g'!A:V,IF(A8&gt;2033,22,MATCH(A8,'female g'!$A$1:$V$1,0)),FALSE))</f>
        <v>5.2297194041158216E-4</v>
      </c>
      <c r="E8" s="1">
        <f t="shared" si="0"/>
        <v>0.99947702805958838</v>
      </c>
      <c r="F8" s="1">
        <f t="shared" si="3"/>
        <v>0.99690143764670192</v>
      </c>
      <c r="G8" s="1">
        <f>1/(1+Summary!$O$2)^$C8</f>
        <v>0.74621539663662761</v>
      </c>
      <c r="H8" s="1">
        <f>IF(B8&gt;64, Summary!$J$2, 0)*'TV 1'!G8*'TV 1'!F8</f>
        <v>0</v>
      </c>
      <c r="I8" s="1"/>
    </row>
    <row r="9" spans="1:9">
      <c r="A9" s="1">
        <f t="shared" si="1"/>
        <v>2026</v>
      </c>
      <c r="B9" s="1">
        <f t="shared" si="2"/>
        <v>31</v>
      </c>
      <c r="C9" s="1">
        <v>7</v>
      </c>
      <c r="D9" s="1">
        <f>IF(Summary!$G$2="M",VLOOKUP(B:B,'male g'!A:V,IF(A9&gt;2033,22,MATCH(A9,'male g'!$A$1:$V$1,0)),FALSE),VLOOKUP(B:B,'female g'!A:V,IF(A9&gt;2033,22,MATCH(A9,'female g'!$A$1:$V$1,0)),FALSE))</f>
        <v>5.4031206924642396E-4</v>
      </c>
      <c r="E9" s="1">
        <f t="shared" si="0"/>
        <v>0.99945968793075357</v>
      </c>
      <c r="F9" s="1">
        <f t="shared" si="3"/>
        <v>0.99638008616745666</v>
      </c>
      <c r="G9" s="1">
        <f>1/(1+Summary!$O$2)^$C9</f>
        <v>0.71068133013012147</v>
      </c>
      <c r="H9" s="1">
        <f>IF(B9&gt;64, Summary!$J$2, 0)*'TV 1'!G9*'TV 1'!F9</f>
        <v>0</v>
      </c>
      <c r="I9" s="1"/>
    </row>
    <row r="10" spans="1:9">
      <c r="A10" s="1">
        <f t="shared" si="1"/>
        <v>2027</v>
      </c>
      <c r="B10" s="1">
        <f t="shared" si="2"/>
        <v>32</v>
      </c>
      <c r="C10" s="1">
        <v>8</v>
      </c>
      <c r="D10" s="1">
        <f>IF(Summary!$G$2="M",VLOOKUP(B:B,'male g'!A:V,IF(A10&gt;2033,22,MATCH(A10,'male g'!$A$1:$V$1,0)),FALSE),VLOOKUP(B:B,'female g'!A:V,IF(A10&gt;2033,22,MATCH(A10,'female g'!$A$1:$V$1,0)),FALSE))</f>
        <v>5.6039905112828471E-4</v>
      </c>
      <c r="E10" s="1">
        <f t="shared" si="0"/>
        <v>0.99943960094887174</v>
      </c>
      <c r="F10" s="1">
        <f t="shared" si="3"/>
        <v>0.99584172998134357</v>
      </c>
      <c r="G10" s="1">
        <f>1/(1+Summary!$O$2)^$C10</f>
        <v>0.67683936202868722</v>
      </c>
      <c r="H10" s="1">
        <f>IF(B10&gt;64, Summary!$J$2, 0)*'TV 1'!G10*'TV 1'!F10</f>
        <v>0</v>
      </c>
      <c r="I10" s="1">
        <f>gen_p("M", 'male g'!$A$1:$V$102, 'female g'!$A$1:$V$102,  26, 2021)</f>
        <v>5.095912156720077E-4</v>
      </c>
    </row>
    <row r="11" spans="1:9">
      <c r="A11" s="1">
        <f t="shared" si="1"/>
        <v>2028</v>
      </c>
      <c r="B11" s="1">
        <f t="shared" si="2"/>
        <v>33</v>
      </c>
      <c r="C11" s="1">
        <v>9</v>
      </c>
      <c r="D11" s="1">
        <f>IF(Summary!$G$2="M",VLOOKUP(B:B,'male g'!A:V,IF(A11&gt;2033,22,MATCH(A11,'male g'!$A$1:$V$1,0)),FALSE),VLOOKUP(B:B,'female g'!A:V,IF(A11&gt;2033,22,MATCH(A11,'female g'!$A$1:$V$1,0)),FALSE))</f>
        <v>5.8055024967494661E-4</v>
      </c>
      <c r="E11" s="1">
        <f t="shared" si="0"/>
        <v>0.99941944975032504</v>
      </c>
      <c r="F11" s="1">
        <f t="shared" si="3"/>
        <v>0.99528366122078815</v>
      </c>
      <c r="G11" s="1">
        <f>1/(1+Summary!$O$2)^$C11</f>
        <v>0.64460891621779726</v>
      </c>
      <c r="H11" s="1">
        <f>IF(B11&gt;64, Summary!$J$2, 0)*'TV 1'!G11*'TV 1'!F11</f>
        <v>0</v>
      </c>
      <c r="I11" s="1">
        <f>gen_p(I16, 'male g'!$A$1:$V$102, 'female g'!$A$1:$V$102,  70, 2065)</f>
        <v>0</v>
      </c>
    </row>
    <row r="12" spans="1:9">
      <c r="A12" s="1">
        <f t="shared" si="1"/>
        <v>2029</v>
      </c>
      <c r="B12" s="1">
        <f t="shared" si="2"/>
        <v>34</v>
      </c>
      <c r="C12" s="1">
        <v>10</v>
      </c>
      <c r="D12" s="1">
        <f>IF(Summary!$G$2="M",VLOOKUP(B:B,'male g'!A:V,IF(A12&gt;2033,22,MATCH(A12,'male g'!$A$1:$V$1,0)),FALSE),VLOOKUP(B:B,'female g'!A:V,IF(A12&gt;2033,22,MATCH(A12,'female g'!$A$1:$V$1,0)),FALSE))</f>
        <v>5.9988742225355928E-4</v>
      </c>
      <c r="E12" s="1">
        <f t="shared" si="0"/>
        <v>0.99940011257774641</v>
      </c>
      <c r="F12" s="1">
        <f t="shared" si="3"/>
        <v>0.99470584904276904</v>
      </c>
      <c r="G12" s="1">
        <f>1/(1+Summary!$O$2)^$C12</f>
        <v>0.61391325354075932</v>
      </c>
      <c r="H12" s="1">
        <f>IF(B12&gt;64, Summary!$J$2, 0)*'TV 1'!G12*'TV 1'!F12</f>
        <v>0</v>
      </c>
      <c r="I12" s="1"/>
    </row>
    <row r="13" spans="1:9">
      <c r="A13" s="1">
        <f t="shared" si="1"/>
        <v>2030</v>
      </c>
      <c r="B13" s="1">
        <f t="shared" si="2"/>
        <v>35</v>
      </c>
      <c r="C13" s="1">
        <v>11</v>
      </c>
      <c r="D13" s="1">
        <f>IF(Summary!$G$2="M",VLOOKUP(B:B,'male g'!A:V,IF(A13&gt;2033,22,MATCH(A13,'male g'!$A$1:$V$1,0)),FALSE),VLOOKUP(B:B,'female g'!A:V,IF(A13&gt;2033,22,MATCH(A13,'female g'!$A$1:$V$1,0)),FALSE))</f>
        <v>6.1614985911889926E-4</v>
      </c>
      <c r="E13" s="1">
        <f t="shared" si="0"/>
        <v>0.99938385014088105</v>
      </c>
      <c r="F13" s="1">
        <f t="shared" si="3"/>
        <v>0.99410913751508623</v>
      </c>
      <c r="G13" s="1">
        <f>1/(1+Summary!$O$2)^$C13</f>
        <v>0.5846792890864374</v>
      </c>
      <c r="H13" s="1">
        <f>IF(B13&gt;64, Summary!$J$2, 0)*'TV 1'!G13*'TV 1'!F13</f>
        <v>0</v>
      </c>
      <c r="I13" s="1"/>
    </row>
    <row r="14" spans="1:9">
      <c r="A14" s="1">
        <f t="shared" si="1"/>
        <v>2031</v>
      </c>
      <c r="B14" s="1">
        <f t="shared" si="2"/>
        <v>36</v>
      </c>
      <c r="C14" s="1">
        <v>12</v>
      </c>
      <c r="D14" s="1">
        <f>IF(Summary!$G$2="M",VLOOKUP(B:B,'male g'!A:V,IF(A14&gt;2033,22,MATCH(A14,'male g'!$A$1:$V$1,0)),FALSE),VLOOKUP(B:B,'female g'!A:V,IF(A14&gt;2033,22,MATCH(A14,'female g'!$A$1:$V$1,0)),FALSE))</f>
        <v>6.2728956632730499E-4</v>
      </c>
      <c r="E14" s="1">
        <f t="shared" si="0"/>
        <v>0.99937271043367271</v>
      </c>
      <c r="F14" s="1">
        <f t="shared" si="3"/>
        <v>0.99349661731005745</v>
      </c>
      <c r="G14" s="1">
        <f>1/(1+Summary!$O$2)^$C14</f>
        <v>0.5568374181775595</v>
      </c>
      <c r="H14" s="1">
        <f>IF(B14&gt;64, Summary!$J$2, 0)*'TV 1'!G14*'TV 1'!F14</f>
        <v>0</v>
      </c>
      <c r="I14" s="1"/>
    </row>
    <row r="15" spans="1:9">
      <c r="A15" s="1">
        <f t="shared" si="1"/>
        <v>2032</v>
      </c>
      <c r="B15" s="1">
        <f t="shared" si="2"/>
        <v>37</v>
      </c>
      <c r="C15" s="1">
        <v>13</v>
      </c>
      <c r="D15" s="1">
        <f>IF(Summary!$G$2="M",VLOOKUP(B:B,'male g'!A:V,IF(A15&gt;2033,22,MATCH(A15,'male g'!$A$1:$V$1,0)),FALSE),VLOOKUP(B:B,'female g'!A:V,IF(A15&gt;2033,22,MATCH(A15,'female g'!$A$1:$V$1,0)),FALSE))</f>
        <v>6.3802821486963349E-4</v>
      </c>
      <c r="E15" s="1">
        <f t="shared" si="0"/>
        <v>0.99936197178513042</v>
      </c>
      <c r="F15" s="1">
        <f t="shared" si="3"/>
        <v>0.99287340724783735</v>
      </c>
      <c r="G15" s="1">
        <f>1/(1+Summary!$O$2)^$C15</f>
        <v>0.53032135064529462</v>
      </c>
      <c r="H15" s="1">
        <f>IF(B15&gt;64, Summary!$J$2, 0)*'TV 1'!G15*'TV 1'!F15</f>
        <v>0</v>
      </c>
      <c r="I15" s="1"/>
    </row>
    <row r="16" spans="1:9">
      <c r="A16" s="1">
        <f t="shared" si="1"/>
        <v>2033</v>
      </c>
      <c r="B16" s="1">
        <f t="shared" si="2"/>
        <v>38</v>
      </c>
      <c r="C16" s="1">
        <v>14</v>
      </c>
      <c r="D16" s="1">
        <f>IF(Summary!$G$2="M",VLOOKUP(B:B,'male g'!A:V,IF(A16&gt;2033,22,MATCH(A16,'male g'!$A$1:$V$1,0)),FALSE),VLOOKUP(B:B,'female g'!A:V,IF(A16&gt;2033,22,MATCH(A16,'female g'!$A$1:$V$1,0)),FALSE))</f>
        <v>6.4980371772613548E-4</v>
      </c>
      <c r="E16" s="1">
        <f t="shared" si="0"/>
        <v>0.99935019628227384</v>
      </c>
      <c r="F16" s="1">
        <f t="shared" si="3"/>
        <v>0.99223992600021949</v>
      </c>
      <c r="G16" s="1">
        <f>1/(1+Summary!$O$2)^$C16</f>
        <v>0.50506795299551888</v>
      </c>
      <c r="H16" s="1">
        <f>IF(B16&gt;64, Summary!$J$2, 0)*'TV 1'!G16*'TV 1'!F16</f>
        <v>0</v>
      </c>
      <c r="I16" s="48" t="s">
        <v>4</v>
      </c>
    </row>
    <row r="17" spans="1:9">
      <c r="A17" s="1">
        <f t="shared" si="1"/>
        <v>2034</v>
      </c>
      <c r="B17" s="1">
        <f t="shared" si="2"/>
        <v>39</v>
      </c>
      <c r="C17" s="1">
        <v>15</v>
      </c>
      <c r="D17" s="1">
        <f>IF(Summary!$G$2="M",VLOOKUP(B:B,'male g'!A:V,IF(A17&gt;2033,22,MATCH(A17,'male g'!$A$1:$V$1,0)),FALSE),VLOOKUP(B:B,'female g'!A:V,IF(A17&gt;2033,22,MATCH(A17,'female g'!$A$1:$V$1,0)),FALSE))</f>
        <v>6.6491351998499717E-4</v>
      </c>
      <c r="E17" s="1">
        <f t="shared" si="0"/>
        <v>0.99933508648001501</v>
      </c>
      <c r="F17" s="1">
        <f t="shared" si="3"/>
        <v>0.99159516480742826</v>
      </c>
      <c r="G17" s="1">
        <f>1/(1+Summary!$O$2)^$C17</f>
        <v>0.48101709809097021</v>
      </c>
      <c r="H17" s="1">
        <f>IF(B17&gt;64, Summary!$J$2, 0)*'TV 1'!G17*'TV 1'!F17</f>
        <v>0</v>
      </c>
      <c r="I17" s="1"/>
    </row>
    <row r="18" spans="1:9">
      <c r="A18" s="1">
        <f t="shared" ref="A18:A34" si="4">$A$2+C18</f>
        <v>2035</v>
      </c>
      <c r="B18" s="1">
        <f t="shared" si="2"/>
        <v>40</v>
      </c>
      <c r="C18" s="1">
        <v>16</v>
      </c>
      <c r="D18" s="1">
        <f>IF(Summary!$G$2="M",VLOOKUP(B:B,'male g'!A:V,IF(A18&gt;2033,22,MATCH(A18,'male g'!$A$1:$V$1,0)),FALSE),VLOOKUP(B:B,'female g'!A:V,IF(A18&gt;2033,22,MATCH(A18,'female g'!$A$1:$V$1,0)),FALSE))</f>
        <v>6.9200533967126159E-4</v>
      </c>
      <c r="E18" s="1">
        <f t="shared" si="0"/>
        <v>0.99930799466032871</v>
      </c>
      <c r="F18" s="1">
        <f t="shared" si="3"/>
        <v>0.99093583977599609</v>
      </c>
      <c r="G18" s="1">
        <f>1/(1+Summary!$O$2)^$C18</f>
        <v>0.45811152199140021</v>
      </c>
      <c r="H18" s="1">
        <f>IF(B18&gt;64, Summary!$J$2, 0)*'TV 1'!G18*'TV 1'!F18</f>
        <v>0</v>
      </c>
      <c r="I18" s="1"/>
    </row>
    <row r="19" spans="1:9">
      <c r="A19" s="1">
        <f t="shared" si="4"/>
        <v>2036</v>
      </c>
      <c r="B19" s="1">
        <f t="shared" si="2"/>
        <v>41</v>
      </c>
      <c r="C19" s="1">
        <v>17</v>
      </c>
      <c r="D19" s="1">
        <f>IF(Summary!$G$2="M",VLOOKUP(B:B,'male g'!A:V,IF(A19&gt;2033,22,MATCH(A19,'male g'!$A$1:$V$1,0)),FALSE),VLOOKUP(B:B,'female g'!A:V,IF(A19&gt;2033,22,MATCH(A19,'female g'!$A$1:$V$1,0)),FALSE))</f>
        <v>7.2623637688232125E-4</v>
      </c>
      <c r="E19" s="1">
        <f t="shared" si="0"/>
        <v>0.99927376362311771</v>
      </c>
      <c r="F19" s="1">
        <f t="shared" si="3"/>
        <v>0.99025010688359949</v>
      </c>
      <c r="G19" s="1">
        <f>1/(1+Summary!$O$2)^$C19</f>
        <v>0.43629668761085727</v>
      </c>
      <c r="H19" s="1">
        <f>IF(B19&gt;64, Summary!$J$2, 0)*'TV 1'!G19*'TV 1'!F19</f>
        <v>0</v>
      </c>
      <c r="I19" s="1"/>
    </row>
    <row r="20" spans="1:9">
      <c r="A20" s="1">
        <f t="shared" si="4"/>
        <v>2037</v>
      </c>
      <c r="B20" s="1">
        <f t="shared" si="2"/>
        <v>42</v>
      </c>
      <c r="C20" s="1">
        <v>18</v>
      </c>
      <c r="D20" s="1">
        <f>IF(Summary!$G$2="M",VLOOKUP(B:B,'male g'!A:V,IF(A20&gt;2033,22,MATCH(A20,'male g'!$A$1:$V$1,0)),FALSE),VLOOKUP(B:B,'female g'!A:V,IF(A20&gt;2033,22,MATCH(A20,'female g'!$A$1:$V$1,0)),FALSE))</f>
        <v>7.6822884889387981E-4</v>
      </c>
      <c r="E20" s="1">
        <f t="shared" si="0"/>
        <v>0.99923177115110617</v>
      </c>
      <c r="F20" s="1">
        <f t="shared" si="3"/>
        <v>0.989530951233769</v>
      </c>
      <c r="G20" s="1">
        <f>1/(1+Summary!$O$2)^$C20</f>
        <v>0.41552065486748313</v>
      </c>
      <c r="H20" s="1">
        <f>IF(B20&gt;64, Summary!$J$2, 0)*'TV 1'!G20*'TV 1'!F20</f>
        <v>0</v>
      </c>
      <c r="I20" s="1"/>
    </row>
    <row r="21" spans="1:9">
      <c r="A21" s="1">
        <f t="shared" si="4"/>
        <v>2038</v>
      </c>
      <c r="B21" s="1">
        <f t="shared" si="2"/>
        <v>43</v>
      </c>
      <c r="C21" s="1">
        <v>19</v>
      </c>
      <c r="D21" s="1">
        <f>IF(Summary!$G$2="M",VLOOKUP(B:B,'male g'!A:V,IF(A21&gt;2033,22,MATCH(A21,'male g'!$A$1:$V$1,0)),FALSE),VLOOKUP(B:B,'female g'!A:V,IF(A21&gt;2033,22,MATCH(A21,'female g'!$A$1:$V$1,0)),FALSE))</f>
        <v>8.2063439227735328E-4</v>
      </c>
      <c r="E21" s="1">
        <f t="shared" si="0"/>
        <v>0.99917936560772269</v>
      </c>
      <c r="F21" s="1">
        <f t="shared" si="3"/>
        <v>0.98877076501015781</v>
      </c>
      <c r="G21" s="1">
        <f>1/(1+Summary!$O$2)^$C21</f>
        <v>0.39573395701665059</v>
      </c>
      <c r="H21" s="1">
        <f>IF(B21&gt;64, Summary!$J$2, 0)*'TV 1'!G21*'TV 1'!F21</f>
        <v>0</v>
      </c>
      <c r="I21" s="1"/>
    </row>
    <row r="22" spans="1:9">
      <c r="A22" s="1">
        <f t="shared" si="4"/>
        <v>2039</v>
      </c>
      <c r="B22" s="1">
        <f t="shared" si="2"/>
        <v>44</v>
      </c>
      <c r="C22" s="1">
        <v>20</v>
      </c>
      <c r="D22" s="1">
        <f>IF(Summary!$G$2="M",VLOOKUP(B:B,'male g'!A:V,IF(A22&gt;2033,22,MATCH(A22,'male g'!$A$1:$V$1,0)),FALSE),VLOOKUP(B:B,'female g'!A:V,IF(A22&gt;2033,22,MATCH(A22,'female g'!$A$1:$V$1,0)),FALSE))</f>
        <v>8.841843685541349E-4</v>
      </c>
      <c r="E22" s="1">
        <f t="shared" si="0"/>
        <v>0.99911581563144591</v>
      </c>
      <c r="F22" s="1">
        <f t="shared" si="3"/>
        <v>0.9879593457143121</v>
      </c>
      <c r="G22" s="1">
        <f>1/(1+Summary!$O$2)^$C22</f>
        <v>0.37688948287300061</v>
      </c>
      <c r="H22" s="1">
        <f>IF(B22&gt;64, Summary!$J$2, 0)*'TV 1'!G22*'TV 1'!F22</f>
        <v>0</v>
      </c>
      <c r="I22" s="1"/>
    </row>
    <row r="23" spans="1:9">
      <c r="A23" s="1">
        <f t="shared" si="4"/>
        <v>2040</v>
      </c>
      <c r="B23" s="1">
        <f t="shared" si="2"/>
        <v>45</v>
      </c>
      <c r="C23" s="1">
        <v>21</v>
      </c>
      <c r="D23" s="1">
        <f>IF(Summary!$G$2="M",VLOOKUP(B:B,'male g'!A:V,IF(A23&gt;2033,22,MATCH(A23,'male g'!$A$1:$V$1,0)),FALSE),VLOOKUP(B:B,'female g'!A:V,IF(A23&gt;2033,22,MATCH(A23,'female g'!$A$1:$V$1,0)),FALSE))</f>
        <v>9.579841515798608E-4</v>
      </c>
      <c r="E23" s="1">
        <f t="shared" si="0"/>
        <v>0.99904201584842012</v>
      </c>
      <c r="F23" s="1">
        <f t="shared" si="3"/>
        <v>0.98708580750406461</v>
      </c>
      <c r="G23" s="1">
        <f>1/(1+Summary!$O$2)^$C23</f>
        <v>0.35894236464095297</v>
      </c>
      <c r="H23" s="1">
        <f>IF(B23&gt;64, Summary!$J$2, 0)*'TV 1'!G23*'TV 1'!F23</f>
        <v>0</v>
      </c>
      <c r="I23" s="1"/>
    </row>
    <row r="24" spans="1:9">
      <c r="A24" s="1">
        <f t="shared" si="4"/>
        <v>2041</v>
      </c>
      <c r="B24" s="1">
        <f t="shared" si="2"/>
        <v>46</v>
      </c>
      <c r="C24" s="1">
        <v>22</v>
      </c>
      <c r="D24" s="1">
        <f>IF(Summary!$G$2="M",VLOOKUP(B:B,'male g'!A:V,IF(A24&gt;2033,22,MATCH(A24,'male g'!$A$1:$V$1,0)),FALSE),VLOOKUP(B:B,'female g'!A:V,IF(A24&gt;2033,22,MATCH(A24,'female g'!$A$1:$V$1,0)),FALSE))</f>
        <v>1.0442885256173988E-3</v>
      </c>
      <c r="E24" s="1">
        <f t="shared" si="0"/>
        <v>0.99895571147438256</v>
      </c>
      <c r="F24" s="1">
        <f t="shared" si="3"/>
        <v>0.98614019494422633</v>
      </c>
      <c r="G24" s="1">
        <f>1/(1+Summary!$O$2)^$C24</f>
        <v>0.3418498710866219</v>
      </c>
      <c r="H24" s="1">
        <f>IF(B24&gt;64, Summary!$J$2, 0)*'TV 1'!G24*'TV 1'!F24</f>
        <v>0</v>
      </c>
      <c r="I24" s="1"/>
    </row>
    <row r="25" spans="1:9">
      <c r="A25" s="1">
        <f t="shared" si="4"/>
        <v>2042</v>
      </c>
      <c r="B25" s="1">
        <f t="shared" si="2"/>
        <v>47</v>
      </c>
      <c r="C25" s="1">
        <v>23</v>
      </c>
      <c r="D25" s="1">
        <f>IF(Summary!$G$2="M",VLOOKUP(B:B,'male g'!A:V,IF(A25&gt;2033,22,MATCH(A25,'male g'!$A$1:$V$1,0)),FALSE),VLOOKUP(B:B,'female g'!A:V,IF(A25&gt;2033,22,MATCH(A25,'female g'!$A$1:$V$1,0)),FALSE))</f>
        <v>1.1409517112075549E-3</v>
      </c>
      <c r="E25" s="1">
        <f t="shared" si="0"/>
        <v>0.99885904828879246</v>
      </c>
      <c r="F25" s="1">
        <f>E24*F24</f>
        <v>0.98511038005399598</v>
      </c>
      <c r="G25" s="1">
        <f>1/(1+Summary!$O$2)^$C25</f>
        <v>0.32557130579678267</v>
      </c>
      <c r="H25" s="1">
        <f>IF(B25&gt;64, Summary!$J$2, 0)*'TV 1'!G25*'TV 1'!F25</f>
        <v>0</v>
      </c>
      <c r="I25" s="1"/>
    </row>
    <row r="26" spans="1:9">
      <c r="A26" s="1">
        <f t="shared" si="4"/>
        <v>2043</v>
      </c>
      <c r="B26" s="1">
        <f t="shared" si="2"/>
        <v>48</v>
      </c>
      <c r="C26" s="1">
        <v>24</v>
      </c>
      <c r="D26" s="1">
        <f>IF(Summary!$G$2="M",VLOOKUP(B:B,'male g'!A:V,IF(A26&gt;2033,22,MATCH(A26,'male g'!$A$1:$V$1,0)),FALSE),VLOOKUP(B:B,'female g'!A:V,IF(A26&gt;2033,22,MATCH(A26,'female g'!$A$1:$V$1,0)),FALSE))</f>
        <v>1.2490704429254436E-3</v>
      </c>
      <c r="E26" s="1">
        <f t="shared" si="0"/>
        <v>0.99875092955707456</v>
      </c>
      <c r="F26" s="1">
        <f t="shared" ref="F26:F50" si="5">E25*F25</f>
        <v>0.98398641668014508</v>
      </c>
      <c r="G26" s="1">
        <f>1/(1+Summary!$O$2)^$C26</f>
        <v>0.31006791028265024</v>
      </c>
      <c r="H26" s="1">
        <f>IF(B26&gt;64, Summary!$J$2, 0)*'TV 1'!G26*'TV 1'!F26</f>
        <v>0</v>
      </c>
      <c r="I26" s="1"/>
    </row>
    <row r="27" spans="1:9">
      <c r="A27" s="1">
        <f t="shared" si="4"/>
        <v>2044</v>
      </c>
      <c r="B27" s="1">
        <f t="shared" si="2"/>
        <v>49</v>
      </c>
      <c r="C27" s="1">
        <v>25</v>
      </c>
      <c r="D27" s="1">
        <f>IF(Summary!$G$2="M",VLOOKUP(B:B,'male g'!A:V,IF(A27&gt;2033,22,MATCH(A27,'male g'!$A$1:$V$1,0)),FALSE),VLOOKUP(B:B,'female g'!A:V,IF(A27&gt;2033,22,MATCH(A27,'female g'!$A$1:$V$1,0)),FALSE))</f>
        <v>1.369512151784593E-3</v>
      </c>
      <c r="E27" s="1">
        <f t="shared" si="0"/>
        <v>0.9986304878482154</v>
      </c>
      <c r="F27" s="1">
        <f t="shared" si="5"/>
        <v>0.98275734833082984</v>
      </c>
      <c r="G27" s="1">
        <f>1/(1+Summary!$O$2)^$C27</f>
        <v>0.29530277169776209</v>
      </c>
      <c r="H27" s="1">
        <f>IF(B27&gt;64, Summary!$J$2, 0)*'TV 1'!G27*'TV 1'!F27</f>
        <v>0</v>
      </c>
      <c r="I27" s="1"/>
    </row>
    <row r="28" spans="1:9">
      <c r="A28" s="1">
        <f t="shared" si="4"/>
        <v>2045</v>
      </c>
      <c r="B28" s="1">
        <f t="shared" si="2"/>
        <v>50</v>
      </c>
      <c r="C28" s="1">
        <v>26</v>
      </c>
      <c r="D28" s="1">
        <f>IF(Summary!$G$2="M",VLOOKUP(B:B,'male g'!A:V,IF(A28&gt;2033,22,MATCH(A28,'male g'!$A$1:$V$1,0)),FALSE),VLOOKUP(B:B,'female g'!A:V,IF(A28&gt;2033,22,MATCH(A28,'female g'!$A$1:$V$1,0)),FALSE))</f>
        <v>3.6199396557553844E-3</v>
      </c>
      <c r="E28" s="1">
        <f t="shared" si="0"/>
        <v>0.99638006034424464</v>
      </c>
      <c r="F28" s="1">
        <f t="shared" si="5"/>
        <v>0.98141145020003517</v>
      </c>
      <c r="G28" s="1">
        <f>1/(1+Summary!$O$2)^$C28</f>
        <v>0.28124073495024959</v>
      </c>
      <c r="H28" s="1">
        <f>IF(B28&gt;64, Summary!$J$2, 0)*'TV 1'!G28*'TV 1'!F28</f>
        <v>0</v>
      </c>
      <c r="I28" s="1"/>
    </row>
    <row r="29" spans="1:9">
      <c r="A29" s="1">
        <f t="shared" si="4"/>
        <v>2046</v>
      </c>
      <c r="B29" s="1">
        <f t="shared" si="2"/>
        <v>51</v>
      </c>
      <c r="C29" s="1">
        <v>27</v>
      </c>
      <c r="D29" s="1">
        <f>IF(Summary!$G$2="M",VLOOKUP(B:B,'male g'!A:V,IF(A29&gt;2033,22,MATCH(A29,'male g'!$A$1:$V$1,0)),FALSE),VLOOKUP(B:B,'female g'!A:V,IF(A29&gt;2033,22,MATCH(A29,'female g'!$A$1:$V$1,0)),FALSE))</f>
        <v>3.8605439270391782E-3</v>
      </c>
      <c r="E29" s="1">
        <f t="shared" si="0"/>
        <v>0.99613945607296084</v>
      </c>
      <c r="F29" s="1">
        <f t="shared" si="5"/>
        <v>0.97785879997284364</v>
      </c>
      <c r="G29" s="1">
        <f>1/(1+Summary!$O$2)^$C29</f>
        <v>0.2678483190002377</v>
      </c>
      <c r="H29" s="1">
        <f>IF(B29&gt;64, Summary!$J$2, 0)*'TV 1'!G29*'TV 1'!F29</f>
        <v>0</v>
      </c>
      <c r="I29" s="1"/>
    </row>
    <row r="30" spans="1:9">
      <c r="A30" s="1">
        <f t="shared" si="4"/>
        <v>2047</v>
      </c>
      <c r="B30" s="1">
        <f t="shared" si="2"/>
        <v>52</v>
      </c>
      <c r="C30" s="1">
        <v>28</v>
      </c>
      <c r="D30" s="1">
        <f>IF(Summary!$G$2="M",VLOOKUP(B:B,'male g'!A:V,IF(A30&gt;2033,22,MATCH(A30,'male g'!$A$1:$V$1,0)),FALSE),VLOOKUP(B:B,'female g'!A:V,IF(A30&gt;2033,22,MATCH(A30,'female g'!$A$1:$V$1,0)),FALSE))</f>
        <v>4.1135590860351774E-3</v>
      </c>
      <c r="E30" s="1">
        <f t="shared" si="0"/>
        <v>0.99588644091396483</v>
      </c>
      <c r="F30" s="1">
        <f t="shared" si="5"/>
        <v>0.97408373312110663</v>
      </c>
      <c r="G30" s="1">
        <f>1/(1+Summary!$O$2)^$C30</f>
        <v>0.25509363714308358</v>
      </c>
      <c r="H30" s="1">
        <f>IF(B30&gt;64, Summary!$J$2, 0)*'TV 1'!G30*'TV 1'!F30</f>
        <v>0</v>
      </c>
      <c r="I30" s="1"/>
    </row>
    <row r="31" spans="1:9">
      <c r="A31" s="1">
        <f t="shared" si="4"/>
        <v>2048</v>
      </c>
      <c r="B31" s="1">
        <f t="shared" si="2"/>
        <v>53</v>
      </c>
      <c r="C31" s="1">
        <v>29</v>
      </c>
      <c r="D31" s="1">
        <f>IF(Summary!$G$2="M",VLOOKUP(B:B,'male g'!A:V,IF(A31&gt;2033,22,MATCH(A31,'male g'!$A$1:$V$1,0)),FALSE),VLOOKUP(B:B,'female g'!A:V,IF(A31&gt;2033,22,MATCH(A31,'female g'!$A$1:$V$1,0)),FALSE))</f>
        <v>4.3810463073345211E-3</v>
      </c>
      <c r="E31" s="1">
        <f t="shared" si="0"/>
        <v>0.99561895369266551</v>
      </c>
      <c r="F31" s="1">
        <f t="shared" si="5"/>
        <v>0.97007678213016724</v>
      </c>
      <c r="G31" s="1">
        <f>1/(1+Summary!$O$2)^$C31</f>
        <v>0.24294632108865097</v>
      </c>
      <c r="H31" s="1">
        <f>IF(B31&gt;64, Summary!$J$2, 0)*'TV 1'!G31*'TV 1'!F31</f>
        <v>0</v>
      </c>
      <c r="I31" s="1"/>
    </row>
    <row r="32" spans="1:9">
      <c r="A32" s="1">
        <f t="shared" si="4"/>
        <v>2049</v>
      </c>
      <c r="B32" s="1">
        <f t="shared" si="2"/>
        <v>54</v>
      </c>
      <c r="C32" s="1">
        <v>30</v>
      </c>
      <c r="D32" s="1">
        <f>IF(Summary!$G$2="M",VLOOKUP(B:B,'male g'!A:V,IF(A32&gt;2033,22,MATCH(A32,'male g'!$A$1:$V$1,0)),FALSE),VLOOKUP(B:B,'female g'!A:V,IF(A32&gt;2033,22,MATCH(A32,'female g'!$A$1:$V$1,0)),FALSE))</f>
        <v>4.6687727319984478E-3</v>
      </c>
      <c r="E32" s="1">
        <f t="shared" si="0"/>
        <v>0.99533122726800161</v>
      </c>
      <c r="F32" s="1">
        <f t="shared" si="5"/>
        <v>0.96582683082598497</v>
      </c>
      <c r="G32" s="1">
        <f>1/(1+Summary!$O$2)^$C32</f>
        <v>0.23137744865585813</v>
      </c>
      <c r="H32" s="1">
        <f>IF(B32&gt;64, Summary!$J$2, 0)*'TV 1'!G32*'TV 1'!F32</f>
        <v>0</v>
      </c>
      <c r="I32" s="1"/>
    </row>
    <row r="33" spans="1:9">
      <c r="A33" s="1">
        <f t="shared" si="4"/>
        <v>2050</v>
      </c>
      <c r="B33" s="1">
        <f t="shared" si="2"/>
        <v>55</v>
      </c>
      <c r="C33" s="1">
        <v>31</v>
      </c>
      <c r="D33" s="1">
        <f>IF(Summary!$G$2="M",VLOOKUP(B:B,'male g'!A:V,IF(A33&gt;2033,22,MATCH(A33,'male g'!$A$1:$V$1,0)),FALSE),VLOOKUP(B:B,'female g'!A:V,IF(A33&gt;2033,22,MATCH(A33,'female g'!$A$1:$V$1,0)),FALSE))</f>
        <v>4.9760361404984493E-3</v>
      </c>
      <c r="E33" s="1">
        <f t="shared" si="0"/>
        <v>0.99502396385950154</v>
      </c>
      <c r="F33" s="1">
        <f t="shared" si="5"/>
        <v>0.96131760485439222</v>
      </c>
      <c r="G33" s="1">
        <f>1/(1+Summary!$O$2)^$C33</f>
        <v>0.220359474910341</v>
      </c>
      <c r="H33" s="1">
        <f>IF(B33&gt;64, Summary!$J$2, 0)*'TV 1'!G33*'TV 1'!F33</f>
        <v>0</v>
      </c>
      <c r="I33" s="1"/>
    </row>
    <row r="34" spans="1:9">
      <c r="A34" s="1">
        <f t="shared" si="4"/>
        <v>2051</v>
      </c>
      <c r="B34" s="1">
        <f t="shared" si="2"/>
        <v>56</v>
      </c>
      <c r="C34" s="1">
        <v>32</v>
      </c>
      <c r="D34" s="1">
        <f>IF(Summary!$G$2="M",VLOOKUP(B:B,'male g'!A:V,IF(A34&gt;2033,22,MATCH(A34,'male g'!$A$1:$V$1,0)),FALSE),VLOOKUP(B:B,'female g'!A:V,IF(A34&gt;2033,22,MATCH(A34,'female g'!$A$1:$V$1,0)),FALSE))</f>
        <v>5.3066001918253454E-3</v>
      </c>
      <c r="E34" s="1">
        <f t="shared" si="0"/>
        <v>0.99469339980817462</v>
      </c>
      <c r="F34" s="1">
        <f t="shared" si="5"/>
        <v>0.95653405371013933</v>
      </c>
      <c r="G34" s="1">
        <f>1/(1+Summary!$O$2)^$C34</f>
        <v>0.20986616658127716</v>
      </c>
      <c r="H34" s="1">
        <f>IF(B34&gt;64, Summary!$J$2, 0)*'TV 1'!G34*'TV 1'!F34</f>
        <v>0</v>
      </c>
      <c r="I34" s="1"/>
    </row>
    <row r="35" spans="1:9">
      <c r="A35" s="1">
        <f>$A$2+C35</f>
        <v>2052</v>
      </c>
      <c r="B35" s="1">
        <f>$B$2+C35</f>
        <v>57</v>
      </c>
      <c r="C35" s="1">
        <v>33</v>
      </c>
      <c r="D35" s="1">
        <f>IF(Summary!$G$2="M",VLOOKUP(B:B,'male g'!A:V,IF(A35&gt;2033,22,MATCH(A35,'male g'!$A$1:$V$1,0)),FALSE),VLOOKUP(B:B,'female g'!A:V,IF(A35&gt;2033,22,MATCH(A35,'female g'!$A$1:$V$1,0)),FALSE))</f>
        <v>5.6627874947383543E-3</v>
      </c>
      <c r="E35" s="1">
        <f t="shared" si="0"/>
        <v>0.99433721250526164</v>
      </c>
      <c r="F35" s="1">
        <f t="shared" si="5"/>
        <v>0.95145810991723356</v>
      </c>
      <c r="G35" s="1">
        <f>1/(1+Summary!$O$2)^$C35</f>
        <v>0.19987253960121634</v>
      </c>
      <c r="H35" s="1">
        <f>IF(B35&gt;64, Summary!$J$2, 0)*'TV 1'!G35*'TV 1'!F35</f>
        <v>0</v>
      </c>
      <c r="I35" s="1"/>
    </row>
    <row r="36" spans="1:9">
      <c r="A36" s="1">
        <f t="shared" ref="A36:A47" si="6">$A$2+C36</f>
        <v>2053</v>
      </c>
      <c r="B36" s="1">
        <f t="shared" si="2"/>
        <v>58</v>
      </c>
      <c r="C36" s="1">
        <v>34</v>
      </c>
      <c r="D36" s="1">
        <f>IF(Summary!$G$2="M",VLOOKUP(B:B,'male g'!A:V,IF(A36&gt;2033,22,MATCH(A36,'male g'!$A$1:$V$1,0)),FALSE),VLOOKUP(B:B,'female g'!A:V,IF(A36&gt;2033,22,MATCH(A36,'female g'!$A$1:$V$1,0)),FALSE))</f>
        <v>6.0512489492220572E-3</v>
      </c>
      <c r="E36" s="1">
        <f t="shared" si="0"/>
        <v>0.99394875105077796</v>
      </c>
      <c r="F36" s="1">
        <f t="shared" si="5"/>
        <v>0.94607020483062687</v>
      </c>
      <c r="G36" s="1">
        <f>1/(1+Summary!$O$2)^$C36</f>
        <v>0.19035479962020604</v>
      </c>
      <c r="H36" s="1">
        <f>IF(B36&gt;64, Summary!$J$2, 0)*'TV 1'!G36*'TV 1'!F36</f>
        <v>0</v>
      </c>
      <c r="I36" s="1"/>
    </row>
    <row r="37" spans="1:9">
      <c r="A37" s="1">
        <f t="shared" si="6"/>
        <v>2054</v>
      </c>
      <c r="B37" s="1">
        <f t="shared" si="2"/>
        <v>59</v>
      </c>
      <c r="C37" s="1">
        <v>35</v>
      </c>
      <c r="D37" s="1">
        <f>IF(Summary!$G$2="M",VLOOKUP(B:B,'male g'!A:V,IF(A37&gt;2033,22,MATCH(A37,'male g'!$A$1:$V$1,0)),FALSE),VLOOKUP(B:B,'female g'!A:V,IF(A37&gt;2033,22,MATCH(A37,'female g'!$A$1:$V$1,0)),FALSE))</f>
        <v>6.4741513414089766E-3</v>
      </c>
      <c r="E37" s="1">
        <f t="shared" si="0"/>
        <v>0.99352584865859106</v>
      </c>
      <c r="F37" s="1">
        <f t="shared" si="5"/>
        <v>0.94034529849775528</v>
      </c>
      <c r="G37" s="1">
        <f>1/(1+Summary!$O$2)^$C37</f>
        <v>0.18129028535257716</v>
      </c>
      <c r="H37" s="1">
        <f>IF(B37&gt;64, Summary!$J$2, 0)*'TV 1'!G37*'TV 1'!F37</f>
        <v>0</v>
      </c>
      <c r="I37" s="1"/>
    </row>
    <row r="38" spans="1:9">
      <c r="A38" s="1">
        <f t="shared" si="6"/>
        <v>2055</v>
      </c>
      <c r="B38" s="1">
        <f t="shared" si="2"/>
        <v>60</v>
      </c>
      <c r="C38" s="1">
        <v>36</v>
      </c>
      <c r="D38" s="1">
        <f>IF(Summary!$G$2="M",VLOOKUP(B:B,'male g'!A:V,IF(A38&gt;2033,22,MATCH(A38,'male g'!$A$1:$V$1,0)),FALSE),VLOOKUP(B:B,'female g'!A:V,IF(A38&gt;2033,22,MATCH(A38,'female g'!$A$1:$V$1,0)),FALSE))</f>
        <v>6.936066846596668E-3</v>
      </c>
      <c r="E38" s="1">
        <f t="shared" si="0"/>
        <v>0.99306393315340336</v>
      </c>
      <c r="F38" s="1">
        <f t="shared" si="5"/>
        <v>0.93425736072209842</v>
      </c>
      <c r="G38" s="1">
        <f>1/(1+Summary!$O$2)^$C38</f>
        <v>0.17265741462150208</v>
      </c>
      <c r="H38" s="1">
        <f>IF(B38&gt;64, Summary!$J$2, 0)*'TV 1'!G38*'TV 1'!F38</f>
        <v>0</v>
      </c>
      <c r="I38" s="1"/>
    </row>
    <row r="39" spans="1:9">
      <c r="A39" s="1">
        <f t="shared" si="6"/>
        <v>2056</v>
      </c>
      <c r="B39" s="1">
        <f t="shared" si="2"/>
        <v>61</v>
      </c>
      <c r="C39" s="1">
        <v>37</v>
      </c>
      <c r="D39" s="1">
        <f>IF(Summary!$G$2="M",VLOOKUP(B:B,'male g'!A:V,IF(A39&gt;2033,22,MATCH(A39,'male g'!$A$1:$V$1,0)),FALSE),VLOOKUP(B:B,'female g'!A:V,IF(A39&gt;2033,22,MATCH(A39,'female g'!$A$1:$V$1,0)),FALSE))</f>
        <v>7.4443231733826182E-3</v>
      </c>
      <c r="E39" s="1">
        <f t="shared" si="0"/>
        <v>0.99255567682661738</v>
      </c>
      <c r="F39" s="1">
        <f t="shared" si="5"/>
        <v>0.92777728921620495</v>
      </c>
      <c r="G39" s="1">
        <f>1/(1+Summary!$O$2)^$C39</f>
        <v>0.1644356329728591</v>
      </c>
      <c r="H39" s="1">
        <f>IF(B39&gt;64, Summary!$J$2, 0)*'TV 1'!G39*'TV 1'!F39</f>
        <v>0</v>
      </c>
      <c r="I39" s="1"/>
    </row>
    <row r="40" spans="1:9">
      <c r="A40" s="1">
        <f t="shared" si="6"/>
        <v>2057</v>
      </c>
      <c r="B40" s="1">
        <f t="shared" si="2"/>
        <v>62</v>
      </c>
      <c r="C40" s="1">
        <v>38</v>
      </c>
      <c r="D40" s="1">
        <f>IF(Summary!$G$2="M",VLOOKUP(B:B,'male g'!A:V,IF(A40&gt;2033,22,MATCH(A40,'male g'!$A$1:$V$1,0)),FALSE),VLOOKUP(B:B,'female g'!A:V,IF(A40&gt;2033,22,MATCH(A40,'female g'!$A$1:$V$1,0)),FALSE))</f>
        <v>7.9980591160673849E-3</v>
      </c>
      <c r="E40" s="1">
        <f t="shared" si="0"/>
        <v>0.99200194088393256</v>
      </c>
      <c r="F40" s="1">
        <f t="shared" si="5"/>
        <v>0.9208706152423547</v>
      </c>
      <c r="G40" s="1">
        <f>1/(1+Summary!$O$2)^$C40</f>
        <v>0.15660536473605632</v>
      </c>
      <c r="H40" s="1">
        <f>IF(B40&gt;64, Summary!$J$2, 0)*'TV 1'!G40*'TV 1'!F40</f>
        <v>0</v>
      </c>
      <c r="I40" s="1"/>
    </row>
    <row r="41" spans="1:9">
      <c r="A41" s="1">
        <f t="shared" si="6"/>
        <v>2058</v>
      </c>
      <c r="B41" s="1">
        <f t="shared" si="2"/>
        <v>63</v>
      </c>
      <c r="C41" s="1">
        <v>39</v>
      </c>
      <c r="D41" s="1">
        <f>IF(Summary!$G$2="M",VLOOKUP(B:B,'male g'!A:V,IF(A41&gt;2033,22,MATCH(A41,'male g'!$A$1:$V$1,0)),FALSE),VLOOKUP(B:B,'female g'!A:V,IF(A41&gt;2033,22,MATCH(A41,'female g'!$A$1:$V$1,0)),FALSE))</f>
        <v>8.6003126935298747E-3</v>
      </c>
      <c r="E41" s="1">
        <f t="shared" si="0"/>
        <v>0.9913996873064701</v>
      </c>
      <c r="F41" s="1">
        <f t="shared" si="5"/>
        <v>0.91350543762339698</v>
      </c>
      <c r="G41" s="1">
        <f>1/(1+Summary!$O$2)^$C41</f>
        <v>0.14914796641529171</v>
      </c>
      <c r="H41" s="1">
        <f>IF(B41&gt;64, Summary!$J$2, 0)*'TV 1'!G41*'TV 1'!F41</f>
        <v>0</v>
      </c>
      <c r="I41" s="1"/>
    </row>
    <row r="42" spans="1:9">
      <c r="A42" s="1">
        <f t="shared" si="6"/>
        <v>2059</v>
      </c>
      <c r="B42" s="1">
        <f t="shared" si="2"/>
        <v>64</v>
      </c>
      <c r="C42" s="1">
        <v>40</v>
      </c>
      <c r="D42" s="1">
        <f>IF(Summary!$G$2="M",VLOOKUP(B:B,'male g'!A:V,IF(A42&gt;2033,22,MATCH(A42,'male g'!$A$1:$V$1,0)),FALSE),VLOOKUP(B:B,'female g'!A:V,IF(A42&gt;2033,22,MATCH(A42,'female g'!$A$1:$V$1,0)),FALSE))</f>
        <v>9.2613902762817488E-3</v>
      </c>
      <c r="E42" s="1">
        <f t="shared" si="0"/>
        <v>0.9907386097237183</v>
      </c>
      <c r="F42" s="1">
        <f t="shared" si="5"/>
        <v>0.90564900521259584</v>
      </c>
      <c r="G42" s="1">
        <f>1/(1+Summary!$O$2)^$C42</f>
        <v>0.14204568230027784</v>
      </c>
      <c r="H42" s="1">
        <f>IF(B42&gt;64, Summary!$J$2, 0)*'TV 1'!G42*'TV 1'!F42</f>
        <v>0</v>
      </c>
      <c r="I42" s="1"/>
    </row>
    <row r="43" spans="1:9">
      <c r="A43" s="1">
        <f t="shared" si="6"/>
        <v>2060</v>
      </c>
      <c r="B43" s="1">
        <f t="shared" si="2"/>
        <v>65</v>
      </c>
      <c r="C43" s="1">
        <v>41</v>
      </c>
      <c r="D43" s="1">
        <f>IF(Summary!$G$2="M",VLOOKUP(B:B,'male g'!A:V,IF(A43&gt;2033,22,MATCH(A43,'male g'!$A$1:$V$1,0)),FALSE),VLOOKUP(B:B,'female g'!A:V,IF(A43&gt;2033,22,MATCH(A43,'female g'!$A$1:$V$1,0)),FALSE))</f>
        <v>9.9822267063302775E-3</v>
      </c>
      <c r="E43" s="1">
        <f t="shared" si="0"/>
        <v>0.99001777329366969</v>
      </c>
      <c r="F43" s="1">
        <f t="shared" si="5"/>
        <v>0.89726143632199573</v>
      </c>
      <c r="G43" s="1">
        <f>1/(1+Summary!$O$2)^$C43</f>
        <v>0.13528160219074079</v>
      </c>
      <c r="H43" s="1">
        <f>IF(B43&gt;64, Summary!$J$2, 0)*'TV 1'!G43*'TV 1'!F43</f>
        <v>988.8325452160027</v>
      </c>
      <c r="I43" s="1"/>
    </row>
    <row r="44" spans="1:9">
      <c r="A44" s="1">
        <f t="shared" si="6"/>
        <v>2061</v>
      </c>
      <c r="B44" s="1">
        <f t="shared" si="2"/>
        <v>66</v>
      </c>
      <c r="C44" s="1">
        <v>42</v>
      </c>
      <c r="D44" s="1">
        <f>IF(Summary!$G$2="M",VLOOKUP(B:B,'male g'!A:V,IF(A44&gt;2033,22,MATCH(A44,'male g'!$A$1:$V$1,0)),FALSE),VLOOKUP(B:B,'female g'!A:V,IF(A44&gt;2033,22,MATCH(A44,'female g'!$A$1:$V$1,0)),FALSE))</f>
        <v>1.0770988448590023E-2</v>
      </c>
      <c r="E44" s="1">
        <f t="shared" si="0"/>
        <v>0.98922901155140996</v>
      </c>
      <c r="F44" s="1">
        <f t="shared" si="5"/>
        <v>0.88830476924978197</v>
      </c>
      <c r="G44" s="1">
        <f>1/(1+Summary!$O$2)^$C44</f>
        <v>0.12883962113403885</v>
      </c>
      <c r="H44" s="1">
        <f>IF(B44&gt;64, Summary!$J$2, 0)*'TV 1'!G44*'TV 1'!F44</f>
        <v>932.34456626196106</v>
      </c>
      <c r="I44" s="1"/>
    </row>
    <row r="45" spans="1:9">
      <c r="A45" s="1">
        <f t="shared" si="6"/>
        <v>2062</v>
      </c>
      <c r="B45" s="1">
        <f t="shared" si="2"/>
        <v>67</v>
      </c>
      <c r="C45" s="1">
        <v>43</v>
      </c>
      <c r="D45" s="1">
        <f>IF(Summary!$G$2="M",VLOOKUP(B:B,'male g'!A:V,IF(A45&gt;2033,22,MATCH(A45,'male g'!$A$1:$V$1,0)),FALSE),VLOOKUP(B:B,'female g'!A:V,IF(A45&gt;2033,22,MATCH(A45,'female g'!$A$1:$V$1,0)),FALSE))</f>
        <v>1.1633181958479108E-2</v>
      </c>
      <c r="E45" s="1">
        <f t="shared" si="0"/>
        <v>0.98836681804152093</v>
      </c>
      <c r="F45" s="1">
        <f t="shared" si="5"/>
        <v>0.87873684884136516</v>
      </c>
      <c r="G45" s="1">
        <f>1/(1+Summary!$O$2)^$C45</f>
        <v>0.12270440108003698</v>
      </c>
      <c r="H45" s="1">
        <f>IF(B45&gt;64, Summary!$J$2, 0)*'TV 1'!G45*'TV 1'!F45</f>
        <v>878.38313686537867</v>
      </c>
      <c r="I45" s="1"/>
    </row>
    <row r="46" spans="1:9">
      <c r="A46" s="1">
        <f t="shared" si="6"/>
        <v>2063</v>
      </c>
      <c r="B46" s="1">
        <f t="shared" si="2"/>
        <v>68</v>
      </c>
      <c r="C46" s="1">
        <v>44</v>
      </c>
      <c r="D46" s="1">
        <f>IF(Summary!$G$2="M",VLOOKUP(B:B,'male g'!A:V,IF(A46&gt;2033,22,MATCH(A46,'male g'!$A$1:$V$1,0)),FALSE),VLOOKUP(B:B,'female g'!A:V,IF(A46&gt;2033,22,MATCH(A46,'female g'!$A$1:$V$1,0)),FALSE))</f>
        <v>1.2580700369048322E-2</v>
      </c>
      <c r="E46" s="1">
        <f t="shared" si="0"/>
        <v>0.98741929963095165</v>
      </c>
      <c r="F46" s="1">
        <f t="shared" si="5"/>
        <v>0.86851434318517307</v>
      </c>
      <c r="G46" s="1">
        <f>1/(1+Summary!$O$2)^$C46</f>
        <v>0.11686133436193999</v>
      </c>
      <c r="H46" s="1">
        <f>IF(B46&gt;64, Summary!$J$2, 0)*'TV 1'!G46*'TV 1'!F46</f>
        <v>826.82356762377549</v>
      </c>
      <c r="I46" s="1"/>
    </row>
    <row r="47" spans="1:9">
      <c r="A47" s="1">
        <f t="shared" si="6"/>
        <v>2064</v>
      </c>
      <c r="B47" s="1">
        <f t="shared" si="2"/>
        <v>69</v>
      </c>
      <c r="C47" s="1">
        <v>45</v>
      </c>
      <c r="D47" s="1">
        <f>IF(Summary!$G$2="M",VLOOKUP(B:B,'male g'!A:V,IF(A47&gt;2033,22,MATCH(A47,'male g'!$A$1:$V$1,0)),FALSE),VLOOKUP(B:B,'female g'!A:V,IF(A47&gt;2033,22,MATCH(A47,'female g'!$A$1:$V$1,0)),FALSE))</f>
        <v>1.3626686177724836E-2</v>
      </c>
      <c r="E47" s="1">
        <f t="shared" si="0"/>
        <v>0.98637331382227511</v>
      </c>
      <c r="F47" s="1">
        <f t="shared" si="5"/>
        <v>0.85758782446733961</v>
      </c>
      <c r="G47" s="1">
        <f>1/(1+Summary!$O$2)^$C47</f>
        <v>0.1112965089161333</v>
      </c>
      <c r="H47" s="1">
        <f>IF(B47&gt;64, Summary!$J$2, 0)*'TV 1'!G47*'TV 1'!F47</f>
        <v>777.54433148707903</v>
      </c>
      <c r="I47" s="1"/>
    </row>
    <row r="48" spans="1:9">
      <c r="A48" s="1">
        <f>$A$2+C48</f>
        <v>2065</v>
      </c>
      <c r="B48" s="1">
        <f>$B$2+C48</f>
        <v>70</v>
      </c>
      <c r="C48" s="1">
        <v>46</v>
      </c>
      <c r="D48" s="1">
        <f>IF(Summary!$G$2="M",VLOOKUP(B:B,'male g'!A:V,IF(A48&gt;2033,22,MATCH(A48,'male g'!$A$1:$V$1,0)),FALSE),VLOOKUP(B:B,'female g'!A:V,IF(A48&gt;2033,22,MATCH(A48,'female g'!$A$1:$V$1,0)),FALSE))</f>
        <v>1.4793079982031035E-2</v>
      </c>
      <c r="E48" s="1">
        <f t="shared" si="0"/>
        <v>0.98520692001796895</v>
      </c>
      <c r="F48" s="1">
        <f t="shared" si="5"/>
        <v>0.8459017443134853</v>
      </c>
      <c r="G48" s="1">
        <f>1/(1+Summary!$O$2)^$C48</f>
        <v>0.10599667515822221</v>
      </c>
      <c r="H48" s="1">
        <f>IF(B48&gt;64, Summary!$J$2, 0)*'TV 1'!G48*'TV 1'!F48</f>
        <v>730.42759894536744</v>
      </c>
      <c r="I48" s="1"/>
    </row>
    <row r="49" spans="1:9">
      <c r="A49" s="1">
        <f t="shared" ref="A49:A73" si="7">$A$2+C49</f>
        <v>2066</v>
      </c>
      <c r="B49" s="1">
        <f t="shared" si="2"/>
        <v>71</v>
      </c>
      <c r="C49" s="1">
        <v>47</v>
      </c>
      <c r="D49" s="1">
        <f>IF(Summary!$G$2="M",VLOOKUP(B:B,'male g'!A:V,IF(A49&gt;2033,22,MATCH(A49,'male g'!$A$1:$V$1,0)),FALSE),VLOOKUP(B:B,'female g'!A:V,IF(A49&gt;2033,22,MATCH(A49,'female g'!$A$1:$V$1,0)),FALSE))</f>
        <v>1.6081052063459764E-2</v>
      </c>
      <c r="E49" s="1">
        <f t="shared" si="0"/>
        <v>0.98391894793654022</v>
      </c>
      <c r="F49" s="1">
        <f t="shared" si="5"/>
        <v>0.83338825215291634</v>
      </c>
      <c r="G49" s="1">
        <f>1/(1+Summary!$O$2)^$C49</f>
        <v>0.10094921443640208</v>
      </c>
      <c r="H49" s="1">
        <f>IF(B49&gt;64, Summary!$J$2, 0)*'TV 1'!G49*'TV 1'!F49</f>
        <v>685.35459528865283</v>
      </c>
      <c r="I49" s="1"/>
    </row>
    <row r="50" spans="1:9">
      <c r="A50" s="1">
        <f t="shared" si="7"/>
        <v>2067</v>
      </c>
      <c r="B50" s="1">
        <f t="shared" si="2"/>
        <v>72</v>
      </c>
      <c r="C50" s="1">
        <v>48</v>
      </c>
      <c r="D50" s="1">
        <f>IF(Summary!$G$2="M",VLOOKUP(B:B,'male g'!A:V,IF(A50&gt;2033,22,MATCH(A50,'male g'!$A$1:$V$1,0)),FALSE),VLOOKUP(B:B,'female g'!A:V,IF(A50&gt;2033,22,MATCH(A50,'female g'!$A$1:$V$1,0)),FALSE))</f>
        <v>1.7512751333317752E-2</v>
      </c>
      <c r="E50" s="1">
        <f t="shared" si="0"/>
        <v>0.98248724866668224</v>
      </c>
      <c r="F50" s="1">
        <f t="shared" si="5"/>
        <v>0.81998649228096954</v>
      </c>
      <c r="G50" s="1">
        <f>1/(1+Summary!$O$2)^$C50</f>
        <v>9.6142108987049613E-2</v>
      </c>
      <c r="H50" s="1">
        <f>IF(B50&gt;64, Summary!$J$2, 0)*'TV 1'!G50*'TV 1'!F50</f>
        <v>642.22225939036639</v>
      </c>
      <c r="I50" s="1"/>
    </row>
    <row r="51" spans="1:9">
      <c r="A51" s="1">
        <f t="shared" si="7"/>
        <v>2068</v>
      </c>
      <c r="B51" s="1">
        <f t="shared" si="2"/>
        <v>73</v>
      </c>
      <c r="C51" s="1">
        <v>49</v>
      </c>
      <c r="D51" s="1">
        <f>IF(Summary!$G$2="M",VLOOKUP(B:B,'male g'!A:V,IF(A51&gt;2033,22,MATCH(A51,'male g'!$A$1:$V$1,0)),FALSE),VLOOKUP(B:B,'female g'!A:V,IF(A51&gt;2033,22,MATCH(A51,'female g'!$A$1:$V$1,0)),FALSE))</f>
        <v>1.9108502444741413E-2</v>
      </c>
      <c r="E51" s="1">
        <f t="shared" si="0"/>
        <v>0.98089149755525862</v>
      </c>
      <c r="F51" s="1">
        <f t="shared" ref="F51:F98" si="8">E50*F50</f>
        <v>0.80562627274497345</v>
      </c>
      <c r="G51" s="1">
        <f>1/(1+Summary!$O$2)^$C51</f>
        <v>9.1563913320999626E-2</v>
      </c>
      <c r="H51" s="1">
        <f>IF(B51&gt;64, Summary!$J$2, 0)*'TV 1'!G51*'TV 1'!F51</f>
        <v>600.92874348661087</v>
      </c>
      <c r="I51" s="1"/>
    </row>
    <row r="52" spans="1:9">
      <c r="A52" s="1">
        <f t="shared" si="7"/>
        <v>2069</v>
      </c>
      <c r="B52" s="1">
        <f t="shared" si="2"/>
        <v>74</v>
      </c>
      <c r="C52" s="1">
        <v>50</v>
      </c>
      <c r="D52" s="1">
        <f>IF(Summary!$G$2="M",VLOOKUP(B:B,'male g'!A:V,IF(A52&gt;2033,22,MATCH(A52,'male g'!$A$1:$V$1,0)),FALSE),VLOOKUP(B:B,'female g'!A:V,IF(A52&gt;2033,22,MATCH(A52,'female g'!$A$1:$V$1,0)),FALSE))</f>
        <v>2.0891078905760852E-2</v>
      </c>
      <c r="E52" s="1">
        <f t="shared" si="0"/>
        <v>0.97910892109423919</v>
      </c>
      <c r="F52" s="1">
        <f t="shared" si="8"/>
        <v>0.79023196114267824</v>
      </c>
      <c r="G52" s="1">
        <f>1/(1+Summary!$O$2)^$C52</f>
        <v>8.7203726972380588E-2</v>
      </c>
      <c r="H52" s="1">
        <f>IF(B52&gt;64, Summary!$J$2, 0)*'TV 1'!G52*'TV 1'!F52</f>
        <v>561.37704297388723</v>
      </c>
      <c r="I52" s="1"/>
    </row>
    <row r="53" spans="1:9">
      <c r="A53" s="1">
        <f t="shared" si="7"/>
        <v>2070</v>
      </c>
      <c r="B53" s="1">
        <f t="shared" si="2"/>
        <v>75</v>
      </c>
      <c r="C53" s="1">
        <v>51</v>
      </c>
      <c r="D53" s="1">
        <f>IF(Summary!$G$2="M",VLOOKUP(B:B,'male g'!A:V,IF(A53&gt;2033,22,MATCH(A53,'male g'!$A$1:$V$1,0)),FALSE),VLOOKUP(B:B,'female g'!A:V,IF(A53&gt;2033,22,MATCH(A53,'female g'!$A$1:$V$1,0)),FALSE))</f>
        <v>2.289528896934603E-2</v>
      </c>
      <c r="E53" s="1">
        <f t="shared" si="0"/>
        <v>0.97710471103065399</v>
      </c>
      <c r="F53" s="1">
        <f t="shared" si="8"/>
        <v>0.77372316288859244</v>
      </c>
      <c r="G53" s="1">
        <f>1/(1+Summary!$O$2)^$C53</f>
        <v>8.3051168545124371E-2</v>
      </c>
      <c r="H53" s="1">
        <f>IF(B53&gt;64, Summary!$J$2, 0)*'TV 1'!G53*'TV 1'!F53</f>
        <v>523.47549606974951</v>
      </c>
      <c r="I53" s="1"/>
    </row>
    <row r="54" spans="1:9">
      <c r="A54" s="1">
        <f t="shared" si="7"/>
        <v>2071</v>
      </c>
      <c r="B54" s="1">
        <f t="shared" si="2"/>
        <v>76</v>
      </c>
      <c r="C54" s="1">
        <v>52</v>
      </c>
      <c r="D54" s="1">
        <f>IF(Summary!$G$2="M",VLOOKUP(B:B,'male g'!A:V,IF(A54&gt;2033,22,MATCH(A54,'male g'!$A$1:$V$1,0)),FALSE),VLOOKUP(B:B,'female g'!A:V,IF(A54&gt;2033,22,MATCH(A54,'female g'!$A$1:$V$1,0)),FALSE))</f>
        <v>2.513765115831567E-2</v>
      </c>
      <c r="E54" s="1">
        <f t="shared" si="0"/>
        <v>0.97486234884168432</v>
      </c>
      <c r="F54" s="1">
        <f t="shared" si="8"/>
        <v>0.75600854749198176</v>
      </c>
      <c r="G54" s="1">
        <f>1/(1+Summary!$O$2)^$C54</f>
        <v>7.9096350995356543E-2</v>
      </c>
      <c r="H54" s="1">
        <f>IF(B54&gt;64, Summary!$J$2, 0)*'TV 1'!G54*'TV 1'!F54</f>
        <v>487.13368887510558</v>
      </c>
      <c r="I54" s="1"/>
    </row>
    <row r="55" spans="1:9">
      <c r="A55" s="1">
        <f t="shared" si="7"/>
        <v>2072</v>
      </c>
      <c r="B55" s="1">
        <f t="shared" si="2"/>
        <v>77</v>
      </c>
      <c r="C55" s="1">
        <v>53</v>
      </c>
      <c r="D55" s="1">
        <f>IF(Summary!$G$2="M",VLOOKUP(B:B,'male g'!A:V,IF(A55&gt;2033,22,MATCH(A55,'male g'!$A$1:$V$1,0)),FALSE),VLOOKUP(B:B,'female g'!A:V,IF(A55&gt;2033,22,MATCH(A55,'female g'!$A$1:$V$1,0)),FALSE))</f>
        <v>2.7677948896305107E-2</v>
      </c>
      <c r="E55" s="1">
        <f t="shared" si="0"/>
        <v>0.97232205110369485</v>
      </c>
      <c r="F55" s="1">
        <f t="shared" si="8"/>
        <v>0.73700426835242339</v>
      </c>
      <c r="G55" s="1">
        <f>1/(1+Summary!$O$2)^$C55</f>
        <v>7.5329858090815757E-2</v>
      </c>
      <c r="H55" s="1">
        <f>IF(B55&gt;64, Summary!$J$2, 0)*'TV 1'!G55*'TV 1'!F55</f>
        <v>452.27456393971403</v>
      </c>
      <c r="I55" s="1"/>
    </row>
    <row r="56" spans="1:9">
      <c r="A56" s="1">
        <f t="shared" si="7"/>
        <v>2073</v>
      </c>
      <c r="B56" s="1">
        <f t="shared" si="2"/>
        <v>78</v>
      </c>
      <c r="C56" s="1">
        <v>54</v>
      </c>
      <c r="D56" s="1">
        <f>IF(Summary!$G$2="M",VLOOKUP(B:B,'male g'!A:V,IF(A56&gt;2033,22,MATCH(A56,'male g'!$A$1:$V$1,0)),FALSE),VLOOKUP(B:B,'female g'!A:V,IF(A56&gt;2033,22,MATCH(A56,'female g'!$A$1:$V$1,0)),FALSE))</f>
        <v>3.0545666614171758E-2</v>
      </c>
      <c r="E56" s="1">
        <f t="shared" si="0"/>
        <v>0.9694543333858282</v>
      </c>
      <c r="F56" s="1">
        <f t="shared" si="8"/>
        <v>0.71660550187660621</v>
      </c>
      <c r="G56" s="1">
        <f>1/(1+Summary!$O$2)^$C56</f>
        <v>7.1742721991253117E-2</v>
      </c>
      <c r="H56" s="1">
        <f>IF(B56&gt;64, Summary!$J$2, 0)*'TV 1'!G56*'TV 1'!F56</f>
        <v>418.815744449421</v>
      </c>
      <c r="I56" s="1"/>
    </row>
    <row r="57" spans="1:9">
      <c r="A57" s="1">
        <f t="shared" si="7"/>
        <v>2074</v>
      </c>
      <c r="B57" s="1">
        <f t="shared" si="2"/>
        <v>79</v>
      </c>
      <c r="C57" s="1">
        <v>55</v>
      </c>
      <c r="D57" s="1">
        <f>IF(Summary!$G$2="M",VLOOKUP(B:B,'male g'!A:V,IF(A57&gt;2033,22,MATCH(A57,'male g'!$A$1:$V$1,0)),FALSE),VLOOKUP(B:B,'female g'!A:V,IF(A57&gt;2033,22,MATCH(A57,'female g'!$A$1:$V$1,0)),FALSE))</f>
        <v>3.3801426006075351E-2</v>
      </c>
      <c r="E57" s="1">
        <f t="shared" si="0"/>
        <v>0.96619857399392461</v>
      </c>
      <c r="F57" s="1">
        <f t="shared" si="8"/>
        <v>0.69471630912240212</v>
      </c>
      <c r="G57" s="1">
        <f>1/(1+Summary!$O$2)^$C57</f>
        <v>6.8326401896431521E-2</v>
      </c>
      <c r="H57" s="1">
        <f>IF(B57&gt;64, Summary!$J$2, 0)*'TV 1'!G57*'TV 1'!F57</f>
        <v>386.68832223495491</v>
      </c>
      <c r="I57" s="1"/>
    </row>
    <row r="58" spans="1:9">
      <c r="A58" s="1">
        <f t="shared" si="7"/>
        <v>2075</v>
      </c>
      <c r="B58" s="1">
        <f t="shared" si="2"/>
        <v>80</v>
      </c>
      <c r="C58" s="1">
        <v>56</v>
      </c>
      <c r="D58" s="1">
        <f>IF(Summary!$G$2="M",VLOOKUP(B:B,'male g'!A:V,IF(A58&gt;2033,22,MATCH(A58,'male g'!$A$1:$V$1,0)),FALSE),VLOOKUP(B:B,'female g'!A:V,IF(A58&gt;2033,22,MATCH(A58,'female g'!$A$1:$V$1,0)),FALSE))</f>
        <v>3.7482908060753731E-2</v>
      </c>
      <c r="E58" s="1">
        <f t="shared" si="0"/>
        <v>0.96251709193924628</v>
      </c>
      <c r="F58" s="1">
        <f t="shared" si="8"/>
        <v>0.67123390720438747</v>
      </c>
      <c r="G58" s="1">
        <f>1/(1+Summary!$O$2)^$C58</f>
        <v>6.5072763710887174E-2</v>
      </c>
      <c r="H58" s="1">
        <f>IF(B58&gt;64, Summary!$J$2, 0)*'TV 1'!G58*'TV 1'!F58</f>
        <v>355.8263862128731</v>
      </c>
      <c r="I58" s="1"/>
    </row>
    <row r="59" spans="1:9">
      <c r="A59" s="1">
        <f t="shared" si="7"/>
        <v>2076</v>
      </c>
      <c r="B59" s="1">
        <f t="shared" si="2"/>
        <v>81</v>
      </c>
      <c r="C59" s="1">
        <v>57</v>
      </c>
      <c r="D59" s="1">
        <f>IF(Summary!$G$2="M",VLOOKUP(B:B,'male g'!A:V,IF(A59&gt;2033,22,MATCH(A59,'male g'!$A$1:$V$1,0)),FALSE),VLOOKUP(B:B,'female g'!A:V,IF(A59&gt;2033,22,MATCH(A59,'female g'!$A$1:$V$1,0)),FALSE))</f>
        <v>4.1692652240478641E-2</v>
      </c>
      <c r="E59" s="1">
        <f t="shared" si="0"/>
        <v>0.95830734775952131</v>
      </c>
      <c r="F59" s="1">
        <f t="shared" si="8"/>
        <v>0.64607410837338497</v>
      </c>
      <c r="G59" s="1">
        <f>1/(1+Summary!$O$2)^$C59</f>
        <v>6.1974060677035397E-2</v>
      </c>
      <c r="H59" s="1">
        <f>IF(B59&gt;64, Summary!$J$2, 0)*'TV 1'!G59*'TV 1'!F59</f>
        <v>326.17997951701494</v>
      </c>
      <c r="I59" s="1"/>
    </row>
    <row r="60" spans="1:9">
      <c r="A60" s="1">
        <f t="shared" si="7"/>
        <v>2077</v>
      </c>
      <c r="B60" s="1">
        <f t="shared" si="2"/>
        <v>82</v>
      </c>
      <c r="C60" s="1">
        <v>58</v>
      </c>
      <c r="D60" s="1">
        <f>IF(Summary!$G$2="M",VLOOKUP(B:B,'male g'!A:V,IF(A60&gt;2033,22,MATCH(A60,'male g'!$A$1:$V$1,0)),FALSE),VLOOKUP(B:B,'female g'!A:V,IF(A60&gt;2033,22,MATCH(A60,'female g'!$A$1:$V$1,0)),FALSE))</f>
        <v>4.6458269197024199E-2</v>
      </c>
      <c r="E60" s="1">
        <f t="shared" si="0"/>
        <v>0.95354173080297577</v>
      </c>
      <c r="F60" s="1">
        <f t="shared" si="8"/>
        <v>0.61913756525139607</v>
      </c>
      <c r="G60" s="1">
        <f>1/(1+Summary!$O$2)^$C60</f>
        <v>5.9022914930509894E-2</v>
      </c>
      <c r="H60" s="1">
        <f>IF(B60&gt;64, Summary!$J$2, 0)*'TV 1'!G60*'TV 1'!F60</f>
        <v>297.69587720305287</v>
      </c>
      <c r="I60" s="1"/>
    </row>
    <row r="61" spans="1:9">
      <c r="A61" s="1">
        <f t="shared" si="7"/>
        <v>2078</v>
      </c>
      <c r="B61" s="1">
        <f t="shared" si="2"/>
        <v>83</v>
      </c>
      <c r="C61" s="1">
        <v>59</v>
      </c>
      <c r="D61" s="1">
        <f>IF(Summary!$G$2="M",VLOOKUP(B:B,'male g'!A:V,IF(A61&gt;2033,22,MATCH(A61,'male g'!$A$1:$V$1,0)),FALSE),VLOOKUP(B:B,'female g'!A:V,IF(A61&gt;2033,22,MATCH(A61,'female g'!$A$1:$V$1,0)),FALSE))</f>
        <v>5.1882087565112409E-2</v>
      </c>
      <c r="E61" s="1">
        <f t="shared" si="0"/>
        <v>0.94811791243488763</v>
      </c>
      <c r="F61" s="1">
        <f t="shared" si="8"/>
        <v>0.5903735055749566</v>
      </c>
      <c r="G61" s="1">
        <f>1/(1+Summary!$O$2)^$C61</f>
        <v>5.6212299933818946E-2</v>
      </c>
      <c r="H61" s="1">
        <f>IF(B61&gt;64, Summary!$J$2, 0)*'TV 1'!G61*'TV 1'!F61</f>
        <v>270.34804000105635</v>
      </c>
      <c r="I61" s="1"/>
    </row>
    <row r="62" spans="1:9">
      <c r="A62" s="1">
        <f t="shared" si="7"/>
        <v>2079</v>
      </c>
      <c r="B62" s="1">
        <f t="shared" si="2"/>
        <v>84</v>
      </c>
      <c r="C62" s="1">
        <v>60</v>
      </c>
      <c r="D62" s="1">
        <f>IF(Summary!$G$2="M",VLOOKUP(B:B,'male g'!A:V,IF(A62&gt;2033,22,MATCH(A62,'male g'!$A$1:$V$1,0)),FALSE),VLOOKUP(B:B,'female g'!A:V,IF(A62&gt;2033,22,MATCH(A62,'female g'!$A$1:$V$1,0)),FALSE))</f>
        <v>5.8015339398571217E-2</v>
      </c>
      <c r="E62" s="1">
        <f t="shared" si="0"/>
        <v>0.94198466060142882</v>
      </c>
      <c r="F62" s="1">
        <f t="shared" si="8"/>
        <v>0.5597436956625943</v>
      </c>
      <c r="G62" s="1">
        <f>1/(1+Summary!$O$2)^$C62</f>
        <v>5.3535523746494243E-2</v>
      </c>
      <c r="H62" s="1">
        <f>IF(B62&gt;64, Summary!$J$2, 0)*'TV 1'!G62*'TV 1'!F62</f>
        <v>244.1160183968239</v>
      </c>
      <c r="I62" s="1"/>
    </row>
    <row r="63" spans="1:9">
      <c r="A63" s="1">
        <f t="shared" si="7"/>
        <v>2080</v>
      </c>
      <c r="B63" s="1">
        <f t="shared" si="2"/>
        <v>85</v>
      </c>
      <c r="C63" s="1">
        <v>61</v>
      </c>
      <c r="D63" s="1">
        <f>IF(Summary!$G$2="M",VLOOKUP(B:B,'male g'!A:V,IF(A63&gt;2033,22,MATCH(A63,'male g'!$A$1:$V$1,0)),FALSE),VLOOKUP(B:B,'female g'!A:V,IF(A63&gt;2033,22,MATCH(A63,'female g'!$A$1:$V$1,0)),FALSE))</f>
        <v>6.4965454874702594E-2</v>
      </c>
      <c r="E63" s="1">
        <f t="shared" si="0"/>
        <v>0.93503454512529738</v>
      </c>
      <c r="F63" s="1">
        <f t="shared" si="8"/>
        <v>0.52726997518251839</v>
      </c>
      <c r="G63" s="1">
        <f>1/(1+Summary!$O$2)^$C63</f>
        <v>5.0986213091899268E-2</v>
      </c>
      <c r="H63" s="1">
        <f>IF(B63&gt;64, Summary!$J$2, 0)*'TV 1'!G63*'TV 1'!F63</f>
        <v>219.00337593990884</v>
      </c>
      <c r="I63" s="1"/>
    </row>
    <row r="64" spans="1:9">
      <c r="A64" s="1">
        <f t="shared" si="7"/>
        <v>2081</v>
      </c>
      <c r="B64" s="1">
        <f t="shared" si="2"/>
        <v>86</v>
      </c>
      <c r="C64" s="1">
        <v>62</v>
      </c>
      <c r="D64" s="1">
        <f>IF(Summary!$G$2="M",VLOOKUP(B:B,'male g'!A:V,IF(A64&gt;2033,22,MATCH(A64,'male g'!$A$1:$V$1,0)),FALSE),VLOOKUP(B:B,'female g'!A:V,IF(A64&gt;2033,22,MATCH(A64,'female g'!$A$1:$V$1,0)),FALSE))</f>
        <v>7.2903222964449149E-2</v>
      </c>
      <c r="E64" s="1">
        <f t="shared" si="0"/>
        <v>0.92709677703555082</v>
      </c>
      <c r="F64" s="1">
        <f t="shared" si="8"/>
        <v>0.49301564140301291</v>
      </c>
      <c r="G64" s="1">
        <f>1/(1+Summary!$O$2)^$C64</f>
        <v>4.855829818276123E-2</v>
      </c>
      <c r="H64" s="1">
        <f>IF(B64&gt;64, Summary!$J$2, 0)*'TV 1'!G64*'TV 1'!F64</f>
        <v>195.02449714559737</v>
      </c>
      <c r="I64" s="1"/>
    </row>
    <row r="65" spans="1:9">
      <c r="A65" s="1">
        <f t="shared" si="7"/>
        <v>2082</v>
      </c>
      <c r="B65" s="1">
        <f t="shared" si="2"/>
        <v>87</v>
      </c>
      <c r="C65" s="1">
        <v>63</v>
      </c>
      <c r="D65" s="1">
        <f>IF(Summary!$G$2="M",VLOOKUP(B:B,'male g'!A:V,IF(A65&gt;2033,22,MATCH(A65,'male g'!$A$1:$V$1,0)),FALSE),VLOOKUP(B:B,'female g'!A:V,IF(A65&gt;2033,22,MATCH(A65,'female g'!$A$1:$V$1,0)),FALSE))</f>
        <v>8.1848520672112443E-2</v>
      </c>
      <c r="E65" s="1">
        <f t="shared" si="0"/>
        <v>0.91815147932788754</v>
      </c>
      <c r="F65" s="1">
        <f t="shared" si="8"/>
        <v>0.45707321217284813</v>
      </c>
      <c r="G65" s="1">
        <f>1/(1+Summary!$O$2)^$C65</f>
        <v>4.6245998269296387E-2</v>
      </c>
      <c r="H65" s="1">
        <f>IF(B65&gt;64, Summary!$J$2, 0)*'TV 1'!G65*'TV 1'!F65</f>
        <v>172.19674547301162</v>
      </c>
      <c r="I65" s="1"/>
    </row>
    <row r="66" spans="1:9">
      <c r="A66" s="1">
        <f t="shared" si="7"/>
        <v>2083</v>
      </c>
      <c r="B66" s="1">
        <f t="shared" si="2"/>
        <v>88</v>
      </c>
      <c r="C66" s="1">
        <v>64</v>
      </c>
      <c r="D66" s="1">
        <f>IF(Summary!$G$2="M",VLOOKUP(B:B,'male g'!A:V,IF(A66&gt;2033,22,MATCH(A66,'male g'!$A$1:$V$1,0)),FALSE),VLOOKUP(B:B,'female g'!A:V,IF(A66&gt;2033,22,MATCH(A66,'female g'!$A$1:$V$1,0)),FALSE))</f>
        <v>9.1889133554378416E-2</v>
      </c>
      <c r="E66" s="1">
        <f t="shared" si="0"/>
        <v>0.90811086644562156</v>
      </c>
      <c r="F66" s="1">
        <f t="shared" si="8"/>
        <v>0.41966244591764995</v>
      </c>
      <c r="G66" s="1">
        <f>1/(1+Summary!$O$2)^$C66</f>
        <v>4.4043807875520369E-2</v>
      </c>
      <c r="H66" s="1">
        <f>IF(B66&gt;64, Summary!$J$2, 0)*'TV 1'!G66*'TV 1'!F66</f>
        <v>150.57399675380319</v>
      </c>
      <c r="I66" s="1"/>
    </row>
    <row r="67" spans="1:9">
      <c r="A67" s="1">
        <f t="shared" si="7"/>
        <v>2084</v>
      </c>
      <c r="B67" s="1">
        <f t="shared" si="2"/>
        <v>89</v>
      </c>
      <c r="C67" s="1">
        <v>65</v>
      </c>
      <c r="D67" s="1">
        <f>IF(Summary!$G$2="M",VLOOKUP(B:B,'male g'!A:V,IF(A67&gt;2033,22,MATCH(A67,'male g'!$A$1:$V$1,0)),FALSE),VLOOKUP(B:B,'female g'!A:V,IF(A67&gt;2033,22,MATCH(A67,'female g'!$A$1:$V$1,0)),FALSE))</f>
        <v>0.1031648969350115</v>
      </c>
      <c r="E67" s="1">
        <f t="shared" ref="E67:E98" si="9">1-D67</f>
        <v>0.89683510306498848</v>
      </c>
      <c r="F67" s="1">
        <f t="shared" si="8"/>
        <v>0.38110002737696591</v>
      </c>
      <c r="G67" s="1">
        <f>1/(1+Summary!$O$2)^$C67</f>
        <v>4.1946483690971779E-2</v>
      </c>
      <c r="H67" s="1">
        <f>IF(B67&gt;64, Summary!$J$2, 0)*'TV 1'!G67*'TV 1'!F67</f>
        <v>130.22655491073945</v>
      </c>
      <c r="I67" s="1"/>
    </row>
    <row r="68" spans="1:9">
      <c r="A68" s="1">
        <f t="shared" si="7"/>
        <v>2085</v>
      </c>
      <c r="B68" s="1">
        <f t="shared" ref="B68:B73" si="10">$B$2+C68</f>
        <v>90</v>
      </c>
      <c r="C68" s="1">
        <v>66</v>
      </c>
      <c r="D68" s="1">
        <f>IF(Summary!$G$2="M",VLOOKUP(B:B,'male g'!A:V,IF(A68&gt;2033,22,MATCH(A68,'male g'!$A$1:$V$1,0)),FALSE),VLOOKUP(B:B,'female g'!A:V,IF(A68&gt;2033,22,MATCH(A68,'female g'!$A$1:$V$1,0)),FALSE))</f>
        <v>0.11576084940657383</v>
      </c>
      <c r="E68" s="1">
        <f t="shared" si="9"/>
        <v>0.88423915059342617</v>
      </c>
      <c r="F68" s="1">
        <f t="shared" si="8"/>
        <v>0.34178388233069118</v>
      </c>
      <c r="G68" s="1">
        <f>1/(1+Summary!$O$2)^$C68</f>
        <v>3.9949032086639788E-2</v>
      </c>
      <c r="H68" s="1">
        <f>IF(B68&gt;64, Summary!$J$2, 0)*'TV 1'!G68*'TV 1'!F68</f>
        <v>111.23023409063943</v>
      </c>
      <c r="I68" s="1"/>
    </row>
    <row r="69" spans="1:9">
      <c r="A69" s="1">
        <f t="shared" si="7"/>
        <v>2086</v>
      </c>
      <c r="B69" s="1">
        <f t="shared" si="10"/>
        <v>91</v>
      </c>
      <c r="C69" s="1">
        <v>67</v>
      </c>
      <c r="D69" s="1">
        <f>IF(Summary!$G$2="M",VLOOKUP(B:B,'male g'!A:V,IF(A69&gt;2033,22,MATCH(A69,'male g'!$A$1:$V$1,0)),FALSE),VLOOKUP(B:B,'female g'!A:V,IF(A69&gt;2033,22,MATCH(A69,'female g'!$A$1:$V$1,0)),FALSE))</f>
        <v>0.12933245912292859</v>
      </c>
      <c r="E69" s="1">
        <f t="shared" si="9"/>
        <v>0.87066754087707143</v>
      </c>
      <c r="F69" s="1">
        <f t="shared" si="8"/>
        <v>0.30221868979861388</v>
      </c>
      <c r="G69" s="1">
        <f>1/(1+Summary!$O$2)^$C69</f>
        <v>3.8046697225371226E-2</v>
      </c>
      <c r="H69" s="1">
        <f>IF(B69&gt;64, Summary!$J$2, 0)*'TV 1'!G69*'TV 1'!F69</f>
        <v>93.670597821538067</v>
      </c>
      <c r="I69" s="1"/>
    </row>
    <row r="70" spans="1:9">
      <c r="A70" s="1">
        <f t="shared" si="7"/>
        <v>2087</v>
      </c>
      <c r="B70" s="1">
        <f t="shared" si="10"/>
        <v>92</v>
      </c>
      <c r="C70" s="1">
        <v>68</v>
      </c>
      <c r="D70" s="1">
        <f>IF(Summary!$G$2="M",VLOOKUP(B:B,'male g'!A:V,IF(A70&gt;2033,22,MATCH(A70,'male g'!$A$1:$V$1,0)),FALSE),VLOOKUP(B:B,'female g'!A:V,IF(A70&gt;2033,22,MATCH(A70,'female g'!$A$1:$V$1,0)),FALSE))</f>
        <v>0.14348300858520585</v>
      </c>
      <c r="E70" s="1">
        <f t="shared" si="9"/>
        <v>0.85651699141479409</v>
      </c>
      <c r="F70" s="1">
        <f t="shared" si="8"/>
        <v>0.26313200345404963</v>
      </c>
      <c r="G70" s="1">
        <f>1/(1+Summary!$O$2)^$C70</f>
        <v>3.6234949738448791E-2</v>
      </c>
      <c r="H70" s="1">
        <f>IF(B70&gt;64, Summary!$J$2, 0)*'TV 1'!G70*'TV 1'!F70</f>
        <v>77.672332435965444</v>
      </c>
      <c r="I70" s="1"/>
    </row>
    <row r="71" spans="1:9">
      <c r="A71" s="1">
        <f t="shared" si="7"/>
        <v>2088</v>
      </c>
      <c r="B71" s="1">
        <f t="shared" si="10"/>
        <v>93</v>
      </c>
      <c r="C71" s="1">
        <v>69</v>
      </c>
      <c r="D71" s="1">
        <f>IF(Summary!$G$2="M",VLOOKUP(B:B,'male g'!A:V,IF(A71&gt;2033,22,MATCH(A71,'male g'!$A$1:$V$1,0)),FALSE),VLOOKUP(B:B,'female g'!A:V,IF(A71&gt;2033,22,MATCH(A71,'female g'!$A$1:$V$1,0)),FALSE))</f>
        <v>0.15808258232710681</v>
      </c>
      <c r="E71" s="1">
        <f t="shared" si="9"/>
        <v>0.84191741767289319</v>
      </c>
      <c r="F71" s="1">
        <f t="shared" si="8"/>
        <v>0.2253770319434098</v>
      </c>
      <c r="G71" s="1">
        <f>1/(1+Summary!$O$2)^$C71</f>
        <v>3.4509475941379798E-2</v>
      </c>
      <c r="H71" s="1">
        <f>IF(B71&gt;64, Summary!$J$2, 0)*'TV 1'!G71*'TV 1'!F71</f>
        <v>63.359688089736046</v>
      </c>
      <c r="I71" s="1"/>
    </row>
    <row r="72" spans="1:9">
      <c r="A72" s="1">
        <f t="shared" si="7"/>
        <v>2089</v>
      </c>
      <c r="B72" s="1">
        <f t="shared" si="10"/>
        <v>94</v>
      </c>
      <c r="C72" s="1">
        <v>70</v>
      </c>
      <c r="D72" s="1">
        <f>IF(Summary!$G$2="M",VLOOKUP(B:B,'male g'!A:V,IF(A72&gt;2033,22,MATCH(A72,'male g'!$A$1:$V$1,0)),FALSE),VLOOKUP(B:B,'female g'!A:V,IF(A72&gt;2033,22,MATCH(A72,'female g'!$A$1:$V$1,0)),FALSE))</f>
        <v>0.17308956870926934</v>
      </c>
      <c r="E72" s="1">
        <f t="shared" si="9"/>
        <v>0.82691043129073072</v>
      </c>
      <c r="F72" s="1">
        <f t="shared" si="8"/>
        <v>0.18974884873657674</v>
      </c>
      <c r="G72" s="1">
        <f>1/(1+Summary!$O$2)^$C72</f>
        <v>3.2866167563218862E-2</v>
      </c>
      <c r="H72" s="1">
        <f>IF(B72&gt;64, Summary!$J$2, 0)*'TV 1'!G72*'TV 1'!F72</f>
        <v>50.803452362924332</v>
      </c>
      <c r="I72" s="1"/>
    </row>
    <row r="73" spans="1:9">
      <c r="A73" s="1">
        <f t="shared" si="7"/>
        <v>2090</v>
      </c>
      <c r="B73" s="1">
        <f t="shared" si="10"/>
        <v>95</v>
      </c>
      <c r="C73" s="1">
        <v>71</v>
      </c>
      <c r="D73" s="1">
        <f>IF(Summary!$G$2="M",VLOOKUP(B:B,'male g'!A:V,IF(A73&gt;2033,22,MATCH(A73,'male g'!$A$1:$V$1,0)),FALSE),VLOOKUP(B:B,'female g'!A:V,IF(A73&gt;2033,22,MATCH(A73,'female g'!$A$1:$V$1,0)),FALSE))</f>
        <v>0.1884638420447376</v>
      </c>
      <c r="E73" s="1">
        <f t="shared" si="9"/>
        <v>0.81153615795526246</v>
      </c>
      <c r="F73" s="1">
        <f t="shared" si="8"/>
        <v>0.15690530234568228</v>
      </c>
      <c r="G73" s="1">
        <f>1/(1+Summary!$O$2)^$C73</f>
        <v>3.1301111964970339E-2</v>
      </c>
      <c r="H73" s="1">
        <f>IF(B73&gt;64, Summary!$J$2, 0)*'TV 1'!G73*'TV 1'!F73</f>
        <v>40.009433051889374</v>
      </c>
      <c r="I73" s="1"/>
    </row>
    <row r="74" spans="1:9">
      <c r="A74" s="1">
        <f>$A$2+C74</f>
        <v>2091</v>
      </c>
      <c r="B74" s="1">
        <f>$B$2+C74</f>
        <v>96</v>
      </c>
      <c r="C74" s="1">
        <v>72</v>
      </c>
      <c r="D74" s="1">
        <f>IF(Summary!$G$2="M",VLOOKUP(B:B,'male g'!A:V,IF(A74&gt;2033,22,MATCH(A74,'male g'!$A$1:$V$1,0)),FALSE),VLOOKUP(B:B,'female g'!A:V,IF(A74&gt;2033,22,MATCH(A74,'female g'!$A$1:$V$1,0)),FALSE))</f>
        <v>0.20546988897968524</v>
      </c>
      <c r="E74" s="1">
        <f t="shared" si="9"/>
        <v>0.79453011102031479</v>
      </c>
      <c r="F74" s="1">
        <f t="shared" si="8"/>
        <v>0.12733432622842383</v>
      </c>
      <c r="G74" s="1">
        <f>1/(1+Summary!$O$2)^$C74</f>
        <v>2.9810582823781274E-2</v>
      </c>
      <c r="H74" s="1">
        <f>IF(B74&gt;64, Summary!$J$2, 0)*'TV 1'!G74*'TV 1'!F74</f>
        <v>30.922953886570088</v>
      </c>
      <c r="I74" s="1"/>
    </row>
    <row r="75" spans="1:9">
      <c r="A75" s="1">
        <f t="shared" ref="A75:A93" si="11">$A$2+C75</f>
        <v>2092</v>
      </c>
      <c r="B75" s="1">
        <f t="shared" ref="B75:B93" si="12">$B$2+C75</f>
        <v>97</v>
      </c>
      <c r="C75" s="1">
        <v>73</v>
      </c>
      <c r="D75" s="1">
        <f>IF(Summary!$G$2="M",VLOOKUP(B:B,'male g'!A:V,IF(A75&gt;2033,22,MATCH(A75,'male g'!$A$1:$V$1,0)),FALSE),VLOOKUP(B:B,'female g'!A:V,IF(A75&gt;2033,22,MATCH(A75,'female g'!$A$1:$V$1,0)),FALSE))</f>
        <v>0.22317315569892124</v>
      </c>
      <c r="E75" s="1">
        <f t="shared" si="9"/>
        <v>0.77682684430107873</v>
      </c>
      <c r="F75" s="1">
        <f t="shared" si="8"/>
        <v>0.10117095635496656</v>
      </c>
      <c r="G75" s="1">
        <f>1/(1+Summary!$O$2)^$C75</f>
        <v>2.8391031260744073E-2</v>
      </c>
      <c r="H75" s="1">
        <f>IF(B75&gt;64, Summary!$J$2, 0)*'TV 1'!G75*'TV 1'!F75</f>
        <v>23.399255223402481</v>
      </c>
      <c r="I75" s="1"/>
    </row>
    <row r="76" spans="1:9">
      <c r="A76" s="1">
        <f t="shared" si="11"/>
        <v>2093</v>
      </c>
      <c r="B76" s="1">
        <f t="shared" si="12"/>
        <v>98</v>
      </c>
      <c r="C76" s="1">
        <v>74</v>
      </c>
      <c r="D76" s="1">
        <f>IF(Summary!$G$2="M",VLOOKUP(B:B,'male g'!A:V,IF(A76&gt;2033,22,MATCH(A76,'male g'!$A$1:$V$1,0)),FALSE),VLOOKUP(B:B,'female g'!A:V,IF(A76&gt;2033,22,MATCH(A76,'female g'!$A$1:$V$1,0)),FALSE))</f>
        <v>0.2417371960764223</v>
      </c>
      <c r="E76" s="1">
        <f t="shared" si="9"/>
        <v>0.7582628039235777</v>
      </c>
      <c r="F76" s="1">
        <f t="shared" si="8"/>
        <v>7.8592314760150842E-2</v>
      </c>
      <c r="G76" s="1">
        <f>1/(1+Summary!$O$2)^$C76</f>
        <v>2.7039077391184833E-2</v>
      </c>
      <c r="H76" s="1">
        <f>IF(B76&gt;64, Summary!$J$2, 0)*'TV 1'!G76*'TV 1'!F76</f>
        <v>17.311590089705984</v>
      </c>
      <c r="I76" s="1"/>
    </row>
    <row r="77" spans="1:9">
      <c r="A77" s="1">
        <f t="shared" si="11"/>
        <v>2094</v>
      </c>
      <c r="B77" s="1">
        <f t="shared" si="12"/>
        <v>99</v>
      </c>
      <c r="C77" s="1">
        <v>75</v>
      </c>
      <c r="D77" s="1">
        <f>IF(Summary!$G$2="M",VLOOKUP(B:B,'male g'!A:V,IF(A77&gt;2033,22,MATCH(A77,'male g'!$A$1:$V$1,0)),FALSE),VLOOKUP(B:B,'female g'!A:V,IF(A77&gt;2033,22,MATCH(A77,'female g'!$A$1:$V$1,0)),FALSE))</f>
        <v>0.26102364427750568</v>
      </c>
      <c r="E77" s="1">
        <f t="shared" si="9"/>
        <v>0.73897635572249432</v>
      </c>
      <c r="F77" s="1">
        <f t="shared" si="8"/>
        <v>5.9593628956876359E-2</v>
      </c>
      <c r="G77" s="1">
        <f>1/(1+Summary!$O$2)^$C77</f>
        <v>2.5751502277318886E-2</v>
      </c>
      <c r="H77" s="1">
        <f>IF(B77&gt;64, Summary!$J$2, 0)*'TV 1'!G77*'TV 1'!F77</f>
        <v>12.50165223028198</v>
      </c>
      <c r="I77" s="1"/>
    </row>
    <row r="78" spans="1:9">
      <c r="A78" s="1">
        <f t="shared" si="11"/>
        <v>2095</v>
      </c>
      <c r="B78" s="1">
        <f t="shared" si="12"/>
        <v>100</v>
      </c>
      <c r="C78" s="1">
        <v>76</v>
      </c>
      <c r="D78" s="1">
        <f>IF(Summary!$G$2="M",VLOOKUP(B:B,'male g'!A:V,IF(A78&gt;2033,22,MATCH(A78,'male g'!$A$1:$V$1,0)),FALSE),VLOOKUP(B:B,'female g'!A:V,IF(A78&gt;2033,22,MATCH(A78,'female g'!$A$1:$V$1,0)),FALSE))</f>
        <v>0.2809127683704345</v>
      </c>
      <c r="E78" s="1">
        <f t="shared" si="9"/>
        <v>0.71908723162956556</v>
      </c>
      <c r="F78" s="1">
        <f t="shared" si="8"/>
        <v>4.4038282750831E-2</v>
      </c>
      <c r="G78" s="1">
        <f>1/(1+Summary!$O$2)^$C78</f>
        <v>2.4525240264113228E-2</v>
      </c>
      <c r="H78" s="1">
        <f>IF(B78&gt;64, Summary!$J$2, 0)*'TV 1'!G78*'TV 1'!F78</f>
        <v>8.7985003863274009</v>
      </c>
      <c r="I78" s="1"/>
    </row>
    <row r="79" spans="1:9">
      <c r="A79" s="1">
        <f t="shared" si="11"/>
        <v>2096</v>
      </c>
      <c r="B79" s="1">
        <f t="shared" si="12"/>
        <v>101</v>
      </c>
      <c r="C79" s="1">
        <v>77</v>
      </c>
      <c r="D79" s="1">
        <f>IF(Summary!$G$2="M",VLOOKUP(B:B,'male g'!A:V,IF(A79&gt;2033,22,MATCH(A79,'male g'!$A$1:$V$1,0)),FALSE),VLOOKUP(B:B,'female g'!A:V,IF(A79&gt;2033,22,MATCH(A79,'female g'!$A$1:$V$1,0)),FALSE))</f>
        <v>0.30146810411089092</v>
      </c>
      <c r="E79" s="1">
        <f t="shared" si="9"/>
        <v>0.69853189588910913</v>
      </c>
      <c r="F79" s="1">
        <f t="shared" si="8"/>
        <v>3.1667366829015116E-2</v>
      </c>
      <c r="G79" s="1">
        <f>1/(1+Summary!$O$2)^$C79</f>
        <v>2.3357371680107829E-2</v>
      </c>
      <c r="H79" s="1">
        <f>IF(B79&gt;64, Summary!$J$2, 0)*'TV 1'!G79*'TV 1'!F79</f>
        <v>6.0256088431388886</v>
      </c>
      <c r="I79" s="1"/>
    </row>
    <row r="80" spans="1:9">
      <c r="A80" s="1">
        <f t="shared" si="11"/>
        <v>2097</v>
      </c>
      <c r="B80" s="1">
        <f t="shared" si="12"/>
        <v>102</v>
      </c>
      <c r="C80" s="1">
        <v>78</v>
      </c>
      <c r="D80" s="1">
        <f>IF(Summary!$G$2="M",VLOOKUP(B:B,'male g'!A:V,IF(A80&gt;2033,22,MATCH(A80,'male g'!$A$1:$V$1,0)),FALSE),VLOOKUP(B:B,'female g'!A:V,IF(A80&gt;2033,22,MATCH(A80,'female g'!$A$1:$V$1,0)),FALSE))</f>
        <v>0.32206565548145499</v>
      </c>
      <c r="E80" s="1">
        <f t="shared" si="9"/>
        <v>0.67793434451854506</v>
      </c>
      <c r="F80" s="1">
        <f t="shared" si="8"/>
        <v>2.2120665788887814E-2</v>
      </c>
      <c r="G80" s="1">
        <f>1/(1+Summary!$O$2)^$C80</f>
        <v>2.2245115885816989E-2</v>
      </c>
      <c r="H80" s="1">
        <f>IF(B80&gt;64, Summary!$J$2, 0)*'TV 1'!G80*'TV 1'!F80</f>
        <v>4.0086475896038012</v>
      </c>
      <c r="I80" s="1"/>
    </row>
    <row r="81" spans="1:9">
      <c r="A81" s="1">
        <f t="shared" si="11"/>
        <v>2098</v>
      </c>
      <c r="B81" s="1">
        <f t="shared" si="12"/>
        <v>103</v>
      </c>
      <c r="C81" s="1">
        <v>79</v>
      </c>
      <c r="D81" s="1">
        <f>IF(Summary!$G$2="M",VLOOKUP(B:B,'male g'!A:V,IF(A81&gt;2033,22,MATCH(A81,'male g'!$A$1:$V$1,0)),FALSE),VLOOKUP(B:B,'female g'!A:V,IF(A81&gt;2033,22,MATCH(A81,'female g'!$A$1:$V$1,0)),FALSE))</f>
        <v>0.3427697952313476</v>
      </c>
      <c r="E81" s="1">
        <f t="shared" si="9"/>
        <v>0.65723020476865246</v>
      </c>
      <c r="F81" s="1">
        <f t="shared" si="8"/>
        <v>1.4996359061903464E-2</v>
      </c>
      <c r="G81" s="1">
        <f>1/(1+Summary!$O$2)^$C81</f>
        <v>2.1185824653159029E-2</v>
      </c>
      <c r="H81" s="1">
        <f>IF(B81&gt;64, Summary!$J$2, 0)*'TV 1'!G81*'TV 1'!F81</f>
        <v>2.5881903581560928</v>
      </c>
      <c r="I81" s="1"/>
    </row>
    <row r="82" spans="1:9">
      <c r="A82" s="1">
        <f t="shared" si="11"/>
        <v>2099</v>
      </c>
      <c r="B82" s="1">
        <f t="shared" si="12"/>
        <v>104</v>
      </c>
      <c r="C82" s="1">
        <v>80</v>
      </c>
      <c r="D82" s="1">
        <f>IF(Summary!$G$2="M",VLOOKUP(B:B,'male g'!A:V,IF(A82&gt;2033,22,MATCH(A82,'male g'!$A$1:$V$1,0)),FALSE),VLOOKUP(B:B,'female g'!A:V,IF(A82&gt;2033,22,MATCH(A82,'female g'!$A$1:$V$1,0)),FALSE))</f>
        <v>0.36312182573243618</v>
      </c>
      <c r="E82" s="1">
        <f t="shared" si="9"/>
        <v>0.63687817426756377</v>
      </c>
      <c r="F82" s="1">
        <f t="shared" si="8"/>
        <v>9.8560601370390501E-3</v>
      </c>
      <c r="G82" s="1">
        <f>1/(1+Summary!$O$2)^$C82</f>
        <v>2.0176975860151457E-2</v>
      </c>
      <c r="H82" s="1">
        <f>IF(B82&gt;64, Summary!$J$2, 0)*'TV 1'!G82*'TV 1'!F82</f>
        <v>1.6200351229249341</v>
      </c>
      <c r="I82" s="1"/>
    </row>
    <row r="83" spans="1:9">
      <c r="A83" s="1">
        <f t="shared" si="11"/>
        <v>2100</v>
      </c>
      <c r="B83" s="1">
        <f t="shared" si="12"/>
        <v>105</v>
      </c>
      <c r="C83" s="1">
        <v>81</v>
      </c>
      <c r="D83" s="1">
        <f>IF(Summary!$G$2="M",VLOOKUP(B:B,'male g'!A:V,IF(A83&gt;2033,22,MATCH(A83,'male g'!$A$1:$V$1,0)),FALSE),VLOOKUP(B:B,'female g'!A:V,IF(A83&gt;2033,22,MATCH(A83,'female g'!$A$1:$V$1,0)),FALSE))</f>
        <v>0.38340857179772014</v>
      </c>
      <c r="E83" s="1">
        <f t="shared" si="9"/>
        <v>0.61659142820227986</v>
      </c>
      <c r="F83" s="1">
        <f t="shared" si="8"/>
        <v>6.2771095855487444E-3</v>
      </c>
      <c r="G83" s="1">
        <f>1/(1+Summary!$O$2)^$C83</f>
        <v>1.9216167485858526E-2</v>
      </c>
      <c r="H83" s="1">
        <f>IF(B83&gt;64, Summary!$J$2, 0)*'TV 1'!G83*'TV 1'!F83</f>
        <v>0.98263334413120007</v>
      </c>
      <c r="I83" s="1"/>
    </row>
    <row r="84" spans="1:9">
      <c r="A84" s="1">
        <f t="shared" si="11"/>
        <v>2101</v>
      </c>
      <c r="B84" s="1">
        <f t="shared" si="12"/>
        <v>106</v>
      </c>
      <c r="C84" s="1">
        <v>82</v>
      </c>
      <c r="D84" s="1">
        <f>IF(Summary!$G$2="M",VLOOKUP(B:B,'male g'!A:V,IF(A84&gt;2033,22,MATCH(A84,'male g'!$A$1:$V$1,0)),FALSE),VLOOKUP(B:B,'female g'!A:V,IF(A84&gt;2033,22,MATCH(A84,'female g'!$A$1:$V$1,0)),FALSE))</f>
        <v>0.4032562438470747</v>
      </c>
      <c r="E84" s="1">
        <f t="shared" si="9"/>
        <v>0.5967437561529253</v>
      </c>
      <c r="F84" s="1">
        <f t="shared" si="8"/>
        <v>3.8704119643357213E-3</v>
      </c>
      <c r="G84" s="1">
        <f>1/(1+Summary!$O$2)^$C84</f>
        <v>1.8301111891293836E-2</v>
      </c>
      <c r="H84" s="1">
        <f>IF(B84&gt;64, Summary!$J$2, 0)*'TV 1'!G84*'TV 1'!F84</f>
        <v>0.57703171148289423</v>
      </c>
      <c r="I84" s="1"/>
    </row>
    <row r="85" spans="1:9">
      <c r="A85" s="1">
        <f t="shared" si="11"/>
        <v>2102</v>
      </c>
      <c r="B85" s="1">
        <f t="shared" si="12"/>
        <v>107</v>
      </c>
      <c r="C85" s="1">
        <v>83</v>
      </c>
      <c r="D85" s="1">
        <f>IF(Summary!$G$2="M",VLOOKUP(B:B,'male g'!A:V,IF(A85&gt;2033,22,MATCH(A85,'male g'!$A$1:$V$1,0)),FALSE),VLOOKUP(B:B,'female g'!A:V,IF(A85&gt;2033,22,MATCH(A85,'female g'!$A$1:$V$1,0)),FALSE))</f>
        <v>0.42246723803499708</v>
      </c>
      <c r="E85" s="1">
        <f t="shared" si="9"/>
        <v>0.57753276196500292</v>
      </c>
      <c r="F85" s="1">
        <f t="shared" si="8"/>
        <v>2.3096441734569203E-3</v>
      </c>
      <c r="G85" s="1">
        <f>1/(1+Summary!$O$2)^$C85</f>
        <v>1.7429630372660796E-2</v>
      </c>
      <c r="H85" s="1">
        <f>IF(B85&gt;64, Summary!$J$2, 0)*'TV 1'!G85*'TV 1'!F85</f>
        <v>0.32794292469490799</v>
      </c>
      <c r="I85" s="1"/>
    </row>
    <row r="86" spans="1:9">
      <c r="A86" s="1">
        <f t="shared" si="11"/>
        <v>2103</v>
      </c>
      <c r="B86" s="1">
        <f t="shared" si="12"/>
        <v>108</v>
      </c>
      <c r="C86" s="1">
        <v>84</v>
      </c>
      <c r="D86" s="1">
        <f>IF(Summary!$G$2="M",VLOOKUP(B:B,'male g'!A:V,IF(A86&gt;2033,22,MATCH(A86,'male g'!$A$1:$V$1,0)),FALSE),VLOOKUP(B:B,'female g'!A:V,IF(A86&gt;2033,22,MATCH(A86,'female g'!$A$1:$V$1,0)),FALSE))</f>
        <v>0.44119749280646176</v>
      </c>
      <c r="E86" s="1">
        <f t="shared" si="9"/>
        <v>0.5588025071935383</v>
      </c>
      <c r="F86" s="1">
        <f t="shared" si="8"/>
        <v>1.3338951786529515E-3</v>
      </c>
      <c r="G86" s="1">
        <f>1/(1+Summary!$O$2)^$C86</f>
        <v>1.6599647973962663E-2</v>
      </c>
      <c r="H86" s="1">
        <f>IF(B86&gt;64, Summary!$J$2, 0)*'TV 1'!G86*'TV 1'!F86</f>
        <v>0.18037884101517254</v>
      </c>
      <c r="I86" s="1"/>
    </row>
    <row r="87" spans="1:9">
      <c r="A87" s="1">
        <f t="shared" si="11"/>
        <v>2104</v>
      </c>
      <c r="B87" s="1">
        <f t="shared" si="12"/>
        <v>109</v>
      </c>
      <c r="C87" s="1">
        <v>85</v>
      </c>
      <c r="D87" s="1">
        <f>IF(Summary!$G$2="M",VLOOKUP(B:B,'male g'!A:V,IF(A87&gt;2033,22,MATCH(A87,'male g'!$A$1:$V$1,0)),FALSE),VLOOKUP(B:B,'female g'!A:V,IF(A87&gt;2033,22,MATCH(A87,'female g'!$A$1:$V$1,0)),FALSE))</f>
        <v>0.45907299166148602</v>
      </c>
      <c r="E87" s="1">
        <f t="shared" si="9"/>
        <v>0.54092700833851404</v>
      </c>
      <c r="F87" s="1">
        <f t="shared" si="8"/>
        <v>7.4538397016464194E-4</v>
      </c>
      <c r="G87" s="1">
        <f>1/(1+Summary!$O$2)^$C87</f>
        <v>1.580918854663111E-2</v>
      </c>
      <c r="H87" s="1">
        <f>IF(B87&gt;64, Summary!$J$2, 0)*'TV 1'!G87*'TV 1'!F87</f>
        <v>9.5996332003755305E-2</v>
      </c>
      <c r="I87" s="1"/>
    </row>
    <row r="88" spans="1:9">
      <c r="A88" s="1">
        <f t="shared" si="11"/>
        <v>2105</v>
      </c>
      <c r="B88" s="1">
        <f t="shared" si="12"/>
        <v>110</v>
      </c>
      <c r="C88" s="1">
        <v>86</v>
      </c>
      <c r="D88" s="1">
        <f>IF(Summary!$G$2="M",VLOOKUP(B:B,'male g'!A:V,IF(A88&gt;2033,22,MATCH(A88,'male g'!$A$1:$V$1,0)),FALSE),VLOOKUP(B:B,'female g'!A:V,IF(A88&gt;2033,22,MATCH(A88,'female g'!$A$1:$V$1,0)),FALSE))</f>
        <v>0.47644967979565578</v>
      </c>
      <c r="E88" s="1">
        <f t="shared" si="9"/>
        <v>0.52355032020434422</v>
      </c>
      <c r="F88" s="1">
        <f t="shared" si="8"/>
        <v>4.0319832104464395E-4</v>
      </c>
      <c r="G88" s="1">
        <f>1/(1+Summary!$O$2)^$C88</f>
        <v>1.5056370044410581E-2</v>
      </c>
      <c r="H88" s="1">
        <f>IF(B88&gt;64, Summary!$J$2, 0)*'TV 1'!G88*'TV 1'!F88</f>
        <v>4.9454293983106766E-2</v>
      </c>
      <c r="I88" s="1"/>
    </row>
    <row r="89" spans="1:9">
      <c r="A89" s="1">
        <f t="shared" si="11"/>
        <v>2106</v>
      </c>
      <c r="B89" s="1">
        <f t="shared" si="12"/>
        <v>111</v>
      </c>
      <c r="C89" s="1">
        <v>87</v>
      </c>
      <c r="D89" s="1">
        <f>IF(Summary!$G$2="M",VLOOKUP(B:B,'male g'!A:V,IF(A89&gt;2033,22,MATCH(A89,'male g'!$A$1:$V$1,0)),FALSE),VLOOKUP(B:B,'female g'!A:V,IF(A89&gt;2033,22,MATCH(A89,'female g'!$A$1:$V$1,0)),FALSE))</f>
        <v>0.48540620500607778</v>
      </c>
      <c r="E89" s="1">
        <f t="shared" si="9"/>
        <v>0.51459379499392222</v>
      </c>
      <c r="F89" s="1">
        <f t="shared" si="8"/>
        <v>2.1109461008877732E-4</v>
      </c>
      <c r="G89" s="1">
        <f>1/(1+Summary!$O$2)^$C89</f>
        <v>1.4339400042295789E-2</v>
      </c>
      <c r="H89" s="1">
        <f>IF(B89&gt;64, Summary!$J$2, 0)*'TV 1'!G89*'TV 1'!F89</f>
        <v>2.4658868047938397E-2</v>
      </c>
      <c r="I89" s="1"/>
    </row>
    <row r="90" spans="1:9">
      <c r="A90" s="1">
        <f t="shared" si="11"/>
        <v>2107</v>
      </c>
      <c r="B90" s="1">
        <f t="shared" si="12"/>
        <v>112</v>
      </c>
      <c r="C90" s="1">
        <v>88</v>
      </c>
      <c r="D90" s="1">
        <f>IF(Summary!$G$2="M",VLOOKUP(B:B,'male g'!A:V,IF(A90&gt;2033,22,MATCH(A90,'male g'!$A$1:$V$1,0)),FALSE),VLOOKUP(B:B,'female g'!A:V,IF(A90&gt;2033,22,MATCH(A90,'female g'!$A$1:$V$1,0)),FALSE))</f>
        <v>0.48906519527204906</v>
      </c>
      <c r="E90" s="1">
        <f t="shared" si="9"/>
        <v>0.51093480472795094</v>
      </c>
      <c r="F90" s="1">
        <f t="shared" si="8"/>
        <v>1.0862797650834622E-4</v>
      </c>
      <c r="G90" s="1">
        <f>1/(1+Summary!$O$2)^$C90</f>
        <v>1.3656571468853134E-2</v>
      </c>
      <c r="H90" s="1">
        <f>IF(B90&gt;64, Summary!$J$2, 0)*'TV 1'!G90*'TV 1'!F90</f>
        <v>1.2085048084802852E-2</v>
      </c>
      <c r="I90" s="1"/>
    </row>
    <row r="91" spans="1:9">
      <c r="A91" s="1">
        <f t="shared" si="11"/>
        <v>2108</v>
      </c>
      <c r="B91" s="1">
        <f t="shared" si="12"/>
        <v>113</v>
      </c>
      <c r="C91" s="1">
        <v>89</v>
      </c>
      <c r="D91" s="1">
        <f>IF(Summary!$G$2="M",VLOOKUP(B:B,'male g'!A:V,IF(A91&gt;2033,22,MATCH(A91,'male g'!$A$1:$V$1,0)),FALSE),VLOOKUP(B:B,'female g'!A:V,IF(A91&gt;2033,22,MATCH(A91,'female g'!$A$1:$V$1,0)),FALSE))</f>
        <v>0.49265177497129853</v>
      </c>
      <c r="E91" s="1">
        <f t="shared" si="9"/>
        <v>0.50734822502870147</v>
      </c>
      <c r="F91" s="1">
        <f t="shared" si="8"/>
        <v>5.5501813965284317E-5</v>
      </c>
      <c r="G91" s="1">
        <f>1/(1+Summary!$O$2)^$C91</f>
        <v>1.3006258541764888E-2</v>
      </c>
      <c r="H91" s="1">
        <f>IF(B91&gt;64, Summary!$J$2, 0)*'TV 1'!G91*'TV 1'!F91</f>
        <v>5.8806396984158486E-3</v>
      </c>
      <c r="I91" s="1"/>
    </row>
    <row r="92" spans="1:9">
      <c r="A92" s="1">
        <f t="shared" si="11"/>
        <v>2109</v>
      </c>
      <c r="B92" s="1">
        <f t="shared" si="12"/>
        <v>114</v>
      </c>
      <c r="C92" s="1">
        <v>90</v>
      </c>
      <c r="D92" s="1">
        <f>IF(Summary!$G$2="M",VLOOKUP(B:B,'male g'!A:V,IF(A92&gt;2033,22,MATCH(A92,'male g'!$A$1:$V$1,0)),FALSE),VLOOKUP(B:B,'female g'!A:V,IF(A92&gt;2033,22,MATCH(A92,'female g'!$A$1:$V$1,0)),FALSE))</f>
        <v>0.49631296624312721</v>
      </c>
      <c r="E92" s="1">
        <f t="shared" si="9"/>
        <v>0.50368703375687285</v>
      </c>
      <c r="F92" s="1">
        <f t="shared" si="8"/>
        <v>2.8158746801160192E-5</v>
      </c>
      <c r="G92" s="1">
        <f>1/(1+Summary!$O$2)^$C92</f>
        <v>1.2386912896918942E-2</v>
      </c>
      <c r="H92" s="1">
        <f>IF(B92&gt;64, Summary!$J$2, 0)*'TV 1'!G92*'TV 1'!F92</f>
        <v>2.841459155261523E-3</v>
      </c>
      <c r="I92" s="1"/>
    </row>
    <row r="93" spans="1:9">
      <c r="A93" s="1">
        <f t="shared" si="11"/>
        <v>2110</v>
      </c>
      <c r="B93" s="1">
        <f t="shared" si="12"/>
        <v>115</v>
      </c>
      <c r="C93" s="1">
        <v>91</v>
      </c>
      <c r="D93" s="1">
        <f>IF(Summary!$G$2="M",VLOOKUP(B:B,'male g'!A:V,IF(A93&gt;2033,22,MATCH(A93,'male g'!$A$1:$V$1,0)),FALSE),VLOOKUP(B:B,'female g'!A:V,IF(A93&gt;2033,22,MATCH(A93,'female g'!$A$1:$V$1,0)),FALSE))</f>
        <v>0.5</v>
      </c>
      <c r="E93" s="1">
        <f t="shared" si="9"/>
        <v>0.5</v>
      </c>
      <c r="F93" s="1">
        <f t="shared" si="8"/>
        <v>1.4183195650587209E-5</v>
      </c>
      <c r="G93" s="1">
        <f>1/(1+Summary!$O$2)^$C93</f>
        <v>1.1797059901827561E-2</v>
      </c>
      <c r="H93" s="1">
        <f>IF(B93&gt;64, Summary!$J$2, 0)*'TV 1'!G93*'TV 1'!F93</f>
        <v>1.3630534604333196E-3</v>
      </c>
      <c r="I93" s="1"/>
    </row>
    <row r="94" spans="1:9">
      <c r="A94" s="1">
        <f>$A$2+C94</f>
        <v>2111</v>
      </c>
      <c r="B94" s="1">
        <f>$B$2+C94</f>
        <v>116</v>
      </c>
      <c r="C94" s="1">
        <v>92</v>
      </c>
      <c r="D94" s="1">
        <f>IF(Summary!$G$2="M",VLOOKUP(B:B,'male g'!A:V,IF(A94&gt;2033,22,MATCH(A94,'male g'!$A$1:$V$1,0)),FALSE),VLOOKUP(B:B,'female g'!A:V,IF(A94&gt;2033,22,MATCH(A94,'female g'!$A$1:$V$1,0)),FALSE))</f>
        <v>0.5</v>
      </c>
      <c r="E94" s="1">
        <f t="shared" si="9"/>
        <v>0.5</v>
      </c>
      <c r="F94" s="1">
        <f t="shared" si="8"/>
        <v>7.0915978252936045E-6</v>
      </c>
      <c r="G94" s="1">
        <f>1/(1+Summary!$O$2)^$C94</f>
        <v>1.123529514459768E-2</v>
      </c>
      <c r="H94" s="1">
        <f>IF(B94&gt;64, Summary!$J$2, 0)*'TV 1'!G94*'TV 1'!F94</f>
        <v>6.4907307639681911E-4</v>
      </c>
      <c r="I94" s="1"/>
    </row>
    <row r="95" spans="1:9">
      <c r="A95" s="1">
        <f>$A$2+C95</f>
        <v>2112</v>
      </c>
      <c r="B95" s="1">
        <f>$B$2+C95</f>
        <v>117</v>
      </c>
      <c r="C95" s="1">
        <v>93</v>
      </c>
      <c r="D95" s="1">
        <f>IF(Summary!$G$2="M",VLOOKUP(B:B,'male g'!A:V,IF(A95&gt;2033,22,MATCH(A95,'male g'!$A$1:$V$1,0)),FALSE),VLOOKUP(B:B,'female g'!A:V,IF(A95&gt;2033,22,MATCH(A95,'female g'!$A$1:$V$1,0)),FALSE))</f>
        <v>0.5</v>
      </c>
      <c r="E95" s="1">
        <f t="shared" si="9"/>
        <v>0.5</v>
      </c>
      <c r="F95" s="1">
        <f t="shared" si="8"/>
        <v>3.5457989126468023E-6</v>
      </c>
      <c r="G95" s="1">
        <f>1/(1+Summary!$O$2)^$C95</f>
        <v>1.0700281090093026E-2</v>
      </c>
      <c r="H95" s="1">
        <f>IF(B95&gt;64, Summary!$J$2, 0)*'TV 1'!G95*'TV 1'!F95</f>
        <v>3.0908241733181854E-4</v>
      </c>
      <c r="I95" s="1"/>
    </row>
    <row r="96" spans="1:9">
      <c r="A96" s="1">
        <f>$A$2+C96</f>
        <v>2113</v>
      </c>
      <c r="B96" s="1">
        <f>$B$2+C96</f>
        <v>118</v>
      </c>
      <c r="C96" s="1">
        <v>94</v>
      </c>
      <c r="D96" s="1">
        <f>IF(Summary!$G$2="M",VLOOKUP(B:B,'male g'!A:V,IF(A96&gt;2033,22,MATCH(A96,'male g'!$A$1:$V$1,0)),FALSE),VLOOKUP(B:B,'female g'!A:V,IF(A96&gt;2033,22,MATCH(A96,'female g'!$A$1:$V$1,0)),FALSE))</f>
        <v>0.5</v>
      </c>
      <c r="E96" s="1">
        <f t="shared" si="9"/>
        <v>0.5</v>
      </c>
      <c r="F96" s="1">
        <f t="shared" si="8"/>
        <v>1.7728994563234011E-6</v>
      </c>
      <c r="G96" s="1">
        <f>1/(1+Summary!$O$2)^$C96</f>
        <v>1.0190743895326695E-2</v>
      </c>
      <c r="H96" s="1">
        <f>IF(B96&gt;64, Summary!$J$2, 0)*'TV 1'!G96*'TV 1'!F96</f>
        <v>1.4718210349134225E-4</v>
      </c>
      <c r="I96" s="1"/>
    </row>
    <row r="97" spans="1:8">
      <c r="A97" s="1">
        <f>$A$2+C97</f>
        <v>2114</v>
      </c>
      <c r="B97" s="1">
        <f>$B$2+C97</f>
        <v>119</v>
      </c>
      <c r="C97" s="1">
        <v>95</v>
      </c>
      <c r="D97" s="1">
        <f>IF(Summary!$G$2="M",VLOOKUP(B:B,'male g'!A:V,IF(A97&gt;2033,22,MATCH(A97,'male g'!$A$1:$V$1,0)),FALSE),VLOOKUP(B:B,'female g'!A:V,IF(A97&gt;2033,22,MATCH(A97,'female g'!$A$1:$V$1,0)),FALSE))</f>
        <v>0.5</v>
      </c>
      <c r="E97" s="1">
        <f t="shared" si="9"/>
        <v>0.5</v>
      </c>
      <c r="F97" s="1">
        <f t="shared" si="8"/>
        <v>8.8644972816170057E-7</v>
      </c>
      <c r="G97" s="1">
        <f>1/(1+Summary!$O$2)^$C97</f>
        <v>9.7054703765016102E-3</v>
      </c>
      <c r="H97" s="1">
        <f>IF(B97&gt;64, Summary!$J$2, 0)*'TV 1'!G97*'TV 1'!F97</f>
        <v>7.0086715948258164E-5</v>
      </c>
    </row>
    <row r="98" spans="1:8">
      <c r="A98" s="1">
        <f>$A$2+C98</f>
        <v>2115</v>
      </c>
      <c r="B98" s="1">
        <f>$B$2+C98</f>
        <v>120</v>
      </c>
      <c r="C98" s="1">
        <v>96</v>
      </c>
      <c r="D98" s="1">
        <f>IF(Summary!$G$2="M",VLOOKUP(B:B,'male g'!A:V,IF(A98&gt;2033,22,MATCH(A98,'male g'!$A$1:$V$1,0)),FALSE),VLOOKUP(B:B,'female g'!A:V,IF(A98&gt;2033,22,MATCH(A98,'female g'!$A$1:$V$1,0)),FALSE))</f>
        <v>1</v>
      </c>
      <c r="E98" s="1">
        <f t="shared" si="9"/>
        <v>0</v>
      </c>
      <c r="F98" s="1">
        <f t="shared" si="8"/>
        <v>4.4322486408085028E-7</v>
      </c>
      <c r="G98" s="1">
        <f>1/(1+Summary!$O$2)^$C98</f>
        <v>9.2433051204777253E-3</v>
      </c>
      <c r="H98" s="1">
        <f>IF(B98&gt;64, Summary!$J$2, 0)*'TV 1'!G98*'TV 1'!F98</f>
        <v>3.3374626642027706E-5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98"/>
  <sheetViews>
    <sheetView workbookViewId="0">
      <selection activeCell="F8" sqref="F8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Summary!H3</f>
        <v>29</v>
      </c>
      <c r="C2" s="1">
        <v>0</v>
      </c>
      <c r="D2" s="1">
        <f>IF(Summary!$G$3="M",VLOOKUP(B:B,'male g'!A:V,IF(A2&gt;2033,22,MATCH(A2,'male g'!$A$1:$V$1,0)),FALSE),VLOOKUP(B:B,'female g'!A:V,IF(A2&gt;2033,22,MATCH(A2,'female g'!$A$1:$V$1,0)),FALSE))</f>
        <v>2.3141700000000001E-4</v>
      </c>
      <c r="E2" s="1">
        <f>1-D2</f>
        <v>0.99976858300000004</v>
      </c>
      <c r="F2" s="1">
        <v>1</v>
      </c>
      <c r="G2" s="1">
        <f>1/(1+Summary!$O$2)^$C2</f>
        <v>1</v>
      </c>
      <c r="H2" s="1">
        <f>IF(B2&gt;64, Summary!$J$3, 0)*'TV 2'!G2*'TV 2'!F2</f>
        <v>0</v>
      </c>
      <c r="I2" s="1">
        <f>SUM(H2:H93)</f>
        <v>35753.877150332512</v>
      </c>
    </row>
    <row r="3" spans="1:9">
      <c r="A3" s="1">
        <f>$A$2+C3</f>
        <v>2020</v>
      </c>
      <c r="B3" s="1">
        <f>$B$2+C3</f>
        <v>30</v>
      </c>
      <c r="C3" s="1">
        <v>1</v>
      </c>
      <c r="D3" s="1">
        <f>IF(Summary!$G$3="M",VLOOKUP(B:B,'male g'!A:V,IF(A3&gt;2033,22,MATCH(A3,'male g'!$A$1:$V$1,0)),FALSE),VLOOKUP(B:B,'female g'!A:V,IF(A3&gt;2033,22,MATCH(A3,'female g'!$A$1:$V$1,0)),FALSE))</f>
        <v>2.4943200000000001E-4</v>
      </c>
      <c r="E3" s="1">
        <f>1-D3</f>
        <v>0.99975056799999995</v>
      </c>
      <c r="F3" s="1">
        <f>E2</f>
        <v>0.99976858300000004</v>
      </c>
      <c r="G3" s="1">
        <f>1/(1+Summary!$O$2)^$C3</f>
        <v>0.95238095238095233</v>
      </c>
      <c r="H3" s="1">
        <f>IF(B3&gt;64, Summary!$J$3, 0)*'TV 2'!G3*'TV 2'!F3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31</v>
      </c>
      <c r="C4" s="1">
        <v>2</v>
      </c>
      <c r="D4" s="1">
        <f>IF(Summary!$G$3="M",VLOOKUP(B:B,'male g'!A:V,IF(A4&gt;2033,22,MATCH(A4,'male g'!$A$1:$V$1,0)),FALSE),VLOOKUP(B:B,'female g'!A:V,IF(A4&gt;2033,22,MATCH(A4,'female g'!$A$1:$V$1,0)),FALSE))</f>
        <v>2.6816399999999999E-4</v>
      </c>
      <c r="E4" s="1">
        <f t="shared" ref="E4:E67" si="2">1-D4</f>
        <v>0.99973183600000004</v>
      </c>
      <c r="F4" s="1">
        <f>E3*F3</f>
        <v>0.99951920872280509</v>
      </c>
      <c r="G4" s="1">
        <f>1/(1+Summary!$O$2)^$C4</f>
        <v>0.90702947845804982</v>
      </c>
      <c r="H4" s="1">
        <f>IF(B4&gt;64, Summary!$J$3, 0)*'TV 2'!G4*'TV 2'!F4</f>
        <v>0</v>
      </c>
      <c r="I4" s="1"/>
    </row>
    <row r="5" spans="1:9">
      <c r="A5" s="1">
        <f t="shared" si="0"/>
        <v>2022</v>
      </c>
      <c r="B5" s="1">
        <f t="shared" si="1"/>
        <v>32</v>
      </c>
      <c r="C5" s="1">
        <v>3</v>
      </c>
      <c r="D5" s="1">
        <f>IF(Summary!$G$3="M",VLOOKUP(B:B,'male g'!A:V,IF(A5&gt;2033,22,MATCH(A5,'male g'!$A$1:$V$1,0)),FALSE),VLOOKUP(B:B,'female g'!A:V,IF(A5&gt;2033,22,MATCH(A5,'female g'!$A$1:$V$1,0)),FALSE))</f>
        <v>2.8602899999999998E-4</v>
      </c>
      <c r="E5" s="1">
        <f t="shared" si="2"/>
        <v>0.99971397100000003</v>
      </c>
      <c r="F5" s="1">
        <f t="shared" ref="F5:F68" si="3">E4*F4</f>
        <v>0.99925117365371718</v>
      </c>
      <c r="G5" s="1">
        <f>1/(1+Summary!$O$2)^$C5</f>
        <v>0.86383759853147601</v>
      </c>
      <c r="H5" s="1">
        <f>IF(B5&gt;64, Summary!$J$3, 0)*'TV 2'!G5*'TV 2'!F5</f>
        <v>0</v>
      </c>
      <c r="I5" s="1"/>
    </row>
    <row r="6" spans="1:9">
      <c r="A6" s="1">
        <f t="shared" si="0"/>
        <v>2023</v>
      </c>
      <c r="B6" s="1">
        <f t="shared" si="1"/>
        <v>33</v>
      </c>
      <c r="C6" s="1">
        <v>4</v>
      </c>
      <c r="D6" s="1">
        <f>IF(Summary!$G$3="M",VLOOKUP(B:B,'male g'!A:V,IF(A6&gt;2033,22,MATCH(A6,'male g'!$A$1:$V$1,0)),FALSE),VLOOKUP(B:B,'female g'!A:V,IF(A6&gt;2033,22,MATCH(A6,'female g'!$A$1:$V$1,0)),FALSE))</f>
        <v>3.0410799999999998E-4</v>
      </c>
      <c r="E6" s="1">
        <f t="shared" si="2"/>
        <v>0.99969589199999997</v>
      </c>
      <c r="F6" s="1">
        <f t="shared" si="3"/>
        <v>0.99896535883976822</v>
      </c>
      <c r="G6" s="1">
        <f>1/(1+Summary!$O$2)^$C6</f>
        <v>0.82270247479188197</v>
      </c>
      <c r="H6" s="1">
        <f>IF(B6&gt;64, Summary!$J$3, 0)*'TV 2'!G6*'TV 2'!F6</f>
        <v>0</v>
      </c>
      <c r="I6" s="1" t="s">
        <v>7</v>
      </c>
    </row>
    <row r="7" spans="1:9">
      <c r="A7" s="1">
        <f t="shared" si="0"/>
        <v>2024</v>
      </c>
      <c r="B7" s="1">
        <f t="shared" si="1"/>
        <v>34</v>
      </c>
      <c r="C7" s="1">
        <v>5</v>
      </c>
      <c r="D7" s="1">
        <f>IF(Summary!$G$3="M",VLOOKUP(B:B,'male g'!A:V,IF(A7&gt;2033,22,MATCH(A7,'male g'!$A$1:$V$1,0)),FALSE),VLOOKUP(B:B,'female g'!A:V,IF(A7&gt;2033,22,MATCH(A7,'female g'!$A$1:$V$1,0)),FALSE))</f>
        <v>3.2114300000000003E-4</v>
      </c>
      <c r="E7" s="1">
        <f t="shared" si="2"/>
        <v>0.99967885700000003</v>
      </c>
      <c r="F7" s="1">
        <f t="shared" si="3"/>
        <v>0.99866156548242213</v>
      </c>
      <c r="G7" s="1">
        <f>1/(1+Summary!$O$2)^$C7</f>
        <v>0.78352616646845896</v>
      </c>
      <c r="H7" s="1">
        <f>IF(B7&gt;64, Summary!$J$3, 0)*'TV 2'!G7*'TV 2'!F7</f>
        <v>0</v>
      </c>
      <c r="I7" s="1"/>
    </row>
    <row r="8" spans="1:9">
      <c r="A8" s="1">
        <f t="shared" si="0"/>
        <v>2025</v>
      </c>
      <c r="B8" s="1">
        <f t="shared" si="1"/>
        <v>35</v>
      </c>
      <c r="C8" s="1">
        <v>6</v>
      </c>
      <c r="D8" s="1">
        <f>IF(Summary!$G$3="M",VLOOKUP(B:B,'male g'!A:V,IF(A8&gt;2033,22,MATCH(A8,'male g'!$A$1:$V$1,0)),FALSE),VLOOKUP(B:B,'female g'!A:V,IF(A8&gt;2033,22,MATCH(A8,'female g'!$A$1:$V$1,0)),FALSE))</f>
        <v>3.3691500000000002E-4</v>
      </c>
      <c r="E8" s="1">
        <f t="shared" si="2"/>
        <v>0.99966308500000001</v>
      </c>
      <c r="F8" s="1">
        <f t="shared" si="3"/>
        <v>0.99834085231129843</v>
      </c>
      <c r="G8" s="1">
        <f>1/(1+Summary!$O$2)^$C8</f>
        <v>0.74621539663662761</v>
      </c>
      <c r="H8" s="1">
        <f>IF(B8&gt;64, Summary!$J$3, 0)*'TV 2'!G8*'TV 2'!F8</f>
        <v>0</v>
      </c>
      <c r="I8" s="1"/>
    </row>
    <row r="9" spans="1:9">
      <c r="A9" s="1">
        <f t="shared" si="0"/>
        <v>2026</v>
      </c>
      <c r="B9" s="1">
        <f t="shared" si="1"/>
        <v>36</v>
      </c>
      <c r="C9" s="1">
        <v>7</v>
      </c>
      <c r="D9" s="1">
        <f>IF(Summary!$G$3="M",VLOOKUP(B:B,'male g'!A:V,IF(A9&gt;2033,22,MATCH(A9,'male g'!$A$1:$V$1,0)),FALSE),VLOOKUP(B:B,'female g'!A:V,IF(A9&gt;2033,22,MATCH(A9,'female g'!$A$1:$V$1,0)),FALSE))</f>
        <v>3.5112799999999998E-4</v>
      </c>
      <c r="E9" s="1">
        <f t="shared" si="2"/>
        <v>0.99964887199999997</v>
      </c>
      <c r="F9" s="1">
        <f t="shared" si="3"/>
        <v>0.998004496303042</v>
      </c>
      <c r="G9" s="1">
        <f>1/(1+Summary!$O$2)^$C9</f>
        <v>0.71068133013012147</v>
      </c>
      <c r="H9" s="1">
        <f>IF(B9&gt;64, Summary!$J$3, 0)*'TV 2'!G9*'TV 2'!F9</f>
        <v>0</v>
      </c>
      <c r="I9" s="1">
        <f>tvPVB_g(I6,'male g'!$A$1:$V$1,'female g'!$A$1:$V$1,29,2019, 16293,0.05,120-29)</f>
        <v>54900.422387309503</v>
      </c>
    </row>
    <row r="10" spans="1:9">
      <c r="A10" s="1">
        <f t="shared" si="0"/>
        <v>2027</v>
      </c>
      <c r="B10" s="1">
        <f t="shared" si="1"/>
        <v>37</v>
      </c>
      <c r="C10" s="1">
        <v>8</v>
      </c>
      <c r="D10" s="1">
        <f>IF(Summary!$G$3="M",VLOOKUP(B:B,'male g'!A:V,IF(A10&gt;2033,22,MATCH(A10,'male g'!$A$1:$V$1,0)),FALSE),VLOOKUP(B:B,'female g'!A:V,IF(A10&gt;2033,22,MATCH(A10,'female g'!$A$1:$V$1,0)),FALSE))</f>
        <v>3.6827300000000002E-4</v>
      </c>
      <c r="E10" s="1">
        <f t="shared" si="2"/>
        <v>0.99963172700000003</v>
      </c>
      <c r="F10" s="1">
        <f t="shared" si="3"/>
        <v>0.9976540689802641</v>
      </c>
      <c r="G10" s="1">
        <f>1/(1+Summary!$O$2)^$C10</f>
        <v>0.67683936202868722</v>
      </c>
      <c r="H10" s="1">
        <f>IF(B10&gt;64, Summary!$J$3, 0)*'TV 2'!G10*'TV 2'!F10</f>
        <v>0</v>
      </c>
      <c r="I10" s="1"/>
    </row>
    <row r="11" spans="1:9">
      <c r="A11" s="1">
        <f t="shared" si="0"/>
        <v>2028</v>
      </c>
      <c r="B11" s="1">
        <f t="shared" si="1"/>
        <v>38</v>
      </c>
      <c r="C11" s="1">
        <v>9</v>
      </c>
      <c r="D11" s="1">
        <f>IF(Summary!$G$3="M",VLOOKUP(B:B,'male g'!A:V,IF(A11&gt;2033,22,MATCH(A11,'male g'!$A$1:$V$1,0)),FALSE),VLOOKUP(B:B,'female g'!A:V,IF(A11&gt;2033,22,MATCH(A11,'female g'!$A$1:$V$1,0)),FALSE))</f>
        <v>3.8669399999999998E-4</v>
      </c>
      <c r="E11" s="1">
        <f t="shared" si="2"/>
        <v>0.99961330599999998</v>
      </c>
      <c r="F11" s="1">
        <f t="shared" si="3"/>
        <v>0.99728665992331855</v>
      </c>
      <c r="G11" s="1">
        <f>1/(1+Summary!$O$2)^$C11</f>
        <v>0.64460891621779726</v>
      </c>
      <c r="H11" s="1">
        <f>IF(B11&gt;64, Summary!$J$3, 0)*'TV 2'!G11*'TV 2'!F11</f>
        <v>0</v>
      </c>
      <c r="I11" s="1"/>
    </row>
    <row r="12" spans="1:9">
      <c r="A12" s="1">
        <f t="shared" si="0"/>
        <v>2029</v>
      </c>
      <c r="B12" s="1">
        <f t="shared" si="1"/>
        <v>39</v>
      </c>
      <c r="C12" s="1">
        <v>10</v>
      </c>
      <c r="D12" s="1">
        <f>IF(Summary!$G$3="M",VLOOKUP(B:B,'male g'!A:V,IF(A12&gt;2033,22,MATCH(A12,'male g'!$A$1:$V$1,0)),FALSE),VLOOKUP(B:B,'female g'!A:V,IF(A12&gt;2033,22,MATCH(A12,'female g'!$A$1:$V$1,0)),FALSE))</f>
        <v>4.0847000000000002E-4</v>
      </c>
      <c r="E12" s="1">
        <f t="shared" si="2"/>
        <v>0.99959153000000001</v>
      </c>
      <c r="F12" s="1">
        <f t="shared" si="3"/>
        <v>0.99690101515564611</v>
      </c>
      <c r="G12" s="1">
        <f>1/(1+Summary!$O$2)^$C12</f>
        <v>0.61391325354075932</v>
      </c>
      <c r="H12" s="1">
        <f>IF(B12&gt;64, Summary!$J$3, 0)*'TV 2'!G12*'TV 2'!F12</f>
        <v>0</v>
      </c>
      <c r="I12" s="1">
        <f>gen_p(I6, 'male g'!$A$1:$V$1,'female g'!$A$1:$V$1, 30, 2020)</f>
        <v>2.4943200000000001E-4</v>
      </c>
    </row>
    <row r="13" spans="1:9">
      <c r="A13" s="1">
        <f t="shared" si="0"/>
        <v>2030</v>
      </c>
      <c r="B13" s="1">
        <f t="shared" si="1"/>
        <v>40</v>
      </c>
      <c r="C13" s="1">
        <v>11</v>
      </c>
      <c r="D13" s="1">
        <f>IF(Summary!$G$3="M",VLOOKUP(B:B,'male g'!A:V,IF(A13&gt;2033,22,MATCH(A13,'male g'!$A$1:$V$1,0)),FALSE),VLOOKUP(B:B,'female g'!A:V,IF(A13&gt;2033,22,MATCH(A13,'female g'!$A$1:$V$1,0)),FALSE))</f>
        <v>4.3303699999999999E-4</v>
      </c>
      <c r="E13" s="1">
        <f t="shared" si="2"/>
        <v>0.99956696300000003</v>
      </c>
      <c r="F13" s="1">
        <f t="shared" si="3"/>
        <v>0.99649381099798551</v>
      </c>
      <c r="G13" s="1">
        <f>1/(1+Summary!$O$2)^$C13</f>
        <v>0.5846792890864374</v>
      </c>
      <c r="H13" s="1">
        <f>IF(B13&gt;64, Summary!$J$3, 0)*'TV 2'!G13*'TV 2'!F13</f>
        <v>0</v>
      </c>
      <c r="I13" s="1"/>
    </row>
    <row r="14" spans="1:9">
      <c r="A14" s="1">
        <f t="shared" si="0"/>
        <v>2031</v>
      </c>
      <c r="B14" s="1">
        <f t="shared" si="1"/>
        <v>41</v>
      </c>
      <c r="C14" s="1">
        <v>12</v>
      </c>
      <c r="D14" s="1">
        <f>IF(Summary!$G$3="M",VLOOKUP(B:B,'male g'!A:V,IF(A14&gt;2033,22,MATCH(A14,'male g'!$A$1:$V$1,0)),FALSE),VLOOKUP(B:B,'female g'!A:V,IF(A14&gt;2033,22,MATCH(A14,'female g'!$A$1:$V$1,0)),FALSE))</f>
        <v>4.6100299999999998E-4</v>
      </c>
      <c r="E14" s="1">
        <f t="shared" si="2"/>
        <v>0.99953899700000004</v>
      </c>
      <c r="F14" s="1">
        <f t="shared" si="3"/>
        <v>0.99606229230755239</v>
      </c>
      <c r="G14" s="1">
        <f>1/(1+Summary!$O$2)^$C14</f>
        <v>0.5568374181775595</v>
      </c>
      <c r="H14" s="1">
        <f>IF(B14&gt;64, Summary!$J$3, 0)*'TV 2'!G14*'TV 2'!F14</f>
        <v>0</v>
      </c>
    </row>
    <row r="15" spans="1:9">
      <c r="A15" s="1">
        <f t="shared" si="0"/>
        <v>2032</v>
      </c>
      <c r="B15" s="1">
        <f t="shared" si="1"/>
        <v>42</v>
      </c>
      <c r="C15" s="1">
        <v>13</v>
      </c>
      <c r="D15" s="1">
        <f>IF(Summary!$G$3="M",VLOOKUP(B:B,'male g'!A:V,IF(A15&gt;2033,22,MATCH(A15,'male g'!$A$1:$V$1,0)),FALSE),VLOOKUP(B:B,'female g'!A:V,IF(A15&gt;2033,22,MATCH(A15,'female g'!$A$1:$V$1,0)),FALSE))</f>
        <v>4.9343100000000001E-4</v>
      </c>
      <c r="E15" s="1">
        <f t="shared" si="2"/>
        <v>0.99950656900000001</v>
      </c>
      <c r="F15" s="1">
        <f t="shared" si="3"/>
        <v>0.99560310460261181</v>
      </c>
      <c r="G15" s="1">
        <f>1/(1+Summary!$O$2)^$C15</f>
        <v>0.53032135064529462</v>
      </c>
      <c r="H15" s="1">
        <f>IF(B15&gt;64, Summary!$J$3, 0)*'TV 2'!G15*'TV 2'!F15</f>
        <v>0</v>
      </c>
      <c r="I15" s="1">
        <f>cum_gp(I6, 'male g'!$A$1:$V$1,'female g'!$A$1:$V$1, 29, 2019, 1)</f>
        <v>0.99976858300000004</v>
      </c>
    </row>
    <row r="16" spans="1:9">
      <c r="A16" s="1">
        <f t="shared" si="0"/>
        <v>2033</v>
      </c>
      <c r="B16" s="1">
        <f t="shared" si="1"/>
        <v>43</v>
      </c>
      <c r="C16" s="1">
        <v>14</v>
      </c>
      <c r="D16" s="1">
        <f>IF(Summary!$G$3="M",VLOOKUP(B:B,'male g'!A:V,IF(A16&gt;2033,22,MATCH(A16,'male g'!$A$1:$V$1,0)),FALSE),VLOOKUP(B:B,'female g'!A:V,IF(A16&gt;2033,22,MATCH(A16,'female g'!$A$1:$V$1,0)),FALSE))</f>
        <v>5.30855E-4</v>
      </c>
      <c r="E16" s="1">
        <f t="shared" si="2"/>
        <v>0.99946914499999995</v>
      </c>
      <c r="F16" s="1">
        <f t="shared" si="3"/>
        <v>0.99511184316710466</v>
      </c>
      <c r="G16" s="1">
        <f>1/(1+Summary!$O$2)^$C16</f>
        <v>0.50506795299551888</v>
      </c>
      <c r="H16" s="1">
        <f>IF(B16&gt;64, Summary!$J$3, 0)*'TV 2'!G16*'TV 2'!F16</f>
        <v>0</v>
      </c>
      <c r="I16" s="1">
        <f>cum_gp(I6, 'male g'!$A$1:$V$1,'female g'!$A$1:$V$1, 29, 2019, 2)</f>
        <v>0.99951920872280509</v>
      </c>
    </row>
    <row r="17" spans="1:9">
      <c r="A17" s="1">
        <f t="shared" si="0"/>
        <v>2034</v>
      </c>
      <c r="B17" s="1">
        <f t="shared" si="1"/>
        <v>44</v>
      </c>
      <c r="C17" s="1">
        <v>15</v>
      </c>
      <c r="D17" s="1">
        <f>IF(Summary!$G$3="M",VLOOKUP(B:B,'male g'!A:V,IF(A17&gt;2033,22,MATCH(A17,'male g'!$A$1:$V$1,0)),FALSE),VLOOKUP(B:B,'female g'!A:V,IF(A17&gt;2033,22,MATCH(A17,'female g'!$A$1:$V$1,0)),FALSE))</f>
        <v>5.7317499999999999E-4</v>
      </c>
      <c r="E17" s="1">
        <f t="shared" si="2"/>
        <v>0.99942682500000002</v>
      </c>
      <c r="F17" s="1">
        <f t="shared" si="3"/>
        <v>0.99458358306960015</v>
      </c>
      <c r="G17" s="1">
        <f>1/(1+Summary!$O$2)^$C17</f>
        <v>0.48101709809097021</v>
      </c>
      <c r="H17" s="1">
        <f>IF(B17&gt;64, Summary!$J$3, 0)*'TV 2'!G17*'TV 2'!F17</f>
        <v>0</v>
      </c>
      <c r="I17" s="1"/>
    </row>
    <row r="18" spans="1:9">
      <c r="A18" s="1">
        <f t="shared" si="0"/>
        <v>2035</v>
      </c>
      <c r="B18" s="1">
        <f t="shared" si="1"/>
        <v>45</v>
      </c>
      <c r="C18" s="1">
        <v>16</v>
      </c>
      <c r="D18" s="1">
        <f>IF(Summary!$G$3="M",VLOOKUP(B:B,'male g'!A:V,IF(A18&gt;2033,22,MATCH(A18,'male g'!$A$1:$V$1,0)),FALSE),VLOOKUP(B:B,'female g'!A:V,IF(A18&gt;2033,22,MATCH(A18,'female g'!$A$1:$V$1,0)),FALSE))</f>
        <v>6.2666000000000002E-4</v>
      </c>
      <c r="E18" s="1">
        <f t="shared" si="2"/>
        <v>0.99937334</v>
      </c>
      <c r="F18" s="1">
        <f t="shared" si="3"/>
        <v>0.99401351262437421</v>
      </c>
      <c r="G18" s="1">
        <f>1/(1+Summary!$O$2)^$C18</f>
        <v>0.45811152199140021</v>
      </c>
      <c r="H18" s="1">
        <f>IF(B18&gt;64, Summary!$J$3, 0)*'TV 2'!G18*'TV 2'!F18</f>
        <v>0</v>
      </c>
      <c r="I18" s="1"/>
    </row>
    <row r="19" spans="1:9">
      <c r="A19" s="1">
        <f t="shared" si="0"/>
        <v>2036</v>
      </c>
      <c r="B19" s="1">
        <f t="shared" si="1"/>
        <v>46</v>
      </c>
      <c r="C19" s="1">
        <v>17</v>
      </c>
      <c r="D19" s="1">
        <f>IF(Summary!$G$3="M",VLOOKUP(B:B,'male g'!A:V,IF(A19&gt;2033,22,MATCH(A19,'male g'!$A$1:$V$1,0)),FALSE),VLOOKUP(B:B,'female g'!A:V,IF(A19&gt;2033,22,MATCH(A19,'female g'!$A$1:$V$1,0)),FALSE))</f>
        <v>6.8613599999999995E-4</v>
      </c>
      <c r="E19" s="1">
        <f t="shared" si="2"/>
        <v>0.999313864</v>
      </c>
      <c r="F19" s="1">
        <f t="shared" si="3"/>
        <v>0.993390604116553</v>
      </c>
      <c r="G19" s="1">
        <f>1/(1+Summary!$O$2)^$C19</f>
        <v>0.43629668761085727</v>
      </c>
      <c r="H19" s="1">
        <f>IF(B19&gt;64, Summary!$J$3, 0)*'TV 2'!G19*'TV 2'!F19</f>
        <v>0</v>
      </c>
      <c r="I19" s="1"/>
    </row>
    <row r="20" spans="1:9">
      <c r="A20" s="1">
        <f t="shared" si="0"/>
        <v>2037</v>
      </c>
      <c r="B20" s="1">
        <f t="shared" si="1"/>
        <v>47</v>
      </c>
      <c r="C20" s="1">
        <v>18</v>
      </c>
      <c r="D20" s="1">
        <f>IF(Summary!$G$3="M",VLOOKUP(B:B,'male g'!A:V,IF(A20&gt;2033,22,MATCH(A20,'male g'!$A$1:$V$1,0)),FALSE),VLOOKUP(B:B,'female g'!A:V,IF(A20&gt;2033,22,MATCH(A20,'female g'!$A$1:$V$1,0)),FALSE))</f>
        <v>7.5161800000000001E-4</v>
      </c>
      <c r="E20" s="1">
        <f t="shared" si="2"/>
        <v>0.99924838199999999</v>
      </c>
      <c r="F20" s="1">
        <f t="shared" si="3"/>
        <v>0.99270900306100684</v>
      </c>
      <c r="G20" s="1">
        <f>1/(1+Summary!$O$2)^$C20</f>
        <v>0.41552065486748313</v>
      </c>
      <c r="H20" s="1">
        <f>IF(B20&gt;64, Summary!$J$3, 0)*'TV 2'!G20*'TV 2'!F20</f>
        <v>0</v>
      </c>
      <c r="I20" s="1"/>
    </row>
    <row r="21" spans="1:9">
      <c r="A21" s="1">
        <f t="shared" si="0"/>
        <v>2038</v>
      </c>
      <c r="B21" s="1">
        <f t="shared" si="1"/>
        <v>48</v>
      </c>
      <c r="C21" s="1">
        <v>19</v>
      </c>
      <c r="D21" s="1">
        <f>IF(Summary!$G$3="M",VLOOKUP(B:B,'male g'!A:V,IF(A21&gt;2033,22,MATCH(A21,'male g'!$A$1:$V$1,0)),FALSE),VLOOKUP(B:B,'female g'!A:V,IF(A21&gt;2033,22,MATCH(A21,'female g'!$A$1:$V$1,0)),FALSE))</f>
        <v>8.2363499999999997E-4</v>
      </c>
      <c r="E21" s="1">
        <f t="shared" si="2"/>
        <v>0.99917636499999996</v>
      </c>
      <c r="F21" s="1">
        <f t="shared" si="3"/>
        <v>0.9919628651055441</v>
      </c>
      <c r="G21" s="1">
        <f>1/(1+Summary!$O$2)^$C21</f>
        <v>0.39573395701665059</v>
      </c>
      <c r="H21" s="1">
        <f>IF(B21&gt;64, Summary!$J$3, 0)*'TV 2'!G21*'TV 2'!F21</f>
        <v>0</v>
      </c>
      <c r="I21" s="1"/>
    </row>
    <row r="22" spans="1:9">
      <c r="A22" s="1">
        <f t="shared" si="0"/>
        <v>2039</v>
      </c>
      <c r="B22" s="1">
        <f t="shared" si="1"/>
        <v>49</v>
      </c>
      <c r="C22" s="1">
        <v>20</v>
      </c>
      <c r="D22" s="1">
        <f>IF(Summary!$G$3="M",VLOOKUP(B:B,'male g'!A:V,IF(A22&gt;2033,22,MATCH(A22,'male g'!$A$1:$V$1,0)),FALSE),VLOOKUP(B:B,'female g'!A:V,IF(A22&gt;2033,22,MATCH(A22,'female g'!$A$1:$V$1,0)),FALSE))</f>
        <v>9.0101099999999996E-4</v>
      </c>
      <c r="E22" s="1">
        <f t="shared" si="2"/>
        <v>0.99909898900000005</v>
      </c>
      <c r="F22" s="1">
        <f t="shared" si="3"/>
        <v>0.99114584977114284</v>
      </c>
      <c r="G22" s="1">
        <f>1/(1+Summary!$O$2)^$C22</f>
        <v>0.37688948287300061</v>
      </c>
      <c r="H22" s="1">
        <f>IF(B22&gt;64, Summary!$J$3, 0)*'TV 2'!G22*'TV 2'!F22</f>
        <v>0</v>
      </c>
      <c r="I22" s="1"/>
    </row>
    <row r="23" spans="1:9">
      <c r="A23" s="1">
        <f t="shared" si="0"/>
        <v>2040</v>
      </c>
      <c r="B23" s="1">
        <f t="shared" si="1"/>
        <v>50</v>
      </c>
      <c r="C23" s="1">
        <v>21</v>
      </c>
      <c r="D23" s="1">
        <f>IF(Summary!$G$3="M",VLOOKUP(B:B,'male g'!A:V,IF(A23&gt;2033,22,MATCH(A23,'male g'!$A$1:$V$1,0)),FALSE),VLOOKUP(B:B,'female g'!A:V,IF(A23&gt;2033,22,MATCH(A23,'female g'!$A$1:$V$1,0)),FALSE))</f>
        <v>2.4758050000000002E-3</v>
      </c>
      <c r="E23" s="1">
        <f t="shared" si="2"/>
        <v>0.997524195</v>
      </c>
      <c r="F23" s="1">
        <f t="shared" si="3"/>
        <v>0.99025281645789476</v>
      </c>
      <c r="G23" s="1">
        <f>1/(1+Summary!$O$2)^$C23</f>
        <v>0.35894236464095297</v>
      </c>
      <c r="H23" s="1">
        <f>IF(B23&gt;64, Summary!$J$3, 0)*'TV 2'!G23*'TV 2'!F23</f>
        <v>0</v>
      </c>
      <c r="I23" s="1"/>
    </row>
    <row r="24" spans="1:9">
      <c r="A24" s="1">
        <f t="shared" si="0"/>
        <v>2041</v>
      </c>
      <c r="B24" s="1">
        <f t="shared" si="1"/>
        <v>51</v>
      </c>
      <c r="C24" s="1">
        <v>22</v>
      </c>
      <c r="D24" s="1">
        <f>IF(Summary!$G$3="M",VLOOKUP(B:B,'male g'!A:V,IF(A24&gt;2033,22,MATCH(A24,'male g'!$A$1:$V$1,0)),FALSE),VLOOKUP(B:B,'female g'!A:V,IF(A24&gt;2033,22,MATCH(A24,'female g'!$A$1:$V$1,0)),FALSE))</f>
        <v>2.5907640000000002E-3</v>
      </c>
      <c r="E24" s="1">
        <f t="shared" si="2"/>
        <v>0.99740923599999998</v>
      </c>
      <c r="F24" s="1">
        <f t="shared" si="3"/>
        <v>0.98780114358364424</v>
      </c>
      <c r="G24" s="1">
        <f>1/(1+Summary!$O$2)^$C24</f>
        <v>0.3418498710866219</v>
      </c>
      <c r="H24" s="1">
        <f>IF(B24&gt;64, Summary!$J$3, 0)*'TV 2'!G24*'TV 2'!F24</f>
        <v>0</v>
      </c>
      <c r="I24" s="1"/>
    </row>
    <row r="25" spans="1:9">
      <c r="A25" s="1">
        <f t="shared" si="0"/>
        <v>2042</v>
      </c>
      <c r="B25" s="1">
        <f t="shared" si="1"/>
        <v>52</v>
      </c>
      <c r="C25" s="1">
        <v>23</v>
      </c>
      <c r="D25" s="1">
        <f>IF(Summary!$G$3="M",VLOOKUP(B:B,'male g'!A:V,IF(A25&gt;2033,22,MATCH(A25,'male g'!$A$1:$V$1,0)),FALSE),VLOOKUP(B:B,'female g'!A:V,IF(A25&gt;2033,22,MATCH(A25,'female g'!$A$1:$V$1,0)),FALSE))</f>
        <v>2.7267889999999999E-3</v>
      </c>
      <c r="E25" s="1">
        <f t="shared" si="2"/>
        <v>0.99727321099999999</v>
      </c>
      <c r="F25" s="1">
        <f t="shared" si="3"/>
        <v>0.98524198394168883</v>
      </c>
      <c r="G25" s="1">
        <f>1/(1+Summary!$O$2)^$C25</f>
        <v>0.32557130579678267</v>
      </c>
      <c r="H25" s="1">
        <f>IF(B25&gt;64, Summary!$J$3, 0)*'TV 2'!G25*'TV 2'!F25</f>
        <v>0</v>
      </c>
      <c r="I25" s="1"/>
    </row>
    <row r="26" spans="1:9">
      <c r="A26" s="1">
        <f t="shared" si="0"/>
        <v>2043</v>
      </c>
      <c r="B26" s="1">
        <f t="shared" si="1"/>
        <v>53</v>
      </c>
      <c r="C26" s="1">
        <v>24</v>
      </c>
      <c r="D26" s="1">
        <f>IF(Summary!$G$3="M",VLOOKUP(B:B,'male g'!A:V,IF(A26&gt;2033,22,MATCH(A26,'male g'!$A$1:$V$1,0)),FALSE),VLOOKUP(B:B,'female g'!A:V,IF(A26&gt;2033,22,MATCH(A26,'female g'!$A$1:$V$1,0)),FALSE))</f>
        <v>2.8860399999999999E-3</v>
      </c>
      <c r="E26" s="1">
        <f t="shared" si="2"/>
        <v>0.99711395999999997</v>
      </c>
      <c r="F26" s="1">
        <f t="shared" si="3"/>
        <v>0.98255543693753844</v>
      </c>
      <c r="G26" s="1">
        <f>1/(1+Summary!$O$2)^$C26</f>
        <v>0.31006791028265024</v>
      </c>
      <c r="H26" s="1">
        <f>IF(B26&gt;64, Summary!$J$3, 0)*'TV 2'!G26*'TV 2'!F26</f>
        <v>0</v>
      </c>
      <c r="I26" s="1"/>
    </row>
    <row r="27" spans="1:9">
      <c r="A27" s="1">
        <f t="shared" si="0"/>
        <v>2044</v>
      </c>
      <c r="B27" s="1">
        <f t="shared" si="1"/>
        <v>54</v>
      </c>
      <c r="C27" s="1">
        <v>25</v>
      </c>
      <c r="D27" s="1">
        <f>IF(Summary!$G$3="M",VLOOKUP(B:B,'male g'!A:V,IF(A27&gt;2033,22,MATCH(A27,'male g'!$A$1:$V$1,0)),FALSE),VLOOKUP(B:B,'female g'!A:V,IF(A27&gt;2033,22,MATCH(A27,'female g'!$A$1:$V$1,0)),FALSE))</f>
        <v>3.0685230000000001E-3</v>
      </c>
      <c r="E27" s="1">
        <f t="shared" si="2"/>
        <v>0.99693147699999995</v>
      </c>
      <c r="F27" s="1">
        <f t="shared" si="3"/>
        <v>0.97971974264431916</v>
      </c>
      <c r="G27" s="1">
        <f>1/(1+Summary!$O$2)^$C27</f>
        <v>0.29530277169776209</v>
      </c>
      <c r="H27" s="1">
        <f>IF(B27&gt;64, Summary!$J$3, 0)*'TV 2'!G27*'TV 2'!F27</f>
        <v>0</v>
      </c>
      <c r="I27" s="1"/>
    </row>
    <row r="28" spans="1:9">
      <c r="A28" s="1">
        <f t="shared" si="0"/>
        <v>2045</v>
      </c>
      <c r="B28" s="1">
        <f t="shared" si="1"/>
        <v>55</v>
      </c>
      <c r="C28" s="1">
        <v>26</v>
      </c>
      <c r="D28" s="1">
        <f>IF(Summary!$G$3="M",VLOOKUP(B:B,'male g'!A:V,IF(A28&gt;2033,22,MATCH(A28,'male g'!$A$1:$V$1,0)),FALSE),VLOOKUP(B:B,'female g'!A:V,IF(A28&gt;2033,22,MATCH(A28,'female g'!$A$1:$V$1,0)),FALSE))</f>
        <v>3.2780830000000002E-3</v>
      </c>
      <c r="E28" s="1">
        <f t="shared" si="2"/>
        <v>0.99672191700000001</v>
      </c>
      <c r="F28" s="1">
        <f t="shared" si="3"/>
        <v>0.97671345008046095</v>
      </c>
      <c r="G28" s="1">
        <f>1/(1+Summary!$O$2)^$C28</f>
        <v>0.28124073495024959</v>
      </c>
      <c r="H28" s="1">
        <f>IF(B28&gt;64, Summary!$J$3, 0)*'TV 2'!G28*'TV 2'!F28</f>
        <v>0</v>
      </c>
      <c r="I28" s="1"/>
    </row>
    <row r="29" spans="1:9">
      <c r="A29" s="1">
        <f t="shared" si="0"/>
        <v>2046</v>
      </c>
      <c r="B29" s="1">
        <f t="shared" si="1"/>
        <v>56</v>
      </c>
      <c r="C29" s="1">
        <v>27</v>
      </c>
      <c r="D29" s="1">
        <f>IF(Summary!$G$3="M",VLOOKUP(B:B,'male g'!A:V,IF(A29&gt;2033,22,MATCH(A29,'male g'!$A$1:$V$1,0)),FALSE),VLOOKUP(B:B,'female g'!A:V,IF(A29&gt;2033,22,MATCH(A29,'female g'!$A$1:$V$1,0)),FALSE))</f>
        <v>3.5159589999999999E-3</v>
      </c>
      <c r="E29" s="1">
        <f t="shared" si="2"/>
        <v>0.99648404099999999</v>
      </c>
      <c r="F29" s="1">
        <f t="shared" si="3"/>
        <v>0.97351170232388085</v>
      </c>
      <c r="G29" s="1">
        <f>1/(1+Summary!$O$2)^$C29</f>
        <v>0.2678483190002377</v>
      </c>
      <c r="H29" s="1">
        <f>IF(B29&gt;64, Summary!$J$3, 0)*'TV 2'!G29*'TV 2'!F29</f>
        <v>0</v>
      </c>
      <c r="I29" s="1"/>
    </row>
    <row r="30" spans="1:9">
      <c r="A30" s="1">
        <f t="shared" si="0"/>
        <v>2047</v>
      </c>
      <c r="B30" s="1">
        <f t="shared" si="1"/>
        <v>57</v>
      </c>
      <c r="C30" s="1">
        <v>28</v>
      </c>
      <c r="D30" s="1">
        <f>IF(Summary!$G$3="M",VLOOKUP(B:B,'male g'!A:V,IF(A30&gt;2033,22,MATCH(A30,'male g'!$A$1:$V$1,0)),FALSE),VLOOKUP(B:B,'female g'!A:V,IF(A30&gt;2033,22,MATCH(A30,'female g'!$A$1:$V$1,0)),FALSE))</f>
        <v>3.7870999999999998E-3</v>
      </c>
      <c r="E30" s="1">
        <f t="shared" si="2"/>
        <v>0.99621289999999996</v>
      </c>
      <c r="F30" s="1">
        <f t="shared" si="3"/>
        <v>0.97008887509248987</v>
      </c>
      <c r="G30" s="1">
        <f>1/(1+Summary!$O$2)^$C30</f>
        <v>0.25509363714308358</v>
      </c>
      <c r="H30" s="1">
        <f>IF(B30&gt;64, Summary!$J$3, 0)*'TV 2'!G30*'TV 2'!F30</f>
        <v>0</v>
      </c>
      <c r="I30" s="1"/>
    </row>
    <row r="31" spans="1:9">
      <c r="A31" s="1">
        <f t="shared" si="0"/>
        <v>2048</v>
      </c>
      <c r="B31" s="1">
        <f t="shared" si="1"/>
        <v>58</v>
      </c>
      <c r="C31" s="1">
        <v>29</v>
      </c>
      <c r="D31" s="1">
        <f>IF(Summary!$G$3="M",VLOOKUP(B:B,'male g'!A:V,IF(A31&gt;2033,22,MATCH(A31,'male g'!$A$1:$V$1,0)),FALSE),VLOOKUP(B:B,'female g'!A:V,IF(A31&gt;2033,22,MATCH(A31,'female g'!$A$1:$V$1,0)),FALSE))</f>
        <v>4.0919779999999996E-3</v>
      </c>
      <c r="E31" s="1">
        <f t="shared" si="2"/>
        <v>0.99590802199999995</v>
      </c>
      <c r="F31" s="1">
        <f t="shared" si="3"/>
        <v>0.96641505151362705</v>
      </c>
      <c r="G31" s="1">
        <f>1/(1+Summary!$O$2)^$C31</f>
        <v>0.24294632108865097</v>
      </c>
      <c r="H31" s="1">
        <f>IF(B31&gt;64, Summary!$J$3, 0)*'TV 2'!G31*'TV 2'!F31</f>
        <v>0</v>
      </c>
      <c r="I31" s="1"/>
    </row>
    <row r="32" spans="1:9">
      <c r="A32" s="1">
        <f t="shared" si="0"/>
        <v>2049</v>
      </c>
      <c r="B32" s="1">
        <f t="shared" si="1"/>
        <v>59</v>
      </c>
      <c r="C32" s="1">
        <v>30</v>
      </c>
      <c r="D32" s="1">
        <f>IF(Summary!$G$3="M",VLOOKUP(B:B,'male g'!A:V,IF(A32&gt;2033,22,MATCH(A32,'male g'!$A$1:$V$1,0)),FALSE),VLOOKUP(B:B,'female g'!A:V,IF(A32&gt;2033,22,MATCH(A32,'female g'!$A$1:$V$1,0)),FALSE))</f>
        <v>4.433523E-3</v>
      </c>
      <c r="E32" s="1">
        <f t="shared" si="2"/>
        <v>0.99556647700000001</v>
      </c>
      <c r="F32" s="1">
        <f t="shared" si="3"/>
        <v>0.96246050238396441</v>
      </c>
      <c r="G32" s="1">
        <f>1/(1+Summary!$O$2)^$C32</f>
        <v>0.23137744865585813</v>
      </c>
      <c r="H32" s="1">
        <f>IF(B32&gt;64, Summary!$J$3, 0)*'TV 2'!G32*'TV 2'!F32</f>
        <v>0</v>
      </c>
      <c r="I32" s="1"/>
    </row>
    <row r="33" spans="1:9">
      <c r="A33" s="1">
        <f t="shared" si="0"/>
        <v>2050</v>
      </c>
      <c r="B33" s="1">
        <f t="shared" si="1"/>
        <v>60</v>
      </c>
      <c r="C33" s="1">
        <v>31</v>
      </c>
      <c r="D33" s="1">
        <f>IF(Summary!$G$3="M",VLOOKUP(B:B,'male g'!A:V,IF(A33&gt;2033,22,MATCH(A33,'male g'!$A$1:$V$1,0)),FALSE),VLOOKUP(B:B,'female g'!A:V,IF(A33&gt;2033,22,MATCH(A33,'female g'!$A$1:$V$1,0)),FALSE))</f>
        <v>4.8115959999999996E-3</v>
      </c>
      <c r="E33" s="1">
        <f t="shared" si="2"/>
        <v>0.99518840399999997</v>
      </c>
      <c r="F33" s="1">
        <f t="shared" si="3"/>
        <v>0.95819341161005356</v>
      </c>
      <c r="G33" s="1">
        <f>1/(1+Summary!$O$2)^$C33</f>
        <v>0.220359474910341</v>
      </c>
      <c r="H33" s="1">
        <f>IF(B33&gt;64, Summary!$J$3, 0)*'TV 2'!G33*'TV 2'!F33</f>
        <v>0</v>
      </c>
      <c r="I33" s="1"/>
    </row>
    <row r="34" spans="1:9">
      <c r="A34" s="1">
        <f t="shared" si="0"/>
        <v>2051</v>
      </c>
      <c r="B34" s="1">
        <f t="shared" si="1"/>
        <v>61</v>
      </c>
      <c r="C34" s="1">
        <v>32</v>
      </c>
      <c r="D34" s="1">
        <f>IF(Summary!$G$3="M",VLOOKUP(B:B,'male g'!A:V,IF(A34&gt;2033,22,MATCH(A34,'male g'!$A$1:$V$1,0)),FALSE),VLOOKUP(B:B,'female g'!A:V,IF(A34&gt;2033,22,MATCH(A34,'female g'!$A$1:$V$1,0)),FALSE))</f>
        <v>5.2263159999999999E-3</v>
      </c>
      <c r="E34" s="1">
        <f t="shared" si="2"/>
        <v>0.99477368399999999</v>
      </c>
      <c r="F34" s="1">
        <f t="shared" si="3"/>
        <v>0.95358297202352427</v>
      </c>
      <c r="G34" s="1">
        <f>1/(1+Summary!$O$2)^$C34</f>
        <v>0.20986616658127716</v>
      </c>
      <c r="H34" s="1">
        <f>IF(B34&gt;64, Summary!$J$3, 0)*'TV 2'!G34*'TV 2'!F34</f>
        <v>0</v>
      </c>
      <c r="I34" s="1"/>
    </row>
    <row r="35" spans="1:9">
      <c r="A35" s="1">
        <f>$A$2+C35</f>
        <v>2052</v>
      </c>
      <c r="B35" s="1">
        <f>$B$2+C35</f>
        <v>62</v>
      </c>
      <c r="C35" s="1">
        <v>33</v>
      </c>
      <c r="D35" s="1">
        <f>IF(Summary!$G$3="M",VLOOKUP(B:B,'male g'!A:V,IF(A35&gt;2033,22,MATCH(A35,'male g'!$A$1:$V$1,0)),FALSE),VLOOKUP(B:B,'female g'!A:V,IF(A35&gt;2033,22,MATCH(A35,'female g'!$A$1:$V$1,0)),FALSE))</f>
        <v>5.6760500000000002E-3</v>
      </c>
      <c r="E35" s="1">
        <f t="shared" si="2"/>
        <v>0.99432394999999996</v>
      </c>
      <c r="F35" s="1">
        <f t="shared" si="3"/>
        <v>0.94859924607951018</v>
      </c>
      <c r="G35" s="1">
        <f>1/(1+Summary!$O$2)^$C35</f>
        <v>0.19987253960121634</v>
      </c>
      <c r="H35" s="1">
        <f>IF(B35&gt;64, Summary!$J$3, 0)*'TV 2'!G35*'TV 2'!F35</f>
        <v>0</v>
      </c>
      <c r="I35" s="1"/>
    </row>
    <row r="36" spans="1:9">
      <c r="A36" s="1">
        <f t="shared" ref="A36:A47" si="4">$A$2+C36</f>
        <v>2053</v>
      </c>
      <c r="B36" s="1">
        <f t="shared" si="1"/>
        <v>63</v>
      </c>
      <c r="C36" s="1">
        <v>34</v>
      </c>
      <c r="D36" s="1">
        <f>IF(Summary!$G$3="M",VLOOKUP(B:B,'male g'!A:V,IF(A36&gt;2033,22,MATCH(A36,'male g'!$A$1:$V$1,0)),FALSE),VLOOKUP(B:B,'female g'!A:V,IF(A36&gt;2033,22,MATCH(A36,'female g'!$A$1:$V$1,0)),FALSE))</f>
        <v>6.1621799999999997E-3</v>
      </c>
      <c r="E36" s="1">
        <f t="shared" si="2"/>
        <v>0.99383781999999998</v>
      </c>
      <c r="F36" s="1">
        <f t="shared" si="3"/>
        <v>0.94321494932880057</v>
      </c>
      <c r="G36" s="1">
        <f>1/(1+Summary!$O$2)^$C36</f>
        <v>0.19035479962020604</v>
      </c>
      <c r="H36" s="1">
        <f>IF(B36&gt;64, Summary!$J$3, 0)*'TV 2'!G36*'TV 2'!F36</f>
        <v>0</v>
      </c>
      <c r="I36" s="1"/>
    </row>
    <row r="37" spans="1:9">
      <c r="A37" s="1">
        <f t="shared" si="4"/>
        <v>2054</v>
      </c>
      <c r="B37" s="1">
        <f t="shared" si="1"/>
        <v>64</v>
      </c>
      <c r="C37" s="1">
        <v>35</v>
      </c>
      <c r="D37" s="1">
        <f>IF(Summary!$G$3="M",VLOOKUP(B:B,'male g'!A:V,IF(A37&gt;2033,22,MATCH(A37,'male g'!$A$1:$V$1,0)),FALSE),VLOOKUP(B:B,'female g'!A:V,IF(A37&gt;2033,22,MATCH(A37,'female g'!$A$1:$V$1,0)),FALSE))</f>
        <v>6.6840069999999996E-3</v>
      </c>
      <c r="E37" s="1">
        <f t="shared" si="2"/>
        <v>0.99331599299999995</v>
      </c>
      <c r="F37" s="1">
        <f t="shared" si="3"/>
        <v>0.93740268903234558</v>
      </c>
      <c r="G37" s="1">
        <f>1/(1+Summary!$O$2)^$C37</f>
        <v>0.18129028535257716</v>
      </c>
      <c r="H37" s="1">
        <f>IF(B37&gt;64, Summary!$J$3, 0)*'TV 2'!G37*'TV 2'!F37</f>
        <v>0</v>
      </c>
      <c r="I37" s="1"/>
    </row>
    <row r="38" spans="1:9">
      <c r="A38" s="1">
        <f t="shared" si="4"/>
        <v>2055</v>
      </c>
      <c r="B38" s="1">
        <f t="shared" si="1"/>
        <v>65</v>
      </c>
      <c r="C38" s="1">
        <v>36</v>
      </c>
      <c r="D38" s="1">
        <f>IF(Summary!$G$3="M",VLOOKUP(B:B,'male g'!A:V,IF(A38&gt;2033,22,MATCH(A38,'male g'!$A$1:$V$1,0)),FALSE),VLOOKUP(B:B,'female g'!A:V,IF(A38&gt;2033,22,MATCH(A38,'female g'!$A$1:$V$1,0)),FALSE))</f>
        <v>7.247748E-3</v>
      </c>
      <c r="E38" s="1">
        <f t="shared" si="2"/>
        <v>0.99275225199999995</v>
      </c>
      <c r="F38" s="1">
        <f t="shared" si="3"/>
        <v>0.93113708289703456</v>
      </c>
      <c r="G38" s="1">
        <f>1/(1+Summary!$O$2)^$C38</f>
        <v>0.17265741462150208</v>
      </c>
      <c r="H38" s="1">
        <f>IF(B38&gt;64, Summary!$J$3, 0)*'TV 2'!G38*'TV 2'!F38</f>
        <v>2619.3519912512211</v>
      </c>
      <c r="I38" s="1"/>
    </row>
    <row r="39" spans="1:9">
      <c r="A39" s="1">
        <f t="shared" si="4"/>
        <v>2056</v>
      </c>
      <c r="B39" s="1">
        <f t="shared" si="1"/>
        <v>66</v>
      </c>
      <c r="C39" s="1">
        <v>37</v>
      </c>
      <c r="D39" s="1">
        <f>IF(Summary!$G$3="M",VLOOKUP(B:B,'male g'!A:V,IF(A39&gt;2033,22,MATCH(A39,'male g'!$A$1:$V$1,0)),FALSE),VLOOKUP(B:B,'female g'!A:V,IF(A39&gt;2033,22,MATCH(A39,'female g'!$A$1:$V$1,0)),FALSE))</f>
        <v>7.8640140000000008E-3</v>
      </c>
      <c r="E39" s="1">
        <f t="shared" si="2"/>
        <v>0.99213598599999997</v>
      </c>
      <c r="F39" s="1">
        <f t="shared" si="3"/>
        <v>0.9243884359667417</v>
      </c>
      <c r="G39" s="1">
        <f>1/(1+Summary!$O$2)^$C39</f>
        <v>0.1644356329728591</v>
      </c>
      <c r="H39" s="1">
        <f>IF(B39&gt;64, Summary!$J$3, 0)*'TV 2'!G39*'TV 2'!F39</f>
        <v>2476.5405600907939</v>
      </c>
      <c r="I39" s="1"/>
    </row>
    <row r="40" spans="1:9">
      <c r="A40" s="1">
        <f t="shared" si="4"/>
        <v>2057</v>
      </c>
      <c r="B40" s="1">
        <f t="shared" si="1"/>
        <v>67</v>
      </c>
      <c r="C40" s="1">
        <v>38</v>
      </c>
      <c r="D40" s="1">
        <f>IF(Summary!$G$3="M",VLOOKUP(B:B,'male g'!A:V,IF(A40&gt;2033,22,MATCH(A40,'male g'!$A$1:$V$1,0)),FALSE),VLOOKUP(B:B,'female g'!A:V,IF(A40&gt;2033,22,MATCH(A40,'female g'!$A$1:$V$1,0)),FALSE))</f>
        <v>8.5402580000000002E-3</v>
      </c>
      <c r="E40" s="1">
        <f t="shared" si="2"/>
        <v>0.99145974199999998</v>
      </c>
      <c r="F40" s="1">
        <f t="shared" si="3"/>
        <v>0.91711903236486114</v>
      </c>
      <c r="G40" s="1">
        <f>1/(1+Summary!$O$2)^$C40</f>
        <v>0.15660536473605632</v>
      </c>
      <c r="H40" s="1">
        <f>IF(B40&gt;64, Summary!$J$3, 0)*'TV 2'!G40*'TV 2'!F40</f>
        <v>2340.0619147187363</v>
      </c>
      <c r="I40" s="1"/>
    </row>
    <row r="41" spans="1:9">
      <c r="A41" s="1">
        <f t="shared" si="4"/>
        <v>2058</v>
      </c>
      <c r="B41" s="1">
        <f t="shared" si="1"/>
        <v>68</v>
      </c>
      <c r="C41" s="1">
        <v>39</v>
      </c>
      <c r="D41" s="1">
        <f>IF(Summary!$G$3="M",VLOOKUP(B:B,'male g'!A:V,IF(A41&gt;2033,22,MATCH(A41,'male g'!$A$1:$V$1,0)),FALSE),VLOOKUP(B:B,'female g'!A:V,IF(A41&gt;2033,22,MATCH(A41,'female g'!$A$1:$V$1,0)),FALSE))</f>
        <v>9.291054E-3</v>
      </c>
      <c r="E41" s="1">
        <f t="shared" si="2"/>
        <v>0.99070894600000003</v>
      </c>
      <c r="F41" s="1">
        <f t="shared" si="3"/>
        <v>0.90928659921175481</v>
      </c>
      <c r="G41" s="1">
        <f>1/(1+Summary!$O$2)^$C41</f>
        <v>0.14914796641529171</v>
      </c>
      <c r="H41" s="1">
        <f>IF(B41&gt;64, Summary!$J$3, 0)*'TV 2'!G41*'TV 2'!F41</f>
        <v>2209.5973164105367</v>
      </c>
      <c r="I41" s="1"/>
    </row>
    <row r="42" spans="1:9">
      <c r="A42" s="1">
        <f t="shared" si="4"/>
        <v>2059</v>
      </c>
      <c r="B42" s="1">
        <f t="shared" si="1"/>
        <v>69</v>
      </c>
      <c r="C42" s="1">
        <v>40</v>
      </c>
      <c r="D42" s="1">
        <f>IF(Summary!$G$3="M",VLOOKUP(B:B,'male g'!A:V,IF(A42&gt;2033,22,MATCH(A42,'male g'!$A$1:$V$1,0)),FALSE),VLOOKUP(B:B,'female g'!A:V,IF(A42&gt;2033,22,MATCH(A42,'female g'!$A$1:$V$1,0)),FALSE))</f>
        <v>1.0121299E-2</v>
      </c>
      <c r="E42" s="1">
        <f t="shared" si="2"/>
        <v>0.98987870099999997</v>
      </c>
      <c r="F42" s="1">
        <f t="shared" si="3"/>
        <v>0.90083836831700204</v>
      </c>
      <c r="G42" s="1">
        <f>1/(1+Summary!$O$2)^$C42</f>
        <v>0.14204568230027784</v>
      </c>
      <c r="H42" s="1">
        <f>IF(B42&gt;64, Summary!$J$3, 0)*'TV 2'!G42*'TV 2'!F42</f>
        <v>2084.8265032623917</v>
      </c>
      <c r="I42" s="1"/>
    </row>
    <row r="43" spans="1:9">
      <c r="A43" s="1">
        <f t="shared" si="4"/>
        <v>2060</v>
      </c>
      <c r="B43" s="1">
        <f t="shared" si="1"/>
        <v>70</v>
      </c>
      <c r="C43" s="1">
        <v>41</v>
      </c>
      <c r="D43" s="1">
        <f>IF(Summary!$G$3="M",VLOOKUP(B:B,'male g'!A:V,IF(A43&gt;2033,22,MATCH(A43,'male g'!$A$1:$V$1,0)),FALSE),VLOOKUP(B:B,'female g'!A:V,IF(A43&gt;2033,22,MATCH(A43,'female g'!$A$1:$V$1,0)),FALSE))</f>
        <v>1.1050012E-2</v>
      </c>
      <c r="E43" s="1">
        <f t="shared" si="2"/>
        <v>0.988949988</v>
      </c>
      <c r="F43" s="1">
        <f t="shared" si="3"/>
        <v>0.89172071384059348</v>
      </c>
      <c r="G43" s="1">
        <f>1/(1+Summary!$O$2)^$C43</f>
        <v>0.13528160219074079</v>
      </c>
      <c r="H43" s="1">
        <f>IF(B43&gt;64, Summary!$J$3, 0)*'TV 2'!G43*'TV 2'!F43</f>
        <v>1965.452715104522</v>
      </c>
      <c r="I43" s="1"/>
    </row>
    <row r="44" spans="1:9">
      <c r="A44" s="1">
        <f t="shared" si="4"/>
        <v>2061</v>
      </c>
      <c r="B44" s="1">
        <f t="shared" si="1"/>
        <v>71</v>
      </c>
      <c r="C44" s="1">
        <v>42</v>
      </c>
      <c r="D44" s="1">
        <f>IF(Summary!$G$3="M",VLOOKUP(B:B,'male g'!A:V,IF(A44&gt;2033,22,MATCH(A44,'male g'!$A$1:$V$1,0)),FALSE),VLOOKUP(B:B,'female g'!A:V,IF(A44&gt;2033,22,MATCH(A44,'female g'!$A$1:$V$1,0)),FALSE))</f>
        <v>1.2082262999999999E-2</v>
      </c>
      <c r="E44" s="1">
        <f t="shared" si="2"/>
        <v>0.98791773699999996</v>
      </c>
      <c r="F44" s="1">
        <f t="shared" si="3"/>
        <v>0.88186718925200636</v>
      </c>
      <c r="G44" s="1">
        <f>1/(1+Summary!$O$2)^$C44</f>
        <v>0.12883962113403885</v>
      </c>
      <c r="H44" s="1">
        <f>IF(B44&gt;64, Summary!$J$3, 0)*'TV 2'!G44*'TV 2'!F44</f>
        <v>1851.1756562068429</v>
      </c>
      <c r="I44" s="1"/>
    </row>
    <row r="45" spans="1:9">
      <c r="A45" s="1">
        <f t="shared" si="4"/>
        <v>2062</v>
      </c>
      <c r="B45" s="1">
        <f t="shared" si="1"/>
        <v>72</v>
      </c>
      <c r="C45" s="1">
        <v>43</v>
      </c>
      <c r="D45" s="1">
        <f>IF(Summary!$G$3="M",VLOOKUP(B:B,'male g'!A:V,IF(A45&gt;2033,22,MATCH(A45,'male g'!$A$1:$V$1,0)),FALSE),VLOOKUP(B:B,'female g'!A:V,IF(A45&gt;2033,22,MATCH(A45,'female g'!$A$1:$V$1,0)),FALSE))</f>
        <v>1.3232393E-2</v>
      </c>
      <c r="E45" s="1">
        <f t="shared" si="2"/>
        <v>0.98676760699999999</v>
      </c>
      <c r="F45" s="1">
        <f t="shared" si="3"/>
        <v>0.87121223794039282</v>
      </c>
      <c r="G45" s="1">
        <f>1/(1+Summary!$O$2)^$C45</f>
        <v>0.12270440108003698</v>
      </c>
      <c r="H45" s="1">
        <f>IF(B45&gt;64, Summary!$J$3, 0)*'TV 2'!G45*'TV 2'!F45</f>
        <v>1741.7231095898605</v>
      </c>
      <c r="I45" s="1"/>
    </row>
    <row r="46" spans="1:9">
      <c r="A46" s="1">
        <f t="shared" si="4"/>
        <v>2063</v>
      </c>
      <c r="B46" s="1">
        <f t="shared" si="1"/>
        <v>73</v>
      </c>
      <c r="C46" s="1">
        <v>44</v>
      </c>
      <c r="D46" s="1">
        <f>IF(Summary!$G$3="M",VLOOKUP(B:B,'male g'!A:V,IF(A46&gt;2033,22,MATCH(A46,'male g'!$A$1:$V$1,0)),FALSE),VLOOKUP(B:B,'female g'!A:V,IF(A46&gt;2033,22,MATCH(A46,'female g'!$A$1:$V$1,0)),FALSE))</f>
        <v>1.4520474E-2</v>
      </c>
      <c r="E46" s="1">
        <f t="shared" si="2"/>
        <v>0.98547952599999999</v>
      </c>
      <c r="F46" s="1">
        <f t="shared" si="3"/>
        <v>0.85968401522155602</v>
      </c>
      <c r="G46" s="1">
        <f>1/(1+Summary!$O$2)^$C46</f>
        <v>0.11686133436193999</v>
      </c>
      <c r="H46" s="1">
        <f>IF(B46&gt;64, Summary!$J$3, 0)*'TV 2'!G46*'TV 2'!F46</f>
        <v>1636.8342332443674</v>
      </c>
      <c r="I46" s="1"/>
    </row>
    <row r="47" spans="1:9">
      <c r="A47" s="1">
        <f t="shared" si="4"/>
        <v>2064</v>
      </c>
      <c r="B47" s="1">
        <f t="shared" si="1"/>
        <v>74</v>
      </c>
      <c r="C47" s="1">
        <v>45</v>
      </c>
      <c r="D47" s="1">
        <f>IF(Summary!$G$3="M",VLOOKUP(B:B,'male g'!A:V,IF(A47&gt;2033,22,MATCH(A47,'male g'!$A$1:$V$1,0)),FALSE),VLOOKUP(B:B,'female g'!A:V,IF(A47&gt;2033,22,MATCH(A47,'female g'!$A$1:$V$1,0)),FALSE))</f>
        <v>1.5945328000000002E-2</v>
      </c>
      <c r="E47" s="1">
        <f t="shared" si="2"/>
        <v>0.98405467199999996</v>
      </c>
      <c r="F47" s="1">
        <f t="shared" si="3"/>
        <v>0.84720099583031583</v>
      </c>
      <c r="G47" s="1">
        <f>1/(1+Summary!$O$2)^$C47</f>
        <v>0.1112965089161333</v>
      </c>
      <c r="H47" s="1">
        <f>IF(B47&gt;64, Summary!$J$3, 0)*'TV 2'!G47*'TV 2'!F47</f>
        <v>1536.253927922126</v>
      </c>
      <c r="I47" s="1"/>
    </row>
    <row r="48" spans="1:9">
      <c r="A48" s="1">
        <f>$A$2+C48</f>
        <v>2065</v>
      </c>
      <c r="B48" s="1">
        <f>$B$2+C48</f>
        <v>75</v>
      </c>
      <c r="C48" s="1">
        <v>46</v>
      </c>
      <c r="D48" s="1">
        <f>IF(Summary!$G$3="M",VLOOKUP(B:B,'male g'!A:V,IF(A48&gt;2033,22,MATCH(A48,'male g'!$A$1:$V$1,0)),FALSE),VLOOKUP(B:B,'female g'!A:V,IF(A48&gt;2033,22,MATCH(A48,'female g'!$A$1:$V$1,0)),FALSE))</f>
        <v>1.7550544000000001E-2</v>
      </c>
      <c r="E48" s="1">
        <f t="shared" si="2"/>
        <v>0.982449456</v>
      </c>
      <c r="F48" s="1">
        <f t="shared" si="3"/>
        <v>0.83369209806987477</v>
      </c>
      <c r="G48" s="1">
        <f>1/(1+Summary!$O$2)^$C48</f>
        <v>0.10599667515822221</v>
      </c>
      <c r="H48" s="1">
        <f>IF(B48&gt;64, Summary!$J$3, 0)*'TV 2'!G48*'TV 2'!F48</f>
        <v>1439.7693858572568</v>
      </c>
      <c r="I48" s="1"/>
    </row>
    <row r="49" spans="1:9">
      <c r="A49" s="1">
        <f t="shared" ref="A49:A73" si="5">$A$2+C49</f>
        <v>2066</v>
      </c>
      <c r="B49" s="1">
        <f t="shared" si="1"/>
        <v>76</v>
      </c>
      <c r="C49" s="1">
        <v>47</v>
      </c>
      <c r="D49" s="1">
        <f>IF(Summary!$G$3="M",VLOOKUP(B:B,'male g'!A:V,IF(A49&gt;2033,22,MATCH(A49,'male g'!$A$1:$V$1,0)),FALSE),VLOOKUP(B:B,'female g'!A:V,IF(A49&gt;2033,22,MATCH(A49,'female g'!$A$1:$V$1,0)),FALSE))</f>
        <v>1.9346596000000001E-2</v>
      </c>
      <c r="E49" s="1">
        <f t="shared" si="2"/>
        <v>0.98065340400000001</v>
      </c>
      <c r="F49" s="1">
        <f t="shared" si="3"/>
        <v>0.81906034822024709</v>
      </c>
      <c r="G49" s="1">
        <f>1/(1+Summary!$O$2)^$C49</f>
        <v>0.10094921443640208</v>
      </c>
      <c r="H49" s="1">
        <f>IF(B49&gt;64, Summary!$J$3, 0)*'TV 2'!G49*'TV 2'!F49</f>
        <v>1347.1434760961099</v>
      </c>
      <c r="I49" s="1"/>
    </row>
    <row r="50" spans="1:9">
      <c r="A50" s="1">
        <f t="shared" si="5"/>
        <v>2067</v>
      </c>
      <c r="B50" s="1">
        <f t="shared" si="1"/>
        <v>77</v>
      </c>
      <c r="C50" s="1">
        <v>48</v>
      </c>
      <c r="D50" s="1">
        <f>IF(Summary!$G$3="M",VLOOKUP(B:B,'male g'!A:V,IF(A50&gt;2033,22,MATCH(A50,'male g'!$A$1:$V$1,0)),FALSE),VLOOKUP(B:B,'female g'!A:V,IF(A50&gt;2033,22,MATCH(A50,'female g'!$A$1:$V$1,0)),FALSE))</f>
        <v>2.1378668999999999E-2</v>
      </c>
      <c r="E50" s="1">
        <f t="shared" si="2"/>
        <v>0.97862133100000004</v>
      </c>
      <c r="F50" s="1">
        <f t="shared" si="3"/>
        <v>0.8032143185636107</v>
      </c>
      <c r="G50" s="1">
        <f>1/(1+Summary!$O$2)^$C50</f>
        <v>9.6142108987049613E-2</v>
      </c>
      <c r="H50" s="1">
        <f>IF(B50&gt;64, Summary!$J$3, 0)*'TV 2'!G50*'TV 2'!F50</f>
        <v>1258.1722242952792</v>
      </c>
      <c r="I50" s="1"/>
    </row>
    <row r="51" spans="1:9">
      <c r="A51" s="1">
        <f t="shared" si="5"/>
        <v>2068</v>
      </c>
      <c r="B51" s="1">
        <f t="shared" si="1"/>
        <v>78</v>
      </c>
      <c r="C51" s="1">
        <v>49</v>
      </c>
      <c r="D51" s="1">
        <f>IF(Summary!$G$3="M",VLOOKUP(B:B,'male g'!A:V,IF(A51&gt;2033,22,MATCH(A51,'male g'!$A$1:$V$1,0)),FALSE),VLOOKUP(B:B,'female g'!A:V,IF(A51&gt;2033,22,MATCH(A51,'female g'!$A$1:$V$1,0)),FALSE))</f>
        <v>2.3682564E-2</v>
      </c>
      <c r="E51" s="1">
        <f t="shared" si="2"/>
        <v>0.97631743599999998</v>
      </c>
      <c r="F51" s="1">
        <f t="shared" si="3"/>
        <v>0.78604266551097879</v>
      </c>
      <c r="G51" s="1">
        <f>1/(1+Summary!$O$2)^$C51</f>
        <v>9.1563913320999626E-2</v>
      </c>
      <c r="H51" s="1">
        <f>IF(B51&gt;64, Summary!$J$3, 0)*'TV 2'!G51*'TV 2'!F51</f>
        <v>1172.6420731115018</v>
      </c>
      <c r="I51" s="1"/>
    </row>
    <row r="52" spans="1:9">
      <c r="A52" s="1">
        <f t="shared" si="5"/>
        <v>2069</v>
      </c>
      <c r="B52" s="1">
        <f t="shared" si="1"/>
        <v>79</v>
      </c>
      <c r="C52" s="1">
        <v>50</v>
      </c>
      <c r="D52" s="1">
        <f>IF(Summary!$G$3="M",VLOOKUP(B:B,'male g'!A:V,IF(A52&gt;2033,22,MATCH(A52,'male g'!$A$1:$V$1,0)),FALSE),VLOOKUP(B:B,'female g'!A:V,IF(A52&gt;2033,22,MATCH(A52,'female g'!$A$1:$V$1,0)),FALSE))</f>
        <v>2.6301709E-2</v>
      </c>
      <c r="E52" s="1">
        <f t="shared" si="2"/>
        <v>0.97369829100000005</v>
      </c>
      <c r="F52" s="1">
        <f t="shared" si="3"/>
        <v>0.76742715977828446</v>
      </c>
      <c r="G52" s="1">
        <f>1/(1+Summary!$O$2)^$C52</f>
        <v>8.7203726972380588E-2</v>
      </c>
      <c r="H52" s="1">
        <f>IF(B52&gt;64, Summary!$J$3, 0)*'TV 2'!G52*'TV 2'!F52</f>
        <v>1090.3532401580435</v>
      </c>
      <c r="I52" s="1"/>
    </row>
    <row r="53" spans="1:9">
      <c r="A53" s="1">
        <f t="shared" si="5"/>
        <v>2070</v>
      </c>
      <c r="B53" s="1">
        <f t="shared" si="1"/>
        <v>80</v>
      </c>
      <c r="C53" s="1">
        <v>51</v>
      </c>
      <c r="D53" s="1">
        <f>IF(Summary!$G$3="M",VLOOKUP(B:B,'male g'!A:V,IF(A53&gt;2033,22,MATCH(A53,'male g'!$A$1:$V$1,0)),FALSE),VLOOKUP(B:B,'female g'!A:V,IF(A53&gt;2033,22,MATCH(A53,'female g'!$A$1:$V$1,0)),FALSE))</f>
        <v>2.9285830999999998E-2</v>
      </c>
      <c r="E53" s="1">
        <f t="shared" si="2"/>
        <v>0.97071416899999996</v>
      </c>
      <c r="F53" s="1">
        <f t="shared" si="3"/>
        <v>0.7472425139430996</v>
      </c>
      <c r="G53" s="1">
        <f>1/(1+Summary!$O$2)^$C53</f>
        <v>8.3051168545124371E-2</v>
      </c>
      <c r="H53" s="1">
        <f>IF(B53&gt;64, Summary!$J$3, 0)*'TV 2'!G53*'TV 2'!F53</f>
        <v>1011.1191300268567</v>
      </c>
      <c r="I53" s="1"/>
    </row>
    <row r="54" spans="1:9">
      <c r="A54" s="1">
        <f t="shared" si="5"/>
        <v>2071</v>
      </c>
      <c r="B54" s="1">
        <f t="shared" si="1"/>
        <v>81</v>
      </c>
      <c r="C54" s="1">
        <v>52</v>
      </c>
      <c r="D54" s="1">
        <f>IF(Summary!$G$3="M",VLOOKUP(B:B,'male g'!A:V,IF(A54&gt;2033,22,MATCH(A54,'male g'!$A$1:$V$1,0)),FALSE),VLOOKUP(B:B,'female g'!A:V,IF(A54&gt;2033,22,MATCH(A54,'female g'!$A$1:$V$1,0)),FALSE))</f>
        <v>3.2681842000000003E-2</v>
      </c>
      <c r="E54" s="1">
        <f t="shared" si="2"/>
        <v>0.96731815799999998</v>
      </c>
      <c r="F54" s="1">
        <f t="shared" si="3"/>
        <v>0.72535889596374681</v>
      </c>
      <c r="G54" s="1">
        <f>1/(1+Summary!$O$2)^$C54</f>
        <v>7.9096350995356543E-2</v>
      </c>
      <c r="H54" s="1">
        <f>IF(B54&gt;64, Summary!$J$3, 0)*'TV 2'!G54*'TV 2'!F54</f>
        <v>934.76920577526016</v>
      </c>
      <c r="I54" s="1"/>
    </row>
    <row r="55" spans="1:9">
      <c r="A55" s="1">
        <f t="shared" si="5"/>
        <v>2072</v>
      </c>
      <c r="B55" s="1">
        <f t="shared" si="1"/>
        <v>82</v>
      </c>
      <c r="C55" s="1">
        <v>53</v>
      </c>
      <c r="D55" s="1">
        <f>IF(Summary!$G$3="M",VLOOKUP(B:B,'male g'!A:V,IF(A55&gt;2033,22,MATCH(A55,'male g'!$A$1:$V$1,0)),FALSE),VLOOKUP(B:B,'female g'!A:V,IF(A55&gt;2033,22,MATCH(A55,'female g'!$A$1:$V$1,0)),FALSE))</f>
        <v>3.6549238999999997E-2</v>
      </c>
      <c r="E55" s="1">
        <f t="shared" si="2"/>
        <v>0.96345076100000004</v>
      </c>
      <c r="F55" s="1">
        <f t="shared" si="3"/>
        <v>0.70165283113256516</v>
      </c>
      <c r="G55" s="1">
        <f>1/(1+Summary!$O$2)^$C55</f>
        <v>7.5329858090815757E-2</v>
      </c>
      <c r="H55" s="1">
        <f>IF(B55&gt;64, Summary!$J$3, 0)*'TV 2'!G55*'TV 2'!F55</f>
        <v>861.16116789109299</v>
      </c>
      <c r="I55" s="1"/>
    </row>
    <row r="56" spans="1:9">
      <c r="A56" s="1">
        <f t="shared" si="5"/>
        <v>2073</v>
      </c>
      <c r="B56" s="1">
        <f t="shared" si="1"/>
        <v>83</v>
      </c>
      <c r="C56" s="1">
        <v>54</v>
      </c>
      <c r="D56" s="1">
        <f>IF(Summary!$G$3="M",VLOOKUP(B:B,'male g'!A:V,IF(A56&gt;2033,22,MATCH(A56,'male g'!$A$1:$V$1,0)),FALSE),VLOOKUP(B:B,'female g'!A:V,IF(A56&gt;2033,22,MATCH(A56,'female g'!$A$1:$V$1,0)),FALSE))</f>
        <v>4.0956563000000001E-2</v>
      </c>
      <c r="E56" s="1">
        <f t="shared" si="2"/>
        <v>0.95904343700000005</v>
      </c>
      <c r="F56" s="1">
        <f t="shared" si="3"/>
        <v>0.67600795411247439</v>
      </c>
      <c r="G56" s="1">
        <f>1/(1+Summary!$O$2)^$C56</f>
        <v>7.1742721991253117E-2</v>
      </c>
      <c r="H56" s="1">
        <f>IF(B56&gt;64, Summary!$J$3, 0)*'TV 2'!G56*'TV 2'!F56</f>
        <v>790.17750718887862</v>
      </c>
      <c r="I56" s="1"/>
    </row>
    <row r="57" spans="1:9">
      <c r="A57" s="1">
        <f t="shared" si="5"/>
        <v>2074</v>
      </c>
      <c r="B57" s="1">
        <f t="shared" si="1"/>
        <v>84</v>
      </c>
      <c r="C57" s="1">
        <v>55</v>
      </c>
      <c r="D57" s="1">
        <f>IF(Summary!$G$3="M",VLOOKUP(B:B,'male g'!A:V,IF(A57&gt;2033,22,MATCH(A57,'male g'!$A$1:$V$1,0)),FALSE),VLOOKUP(B:B,'female g'!A:V,IF(A57&gt;2033,22,MATCH(A57,'female g'!$A$1:$V$1,0)),FALSE))</f>
        <v>4.5960176999999998E-2</v>
      </c>
      <c r="E57" s="1">
        <f t="shared" si="2"/>
        <v>0.95403982300000001</v>
      </c>
      <c r="F57" s="1">
        <f t="shared" si="3"/>
        <v>0.64832099175136571</v>
      </c>
      <c r="G57" s="1">
        <f>1/(1+Summary!$O$2)^$C57</f>
        <v>6.8326401896431521E-2</v>
      </c>
      <c r="H57" s="1">
        <f>IF(B57&gt;64, Summary!$J$3, 0)*'TV 2'!G57*'TV 2'!F57</f>
        <v>721.72814508048964</v>
      </c>
      <c r="I57" s="1"/>
    </row>
    <row r="58" spans="1:9">
      <c r="A58" s="1">
        <f t="shared" si="5"/>
        <v>2075</v>
      </c>
      <c r="B58" s="1">
        <f t="shared" si="1"/>
        <v>85</v>
      </c>
      <c r="C58" s="1">
        <v>56</v>
      </c>
      <c r="D58" s="1">
        <f>IF(Summary!$G$3="M",VLOOKUP(B:B,'male g'!A:V,IF(A58&gt;2033,22,MATCH(A58,'male g'!$A$1:$V$1,0)),FALSE),VLOOKUP(B:B,'female g'!A:V,IF(A58&gt;2033,22,MATCH(A58,'female g'!$A$1:$V$1,0)),FALSE))</f>
        <v>5.1631459999999997E-2</v>
      </c>
      <c r="E58" s="1">
        <f t="shared" si="2"/>
        <v>0.94836854000000004</v>
      </c>
      <c r="F58" s="1">
        <f t="shared" si="3"/>
        <v>0.61852404421765739</v>
      </c>
      <c r="G58" s="1">
        <f>1/(1+Summary!$O$2)^$C58</f>
        <v>6.5072763710887174E-2</v>
      </c>
      <c r="H58" s="1">
        <f>IF(B58&gt;64, Summary!$J$3, 0)*'TV 2'!G58*'TV 2'!F58</f>
        <v>655.76894455877027</v>
      </c>
      <c r="I58" s="1"/>
    </row>
    <row r="59" spans="1:9">
      <c r="A59" s="1">
        <f t="shared" si="5"/>
        <v>2076</v>
      </c>
      <c r="B59" s="1">
        <f t="shared" si="1"/>
        <v>86</v>
      </c>
      <c r="C59" s="1">
        <v>57</v>
      </c>
      <c r="D59" s="1">
        <f>IF(Summary!$G$3="M",VLOOKUP(B:B,'male g'!A:V,IF(A59&gt;2033,22,MATCH(A59,'male g'!$A$1:$V$1,0)),FALSE),VLOOKUP(B:B,'female g'!A:V,IF(A59&gt;2033,22,MATCH(A59,'female g'!$A$1:$V$1,0)),FALSE))</f>
        <v>5.8086306999999997E-2</v>
      </c>
      <c r="E59" s="1">
        <f t="shared" si="2"/>
        <v>0.94191369300000005</v>
      </c>
      <c r="F59" s="1">
        <f t="shared" si="3"/>
        <v>0.58658874476959522</v>
      </c>
      <c r="G59" s="1">
        <f>1/(1+Summary!$O$2)^$C59</f>
        <v>6.1974060677035397E-2</v>
      </c>
      <c r="H59" s="1">
        <f>IF(B59&gt;64, Summary!$J$3, 0)*'TV 2'!G59*'TV 2'!F59</f>
        <v>592.29584431289697</v>
      </c>
      <c r="I59" s="1"/>
    </row>
    <row r="60" spans="1:9">
      <c r="A60" s="1">
        <f t="shared" si="5"/>
        <v>2077</v>
      </c>
      <c r="B60" s="1">
        <f t="shared" si="1"/>
        <v>87</v>
      </c>
      <c r="C60" s="1">
        <v>58</v>
      </c>
      <c r="D60" s="1">
        <f>IF(Summary!$G$3="M",VLOOKUP(B:B,'male g'!A:V,IF(A60&gt;2033,22,MATCH(A60,'male g'!$A$1:$V$1,0)),FALSE),VLOOKUP(B:B,'female g'!A:V,IF(A60&gt;2033,22,MATCH(A60,'female g'!$A$1:$V$1,0)),FALSE))</f>
        <v>6.5370790999999998E-2</v>
      </c>
      <c r="E60" s="1">
        <f t="shared" si="2"/>
        <v>0.93462920900000002</v>
      </c>
      <c r="F60" s="1">
        <f t="shared" si="3"/>
        <v>0.55251597085816384</v>
      </c>
      <c r="G60" s="1">
        <f>1/(1+Summary!$O$2)^$C60</f>
        <v>5.9022914930509894E-2</v>
      </c>
      <c r="H60" s="1">
        <f>IF(B60&gt;64, Summary!$J$3, 0)*'TV 2'!G60*'TV 2'!F60</f>
        <v>531.32530101458451</v>
      </c>
      <c r="I60" s="1"/>
    </row>
    <row r="61" spans="1:9">
      <c r="A61" s="1">
        <f t="shared" si="5"/>
        <v>2078</v>
      </c>
      <c r="B61" s="1">
        <f t="shared" si="1"/>
        <v>88</v>
      </c>
      <c r="C61" s="1">
        <v>59</v>
      </c>
      <c r="D61" s="1">
        <f>IF(Summary!$G$3="M",VLOOKUP(B:B,'male g'!A:V,IF(A61&gt;2033,22,MATCH(A61,'male g'!$A$1:$V$1,0)),FALSE),VLOOKUP(B:B,'female g'!A:V,IF(A61&gt;2033,22,MATCH(A61,'female g'!$A$1:$V$1,0)),FALSE))</f>
        <v>7.3564853999999999E-2</v>
      </c>
      <c r="E61" s="1">
        <f t="shared" si="2"/>
        <v>0.92643514599999999</v>
      </c>
      <c r="F61" s="1">
        <f t="shared" si="3"/>
        <v>0.51639756480303278</v>
      </c>
      <c r="G61" s="1">
        <f>1/(1+Summary!$O$2)^$C61</f>
        <v>5.6212299933818946E-2</v>
      </c>
      <c r="H61" s="1">
        <f>IF(B61&gt;64, Summary!$J$3, 0)*'TV 2'!G61*'TV 2'!F61</f>
        <v>472.94490077042673</v>
      </c>
      <c r="I61" s="1"/>
    </row>
    <row r="62" spans="1:9">
      <c r="A62" s="1">
        <f t="shared" si="5"/>
        <v>2079</v>
      </c>
      <c r="B62" s="1">
        <f t="shared" si="1"/>
        <v>89</v>
      </c>
      <c r="C62" s="1">
        <v>60</v>
      </c>
      <c r="D62" s="1">
        <f>IF(Summary!$G$3="M",VLOOKUP(B:B,'male g'!A:V,IF(A62&gt;2033,22,MATCH(A62,'male g'!$A$1:$V$1,0)),FALSE),VLOOKUP(B:B,'female g'!A:V,IF(A62&gt;2033,22,MATCH(A62,'female g'!$A$1:$V$1,0)),FALSE))</f>
        <v>8.2758546000000002E-2</v>
      </c>
      <c r="E62" s="1">
        <f t="shared" si="2"/>
        <v>0.91724145400000001</v>
      </c>
      <c r="F62" s="1">
        <f t="shared" si="3"/>
        <v>0.47840885334234212</v>
      </c>
      <c r="G62" s="1">
        <f>1/(1+Summary!$O$2)^$C62</f>
        <v>5.3535523746494243E-2</v>
      </c>
      <c r="H62" s="1">
        <f>IF(B62&gt;64, Summary!$J$3, 0)*'TV 2'!G62*'TV 2'!F62</f>
        <v>417.28836018591034</v>
      </c>
      <c r="I62" s="1"/>
    </row>
    <row r="63" spans="1:9">
      <c r="A63" s="1">
        <f t="shared" si="5"/>
        <v>2080</v>
      </c>
      <c r="B63" s="1">
        <f t="shared" si="1"/>
        <v>90</v>
      </c>
      <c r="C63" s="1">
        <v>61</v>
      </c>
      <c r="D63" s="1">
        <f>IF(Summary!$G$3="M",VLOOKUP(B:B,'male g'!A:V,IF(A63&gt;2033,22,MATCH(A63,'male g'!$A$1:$V$1,0)),FALSE),VLOOKUP(B:B,'female g'!A:V,IF(A63&gt;2033,22,MATCH(A63,'female g'!$A$1:$V$1,0)),FALSE))</f>
        <v>9.3062779999999998E-2</v>
      </c>
      <c r="E63" s="1">
        <f t="shared" si="2"/>
        <v>0.90693721999999999</v>
      </c>
      <c r="F63" s="1">
        <f t="shared" si="3"/>
        <v>0.43881643224620265</v>
      </c>
      <c r="G63" s="1">
        <f>1/(1+Summary!$O$2)^$C63</f>
        <v>5.0986213091899268E-2</v>
      </c>
      <c r="H63" s="1">
        <f>IF(B63&gt;64, Summary!$J$3, 0)*'TV 2'!G63*'TV 2'!F63</f>
        <v>364.52779260400001</v>
      </c>
      <c r="I63" s="1"/>
    </row>
    <row r="64" spans="1:9">
      <c r="A64" s="1">
        <f t="shared" si="5"/>
        <v>2081</v>
      </c>
      <c r="B64" s="1">
        <f t="shared" si="1"/>
        <v>91</v>
      </c>
      <c r="C64" s="1">
        <v>62</v>
      </c>
      <c r="D64" s="1">
        <f>IF(Summary!$G$3="M",VLOOKUP(B:B,'male g'!A:V,IF(A64&gt;2033,22,MATCH(A64,'male g'!$A$1:$V$1,0)),FALSE),VLOOKUP(B:B,'female g'!A:V,IF(A64&gt;2033,22,MATCH(A64,'female g'!$A$1:$V$1,0)),FALSE))</f>
        <v>0.104297588</v>
      </c>
      <c r="E64" s="1">
        <f t="shared" si="2"/>
        <v>0.895702412</v>
      </c>
      <c r="F64" s="1">
        <f t="shared" si="3"/>
        <v>0.39797895515168941</v>
      </c>
      <c r="G64" s="1">
        <f>1/(1+Summary!$O$2)^$C64</f>
        <v>4.855829818276123E-2</v>
      </c>
      <c r="H64" s="1">
        <f>IF(B64&gt;64, Summary!$J$3, 0)*'TV 2'!G64*'TV 2'!F64</f>
        <v>314.86078365429381</v>
      </c>
      <c r="I64" s="1"/>
    </row>
    <row r="65" spans="1:9">
      <c r="A65" s="1">
        <f t="shared" si="5"/>
        <v>2082</v>
      </c>
      <c r="B65" s="1">
        <f t="shared" si="1"/>
        <v>92</v>
      </c>
      <c r="C65" s="1">
        <v>63</v>
      </c>
      <c r="D65" s="1">
        <f>IF(Summary!$G$3="M",VLOOKUP(B:B,'male g'!A:V,IF(A65&gt;2033,22,MATCH(A65,'male g'!$A$1:$V$1,0)),FALSE),VLOOKUP(B:B,'female g'!A:V,IF(A65&gt;2033,22,MATCH(A65,'female g'!$A$1:$V$1,0)),FALSE))</f>
        <v>0.116397271</v>
      </c>
      <c r="E65" s="1">
        <f t="shared" si="2"/>
        <v>0.88360272900000003</v>
      </c>
      <c r="F65" s="1">
        <f t="shared" si="3"/>
        <v>0.35647071005460801</v>
      </c>
      <c r="G65" s="1">
        <f>1/(1+Summary!$O$2)^$C65</f>
        <v>4.6245998269296387E-2</v>
      </c>
      <c r="H65" s="1">
        <f>IF(B65&gt;64, Summary!$J$3, 0)*'TV 2'!G65*'TV 2'!F65</f>
        <v>268.59196510796284</v>
      </c>
      <c r="I65" s="1"/>
    </row>
    <row r="66" spans="1:9">
      <c r="A66" s="1">
        <f t="shared" si="5"/>
        <v>2083</v>
      </c>
      <c r="B66" s="1">
        <f t="shared" si="1"/>
        <v>93</v>
      </c>
      <c r="C66" s="1">
        <v>64</v>
      </c>
      <c r="D66" s="1">
        <f>IF(Summary!$G$3="M",VLOOKUP(B:B,'male g'!A:V,IF(A66&gt;2033,22,MATCH(A66,'male g'!$A$1:$V$1,0)),FALSE),VLOOKUP(B:B,'female g'!A:V,IF(A66&gt;2033,22,MATCH(A66,'female g'!$A$1:$V$1,0)),FALSE))</f>
        <v>0.12927651700000001</v>
      </c>
      <c r="E66" s="1">
        <f t="shared" si="2"/>
        <v>0.87072348300000002</v>
      </c>
      <c r="F66" s="1">
        <f t="shared" si="3"/>
        <v>0.31497849221281937</v>
      </c>
      <c r="G66" s="1">
        <f>1/(1+Summary!$O$2)^$C66</f>
        <v>4.4043807875520369E-2</v>
      </c>
      <c r="H66" s="1">
        <f>IF(B66&gt;64, Summary!$J$3, 0)*'TV 2'!G66*'TV 2'!F66</f>
        <v>226.02723176844643</v>
      </c>
      <c r="I66" s="1"/>
    </row>
    <row r="67" spans="1:9">
      <c r="A67" s="1">
        <f t="shared" si="5"/>
        <v>2084</v>
      </c>
      <c r="B67" s="1">
        <f t="shared" si="1"/>
        <v>94</v>
      </c>
      <c r="C67" s="1">
        <v>65</v>
      </c>
      <c r="D67" s="1">
        <f>IF(Summary!$G$3="M",VLOOKUP(B:B,'male g'!A:V,IF(A67&gt;2033,22,MATCH(A67,'male g'!$A$1:$V$1,0)),FALSE),VLOOKUP(B:B,'female g'!A:V,IF(A67&gt;2033,22,MATCH(A67,'female g'!$A$1:$V$1,0)),FALSE))</f>
        <v>0.14283962</v>
      </c>
      <c r="E67" s="1">
        <f t="shared" si="2"/>
        <v>0.85716038000000006</v>
      </c>
      <c r="F67" s="1">
        <f t="shared" si="3"/>
        <v>0.27425916980963444</v>
      </c>
      <c r="G67" s="1">
        <f>1/(1+Summary!$O$2)^$C67</f>
        <v>4.1946483690971779E-2</v>
      </c>
      <c r="H67" s="1">
        <f>IF(B67&gt;64, Summary!$J$3, 0)*'TV 2'!G67*'TV 2'!F67</f>
        <v>187.43544618882848</v>
      </c>
      <c r="I67" s="1"/>
    </row>
    <row r="68" spans="1:9">
      <c r="A68" s="1">
        <f t="shared" si="5"/>
        <v>2085</v>
      </c>
      <c r="B68" s="1">
        <f t="shared" ref="B68:B73" si="6">$B$2+C68</f>
        <v>95</v>
      </c>
      <c r="C68" s="1">
        <v>66</v>
      </c>
      <c r="D68" s="1">
        <f>IF(Summary!$G$3="M",VLOOKUP(B:B,'male g'!A:V,IF(A68&gt;2033,22,MATCH(A68,'male g'!$A$1:$V$1,0)),FALSE),VLOOKUP(B:B,'female g'!A:V,IF(A68&gt;2033,22,MATCH(A68,'female g'!$A$1:$V$1,0)),FALSE))</f>
        <v>0.15715622100000001</v>
      </c>
      <c r="E68" s="1">
        <f t="shared" ref="E68:E93" si="7">1-D68</f>
        <v>0.84284377899999996</v>
      </c>
      <c r="F68" s="1">
        <f t="shared" si="3"/>
        <v>0.23508409421251081</v>
      </c>
      <c r="G68" s="1">
        <f>1/(1+Summary!$O$2)^$C68</f>
        <v>3.9949032086639788E-2</v>
      </c>
      <c r="H68" s="1">
        <f>IF(B68&gt;64, Summary!$J$3, 0)*'TV 2'!G68*'TV 2'!F68</f>
        <v>153.01165550541504</v>
      </c>
      <c r="I68" s="1"/>
    </row>
    <row r="69" spans="1:9">
      <c r="A69" s="1">
        <f t="shared" si="5"/>
        <v>2086</v>
      </c>
      <c r="B69" s="1">
        <f t="shared" si="6"/>
        <v>96</v>
      </c>
      <c r="C69" s="1">
        <v>67</v>
      </c>
      <c r="D69" s="1">
        <f>IF(Summary!$G$3="M",VLOOKUP(B:B,'male g'!A:V,IF(A69&gt;2033,22,MATCH(A69,'male g'!$A$1:$V$1,0)),FALSE),VLOOKUP(B:B,'female g'!A:V,IF(A69&gt;2033,22,MATCH(A69,'female g'!$A$1:$V$1,0)),FALSE))</f>
        <v>0.173075216</v>
      </c>
      <c r="E69" s="1">
        <f t="shared" si="7"/>
        <v>0.82692478400000002</v>
      </c>
      <c r="F69" s="1">
        <f t="shared" ref="F69:F93" si="8">E68*F68</f>
        <v>0.19813916634886464</v>
      </c>
      <c r="G69" s="1">
        <f>1/(1+Summary!$O$2)^$C69</f>
        <v>3.8046697225371226E-2</v>
      </c>
      <c r="H69" s="1">
        <f>IF(B69&gt;64, Summary!$J$3, 0)*'TV 2'!G69*'TV 2'!F69</f>
        <v>122.82373519736205</v>
      </c>
      <c r="I69" s="1"/>
    </row>
    <row r="70" spans="1:9">
      <c r="A70" s="1">
        <f t="shared" si="5"/>
        <v>2087</v>
      </c>
      <c r="B70" s="1">
        <f t="shared" si="6"/>
        <v>97</v>
      </c>
      <c r="C70" s="1">
        <v>68</v>
      </c>
      <c r="D70" s="1">
        <f>IF(Summary!$G$3="M",VLOOKUP(B:B,'male g'!A:V,IF(A70&gt;2033,22,MATCH(A70,'male g'!$A$1:$V$1,0)),FALSE),VLOOKUP(B:B,'female g'!A:V,IF(A70&gt;2033,22,MATCH(A70,'female g'!$A$1:$V$1,0)),FALSE))</f>
        <v>0.18989809799999999</v>
      </c>
      <c r="E70" s="1">
        <f t="shared" si="7"/>
        <v>0.81010190199999998</v>
      </c>
      <c r="F70" s="1">
        <f t="shared" si="8"/>
        <v>0.16384618733497497</v>
      </c>
      <c r="G70" s="1">
        <f>1/(1+Summary!$O$2)^$C70</f>
        <v>3.6234949738448791E-2</v>
      </c>
      <c r="H70" s="1">
        <f>IF(B70&gt;64, Summary!$J$3, 0)*'TV 2'!G70*'TV 2'!F70</f>
        <v>96.729514950620796</v>
      </c>
      <c r="I70" s="1"/>
    </row>
    <row r="71" spans="1:9">
      <c r="A71" s="1">
        <f t="shared" si="5"/>
        <v>2088</v>
      </c>
      <c r="B71" s="1">
        <f t="shared" si="6"/>
        <v>98</v>
      </c>
      <c r="C71" s="1">
        <v>69</v>
      </c>
      <c r="D71" s="1">
        <f>IF(Summary!$G$3="M",VLOOKUP(B:B,'male g'!A:V,IF(A71&gt;2033,22,MATCH(A71,'male g'!$A$1:$V$1,0)),FALSE),VLOOKUP(B:B,'female g'!A:V,IF(A71&gt;2033,22,MATCH(A71,'female g'!$A$1:$V$1,0)),FALSE))</f>
        <v>0.2077398</v>
      </c>
      <c r="E71" s="1">
        <f t="shared" si="7"/>
        <v>0.79226019999999997</v>
      </c>
      <c r="F71" s="1">
        <f t="shared" si="8"/>
        <v>0.13273210799551152</v>
      </c>
      <c r="G71" s="1">
        <f>1/(1+Summary!$O$2)^$C71</f>
        <v>3.4509475941379798E-2</v>
      </c>
      <c r="H71" s="1">
        <f>IF(B71&gt;64, Summary!$J$3, 0)*'TV 2'!G71*'TV 2'!F71</f>
        <v>74.629299086700314</v>
      </c>
      <c r="I71" s="1"/>
    </row>
    <row r="72" spans="1:9">
      <c r="A72" s="1">
        <f t="shared" si="5"/>
        <v>2089</v>
      </c>
      <c r="B72" s="1">
        <f t="shared" si="6"/>
        <v>99</v>
      </c>
      <c r="C72" s="1">
        <v>70</v>
      </c>
      <c r="D72" s="1">
        <f>IF(Summary!$G$3="M",VLOOKUP(B:B,'male g'!A:V,IF(A72&gt;2033,22,MATCH(A72,'male g'!$A$1:$V$1,0)),FALSE),VLOOKUP(B:B,'female g'!A:V,IF(A72&gt;2033,22,MATCH(A72,'female g'!$A$1:$V$1,0)),FALSE))</f>
        <v>0.22627810600000001</v>
      </c>
      <c r="E72" s="1">
        <f t="shared" si="7"/>
        <v>0.77372189400000002</v>
      </c>
      <c r="F72" s="1">
        <f t="shared" si="8"/>
        <v>0.10515836642694555</v>
      </c>
      <c r="G72" s="1">
        <f>1/(1+Summary!$O$2)^$C72</f>
        <v>3.2866167563218862E-2</v>
      </c>
      <c r="H72" s="1">
        <f>IF(B72&gt;64, Summary!$J$3, 0)*'TV 2'!G72*'TV 2'!F72</f>
        <v>56.310308019322875</v>
      </c>
      <c r="I72" s="1"/>
    </row>
    <row r="73" spans="1:9">
      <c r="A73" s="1">
        <f t="shared" si="5"/>
        <v>2090</v>
      </c>
      <c r="B73" s="1">
        <f t="shared" si="6"/>
        <v>100</v>
      </c>
      <c r="C73" s="1">
        <v>71</v>
      </c>
      <c r="D73" s="1">
        <f>IF(Summary!$G$3="M",VLOOKUP(B:B,'male g'!A:V,IF(A73&gt;2033,22,MATCH(A73,'male g'!$A$1:$V$1,0)),FALSE),VLOOKUP(B:B,'female g'!A:V,IF(A73&gt;2033,22,MATCH(A73,'female g'!$A$1:$V$1,0)),FALSE))</f>
        <v>0.245586414</v>
      </c>
      <c r="E73" s="1">
        <f t="shared" si="7"/>
        <v>0.75441358599999997</v>
      </c>
      <c r="F73" s="1">
        <f t="shared" si="8"/>
        <v>8.1363330441802328E-2</v>
      </c>
      <c r="G73" s="1">
        <f>1/(1+Summary!$O$2)^$C73</f>
        <v>3.1301111964970339E-2</v>
      </c>
      <c r="H73" s="1">
        <f>IF(B73&gt;64, Summary!$J$3, 0)*'TV 2'!G73*'TV 2'!F73</f>
        <v>41.493826830889411</v>
      </c>
      <c r="I73" s="1"/>
    </row>
    <row r="74" spans="1:9">
      <c r="A74" s="1">
        <f>$A$2+C74</f>
        <v>2091</v>
      </c>
      <c r="B74" s="1">
        <f>$B$2+C74</f>
        <v>101</v>
      </c>
      <c r="C74" s="1">
        <v>72</v>
      </c>
      <c r="D74" s="1">
        <f>IF(Summary!$G$3="M",VLOOKUP(B:B,'male g'!A:V,IF(A74&gt;2033,22,MATCH(A74,'male g'!$A$1:$V$1,0)),FALSE),VLOOKUP(B:B,'female g'!A:V,IF(A74&gt;2033,22,MATCH(A74,'female g'!$A$1:$V$1,0)),FALSE))</f>
        <v>0.26569467200000002</v>
      </c>
      <c r="E74" s="1">
        <f t="shared" si="7"/>
        <v>0.73430532800000003</v>
      </c>
      <c r="F74" s="1">
        <f t="shared" si="8"/>
        <v>6.1381601887503058E-2</v>
      </c>
      <c r="G74" s="1">
        <f>1/(1+Summary!$O$2)^$C74</f>
        <v>2.9810582823781274E-2</v>
      </c>
      <c r="H74" s="1">
        <f>IF(B74&gt;64, Summary!$J$3, 0)*'TV 2'!G74*'TV 2'!F74</f>
        <v>29.812863520337419</v>
      </c>
      <c r="I74" s="1"/>
    </row>
    <row r="75" spans="1:9">
      <c r="A75" s="1">
        <f t="shared" ref="A75:A93" si="9">$A$2+C75</f>
        <v>2092</v>
      </c>
      <c r="B75" s="1">
        <f t="shared" ref="B75:B93" si="10">$B$2+C75</f>
        <v>102</v>
      </c>
      <c r="C75" s="1">
        <v>73</v>
      </c>
      <c r="D75" s="1">
        <f>IF(Summary!$G$3="M",VLOOKUP(B:B,'male g'!A:V,IF(A75&gt;2033,22,MATCH(A75,'male g'!$A$1:$V$1,0)),FALSE),VLOOKUP(B:B,'female g'!A:V,IF(A75&gt;2033,22,MATCH(A75,'female g'!$A$1:$V$1,0)),FALSE))</f>
        <v>0.28621307499999998</v>
      </c>
      <c r="E75" s="1">
        <f t="shared" si="7"/>
        <v>0.71378692499999996</v>
      </c>
      <c r="F75" s="1">
        <f t="shared" si="8"/>
        <v>4.5072837307168358E-2</v>
      </c>
      <c r="G75" s="1">
        <f>1/(1+Summary!$O$2)^$C75</f>
        <v>2.8391031260744073E-2</v>
      </c>
      <c r="H75" s="1">
        <f>IF(B75&gt;64, Summary!$J$3, 0)*'TV 2'!G75*'TV 2'!F75</f>
        <v>20.84928050087677</v>
      </c>
      <c r="I75" s="1"/>
    </row>
    <row r="76" spans="1:9">
      <c r="A76" s="1">
        <f t="shared" si="9"/>
        <v>2093</v>
      </c>
      <c r="B76" s="1">
        <f t="shared" si="10"/>
        <v>103</v>
      </c>
      <c r="C76" s="1">
        <v>74</v>
      </c>
      <c r="D76" s="1">
        <f>IF(Summary!$G$3="M",VLOOKUP(B:B,'male g'!A:V,IF(A76&gt;2033,22,MATCH(A76,'male g'!$A$1:$V$1,0)),FALSE),VLOOKUP(B:B,'female g'!A:V,IF(A76&gt;2033,22,MATCH(A76,'female g'!$A$1:$V$1,0)),FALSE))</f>
        <v>0.306855239</v>
      </c>
      <c r="E76" s="1">
        <f t="shared" si="7"/>
        <v>0.693144761</v>
      </c>
      <c r="F76" s="1">
        <f t="shared" si="8"/>
        <v>3.2172401942508984E-2</v>
      </c>
      <c r="G76" s="1">
        <f>1/(1+Summary!$O$2)^$C76</f>
        <v>2.7039077391184833E-2</v>
      </c>
      <c r="H76" s="1">
        <f>IF(B76&gt;64, Summary!$J$3, 0)*'TV 2'!G76*'TV 2'!F76</f>
        <v>14.173279825888848</v>
      </c>
      <c r="I76" s="1"/>
    </row>
    <row r="77" spans="1:9">
      <c r="A77" s="1">
        <f t="shared" si="9"/>
        <v>2094</v>
      </c>
      <c r="B77" s="1">
        <f t="shared" si="10"/>
        <v>104</v>
      </c>
      <c r="C77" s="1">
        <v>75</v>
      </c>
      <c r="D77" s="1">
        <f>IF(Summary!$G$3="M",VLOOKUP(B:B,'male g'!A:V,IF(A77&gt;2033,22,MATCH(A77,'male g'!$A$1:$V$1,0)),FALSE),VLOOKUP(B:B,'female g'!A:V,IF(A77&gt;2033,22,MATCH(A77,'female g'!$A$1:$V$1,0)),FALSE))</f>
        <v>0.32781771999999998</v>
      </c>
      <c r="E77" s="1">
        <f t="shared" si="7"/>
        <v>0.67218228000000002</v>
      </c>
      <c r="F77" s="1">
        <f t="shared" si="8"/>
        <v>2.2300131855236324E-2</v>
      </c>
      <c r="G77" s="1">
        <f>1/(1+Summary!$O$2)^$C77</f>
        <v>2.5751502277318886E-2</v>
      </c>
      <c r="H77" s="1">
        <f>IF(B77&gt;64, Summary!$J$3, 0)*'TV 2'!G77*'TV 2'!F77</f>
        <v>9.3563187214303287</v>
      </c>
      <c r="I77" s="1"/>
    </row>
    <row r="78" spans="1:9">
      <c r="A78" s="1">
        <f t="shared" si="9"/>
        <v>2095</v>
      </c>
      <c r="B78" s="1">
        <f t="shared" si="10"/>
        <v>105</v>
      </c>
      <c r="C78" s="1">
        <v>76</v>
      </c>
      <c r="D78" s="1">
        <f>IF(Summary!$G$3="M",VLOOKUP(B:B,'male g'!A:V,IF(A78&gt;2033,22,MATCH(A78,'male g'!$A$1:$V$1,0)),FALSE),VLOOKUP(B:B,'female g'!A:V,IF(A78&gt;2033,22,MATCH(A78,'female g'!$A$1:$V$1,0)),FALSE))</f>
        <v>0.34877203800000001</v>
      </c>
      <c r="E78" s="1">
        <f t="shared" si="7"/>
        <v>0.65122796199999999</v>
      </c>
      <c r="F78" s="1">
        <f t="shared" si="8"/>
        <v>1.4989753474753382E-2</v>
      </c>
      <c r="G78" s="1">
        <f>1/(1+Summary!$O$2)^$C78</f>
        <v>2.4525240264113228E-2</v>
      </c>
      <c r="H78" s="1">
        <f>IF(B78&gt;64, Summary!$J$3, 0)*'TV 2'!G78*'TV 2'!F78</f>
        <v>5.9896682386454518</v>
      </c>
      <c r="I78" s="1"/>
    </row>
    <row r="79" spans="1:9">
      <c r="A79" s="1">
        <f t="shared" si="9"/>
        <v>2096</v>
      </c>
      <c r="B79" s="1">
        <f t="shared" si="10"/>
        <v>106</v>
      </c>
      <c r="C79" s="1">
        <v>77</v>
      </c>
      <c r="D79" s="1">
        <f>IF(Summary!$G$3="M",VLOOKUP(B:B,'male g'!A:V,IF(A79&gt;2033,22,MATCH(A79,'male g'!$A$1:$V$1,0)),FALSE),VLOOKUP(B:B,'female g'!A:V,IF(A79&gt;2033,22,MATCH(A79,'female g'!$A$1:$V$1,0)),FALSE))</f>
        <v>0.36963544999999998</v>
      </c>
      <c r="E79" s="1">
        <f t="shared" si="7"/>
        <v>0.63036455000000002</v>
      </c>
      <c r="F79" s="1">
        <f t="shared" si="8"/>
        <v>9.7617466062460637E-3</v>
      </c>
      <c r="G79" s="1">
        <f>1/(1+Summary!$O$2)^$C79</f>
        <v>2.3357371680107829E-2</v>
      </c>
      <c r="H79" s="1">
        <f>IF(B79&gt;64, Summary!$J$3, 0)*'TV 2'!G79*'TV 2'!F79</f>
        <v>3.7148947048659107</v>
      </c>
      <c r="I79" s="1"/>
    </row>
    <row r="80" spans="1:9">
      <c r="A80" s="1">
        <f t="shared" si="9"/>
        <v>2097</v>
      </c>
      <c r="B80" s="1">
        <f t="shared" si="10"/>
        <v>107</v>
      </c>
      <c r="C80" s="1">
        <v>78</v>
      </c>
      <c r="D80" s="1">
        <f>IF(Summary!$G$3="M",VLOOKUP(B:B,'male g'!A:V,IF(A80&gt;2033,22,MATCH(A80,'male g'!$A$1:$V$1,0)),FALSE),VLOOKUP(B:B,'female g'!A:V,IF(A80&gt;2033,22,MATCH(A80,'female g'!$A$1:$V$1,0)),FALSE))</f>
        <v>0.39012102100000001</v>
      </c>
      <c r="E80" s="1">
        <f t="shared" si="7"/>
        <v>0.60987897899999999</v>
      </c>
      <c r="F80" s="1">
        <f t="shared" si="8"/>
        <v>6.1534590066603277E-3</v>
      </c>
      <c r="G80" s="1">
        <f>1/(1+Summary!$O$2)^$C80</f>
        <v>2.2245115885816989E-2</v>
      </c>
      <c r="H80" s="1">
        <f>IF(B80&gt;64, Summary!$J$3, 0)*'TV 2'!G80*'TV 2'!F80</f>
        <v>2.2302265989811274</v>
      </c>
      <c r="I80" s="1"/>
    </row>
    <row r="81" spans="1:9">
      <c r="A81" s="1">
        <f t="shared" si="9"/>
        <v>2098</v>
      </c>
      <c r="B81" s="1">
        <f t="shared" si="10"/>
        <v>108</v>
      </c>
      <c r="C81" s="1">
        <v>79</v>
      </c>
      <c r="D81" s="1">
        <f>IF(Summary!$G$3="M",VLOOKUP(B:B,'male g'!A:V,IF(A81&gt;2033,22,MATCH(A81,'male g'!$A$1:$V$1,0)),FALSE),VLOOKUP(B:B,'female g'!A:V,IF(A81&gt;2033,22,MATCH(A81,'female g'!$A$1:$V$1,0)),FALSE))</f>
        <v>0.40992095000000001</v>
      </c>
      <c r="E81" s="1">
        <f t="shared" si="7"/>
        <v>0.59007904999999994</v>
      </c>
      <c r="F81" s="1">
        <f t="shared" si="8"/>
        <v>3.7528652963003547E-3</v>
      </c>
      <c r="G81" s="1">
        <f>1/(1+Summary!$O$2)^$C81</f>
        <v>2.1185824653159029E-2</v>
      </c>
      <c r="H81" s="1">
        <f>IF(B81&gt;64, Summary!$J$3, 0)*'TV 2'!G81*'TV 2'!F81</f>
        <v>1.2953984010716684</v>
      </c>
      <c r="I81" s="1"/>
    </row>
    <row r="82" spans="1:9">
      <c r="A82" s="1">
        <f t="shared" si="9"/>
        <v>2099</v>
      </c>
      <c r="B82" s="1">
        <f t="shared" si="10"/>
        <v>109</v>
      </c>
      <c r="C82" s="1">
        <v>80</v>
      </c>
      <c r="D82" s="1">
        <f>IF(Summary!$G$3="M",VLOOKUP(B:B,'male g'!A:V,IF(A82&gt;2033,22,MATCH(A82,'male g'!$A$1:$V$1,0)),FALSE),VLOOKUP(B:B,'female g'!A:V,IF(A82&gt;2033,22,MATCH(A82,'female g'!$A$1:$V$1,0)),FALSE))</f>
        <v>0.42944720199999997</v>
      </c>
      <c r="E82" s="1">
        <f t="shared" si="7"/>
        <v>0.57055279800000003</v>
      </c>
      <c r="F82" s="1">
        <f t="shared" si="8"/>
        <v>2.2144871888188818E-3</v>
      </c>
      <c r="G82" s="1">
        <f>1/(1+Summary!$O$2)^$C82</f>
        <v>2.0176975860151457E-2</v>
      </c>
      <c r="H82" s="1">
        <f>IF(B82&gt;64, Summary!$J$3, 0)*'TV 2'!G82*'TV 2'!F82</f>
        <v>0.72798805511989439</v>
      </c>
      <c r="I82" s="1"/>
    </row>
    <row r="83" spans="1:9">
      <c r="A83" s="1">
        <f t="shared" si="9"/>
        <v>2100</v>
      </c>
      <c r="B83" s="1">
        <f t="shared" si="10"/>
        <v>110</v>
      </c>
      <c r="C83" s="1">
        <v>81</v>
      </c>
      <c r="D83" s="1">
        <f>IF(Summary!$G$3="M",VLOOKUP(B:B,'male g'!A:V,IF(A83&gt;2033,22,MATCH(A83,'male g'!$A$1:$V$1,0)),FALSE),VLOOKUP(B:B,'female g'!A:V,IF(A83&gt;2033,22,MATCH(A83,'female g'!$A$1:$V$1,0)),FALSE))</f>
        <v>0.44824126199999997</v>
      </c>
      <c r="E83" s="1">
        <f t="shared" si="7"/>
        <v>0.55175873799999997</v>
      </c>
      <c r="F83" s="1">
        <f t="shared" si="8"/>
        <v>1.2634818617157674E-3</v>
      </c>
      <c r="G83" s="1">
        <f>1/(1+Summary!$O$2)^$C83</f>
        <v>1.9216167485858526E-2</v>
      </c>
      <c r="H83" s="1">
        <f>IF(B83&gt;64, Summary!$J$3, 0)*'TV 2'!G83*'TV 2'!F83</f>
        <v>0.39557678262784185</v>
      </c>
      <c r="I83" s="1"/>
    </row>
    <row r="84" spans="1:9">
      <c r="A84" s="1">
        <f t="shared" si="9"/>
        <v>2101</v>
      </c>
      <c r="B84" s="1">
        <f t="shared" si="10"/>
        <v>111</v>
      </c>
      <c r="C84" s="1">
        <v>82</v>
      </c>
      <c r="D84" s="1">
        <f>IF(Summary!$G$3="M",VLOOKUP(B:B,'male g'!A:V,IF(A84&gt;2033,22,MATCH(A84,'male g'!$A$1:$V$1,0)),FALSE),VLOOKUP(B:B,'female g'!A:V,IF(A84&gt;2033,22,MATCH(A84,'female g'!$A$1:$V$1,0)),FALSE))</f>
        <v>0.46617251599999998</v>
      </c>
      <c r="E84" s="1">
        <f t="shared" si="7"/>
        <v>0.53382748400000002</v>
      </c>
      <c r="F84" s="1">
        <f t="shared" si="8"/>
        <v>6.9713715750618227E-4</v>
      </c>
      <c r="G84" s="1">
        <f>1/(1+Summary!$O$2)^$C84</f>
        <v>1.8301111891293836E-2</v>
      </c>
      <c r="H84" s="1">
        <f>IF(B84&gt;64, Summary!$J$3, 0)*'TV 2'!G84*'TV 2'!F84</f>
        <v>0.20786947272841741</v>
      </c>
      <c r="I84" s="1"/>
    </row>
    <row r="85" spans="1:9">
      <c r="A85" s="1">
        <f t="shared" si="9"/>
        <v>2102</v>
      </c>
      <c r="B85" s="1">
        <f t="shared" si="10"/>
        <v>112</v>
      </c>
      <c r="C85" s="1">
        <v>83</v>
      </c>
      <c r="D85" s="1">
        <f>IF(Summary!$G$3="M",VLOOKUP(B:B,'male g'!A:V,IF(A85&gt;2033,22,MATCH(A85,'male g'!$A$1:$V$1,0)),FALSE),VLOOKUP(B:B,'female g'!A:V,IF(A85&gt;2033,22,MATCH(A85,'female g'!$A$1:$V$1,0)),FALSE))</f>
        <v>0.48365765799999999</v>
      </c>
      <c r="E85" s="1">
        <f t="shared" si="7"/>
        <v>0.51634234199999995</v>
      </c>
      <c r="F85" s="1">
        <f t="shared" si="8"/>
        <v>3.7215097479443703E-4</v>
      </c>
      <c r="G85" s="1">
        <f>1/(1+Summary!$O$2)^$C85</f>
        <v>1.7429630372660796E-2</v>
      </c>
      <c r="H85" s="1">
        <f>IF(B85&gt;64, Summary!$J$3, 0)*'TV 2'!G85*'TV 2'!F85</f>
        <v>0.10568232154954066</v>
      </c>
      <c r="I85" s="1"/>
    </row>
    <row r="86" spans="1:9">
      <c r="A86" s="1">
        <f t="shared" si="9"/>
        <v>2103</v>
      </c>
      <c r="B86" s="1">
        <f t="shared" si="10"/>
        <v>113</v>
      </c>
      <c r="C86" s="1">
        <v>84</v>
      </c>
      <c r="D86" s="1">
        <f>IF(Summary!$G$3="M",VLOOKUP(B:B,'male g'!A:V,IF(A86&gt;2033,22,MATCH(A86,'male g'!$A$1:$V$1,0)),FALSE),VLOOKUP(B:B,'female g'!A:V,IF(A86&gt;2033,22,MATCH(A86,'female g'!$A$1:$V$1,0)),FALSE))</f>
        <v>0.49353991000000003</v>
      </c>
      <c r="E86" s="1">
        <f t="shared" si="7"/>
        <v>0.50646009000000003</v>
      </c>
      <c r="F86" s="1">
        <f t="shared" si="8"/>
        <v>1.9215730590294255E-4</v>
      </c>
      <c r="G86" s="1">
        <f>1/(1+Summary!$O$2)^$C86</f>
        <v>1.6599647973962663E-2</v>
      </c>
      <c r="H86" s="1">
        <f>IF(B86&gt;64, Summary!$J$3, 0)*'TV 2'!G86*'TV 2'!F86</f>
        <v>5.1969768968463698E-2</v>
      </c>
      <c r="I86" s="1"/>
    </row>
    <row r="87" spans="1:9">
      <c r="A87" s="1">
        <f t="shared" si="9"/>
        <v>2104</v>
      </c>
      <c r="B87" s="1">
        <f t="shared" si="10"/>
        <v>114</v>
      </c>
      <c r="C87" s="1">
        <v>85</v>
      </c>
      <c r="D87" s="1">
        <f>IF(Summary!$G$3="M",VLOOKUP(B:B,'male g'!A:V,IF(A87&gt;2033,22,MATCH(A87,'male g'!$A$1:$V$1,0)),FALSE),VLOOKUP(B:B,'female g'!A:V,IF(A87&gt;2033,22,MATCH(A87,'female g'!$A$1:$V$1,0)),FALSE))</f>
        <v>0.49666062900000002</v>
      </c>
      <c r="E87" s="1">
        <f t="shared" si="7"/>
        <v>0.50333937100000004</v>
      </c>
      <c r="F87" s="1">
        <f t="shared" si="8"/>
        <v>9.7320006441761821E-5</v>
      </c>
      <c r="G87" s="1">
        <f>1/(1+Summary!$O$2)^$C87</f>
        <v>1.580918854663111E-2</v>
      </c>
      <c r="H87" s="1">
        <f>IF(B87&gt;64, Summary!$J$3, 0)*'TV 2'!G87*'TV 2'!F87</f>
        <v>2.506725130385461E-2</v>
      </c>
      <c r="I87" s="1"/>
    </row>
    <row r="88" spans="1:9">
      <c r="A88" s="1">
        <f t="shared" si="9"/>
        <v>2105</v>
      </c>
      <c r="B88" s="1">
        <f t="shared" si="10"/>
        <v>115</v>
      </c>
      <c r="C88" s="1">
        <v>86</v>
      </c>
      <c r="D88" s="1">
        <f>IF(Summary!$G$3="M",VLOOKUP(B:B,'male g'!A:V,IF(A88&gt;2033,22,MATCH(A88,'male g'!$A$1:$V$1,0)),FALSE),VLOOKUP(B:B,'female g'!A:V,IF(A88&gt;2033,22,MATCH(A88,'female g'!$A$1:$V$1,0)),FALSE))</f>
        <v>0.5</v>
      </c>
      <c r="E88" s="1">
        <f t="shared" si="7"/>
        <v>0.5</v>
      </c>
      <c r="F88" s="1">
        <f t="shared" si="8"/>
        <v>4.8984990828112344E-5</v>
      </c>
      <c r="G88" s="1">
        <f>1/(1+Summary!$O$2)^$C88</f>
        <v>1.5056370044410581E-2</v>
      </c>
      <c r="H88" s="1">
        <f>IF(B88&gt;64, Summary!$J$3, 0)*'TV 2'!G88*'TV 2'!F88</f>
        <v>1.2016509051410581E-2</v>
      </c>
      <c r="I88" s="1"/>
    </row>
    <row r="89" spans="1:9">
      <c r="A89" s="1">
        <f t="shared" si="9"/>
        <v>2106</v>
      </c>
      <c r="B89" s="1">
        <f t="shared" si="10"/>
        <v>116</v>
      </c>
      <c r="C89" s="1">
        <v>87</v>
      </c>
      <c r="D89" s="1">
        <f>IF(Summary!$G$3="M",VLOOKUP(B:B,'male g'!A:V,IF(A89&gt;2033,22,MATCH(A89,'male g'!$A$1:$V$1,0)),FALSE),VLOOKUP(B:B,'female g'!A:V,IF(A89&gt;2033,22,MATCH(A89,'female g'!$A$1:$V$1,0)),FALSE))</f>
        <v>0.5</v>
      </c>
      <c r="E89" s="1">
        <f t="shared" si="7"/>
        <v>0.5</v>
      </c>
      <c r="F89" s="1">
        <f t="shared" si="8"/>
        <v>2.4492495414056172E-5</v>
      </c>
      <c r="G89" s="1">
        <f>1/(1+Summary!$O$2)^$C89</f>
        <v>1.4339400042295789E-2</v>
      </c>
      <c r="H89" s="1">
        <f>IF(B89&gt;64, Summary!$J$3, 0)*'TV 2'!G89*'TV 2'!F89</f>
        <v>5.7221471673383709E-3</v>
      </c>
      <c r="I89" s="1"/>
    </row>
    <row r="90" spans="1:9">
      <c r="A90" s="1">
        <f t="shared" si="9"/>
        <v>2107</v>
      </c>
      <c r="B90" s="1">
        <f t="shared" si="10"/>
        <v>117</v>
      </c>
      <c r="C90" s="1">
        <v>88</v>
      </c>
      <c r="D90" s="1">
        <f>IF(Summary!$G$3="M",VLOOKUP(B:B,'male g'!A:V,IF(A90&gt;2033,22,MATCH(A90,'male g'!$A$1:$V$1,0)),FALSE),VLOOKUP(B:B,'female g'!A:V,IF(A90&gt;2033,22,MATCH(A90,'female g'!$A$1:$V$1,0)),FALSE))</f>
        <v>0.5</v>
      </c>
      <c r="E90" s="1">
        <f t="shared" si="7"/>
        <v>0.5</v>
      </c>
      <c r="F90" s="1">
        <f t="shared" si="8"/>
        <v>1.2246247707028086E-5</v>
      </c>
      <c r="G90" s="1">
        <f>1/(1+Summary!$O$2)^$C90</f>
        <v>1.3656571468853134E-2</v>
      </c>
      <c r="H90" s="1">
        <f>IF(B90&gt;64, Summary!$J$3, 0)*'TV 2'!G90*'TV 2'!F90</f>
        <v>2.724831984446844E-3</v>
      </c>
      <c r="I90" s="1"/>
    </row>
    <row r="91" spans="1:9">
      <c r="A91" s="1">
        <f t="shared" si="9"/>
        <v>2108</v>
      </c>
      <c r="B91" s="1">
        <f t="shared" si="10"/>
        <v>118</v>
      </c>
      <c r="C91" s="1">
        <v>89</v>
      </c>
      <c r="D91" s="1">
        <f>IF(Summary!$G$3="M",VLOOKUP(B:B,'male g'!A:V,IF(A91&gt;2033,22,MATCH(A91,'male g'!$A$1:$V$1,0)),FALSE),VLOOKUP(B:B,'female g'!A:V,IF(A91&gt;2033,22,MATCH(A91,'female g'!$A$1:$V$1,0)),FALSE))</f>
        <v>0.5</v>
      </c>
      <c r="E91" s="1">
        <f t="shared" si="7"/>
        <v>0.5</v>
      </c>
      <c r="F91" s="1">
        <f t="shared" si="8"/>
        <v>6.123123853514043E-6</v>
      </c>
      <c r="G91" s="1">
        <f>1/(1+Summary!$O$2)^$C91</f>
        <v>1.3006258541764888E-2</v>
      </c>
      <c r="H91" s="1">
        <f>IF(B91&gt;64, Summary!$J$3, 0)*'TV 2'!G91*'TV 2'!F91</f>
        <v>1.2975390402127824E-3</v>
      </c>
      <c r="I91" s="1"/>
    </row>
    <row r="92" spans="1:9">
      <c r="A92" s="1">
        <f t="shared" si="9"/>
        <v>2109</v>
      </c>
      <c r="B92" s="1">
        <f t="shared" si="10"/>
        <v>119</v>
      </c>
      <c r="C92" s="1">
        <v>90</v>
      </c>
      <c r="D92" s="1">
        <f>IF(Summary!$G$3="M",VLOOKUP(B:B,'male g'!A:V,IF(A92&gt;2033,22,MATCH(A92,'male g'!$A$1:$V$1,0)),FALSE),VLOOKUP(B:B,'female g'!A:V,IF(A92&gt;2033,22,MATCH(A92,'female g'!$A$1:$V$1,0)),FALSE))</f>
        <v>0.5</v>
      </c>
      <c r="E92" s="1">
        <f t="shared" si="7"/>
        <v>0.5</v>
      </c>
      <c r="F92" s="1">
        <f t="shared" si="8"/>
        <v>3.0615619267570215E-6</v>
      </c>
      <c r="G92" s="1">
        <f>1/(1+Summary!$O$2)^$C92</f>
        <v>1.2386912896918942E-2</v>
      </c>
      <c r="H92" s="1">
        <f>IF(B92&gt;64, Summary!$J$3, 0)*'TV 2'!G92*'TV 2'!F92</f>
        <v>6.1787573343465832E-4</v>
      </c>
      <c r="I92" s="1"/>
    </row>
    <row r="93" spans="1:9">
      <c r="A93" s="1">
        <f t="shared" si="9"/>
        <v>2110</v>
      </c>
      <c r="B93" s="1">
        <f t="shared" si="10"/>
        <v>120</v>
      </c>
      <c r="C93" s="1">
        <v>91</v>
      </c>
      <c r="D93" s="1">
        <f>IF(Summary!$G$3="M",VLOOKUP(B:B,'male g'!A:V,IF(A93&gt;2033,22,MATCH(A93,'male g'!$A$1:$V$1,0)),FALSE),VLOOKUP(B:B,'female g'!A:V,IF(A93&gt;2033,22,MATCH(A93,'female g'!$A$1:$V$1,0)),FALSE))</f>
        <v>1</v>
      </c>
      <c r="E93" s="1">
        <f t="shared" si="7"/>
        <v>0</v>
      </c>
      <c r="F93" s="1">
        <f t="shared" si="8"/>
        <v>1.5307809633785108E-6</v>
      </c>
      <c r="G93" s="1">
        <f>1/(1+Summary!$O$2)^$C93</f>
        <v>1.1797059901827561E-2</v>
      </c>
      <c r="H93" s="1">
        <f>IF(B93&gt;64, Summary!$J$3, 0)*'TV 2'!G93*'TV 2'!F93</f>
        <v>2.942265397307896E-4</v>
      </c>
      <c r="I93" s="1"/>
    </row>
    <row r="94" spans="1:9">
      <c r="A94" s="1"/>
    </row>
    <row r="95" spans="1:9">
      <c r="A95" s="1"/>
    </row>
    <row r="96" spans="1:9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8"/>
  <sheetViews>
    <sheetView workbookViewId="0">
      <selection activeCell="I14" sqref="I14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Summary!H4</f>
        <v>29</v>
      </c>
      <c r="C2" s="1">
        <v>0</v>
      </c>
      <c r="D2" s="1">
        <f>IF(Summary!$G$4="M",VLOOKUP(B:B,'male g'!A:V,IF(A2&gt;2033,22,MATCH(A2,'male g'!$A$1:$V$1,0)),FALSE),VLOOKUP(B:B,'female g'!A:V,IF(A2&gt;2033,22,MATCH(A2,'female g'!$A$1:$V$1,0)),FALSE))</f>
        <v>2.3141700000000001E-4</v>
      </c>
      <c r="E2" s="1">
        <f>1-D2</f>
        <v>0.99976858300000004</v>
      </c>
      <c r="F2" s="1">
        <v>1</v>
      </c>
      <c r="G2" s="1">
        <f>1/(1+Summary!$O$2)^$C2</f>
        <v>1</v>
      </c>
      <c r="H2" s="1">
        <f>IF(B2&gt;64, Summary!$J$4, 0)*'TV 3'!G2*'TV 3'!F2</f>
        <v>0</v>
      </c>
      <c r="I2" s="1">
        <f>SUM(H2:H93)</f>
        <v>20176.000251492267</v>
      </c>
    </row>
    <row r="3" spans="1:9">
      <c r="A3" s="1">
        <f>$A$2+C3</f>
        <v>2020</v>
      </c>
      <c r="B3" s="1">
        <f>$B$2+C3</f>
        <v>30</v>
      </c>
      <c r="C3" s="1">
        <v>1</v>
      </c>
      <c r="D3" s="1">
        <f>IF(Summary!$G$4="M",VLOOKUP(B:B,'male g'!A:V,IF(A3&gt;2033,22,MATCH(A3,'male g'!$A$1:$V$1,0)),FALSE),VLOOKUP(B:B,'female g'!A:V,IF(A3&gt;2033,22,MATCH(A3,'female g'!$A$1:$V$1,0)),FALSE))</f>
        <v>2.4943200000000001E-4</v>
      </c>
      <c r="E3" s="1">
        <f>1-D3</f>
        <v>0.99975056799999995</v>
      </c>
      <c r="F3" s="1">
        <f>E2</f>
        <v>0.99976858300000004</v>
      </c>
      <c r="G3" s="1">
        <f>1/(1+Summary!$O$2)^$C3</f>
        <v>0.95238095238095233</v>
      </c>
      <c r="H3" s="1">
        <f>IF(B3&gt;64, Summary!$J$4, 0)*'TV 3'!G3*'TV 3'!F3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31</v>
      </c>
      <c r="C4" s="1">
        <v>2</v>
      </c>
      <c r="D4" s="1">
        <f>IF(Summary!$G$4="M",VLOOKUP(B:B,'male g'!A:V,IF(A4&gt;2033,22,MATCH(A4,'male g'!$A$1:$V$1,0)),FALSE),VLOOKUP(B:B,'female g'!A:V,IF(A4&gt;2033,22,MATCH(A4,'female g'!$A$1:$V$1,0)),FALSE))</f>
        <v>2.6816399999999999E-4</v>
      </c>
      <c r="E4" s="1">
        <f t="shared" ref="E4:E67" si="2">1-D4</f>
        <v>0.99973183600000004</v>
      </c>
      <c r="F4" s="1">
        <f>E3*F3</f>
        <v>0.99951920872280509</v>
      </c>
      <c r="G4" s="1">
        <f>1/(1+Summary!$O$2)^$C4</f>
        <v>0.90702947845804982</v>
      </c>
      <c r="H4" s="1">
        <f>IF(B4&gt;64, Summary!$J$4, 0)*'TV 3'!G4*'TV 3'!F4</f>
        <v>0</v>
      </c>
      <c r="I4" s="1"/>
    </row>
    <row r="5" spans="1:9">
      <c r="A5" s="1">
        <f t="shared" si="0"/>
        <v>2022</v>
      </c>
      <c r="B5" s="1">
        <f t="shared" si="1"/>
        <v>32</v>
      </c>
      <c r="C5" s="1">
        <v>3</v>
      </c>
      <c r="D5" s="1">
        <f>IF(Summary!$G$4="M",VLOOKUP(B:B,'male g'!A:V,IF(A5&gt;2033,22,MATCH(A5,'male g'!$A$1:$V$1,0)),FALSE),VLOOKUP(B:B,'female g'!A:V,IF(A5&gt;2033,22,MATCH(A5,'female g'!$A$1:$V$1,0)),FALSE))</f>
        <v>2.8602899999999998E-4</v>
      </c>
      <c r="E5" s="1">
        <f t="shared" si="2"/>
        <v>0.99971397100000003</v>
      </c>
      <c r="F5" s="1">
        <f t="shared" ref="F5:F68" si="3">E4*F4</f>
        <v>0.99925117365371718</v>
      </c>
      <c r="G5" s="1">
        <f>1/(1+Summary!$O$2)^$C5</f>
        <v>0.86383759853147601</v>
      </c>
      <c r="H5" s="1">
        <f>IF(B5&gt;64, Summary!$J$4, 0)*'TV 3'!G5*'TV 3'!F5</f>
        <v>0</v>
      </c>
      <c r="I5" s="1"/>
    </row>
    <row r="6" spans="1:9">
      <c r="A6" s="1">
        <f t="shared" si="0"/>
        <v>2023</v>
      </c>
      <c r="B6" s="1">
        <f t="shared" si="1"/>
        <v>33</v>
      </c>
      <c r="C6" s="1">
        <v>4</v>
      </c>
      <c r="D6" s="1">
        <f>IF(Summary!$G$4="M",VLOOKUP(B:B,'male g'!A:V,IF(A6&gt;2033,22,MATCH(A6,'male g'!$A$1:$V$1,0)),FALSE),VLOOKUP(B:B,'female g'!A:V,IF(A6&gt;2033,22,MATCH(A6,'female g'!$A$1:$V$1,0)),FALSE))</f>
        <v>3.0410799999999998E-4</v>
      </c>
      <c r="E6" s="1">
        <f t="shared" si="2"/>
        <v>0.99969589199999997</v>
      </c>
      <c r="F6" s="1">
        <f t="shared" si="3"/>
        <v>0.99896535883976822</v>
      </c>
      <c r="G6" s="1">
        <f>1/(1+Summary!$O$2)^$C6</f>
        <v>0.82270247479188197</v>
      </c>
      <c r="H6" s="1">
        <f>IF(B6&gt;64, Summary!$J$4, 0)*'TV 3'!G6*'TV 3'!F6</f>
        <v>0</v>
      </c>
      <c r="I6" s="1"/>
    </row>
    <row r="7" spans="1:9">
      <c r="A7" s="1">
        <f t="shared" si="0"/>
        <v>2024</v>
      </c>
      <c r="B7" s="1">
        <f t="shared" si="1"/>
        <v>34</v>
      </c>
      <c r="C7" s="1">
        <v>5</v>
      </c>
      <c r="D7" s="1">
        <f>IF(Summary!$G$4="M",VLOOKUP(B:B,'male g'!A:V,IF(A7&gt;2033,22,MATCH(A7,'male g'!$A$1:$V$1,0)),FALSE),VLOOKUP(B:B,'female g'!A:V,IF(A7&gt;2033,22,MATCH(A7,'female g'!$A$1:$V$1,0)),FALSE))</f>
        <v>3.2114300000000003E-4</v>
      </c>
      <c r="E7" s="1">
        <f t="shared" si="2"/>
        <v>0.99967885700000003</v>
      </c>
      <c r="F7" s="1">
        <f t="shared" si="3"/>
        <v>0.99866156548242213</v>
      </c>
      <c r="G7" s="1">
        <f>1/(1+Summary!$O$2)^$C7</f>
        <v>0.78352616646845896</v>
      </c>
      <c r="H7" s="1">
        <f>IF(B7&gt;64, Summary!$J$4, 0)*'TV 3'!G7*'TV 3'!F7</f>
        <v>0</v>
      </c>
      <c r="I7" s="1"/>
    </row>
    <row r="8" spans="1:9">
      <c r="A8" s="1">
        <f t="shared" si="0"/>
        <v>2025</v>
      </c>
      <c r="B8" s="1">
        <f t="shared" si="1"/>
        <v>35</v>
      </c>
      <c r="C8" s="1">
        <v>6</v>
      </c>
      <c r="D8" s="1">
        <f>IF(Summary!$G$4="M",VLOOKUP(B:B,'male g'!A:V,IF(A8&gt;2033,22,MATCH(A8,'male g'!$A$1:$V$1,0)),FALSE),VLOOKUP(B:B,'female g'!A:V,IF(A8&gt;2033,22,MATCH(A8,'female g'!$A$1:$V$1,0)),FALSE))</f>
        <v>3.3691500000000002E-4</v>
      </c>
      <c r="E8" s="1">
        <f t="shared" si="2"/>
        <v>0.99966308500000001</v>
      </c>
      <c r="F8" s="1">
        <f t="shared" si="3"/>
        <v>0.99834085231129843</v>
      </c>
      <c r="G8" s="1">
        <f>1/(1+Summary!$O$2)^$C8</f>
        <v>0.74621539663662761</v>
      </c>
      <c r="H8" s="1">
        <f>IF(B8&gt;64, Summary!$J$4, 0)*'TV 3'!G8*'TV 3'!F8</f>
        <v>0</v>
      </c>
      <c r="I8" s="1"/>
    </row>
    <row r="9" spans="1:9">
      <c r="A9" s="1">
        <f t="shared" si="0"/>
        <v>2026</v>
      </c>
      <c r="B9" s="1">
        <f t="shared" si="1"/>
        <v>36</v>
      </c>
      <c r="C9" s="1">
        <v>7</v>
      </c>
      <c r="D9" s="1">
        <f>IF(Summary!$G$4="M",VLOOKUP(B:B,'male g'!A:V,IF(A9&gt;2033,22,MATCH(A9,'male g'!$A$1:$V$1,0)),FALSE),VLOOKUP(B:B,'female g'!A:V,IF(A9&gt;2033,22,MATCH(A9,'female g'!$A$1:$V$1,0)),FALSE))</f>
        <v>3.5112799999999998E-4</v>
      </c>
      <c r="E9" s="1">
        <f t="shared" si="2"/>
        <v>0.99964887199999997</v>
      </c>
      <c r="F9" s="1">
        <f t="shared" si="3"/>
        <v>0.998004496303042</v>
      </c>
      <c r="G9" s="1">
        <f>1/(1+Summary!$O$2)^$C9</f>
        <v>0.71068133013012147</v>
      </c>
      <c r="H9" s="1">
        <f>IF(B9&gt;64, Summary!$J$4, 0)*'TV 3'!G9*'TV 3'!F9</f>
        <v>0</v>
      </c>
      <c r="I9" s="1"/>
    </row>
    <row r="10" spans="1:9">
      <c r="A10" s="1">
        <f t="shared" si="0"/>
        <v>2027</v>
      </c>
      <c r="B10" s="1">
        <f t="shared" si="1"/>
        <v>37</v>
      </c>
      <c r="C10" s="1">
        <v>8</v>
      </c>
      <c r="D10" s="1">
        <f>IF(Summary!$G$4="M",VLOOKUP(B:B,'male g'!A:V,IF(A10&gt;2033,22,MATCH(A10,'male g'!$A$1:$V$1,0)),FALSE),VLOOKUP(B:B,'female g'!A:V,IF(A10&gt;2033,22,MATCH(A10,'female g'!$A$1:$V$1,0)),FALSE))</f>
        <v>3.6827300000000002E-4</v>
      </c>
      <c r="E10" s="1">
        <f t="shared" si="2"/>
        <v>0.99963172700000003</v>
      </c>
      <c r="F10" s="1">
        <f t="shared" si="3"/>
        <v>0.9976540689802641</v>
      </c>
      <c r="G10" s="1">
        <f>1/(1+Summary!$O$2)^$C10</f>
        <v>0.67683936202868722</v>
      </c>
      <c r="H10" s="1">
        <f>IF(B10&gt;64, Summary!$J$4, 0)*'TV 3'!G10*'TV 3'!F10</f>
        <v>0</v>
      </c>
      <c r="I10" s="1"/>
    </row>
    <row r="11" spans="1:9">
      <c r="A11" s="1">
        <f t="shared" si="0"/>
        <v>2028</v>
      </c>
      <c r="B11" s="1">
        <f t="shared" si="1"/>
        <v>38</v>
      </c>
      <c r="C11" s="1">
        <v>9</v>
      </c>
      <c r="D11" s="1">
        <f>IF(Summary!$G$4="M",VLOOKUP(B:B,'male g'!A:V,IF(A11&gt;2033,22,MATCH(A11,'male g'!$A$1:$V$1,0)),FALSE),VLOOKUP(B:B,'female g'!A:V,IF(A11&gt;2033,22,MATCH(A11,'female g'!$A$1:$V$1,0)),FALSE))</f>
        <v>3.8669399999999998E-4</v>
      </c>
      <c r="E11" s="1">
        <f t="shared" si="2"/>
        <v>0.99961330599999998</v>
      </c>
      <c r="F11" s="1">
        <f t="shared" si="3"/>
        <v>0.99728665992331855</v>
      </c>
      <c r="G11" s="1">
        <f>1/(1+Summary!$O$2)^$C11</f>
        <v>0.64460891621779726</v>
      </c>
      <c r="H11" s="1">
        <f>IF(B11&gt;64, Summary!$J$4, 0)*'TV 3'!G11*'TV 3'!F11</f>
        <v>0</v>
      </c>
      <c r="I11" s="1"/>
    </row>
    <row r="12" spans="1:9">
      <c r="A12" s="1">
        <f t="shared" si="0"/>
        <v>2029</v>
      </c>
      <c r="B12" s="1">
        <f t="shared" si="1"/>
        <v>39</v>
      </c>
      <c r="C12" s="1">
        <v>10</v>
      </c>
      <c r="D12" s="1">
        <f>IF(Summary!$G$4="M",VLOOKUP(B:B,'male g'!A:V,IF(A12&gt;2033,22,MATCH(A12,'male g'!$A$1:$V$1,0)),FALSE),VLOOKUP(B:B,'female g'!A:V,IF(A12&gt;2033,22,MATCH(A12,'female g'!$A$1:$V$1,0)),FALSE))</f>
        <v>4.0847000000000002E-4</v>
      </c>
      <c r="E12" s="1">
        <f t="shared" si="2"/>
        <v>0.99959153000000001</v>
      </c>
      <c r="F12" s="1">
        <f t="shared" si="3"/>
        <v>0.99690101515564611</v>
      </c>
      <c r="G12" s="1">
        <f>1/(1+Summary!$O$2)^$C12</f>
        <v>0.61391325354075932</v>
      </c>
      <c r="H12" s="1">
        <f>IF(B12&gt;64, Summary!$J$4, 0)*'TV 3'!G12*'TV 3'!F12</f>
        <v>0</v>
      </c>
      <c r="I12" s="1"/>
    </row>
    <row r="13" spans="1:9">
      <c r="A13" s="1">
        <f t="shared" si="0"/>
        <v>2030</v>
      </c>
      <c r="B13" s="1">
        <f t="shared" si="1"/>
        <v>40</v>
      </c>
      <c r="C13" s="1">
        <v>11</v>
      </c>
      <c r="D13" s="1">
        <f>IF(Summary!$G$4="M",VLOOKUP(B:B,'male g'!A:V,IF(A13&gt;2033,22,MATCH(A13,'male g'!$A$1:$V$1,0)),FALSE),VLOOKUP(B:B,'female g'!A:V,IF(A13&gt;2033,22,MATCH(A13,'female g'!$A$1:$V$1,0)),FALSE))</f>
        <v>4.3303699999999999E-4</v>
      </c>
      <c r="E13" s="1">
        <f t="shared" si="2"/>
        <v>0.99956696300000003</v>
      </c>
      <c r="F13" s="1">
        <f t="shared" si="3"/>
        <v>0.99649381099798551</v>
      </c>
      <c r="G13" s="1">
        <f>1/(1+Summary!$O$2)^$C13</f>
        <v>0.5846792890864374</v>
      </c>
      <c r="H13" s="1">
        <f>IF(B13&gt;64, Summary!$J$4, 0)*'TV 3'!G13*'TV 3'!F13</f>
        <v>0</v>
      </c>
      <c r="I13" s="1"/>
    </row>
    <row r="14" spans="1:9">
      <c r="A14" s="1">
        <f t="shared" si="0"/>
        <v>2031</v>
      </c>
      <c r="B14" s="1">
        <f t="shared" si="1"/>
        <v>41</v>
      </c>
      <c r="C14" s="1">
        <v>12</v>
      </c>
      <c r="D14" s="1">
        <f>IF(Summary!$G$4="M",VLOOKUP(B:B,'male g'!A:V,IF(A14&gt;2033,22,MATCH(A14,'male g'!$A$1:$V$1,0)),FALSE),VLOOKUP(B:B,'female g'!A:V,IF(A14&gt;2033,22,MATCH(A14,'female g'!$A$1:$V$1,0)),FALSE))</f>
        <v>4.6100299999999998E-4</v>
      </c>
      <c r="E14" s="1">
        <f t="shared" si="2"/>
        <v>0.99953899700000004</v>
      </c>
      <c r="F14" s="1">
        <f t="shared" si="3"/>
        <v>0.99606229230755239</v>
      </c>
      <c r="G14" s="1">
        <f>1/(1+Summary!$O$2)^$C14</f>
        <v>0.5568374181775595</v>
      </c>
      <c r="H14" s="1">
        <f>IF(B14&gt;64, Summary!$J$4, 0)*'TV 3'!G14*'TV 3'!F14</f>
        <v>0</v>
      </c>
      <c r="I14" s="1"/>
    </row>
    <row r="15" spans="1:9">
      <c r="A15" s="1">
        <f t="shared" si="0"/>
        <v>2032</v>
      </c>
      <c r="B15" s="1">
        <f t="shared" si="1"/>
        <v>42</v>
      </c>
      <c r="C15" s="1">
        <v>13</v>
      </c>
      <c r="D15" s="1">
        <f>IF(Summary!$G$4="M",VLOOKUP(B:B,'male g'!A:V,IF(A15&gt;2033,22,MATCH(A15,'male g'!$A$1:$V$1,0)),FALSE),VLOOKUP(B:B,'female g'!A:V,IF(A15&gt;2033,22,MATCH(A15,'female g'!$A$1:$V$1,0)),FALSE))</f>
        <v>4.9343100000000001E-4</v>
      </c>
      <c r="E15" s="1">
        <f t="shared" si="2"/>
        <v>0.99950656900000001</v>
      </c>
      <c r="F15" s="1">
        <f t="shared" si="3"/>
        <v>0.99560310460261181</v>
      </c>
      <c r="G15" s="1">
        <f>1/(1+Summary!$O$2)^$C15</f>
        <v>0.53032135064529462</v>
      </c>
      <c r="H15" s="1">
        <f>IF(B15&gt;64, Summary!$J$4, 0)*'TV 3'!G15*'TV 3'!F15</f>
        <v>0</v>
      </c>
      <c r="I15" s="1"/>
    </row>
    <row r="16" spans="1:9">
      <c r="A16" s="1">
        <f t="shared" si="0"/>
        <v>2033</v>
      </c>
      <c r="B16" s="1">
        <f t="shared" si="1"/>
        <v>43</v>
      </c>
      <c r="C16" s="1">
        <v>14</v>
      </c>
      <c r="D16" s="1">
        <f>IF(Summary!$G$4="M",VLOOKUP(B:B,'male g'!A:V,IF(A16&gt;2033,22,MATCH(A16,'male g'!$A$1:$V$1,0)),FALSE),VLOOKUP(B:B,'female g'!A:V,IF(A16&gt;2033,22,MATCH(A16,'female g'!$A$1:$V$1,0)),FALSE))</f>
        <v>5.30855E-4</v>
      </c>
      <c r="E16" s="1">
        <f t="shared" si="2"/>
        <v>0.99946914499999995</v>
      </c>
      <c r="F16" s="1">
        <f t="shared" si="3"/>
        <v>0.99511184316710466</v>
      </c>
      <c r="G16" s="1">
        <f>1/(1+Summary!$O$2)^$C16</f>
        <v>0.50506795299551888</v>
      </c>
      <c r="H16" s="1">
        <f>IF(B16&gt;64, Summary!$J$4, 0)*'TV 3'!G16*'TV 3'!F16</f>
        <v>0</v>
      </c>
      <c r="I16" s="1"/>
    </row>
    <row r="17" spans="1:9">
      <c r="A17" s="1">
        <f t="shared" si="0"/>
        <v>2034</v>
      </c>
      <c r="B17" s="1">
        <f t="shared" si="1"/>
        <v>44</v>
      </c>
      <c r="C17" s="1">
        <v>15</v>
      </c>
      <c r="D17" s="1">
        <f>IF(Summary!$G$4="M",VLOOKUP(B:B,'male g'!A:V,IF(A17&gt;2033,22,MATCH(A17,'male g'!$A$1:$V$1,0)),FALSE),VLOOKUP(B:B,'female g'!A:V,IF(A17&gt;2033,22,MATCH(A17,'female g'!$A$1:$V$1,0)),FALSE))</f>
        <v>5.7317499999999999E-4</v>
      </c>
      <c r="E17" s="1">
        <f t="shared" si="2"/>
        <v>0.99942682500000002</v>
      </c>
      <c r="F17" s="1">
        <f t="shared" si="3"/>
        <v>0.99458358306960015</v>
      </c>
      <c r="G17" s="1">
        <f>1/(1+Summary!$O$2)^$C17</f>
        <v>0.48101709809097021</v>
      </c>
      <c r="H17" s="1">
        <f>IF(B17&gt;64, Summary!$J$4, 0)*'TV 3'!G17*'TV 3'!F17</f>
        <v>0</v>
      </c>
      <c r="I17" s="1"/>
    </row>
    <row r="18" spans="1:9">
      <c r="A18" s="1">
        <f t="shared" si="0"/>
        <v>2035</v>
      </c>
      <c r="B18" s="1">
        <f t="shared" si="1"/>
        <v>45</v>
      </c>
      <c r="C18" s="1">
        <v>16</v>
      </c>
      <c r="D18" s="1">
        <f>IF(Summary!$G$4="M",VLOOKUP(B:B,'male g'!A:V,IF(A18&gt;2033,22,MATCH(A18,'male g'!$A$1:$V$1,0)),FALSE),VLOOKUP(B:B,'female g'!A:V,IF(A18&gt;2033,22,MATCH(A18,'female g'!$A$1:$V$1,0)),FALSE))</f>
        <v>6.2666000000000002E-4</v>
      </c>
      <c r="E18" s="1">
        <f t="shared" si="2"/>
        <v>0.99937334</v>
      </c>
      <c r="F18" s="1">
        <f t="shared" si="3"/>
        <v>0.99401351262437421</v>
      </c>
      <c r="G18" s="1">
        <f>1/(1+Summary!$O$2)^$C18</f>
        <v>0.45811152199140021</v>
      </c>
      <c r="H18" s="1">
        <f>IF(B18&gt;64, Summary!$J$4, 0)*'TV 3'!G18*'TV 3'!F18</f>
        <v>0</v>
      </c>
      <c r="I18" s="1"/>
    </row>
    <row r="19" spans="1:9">
      <c r="A19" s="1">
        <f t="shared" si="0"/>
        <v>2036</v>
      </c>
      <c r="B19" s="1">
        <f t="shared" si="1"/>
        <v>46</v>
      </c>
      <c r="C19" s="1">
        <v>17</v>
      </c>
      <c r="D19" s="1">
        <f>IF(Summary!$G$4="M",VLOOKUP(B:B,'male g'!A:V,IF(A19&gt;2033,22,MATCH(A19,'male g'!$A$1:$V$1,0)),FALSE),VLOOKUP(B:B,'female g'!A:V,IF(A19&gt;2033,22,MATCH(A19,'female g'!$A$1:$V$1,0)),FALSE))</f>
        <v>6.8613599999999995E-4</v>
      </c>
      <c r="E19" s="1">
        <f t="shared" si="2"/>
        <v>0.999313864</v>
      </c>
      <c r="F19" s="1">
        <f t="shared" si="3"/>
        <v>0.993390604116553</v>
      </c>
      <c r="G19" s="1">
        <f>1/(1+Summary!$O$2)^$C19</f>
        <v>0.43629668761085727</v>
      </c>
      <c r="H19" s="1">
        <f>IF(B19&gt;64, Summary!$J$4, 0)*'TV 3'!G19*'TV 3'!F19</f>
        <v>0</v>
      </c>
      <c r="I19" s="1"/>
    </row>
    <row r="20" spans="1:9">
      <c r="A20" s="1">
        <f t="shared" si="0"/>
        <v>2037</v>
      </c>
      <c r="B20" s="1">
        <f t="shared" si="1"/>
        <v>47</v>
      </c>
      <c r="C20" s="1">
        <v>18</v>
      </c>
      <c r="D20" s="1">
        <f>IF(Summary!$G$4="M",VLOOKUP(B:B,'male g'!A:V,IF(A20&gt;2033,22,MATCH(A20,'male g'!$A$1:$V$1,0)),FALSE),VLOOKUP(B:B,'female g'!A:V,IF(A20&gt;2033,22,MATCH(A20,'female g'!$A$1:$V$1,0)),FALSE))</f>
        <v>7.5161800000000001E-4</v>
      </c>
      <c r="E20" s="1">
        <f t="shared" si="2"/>
        <v>0.99924838199999999</v>
      </c>
      <c r="F20" s="1">
        <f t="shared" si="3"/>
        <v>0.99270900306100684</v>
      </c>
      <c r="G20" s="1">
        <f>1/(1+Summary!$O$2)^$C20</f>
        <v>0.41552065486748313</v>
      </c>
      <c r="H20" s="1">
        <f>IF(B20&gt;64, Summary!$J$4, 0)*'TV 3'!G20*'TV 3'!F20</f>
        <v>0</v>
      </c>
      <c r="I20" s="1"/>
    </row>
    <row r="21" spans="1:9">
      <c r="A21" s="1">
        <f t="shared" si="0"/>
        <v>2038</v>
      </c>
      <c r="B21" s="1">
        <f t="shared" si="1"/>
        <v>48</v>
      </c>
      <c r="C21" s="1">
        <v>19</v>
      </c>
      <c r="D21" s="1">
        <f>IF(Summary!$G$4="M",VLOOKUP(B:B,'male g'!A:V,IF(A21&gt;2033,22,MATCH(A21,'male g'!$A$1:$V$1,0)),FALSE),VLOOKUP(B:B,'female g'!A:V,IF(A21&gt;2033,22,MATCH(A21,'female g'!$A$1:$V$1,0)),FALSE))</f>
        <v>8.2363499999999997E-4</v>
      </c>
      <c r="E21" s="1">
        <f t="shared" si="2"/>
        <v>0.99917636499999996</v>
      </c>
      <c r="F21" s="1">
        <f t="shared" si="3"/>
        <v>0.9919628651055441</v>
      </c>
      <c r="G21" s="1">
        <f>1/(1+Summary!$O$2)^$C21</f>
        <v>0.39573395701665059</v>
      </c>
      <c r="H21" s="1">
        <f>IF(B21&gt;64, Summary!$J$4, 0)*'TV 3'!G21*'TV 3'!F21</f>
        <v>0</v>
      </c>
      <c r="I21" s="1"/>
    </row>
    <row r="22" spans="1:9">
      <c r="A22" s="1">
        <f t="shared" si="0"/>
        <v>2039</v>
      </c>
      <c r="B22" s="1">
        <f t="shared" si="1"/>
        <v>49</v>
      </c>
      <c r="C22" s="1">
        <v>20</v>
      </c>
      <c r="D22" s="1">
        <f>IF(Summary!$G$4="M",VLOOKUP(B:B,'male g'!A:V,IF(A22&gt;2033,22,MATCH(A22,'male g'!$A$1:$V$1,0)),FALSE),VLOOKUP(B:B,'female g'!A:V,IF(A22&gt;2033,22,MATCH(A22,'female g'!$A$1:$V$1,0)),FALSE))</f>
        <v>9.0101099999999996E-4</v>
      </c>
      <c r="E22" s="1">
        <f t="shared" si="2"/>
        <v>0.99909898900000005</v>
      </c>
      <c r="F22" s="1">
        <f t="shared" si="3"/>
        <v>0.99114584977114284</v>
      </c>
      <c r="G22" s="1">
        <f>1/(1+Summary!$O$2)^$C22</f>
        <v>0.37688948287300061</v>
      </c>
      <c r="H22" s="1">
        <f>IF(B22&gt;64, Summary!$J$4, 0)*'TV 3'!G22*'TV 3'!F22</f>
        <v>0</v>
      </c>
      <c r="I22" s="1"/>
    </row>
    <row r="23" spans="1:9">
      <c r="A23" s="1">
        <f t="shared" si="0"/>
        <v>2040</v>
      </c>
      <c r="B23" s="1">
        <f t="shared" si="1"/>
        <v>50</v>
      </c>
      <c r="C23" s="1">
        <v>21</v>
      </c>
      <c r="D23" s="1">
        <f>IF(Summary!$G$4="M",VLOOKUP(B:B,'male g'!A:V,IF(A23&gt;2033,22,MATCH(A23,'male g'!$A$1:$V$1,0)),FALSE),VLOOKUP(B:B,'female g'!A:V,IF(A23&gt;2033,22,MATCH(A23,'female g'!$A$1:$V$1,0)),FALSE))</f>
        <v>2.4758050000000002E-3</v>
      </c>
      <c r="E23" s="1">
        <f t="shared" si="2"/>
        <v>0.997524195</v>
      </c>
      <c r="F23" s="1">
        <f t="shared" si="3"/>
        <v>0.99025281645789476</v>
      </c>
      <c r="G23" s="1">
        <f>1/(1+Summary!$O$2)^$C23</f>
        <v>0.35894236464095297</v>
      </c>
      <c r="H23" s="1">
        <f>IF(B23&gt;64, Summary!$J$4, 0)*'TV 3'!G23*'TV 3'!F23</f>
        <v>0</v>
      </c>
      <c r="I23" s="1"/>
    </row>
    <row r="24" spans="1:9">
      <c r="A24" s="1">
        <f t="shared" si="0"/>
        <v>2041</v>
      </c>
      <c r="B24" s="1">
        <f t="shared" si="1"/>
        <v>51</v>
      </c>
      <c r="C24" s="1">
        <v>22</v>
      </c>
      <c r="D24" s="1">
        <f>IF(Summary!$G$4="M",VLOOKUP(B:B,'male g'!A:V,IF(A24&gt;2033,22,MATCH(A24,'male g'!$A$1:$V$1,0)),FALSE),VLOOKUP(B:B,'female g'!A:V,IF(A24&gt;2033,22,MATCH(A24,'female g'!$A$1:$V$1,0)),FALSE))</f>
        <v>2.5907640000000002E-3</v>
      </c>
      <c r="E24" s="1">
        <f t="shared" si="2"/>
        <v>0.99740923599999998</v>
      </c>
      <c r="F24" s="1">
        <f t="shared" si="3"/>
        <v>0.98780114358364424</v>
      </c>
      <c r="G24" s="1">
        <f>1/(1+Summary!$O$2)^$C24</f>
        <v>0.3418498710866219</v>
      </c>
      <c r="H24" s="1">
        <f>IF(B24&gt;64, Summary!$J$4, 0)*'TV 3'!G24*'TV 3'!F24</f>
        <v>0</v>
      </c>
      <c r="I24" s="1"/>
    </row>
    <row r="25" spans="1:9">
      <c r="A25" s="1">
        <f t="shared" si="0"/>
        <v>2042</v>
      </c>
      <c r="B25" s="1">
        <f t="shared" si="1"/>
        <v>52</v>
      </c>
      <c r="C25" s="1">
        <v>23</v>
      </c>
      <c r="D25" s="1">
        <f>IF(Summary!$G$4="M",VLOOKUP(B:B,'male g'!A:V,IF(A25&gt;2033,22,MATCH(A25,'male g'!$A$1:$V$1,0)),FALSE),VLOOKUP(B:B,'female g'!A:V,IF(A25&gt;2033,22,MATCH(A25,'female g'!$A$1:$V$1,0)),FALSE))</f>
        <v>2.7267889999999999E-3</v>
      </c>
      <c r="E25" s="1">
        <f t="shared" si="2"/>
        <v>0.99727321099999999</v>
      </c>
      <c r="F25" s="1">
        <f t="shared" si="3"/>
        <v>0.98524198394168883</v>
      </c>
      <c r="G25" s="1">
        <f>1/(1+Summary!$O$2)^$C25</f>
        <v>0.32557130579678267</v>
      </c>
      <c r="H25" s="1">
        <f>IF(B25&gt;64, Summary!$J$4, 0)*'TV 3'!G25*'TV 3'!F25</f>
        <v>0</v>
      </c>
      <c r="I25" s="1"/>
    </row>
    <row r="26" spans="1:9">
      <c r="A26" s="1">
        <f t="shared" si="0"/>
        <v>2043</v>
      </c>
      <c r="B26" s="1">
        <f t="shared" si="1"/>
        <v>53</v>
      </c>
      <c r="C26" s="1">
        <v>24</v>
      </c>
      <c r="D26" s="1">
        <f>IF(Summary!$G$4="M",VLOOKUP(B:B,'male g'!A:V,IF(A26&gt;2033,22,MATCH(A26,'male g'!$A$1:$V$1,0)),FALSE),VLOOKUP(B:B,'female g'!A:V,IF(A26&gt;2033,22,MATCH(A26,'female g'!$A$1:$V$1,0)),FALSE))</f>
        <v>2.8860399999999999E-3</v>
      </c>
      <c r="E26" s="1">
        <f t="shared" si="2"/>
        <v>0.99711395999999997</v>
      </c>
      <c r="F26" s="1">
        <f t="shared" si="3"/>
        <v>0.98255543693753844</v>
      </c>
      <c r="G26" s="1">
        <f>1/(1+Summary!$O$2)^$C26</f>
        <v>0.31006791028265024</v>
      </c>
      <c r="H26" s="1">
        <f>IF(B26&gt;64, Summary!$J$4, 0)*'TV 3'!G26*'TV 3'!F26</f>
        <v>0</v>
      </c>
      <c r="I26" s="1"/>
    </row>
    <row r="27" spans="1:9">
      <c r="A27" s="1">
        <f t="shared" si="0"/>
        <v>2044</v>
      </c>
      <c r="B27" s="1">
        <f t="shared" si="1"/>
        <v>54</v>
      </c>
      <c r="C27" s="1">
        <v>25</v>
      </c>
      <c r="D27" s="1">
        <f>IF(Summary!$G$4="M",VLOOKUP(B:B,'male g'!A:V,IF(A27&gt;2033,22,MATCH(A27,'male g'!$A$1:$V$1,0)),FALSE),VLOOKUP(B:B,'female g'!A:V,IF(A27&gt;2033,22,MATCH(A27,'female g'!$A$1:$V$1,0)),FALSE))</f>
        <v>3.0685230000000001E-3</v>
      </c>
      <c r="E27" s="1">
        <f t="shared" si="2"/>
        <v>0.99693147699999995</v>
      </c>
      <c r="F27" s="1">
        <f t="shared" si="3"/>
        <v>0.97971974264431916</v>
      </c>
      <c r="G27" s="1">
        <f>1/(1+Summary!$O$2)^$C27</f>
        <v>0.29530277169776209</v>
      </c>
      <c r="H27" s="1">
        <f>IF(B27&gt;64, Summary!$J$4, 0)*'TV 3'!G27*'TV 3'!F27</f>
        <v>0</v>
      </c>
      <c r="I27" s="1"/>
    </row>
    <row r="28" spans="1:9">
      <c r="A28" s="1">
        <f t="shared" si="0"/>
        <v>2045</v>
      </c>
      <c r="B28" s="1">
        <f t="shared" si="1"/>
        <v>55</v>
      </c>
      <c r="C28" s="1">
        <v>26</v>
      </c>
      <c r="D28" s="1">
        <f>IF(Summary!$G$4="M",VLOOKUP(B:B,'male g'!A:V,IF(A28&gt;2033,22,MATCH(A28,'male g'!$A$1:$V$1,0)),FALSE),VLOOKUP(B:B,'female g'!A:V,IF(A28&gt;2033,22,MATCH(A28,'female g'!$A$1:$V$1,0)),FALSE))</f>
        <v>3.2780830000000002E-3</v>
      </c>
      <c r="E28" s="1">
        <f t="shared" si="2"/>
        <v>0.99672191700000001</v>
      </c>
      <c r="F28" s="1">
        <f t="shared" si="3"/>
        <v>0.97671345008046095</v>
      </c>
      <c r="G28" s="1">
        <f>1/(1+Summary!$O$2)^$C28</f>
        <v>0.28124073495024959</v>
      </c>
      <c r="H28" s="1">
        <f>IF(B28&gt;64, Summary!$J$4, 0)*'TV 3'!G28*'TV 3'!F28</f>
        <v>0</v>
      </c>
      <c r="I28" s="1"/>
    </row>
    <row r="29" spans="1:9">
      <c r="A29" s="1">
        <f t="shared" si="0"/>
        <v>2046</v>
      </c>
      <c r="B29" s="1">
        <f t="shared" si="1"/>
        <v>56</v>
      </c>
      <c r="C29" s="1">
        <v>27</v>
      </c>
      <c r="D29" s="1">
        <f>IF(Summary!$G$4="M",VLOOKUP(B:B,'male g'!A:V,IF(A29&gt;2033,22,MATCH(A29,'male g'!$A$1:$V$1,0)),FALSE),VLOOKUP(B:B,'female g'!A:V,IF(A29&gt;2033,22,MATCH(A29,'female g'!$A$1:$V$1,0)),FALSE))</f>
        <v>3.5159589999999999E-3</v>
      </c>
      <c r="E29" s="1">
        <f t="shared" si="2"/>
        <v>0.99648404099999999</v>
      </c>
      <c r="F29" s="1">
        <f t="shared" si="3"/>
        <v>0.97351170232388085</v>
      </c>
      <c r="G29" s="1">
        <f>1/(1+Summary!$O$2)^$C29</f>
        <v>0.2678483190002377</v>
      </c>
      <c r="H29" s="1">
        <f>IF(B29&gt;64, Summary!$J$4, 0)*'TV 3'!G29*'TV 3'!F29</f>
        <v>0</v>
      </c>
      <c r="I29" s="1"/>
    </row>
    <row r="30" spans="1:9">
      <c r="A30" s="1">
        <f t="shared" si="0"/>
        <v>2047</v>
      </c>
      <c r="B30" s="1">
        <f t="shared" si="1"/>
        <v>57</v>
      </c>
      <c r="C30" s="1">
        <v>28</v>
      </c>
      <c r="D30" s="1">
        <f>IF(Summary!$G$4="M",VLOOKUP(B:B,'male g'!A:V,IF(A30&gt;2033,22,MATCH(A30,'male g'!$A$1:$V$1,0)),FALSE),VLOOKUP(B:B,'female g'!A:V,IF(A30&gt;2033,22,MATCH(A30,'female g'!$A$1:$V$1,0)),FALSE))</f>
        <v>3.7870999999999998E-3</v>
      </c>
      <c r="E30" s="1">
        <f t="shared" si="2"/>
        <v>0.99621289999999996</v>
      </c>
      <c r="F30" s="1">
        <f t="shared" si="3"/>
        <v>0.97008887509248987</v>
      </c>
      <c r="G30" s="1">
        <f>1/(1+Summary!$O$2)^$C30</f>
        <v>0.25509363714308358</v>
      </c>
      <c r="H30" s="1">
        <f>IF(B30&gt;64, Summary!$J$4, 0)*'TV 3'!G30*'TV 3'!F30</f>
        <v>0</v>
      </c>
      <c r="I30" s="1"/>
    </row>
    <row r="31" spans="1:9">
      <c r="A31" s="1">
        <f t="shared" si="0"/>
        <v>2048</v>
      </c>
      <c r="B31" s="1">
        <f t="shared" si="1"/>
        <v>58</v>
      </c>
      <c r="C31" s="1">
        <v>29</v>
      </c>
      <c r="D31" s="1">
        <f>IF(Summary!$G$4="M",VLOOKUP(B:B,'male g'!A:V,IF(A31&gt;2033,22,MATCH(A31,'male g'!$A$1:$V$1,0)),FALSE),VLOOKUP(B:B,'female g'!A:V,IF(A31&gt;2033,22,MATCH(A31,'female g'!$A$1:$V$1,0)),FALSE))</f>
        <v>4.0919779999999996E-3</v>
      </c>
      <c r="E31" s="1">
        <f t="shared" si="2"/>
        <v>0.99590802199999995</v>
      </c>
      <c r="F31" s="1">
        <f t="shared" si="3"/>
        <v>0.96641505151362705</v>
      </c>
      <c r="G31" s="1">
        <f>1/(1+Summary!$O$2)^$C31</f>
        <v>0.24294632108865097</v>
      </c>
      <c r="H31" s="1">
        <f>IF(B31&gt;64, Summary!$J$4, 0)*'TV 3'!G31*'TV 3'!F31</f>
        <v>0</v>
      </c>
      <c r="I31" s="1"/>
    </row>
    <row r="32" spans="1:9">
      <c r="A32" s="1">
        <f t="shared" si="0"/>
        <v>2049</v>
      </c>
      <c r="B32" s="1">
        <f t="shared" si="1"/>
        <v>59</v>
      </c>
      <c r="C32" s="1">
        <v>30</v>
      </c>
      <c r="D32" s="1">
        <f>IF(Summary!$G$4="M",VLOOKUP(B:B,'male g'!A:V,IF(A32&gt;2033,22,MATCH(A32,'male g'!$A$1:$V$1,0)),FALSE),VLOOKUP(B:B,'female g'!A:V,IF(A32&gt;2033,22,MATCH(A32,'female g'!$A$1:$V$1,0)),FALSE))</f>
        <v>4.433523E-3</v>
      </c>
      <c r="E32" s="1">
        <f t="shared" si="2"/>
        <v>0.99556647700000001</v>
      </c>
      <c r="F32" s="1">
        <f t="shared" si="3"/>
        <v>0.96246050238396441</v>
      </c>
      <c r="G32" s="1">
        <f>1/(1+Summary!$O$2)^$C32</f>
        <v>0.23137744865585813</v>
      </c>
      <c r="H32" s="1">
        <f>IF(B32&gt;64, Summary!$J$4, 0)*'TV 3'!G32*'TV 3'!F32</f>
        <v>0</v>
      </c>
      <c r="I32" s="1"/>
    </row>
    <row r="33" spans="1:9">
      <c r="A33" s="1">
        <f t="shared" si="0"/>
        <v>2050</v>
      </c>
      <c r="B33" s="1">
        <f t="shared" si="1"/>
        <v>60</v>
      </c>
      <c r="C33" s="1">
        <v>31</v>
      </c>
      <c r="D33" s="1">
        <f>IF(Summary!$G$4="M",VLOOKUP(B:B,'male g'!A:V,IF(A33&gt;2033,22,MATCH(A33,'male g'!$A$1:$V$1,0)),FALSE),VLOOKUP(B:B,'female g'!A:V,IF(A33&gt;2033,22,MATCH(A33,'female g'!$A$1:$V$1,0)),FALSE))</f>
        <v>4.8115959999999996E-3</v>
      </c>
      <c r="E33" s="1">
        <f t="shared" si="2"/>
        <v>0.99518840399999997</v>
      </c>
      <c r="F33" s="1">
        <f t="shared" si="3"/>
        <v>0.95819341161005356</v>
      </c>
      <c r="G33" s="1">
        <f>1/(1+Summary!$O$2)^$C33</f>
        <v>0.220359474910341</v>
      </c>
      <c r="H33" s="1">
        <f>IF(B33&gt;64, Summary!$J$4, 0)*'TV 3'!G33*'TV 3'!F33</f>
        <v>0</v>
      </c>
      <c r="I33" s="1"/>
    </row>
    <row r="34" spans="1:9">
      <c r="A34" s="1">
        <f t="shared" si="0"/>
        <v>2051</v>
      </c>
      <c r="B34" s="1">
        <f t="shared" si="1"/>
        <v>61</v>
      </c>
      <c r="C34" s="1">
        <v>32</v>
      </c>
      <c r="D34" s="1">
        <f>IF(Summary!$G$4="M",VLOOKUP(B:B,'male g'!A:V,IF(A34&gt;2033,22,MATCH(A34,'male g'!$A$1:$V$1,0)),FALSE),VLOOKUP(B:B,'female g'!A:V,IF(A34&gt;2033,22,MATCH(A34,'female g'!$A$1:$V$1,0)),FALSE))</f>
        <v>5.2263159999999999E-3</v>
      </c>
      <c r="E34" s="1">
        <f t="shared" si="2"/>
        <v>0.99477368399999999</v>
      </c>
      <c r="F34" s="1">
        <f t="shared" si="3"/>
        <v>0.95358297202352427</v>
      </c>
      <c r="G34" s="1">
        <f>1/(1+Summary!$O$2)^$C34</f>
        <v>0.20986616658127716</v>
      </c>
      <c r="H34" s="1">
        <f>IF(B34&gt;64, Summary!$J$4, 0)*'TV 3'!G34*'TV 3'!F34</f>
        <v>0</v>
      </c>
      <c r="I34" s="1"/>
    </row>
    <row r="35" spans="1:9">
      <c r="A35" s="1">
        <f>$A$2+C35</f>
        <v>2052</v>
      </c>
      <c r="B35" s="1">
        <f>$B$2+C35</f>
        <v>62</v>
      </c>
      <c r="C35" s="1">
        <v>33</v>
      </c>
      <c r="D35" s="1">
        <f>IF(Summary!$G$4="M",VLOOKUP(B:B,'male g'!A:V,IF(A35&gt;2033,22,MATCH(A35,'male g'!$A$1:$V$1,0)),FALSE),VLOOKUP(B:B,'female g'!A:V,IF(A35&gt;2033,22,MATCH(A35,'female g'!$A$1:$V$1,0)),FALSE))</f>
        <v>5.6760500000000002E-3</v>
      </c>
      <c r="E35" s="1">
        <f t="shared" si="2"/>
        <v>0.99432394999999996</v>
      </c>
      <c r="F35" s="1">
        <f t="shared" si="3"/>
        <v>0.94859924607951018</v>
      </c>
      <c r="G35" s="1">
        <f>1/(1+Summary!$O$2)^$C35</f>
        <v>0.19987253960121634</v>
      </c>
      <c r="H35" s="1">
        <f>IF(B35&gt;64, Summary!$J$4, 0)*'TV 3'!G35*'TV 3'!F35</f>
        <v>0</v>
      </c>
      <c r="I35" s="1"/>
    </row>
    <row r="36" spans="1:9">
      <c r="A36" s="1">
        <f t="shared" ref="A36:A47" si="4">$A$2+C36</f>
        <v>2053</v>
      </c>
      <c r="B36" s="1">
        <f t="shared" si="1"/>
        <v>63</v>
      </c>
      <c r="C36" s="1">
        <v>34</v>
      </c>
      <c r="D36" s="1">
        <f>IF(Summary!$G$4="M",VLOOKUP(B:B,'male g'!A:V,IF(A36&gt;2033,22,MATCH(A36,'male g'!$A$1:$V$1,0)),FALSE),VLOOKUP(B:B,'female g'!A:V,IF(A36&gt;2033,22,MATCH(A36,'female g'!$A$1:$V$1,0)),FALSE))</f>
        <v>6.1621799999999997E-3</v>
      </c>
      <c r="E36" s="1">
        <f t="shared" si="2"/>
        <v>0.99383781999999998</v>
      </c>
      <c r="F36" s="1">
        <f t="shared" si="3"/>
        <v>0.94321494932880057</v>
      </c>
      <c r="G36" s="1">
        <f>1/(1+Summary!$O$2)^$C36</f>
        <v>0.19035479962020604</v>
      </c>
      <c r="H36" s="1">
        <f>IF(B36&gt;64, Summary!$J$4, 0)*'TV 3'!G36*'TV 3'!F36</f>
        <v>0</v>
      </c>
      <c r="I36" s="1"/>
    </row>
    <row r="37" spans="1:9">
      <c r="A37" s="1">
        <f t="shared" si="4"/>
        <v>2054</v>
      </c>
      <c r="B37" s="1">
        <f t="shared" si="1"/>
        <v>64</v>
      </c>
      <c r="C37" s="1">
        <v>35</v>
      </c>
      <c r="D37" s="1">
        <f>IF(Summary!$G$4="M",VLOOKUP(B:B,'male g'!A:V,IF(A37&gt;2033,22,MATCH(A37,'male g'!$A$1:$V$1,0)),FALSE),VLOOKUP(B:B,'female g'!A:V,IF(A37&gt;2033,22,MATCH(A37,'female g'!$A$1:$V$1,0)),FALSE))</f>
        <v>6.6840069999999996E-3</v>
      </c>
      <c r="E37" s="1">
        <f t="shared" si="2"/>
        <v>0.99331599299999995</v>
      </c>
      <c r="F37" s="1">
        <f t="shared" si="3"/>
        <v>0.93740268903234558</v>
      </c>
      <c r="G37" s="1">
        <f>1/(1+Summary!$O$2)^$C37</f>
        <v>0.18129028535257716</v>
      </c>
      <c r="H37" s="1">
        <f>IF(B37&gt;64, Summary!$J$4, 0)*'TV 3'!G37*'TV 3'!F37</f>
        <v>0</v>
      </c>
      <c r="I37" s="1"/>
    </row>
    <row r="38" spans="1:9">
      <c r="A38" s="1">
        <f t="shared" si="4"/>
        <v>2055</v>
      </c>
      <c r="B38" s="1">
        <f t="shared" si="1"/>
        <v>65</v>
      </c>
      <c r="C38" s="1">
        <v>36</v>
      </c>
      <c r="D38" s="1">
        <f>IF(Summary!$G$4="M",VLOOKUP(B:B,'male g'!A:V,IF(A38&gt;2033,22,MATCH(A38,'male g'!$A$1:$V$1,0)),FALSE),VLOOKUP(B:B,'female g'!A:V,IF(A38&gt;2033,22,MATCH(A38,'female g'!$A$1:$V$1,0)),FALSE))</f>
        <v>7.247748E-3</v>
      </c>
      <c r="E38" s="1">
        <f t="shared" si="2"/>
        <v>0.99275225199999995</v>
      </c>
      <c r="F38" s="1">
        <f t="shared" si="3"/>
        <v>0.93113708289703456</v>
      </c>
      <c r="G38" s="1">
        <f>1/(1+Summary!$O$2)^$C38</f>
        <v>0.17265741462150208</v>
      </c>
      <c r="H38" s="1">
        <f>IF(B38&gt;64, Summary!$J$4, 0)*'TV 3'!G38*'TV 3'!F38</f>
        <v>1478.1067298526516</v>
      </c>
      <c r="I38" s="1"/>
    </row>
    <row r="39" spans="1:9">
      <c r="A39" s="1">
        <f t="shared" si="4"/>
        <v>2056</v>
      </c>
      <c r="B39" s="1">
        <f t="shared" si="1"/>
        <v>66</v>
      </c>
      <c r="C39" s="1">
        <v>37</v>
      </c>
      <c r="D39" s="1">
        <f>IF(Summary!$G$4="M",VLOOKUP(B:B,'male g'!A:V,IF(A39&gt;2033,22,MATCH(A39,'male g'!$A$1:$V$1,0)),FALSE),VLOOKUP(B:B,'female g'!A:V,IF(A39&gt;2033,22,MATCH(A39,'female g'!$A$1:$V$1,0)),FALSE))</f>
        <v>7.8640140000000008E-3</v>
      </c>
      <c r="E39" s="1">
        <f t="shared" si="2"/>
        <v>0.99213598599999997</v>
      </c>
      <c r="F39" s="1">
        <f t="shared" si="3"/>
        <v>0.9243884359667417</v>
      </c>
      <c r="G39" s="1">
        <f>1/(1+Summary!$O$2)^$C39</f>
        <v>0.1644356329728591</v>
      </c>
      <c r="H39" s="1">
        <f>IF(B39&gt;64, Summary!$J$4, 0)*'TV 3'!G39*'TV 3'!F39</f>
        <v>1397.5178902453097</v>
      </c>
      <c r="I39" s="1"/>
    </row>
    <row r="40" spans="1:9">
      <c r="A40" s="1">
        <f t="shared" si="4"/>
        <v>2057</v>
      </c>
      <c r="B40" s="1">
        <f t="shared" si="1"/>
        <v>67</v>
      </c>
      <c r="C40" s="1">
        <v>38</v>
      </c>
      <c r="D40" s="1">
        <f>IF(Summary!$G$4="M",VLOOKUP(B:B,'male g'!A:V,IF(A40&gt;2033,22,MATCH(A40,'male g'!$A$1:$V$1,0)),FALSE),VLOOKUP(B:B,'female g'!A:V,IF(A40&gt;2033,22,MATCH(A40,'female g'!$A$1:$V$1,0)),FALSE))</f>
        <v>8.5402580000000002E-3</v>
      </c>
      <c r="E40" s="1">
        <f t="shared" si="2"/>
        <v>0.99145974199999998</v>
      </c>
      <c r="F40" s="1">
        <f t="shared" si="3"/>
        <v>0.91711903236486114</v>
      </c>
      <c r="G40" s="1">
        <f>1/(1+Summary!$O$2)^$C40</f>
        <v>0.15660536473605632</v>
      </c>
      <c r="H40" s="1">
        <f>IF(B40&gt;64, Summary!$J$4, 0)*'TV 3'!G40*'TV 3'!F40</f>
        <v>1320.5026571344481</v>
      </c>
      <c r="I40" s="1"/>
    </row>
    <row r="41" spans="1:9">
      <c r="A41" s="1">
        <f t="shared" si="4"/>
        <v>2058</v>
      </c>
      <c r="B41" s="1">
        <f t="shared" si="1"/>
        <v>68</v>
      </c>
      <c r="C41" s="1">
        <v>39</v>
      </c>
      <c r="D41" s="1">
        <f>IF(Summary!$G$4="M",VLOOKUP(B:B,'male g'!A:V,IF(A41&gt;2033,22,MATCH(A41,'male g'!$A$1:$V$1,0)),FALSE),VLOOKUP(B:B,'female g'!A:V,IF(A41&gt;2033,22,MATCH(A41,'female g'!$A$1:$V$1,0)),FALSE))</f>
        <v>9.291054E-3</v>
      </c>
      <c r="E41" s="1">
        <f t="shared" si="2"/>
        <v>0.99070894600000003</v>
      </c>
      <c r="F41" s="1">
        <f t="shared" si="3"/>
        <v>0.90928659921175481</v>
      </c>
      <c r="G41" s="1">
        <f>1/(1+Summary!$O$2)^$C41</f>
        <v>0.14914796641529171</v>
      </c>
      <c r="H41" s="1">
        <f>IF(B41&gt;64, Summary!$J$4, 0)*'TV 3'!G41*'TV 3'!F41</f>
        <v>1246.8811654788897</v>
      </c>
      <c r="I41" s="1"/>
    </row>
    <row r="42" spans="1:9">
      <c r="A42" s="1">
        <f t="shared" si="4"/>
        <v>2059</v>
      </c>
      <c r="B42" s="1">
        <f t="shared" si="1"/>
        <v>69</v>
      </c>
      <c r="C42" s="1">
        <v>40</v>
      </c>
      <c r="D42" s="1">
        <f>IF(Summary!$G$4="M",VLOOKUP(B:B,'male g'!A:V,IF(A42&gt;2033,22,MATCH(A42,'male g'!$A$1:$V$1,0)),FALSE),VLOOKUP(B:B,'female g'!A:V,IF(A42&gt;2033,22,MATCH(A42,'female g'!$A$1:$V$1,0)),FALSE))</f>
        <v>1.0121299E-2</v>
      </c>
      <c r="E42" s="1">
        <f t="shared" si="2"/>
        <v>0.98987870099999997</v>
      </c>
      <c r="F42" s="1">
        <f t="shared" si="3"/>
        <v>0.90083836831700204</v>
      </c>
      <c r="G42" s="1">
        <f>1/(1+Summary!$O$2)^$C42</f>
        <v>0.14204568230027784</v>
      </c>
      <c r="H42" s="1">
        <f>IF(B42&gt;64, Summary!$J$4, 0)*'TV 3'!G42*'TV 3'!F42</f>
        <v>1176.4726907036595</v>
      </c>
      <c r="I42" s="1"/>
    </row>
    <row r="43" spans="1:9">
      <c r="A43" s="1">
        <f t="shared" si="4"/>
        <v>2060</v>
      </c>
      <c r="B43" s="1">
        <f t="shared" si="1"/>
        <v>70</v>
      </c>
      <c r="C43" s="1">
        <v>41</v>
      </c>
      <c r="D43" s="1">
        <f>IF(Summary!$G$4="M",VLOOKUP(B:B,'male g'!A:V,IF(A43&gt;2033,22,MATCH(A43,'male g'!$A$1:$V$1,0)),FALSE),VLOOKUP(B:B,'female g'!A:V,IF(A43&gt;2033,22,MATCH(A43,'female g'!$A$1:$V$1,0)),FALSE))</f>
        <v>1.1050012E-2</v>
      </c>
      <c r="E43" s="1">
        <f t="shared" si="2"/>
        <v>0.988949988</v>
      </c>
      <c r="F43" s="1">
        <f t="shared" si="3"/>
        <v>0.89172071384059348</v>
      </c>
      <c r="G43" s="1">
        <f>1/(1+Summary!$O$2)^$C43</f>
        <v>0.13528160219074079</v>
      </c>
      <c r="H43" s="1">
        <f>IF(B43&gt;64, Summary!$J$4, 0)*'TV 3'!G43*'TV 3'!F43</f>
        <v>1109.1097703197267</v>
      </c>
      <c r="I43" s="1"/>
    </row>
    <row r="44" spans="1:9">
      <c r="A44" s="1">
        <f t="shared" si="4"/>
        <v>2061</v>
      </c>
      <c r="B44" s="1">
        <f t="shared" si="1"/>
        <v>71</v>
      </c>
      <c r="C44" s="1">
        <v>42</v>
      </c>
      <c r="D44" s="1">
        <f>IF(Summary!$G$4="M",VLOOKUP(B:B,'male g'!A:V,IF(A44&gt;2033,22,MATCH(A44,'male g'!$A$1:$V$1,0)),FALSE),VLOOKUP(B:B,'female g'!A:V,IF(A44&gt;2033,22,MATCH(A44,'female g'!$A$1:$V$1,0)),FALSE))</f>
        <v>1.2082262999999999E-2</v>
      </c>
      <c r="E44" s="1">
        <f t="shared" si="2"/>
        <v>0.98791773699999996</v>
      </c>
      <c r="F44" s="1">
        <f t="shared" si="3"/>
        <v>0.88186718925200636</v>
      </c>
      <c r="G44" s="1">
        <f>1/(1+Summary!$O$2)^$C44</f>
        <v>0.12883962113403885</v>
      </c>
      <c r="H44" s="1">
        <f>IF(B44&gt;64, Summary!$J$4, 0)*'TV 3'!G44*'TV 3'!F44</f>
        <v>1044.6229467127396</v>
      </c>
      <c r="I44" s="1"/>
    </row>
    <row r="45" spans="1:9">
      <c r="A45" s="1">
        <f t="shared" si="4"/>
        <v>2062</v>
      </c>
      <c r="B45" s="1">
        <f t="shared" si="1"/>
        <v>72</v>
      </c>
      <c r="C45" s="1">
        <v>43</v>
      </c>
      <c r="D45" s="1">
        <f>IF(Summary!$G$4="M",VLOOKUP(B:B,'male g'!A:V,IF(A45&gt;2033,22,MATCH(A45,'male g'!$A$1:$V$1,0)),FALSE),VLOOKUP(B:B,'female g'!A:V,IF(A45&gt;2033,22,MATCH(A45,'female g'!$A$1:$V$1,0)),FALSE))</f>
        <v>1.3232393E-2</v>
      </c>
      <c r="E45" s="1">
        <f t="shared" si="2"/>
        <v>0.98676760699999999</v>
      </c>
      <c r="F45" s="1">
        <f t="shared" si="3"/>
        <v>0.87121223794039282</v>
      </c>
      <c r="G45" s="1">
        <f>1/(1+Summary!$O$2)^$C45</f>
        <v>0.12270440108003698</v>
      </c>
      <c r="H45" s="1">
        <f>IF(B45&gt;64, Summary!$J$4, 0)*'TV 3'!G45*'TV 3'!F45</f>
        <v>982.85860717592493</v>
      </c>
      <c r="I45" s="1"/>
    </row>
    <row r="46" spans="1:9">
      <c r="A46" s="1">
        <f t="shared" si="4"/>
        <v>2063</v>
      </c>
      <c r="B46" s="1">
        <f t="shared" si="1"/>
        <v>73</v>
      </c>
      <c r="C46" s="1">
        <v>44</v>
      </c>
      <c r="D46" s="1">
        <f>IF(Summary!$G$4="M",VLOOKUP(B:B,'male g'!A:V,IF(A46&gt;2033,22,MATCH(A46,'male g'!$A$1:$V$1,0)),FALSE),VLOOKUP(B:B,'female g'!A:V,IF(A46&gt;2033,22,MATCH(A46,'female g'!$A$1:$V$1,0)),FALSE))</f>
        <v>1.4520474E-2</v>
      </c>
      <c r="E46" s="1">
        <f t="shared" si="2"/>
        <v>0.98547952599999999</v>
      </c>
      <c r="F46" s="1">
        <f t="shared" si="3"/>
        <v>0.85968401522155602</v>
      </c>
      <c r="G46" s="1">
        <f>1/(1+Summary!$O$2)^$C46</f>
        <v>0.11686133436193999</v>
      </c>
      <c r="H46" s="1">
        <f>IF(B46&gt;64, Summary!$J$4, 0)*'TV 3'!G46*'TV 3'!F46</f>
        <v>923.66955792603846</v>
      </c>
      <c r="I46" s="1"/>
    </row>
    <row r="47" spans="1:9">
      <c r="A47" s="1">
        <f t="shared" si="4"/>
        <v>2064</v>
      </c>
      <c r="B47" s="1">
        <f t="shared" si="1"/>
        <v>74</v>
      </c>
      <c r="C47" s="1">
        <v>45</v>
      </c>
      <c r="D47" s="1">
        <f>IF(Summary!$G$4="M",VLOOKUP(B:B,'male g'!A:V,IF(A47&gt;2033,22,MATCH(A47,'male g'!$A$1:$V$1,0)),FALSE),VLOOKUP(B:B,'female g'!A:V,IF(A47&gt;2033,22,MATCH(A47,'female g'!$A$1:$V$1,0)),FALSE))</f>
        <v>1.5945328000000002E-2</v>
      </c>
      <c r="E47" s="1">
        <f t="shared" si="2"/>
        <v>0.98405467199999996</v>
      </c>
      <c r="F47" s="1">
        <f t="shared" si="3"/>
        <v>0.84720099583031583</v>
      </c>
      <c r="G47" s="1">
        <f>1/(1+Summary!$O$2)^$C47</f>
        <v>0.1112965089161333</v>
      </c>
      <c r="H47" s="1">
        <f>IF(B47&gt;64, Summary!$J$4, 0)*'TV 3'!G47*'TV 3'!F47</f>
        <v>866.91184583388736</v>
      </c>
      <c r="I47" s="1"/>
    </row>
    <row r="48" spans="1:9">
      <c r="A48" s="1">
        <f>$A$2+C48</f>
        <v>2065</v>
      </c>
      <c r="B48" s="1">
        <f>$B$2+C48</f>
        <v>75</v>
      </c>
      <c r="C48" s="1">
        <v>46</v>
      </c>
      <c r="D48" s="1">
        <f>IF(Summary!$G$4="M",VLOOKUP(B:B,'male g'!A:V,IF(A48&gt;2033,22,MATCH(A48,'male g'!$A$1:$V$1,0)),FALSE),VLOOKUP(B:B,'female g'!A:V,IF(A48&gt;2033,22,MATCH(A48,'female g'!$A$1:$V$1,0)),FALSE))</f>
        <v>1.7550544000000001E-2</v>
      </c>
      <c r="E48" s="1">
        <f t="shared" si="2"/>
        <v>0.982449456</v>
      </c>
      <c r="F48" s="1">
        <f t="shared" si="3"/>
        <v>0.83369209806987477</v>
      </c>
      <c r="G48" s="1">
        <f>1/(1+Summary!$O$2)^$C48</f>
        <v>0.10599667515822221</v>
      </c>
      <c r="H48" s="1">
        <f>IF(B48&gt;64, Summary!$J$4, 0)*'TV 3'!G48*'TV 3'!F48</f>
        <v>812.46538295712458</v>
      </c>
      <c r="I48" s="1"/>
    </row>
    <row r="49" spans="1:9">
      <c r="A49" s="1">
        <f t="shared" ref="A49:A73" si="5">$A$2+C49</f>
        <v>2066</v>
      </c>
      <c r="B49" s="1">
        <f t="shared" si="1"/>
        <v>76</v>
      </c>
      <c r="C49" s="1">
        <v>47</v>
      </c>
      <c r="D49" s="1">
        <f>IF(Summary!$G$4="M",VLOOKUP(B:B,'male g'!A:V,IF(A49&gt;2033,22,MATCH(A49,'male g'!$A$1:$V$1,0)),FALSE),VLOOKUP(B:B,'female g'!A:V,IF(A49&gt;2033,22,MATCH(A49,'female g'!$A$1:$V$1,0)),FALSE))</f>
        <v>1.9346596000000001E-2</v>
      </c>
      <c r="E49" s="1">
        <f t="shared" si="2"/>
        <v>0.98065340400000001</v>
      </c>
      <c r="F49" s="1">
        <f t="shared" si="3"/>
        <v>0.81906034822024709</v>
      </c>
      <c r="G49" s="1">
        <f>1/(1+Summary!$O$2)^$C49</f>
        <v>0.10094921443640208</v>
      </c>
      <c r="H49" s="1">
        <f>IF(B49&gt;64, Summary!$J$4, 0)*'TV 3'!G49*'TV 3'!F49</f>
        <v>760.19635571910328</v>
      </c>
      <c r="I49" s="1"/>
    </row>
    <row r="50" spans="1:9">
      <c r="A50" s="1">
        <f t="shared" si="5"/>
        <v>2067</v>
      </c>
      <c r="B50" s="1">
        <f t="shared" si="1"/>
        <v>77</v>
      </c>
      <c r="C50" s="1">
        <v>48</v>
      </c>
      <c r="D50" s="1">
        <f>IF(Summary!$G$4="M",VLOOKUP(B:B,'male g'!A:V,IF(A50&gt;2033,22,MATCH(A50,'male g'!$A$1:$V$1,0)),FALSE),VLOOKUP(B:B,'female g'!A:V,IF(A50&gt;2033,22,MATCH(A50,'female g'!$A$1:$V$1,0)),FALSE))</f>
        <v>2.1378668999999999E-2</v>
      </c>
      <c r="E50" s="1">
        <f t="shared" si="2"/>
        <v>0.97862133100000004</v>
      </c>
      <c r="F50" s="1">
        <f t="shared" si="3"/>
        <v>0.8032143185636107</v>
      </c>
      <c r="G50" s="1">
        <f>1/(1+Summary!$O$2)^$C50</f>
        <v>9.6142108987049613E-2</v>
      </c>
      <c r="H50" s="1">
        <f>IF(B50&gt;64, Summary!$J$4, 0)*'TV 3'!G50*'TV 3'!F50</f>
        <v>709.98966089936539</v>
      </c>
      <c r="I50" s="1"/>
    </row>
    <row r="51" spans="1:9">
      <c r="A51" s="1">
        <f t="shared" si="5"/>
        <v>2068</v>
      </c>
      <c r="B51" s="1">
        <f t="shared" si="1"/>
        <v>78</v>
      </c>
      <c r="C51" s="1">
        <v>49</v>
      </c>
      <c r="D51" s="1">
        <f>IF(Summary!$G$4="M",VLOOKUP(B:B,'male g'!A:V,IF(A51&gt;2033,22,MATCH(A51,'male g'!$A$1:$V$1,0)),FALSE),VLOOKUP(B:B,'female g'!A:V,IF(A51&gt;2033,22,MATCH(A51,'female g'!$A$1:$V$1,0)),FALSE))</f>
        <v>2.3682564E-2</v>
      </c>
      <c r="E51" s="1">
        <f t="shared" si="2"/>
        <v>0.97631743599999998</v>
      </c>
      <c r="F51" s="1">
        <f t="shared" si="3"/>
        <v>0.78604266551097879</v>
      </c>
      <c r="G51" s="1">
        <f>1/(1+Summary!$O$2)^$C51</f>
        <v>9.1563913320999626E-2</v>
      </c>
      <c r="H51" s="1">
        <f>IF(B51&gt;64, Summary!$J$4, 0)*'TV 3'!G51*'TV 3'!F51</f>
        <v>661.72478756721489</v>
      </c>
      <c r="I51" s="1"/>
    </row>
    <row r="52" spans="1:9">
      <c r="A52" s="1">
        <f t="shared" si="5"/>
        <v>2069</v>
      </c>
      <c r="B52" s="1">
        <f t="shared" si="1"/>
        <v>79</v>
      </c>
      <c r="C52" s="1">
        <v>50</v>
      </c>
      <c r="D52" s="1">
        <f>IF(Summary!$G$4="M",VLOOKUP(B:B,'male g'!A:V,IF(A52&gt;2033,22,MATCH(A52,'male g'!$A$1:$V$1,0)),FALSE),VLOOKUP(B:B,'female g'!A:V,IF(A52&gt;2033,22,MATCH(A52,'female g'!$A$1:$V$1,0)),FALSE))</f>
        <v>2.6301709E-2</v>
      </c>
      <c r="E52" s="1">
        <f t="shared" si="2"/>
        <v>0.97369829100000005</v>
      </c>
      <c r="F52" s="1">
        <f t="shared" si="3"/>
        <v>0.76742715977828446</v>
      </c>
      <c r="G52" s="1">
        <f>1/(1+Summary!$O$2)^$C52</f>
        <v>8.7203726972380588E-2</v>
      </c>
      <c r="H52" s="1">
        <f>IF(B52&gt;64, Summary!$J$4, 0)*'TV 3'!G52*'TV 3'!F52</f>
        <v>615.28899803358843</v>
      </c>
      <c r="I52" s="1"/>
    </row>
    <row r="53" spans="1:9">
      <c r="A53" s="1">
        <f t="shared" si="5"/>
        <v>2070</v>
      </c>
      <c r="B53" s="1">
        <f t="shared" si="1"/>
        <v>80</v>
      </c>
      <c r="C53" s="1">
        <v>51</v>
      </c>
      <c r="D53" s="1">
        <f>IF(Summary!$G$4="M",VLOOKUP(B:B,'male g'!A:V,IF(A53&gt;2033,22,MATCH(A53,'male g'!$A$1:$V$1,0)),FALSE),VLOOKUP(B:B,'female g'!A:V,IF(A53&gt;2033,22,MATCH(A53,'female g'!$A$1:$V$1,0)),FALSE))</f>
        <v>2.9285830999999998E-2</v>
      </c>
      <c r="E53" s="1">
        <f t="shared" si="2"/>
        <v>0.97071416899999996</v>
      </c>
      <c r="F53" s="1">
        <f t="shared" si="3"/>
        <v>0.7472425139430996</v>
      </c>
      <c r="G53" s="1">
        <f>1/(1+Summary!$O$2)^$C53</f>
        <v>8.3051168545124371E-2</v>
      </c>
      <c r="H53" s="1">
        <f>IF(B53&gt;64, Summary!$J$4, 0)*'TV 3'!G53*'TV 3'!F53</f>
        <v>570.57699605372147</v>
      </c>
      <c r="I53" s="1"/>
    </row>
    <row r="54" spans="1:9">
      <c r="A54" s="1">
        <f t="shared" si="5"/>
        <v>2071</v>
      </c>
      <c r="B54" s="1">
        <f t="shared" si="1"/>
        <v>81</v>
      </c>
      <c r="C54" s="1">
        <v>52</v>
      </c>
      <c r="D54" s="1">
        <f>IF(Summary!$G$4="M",VLOOKUP(B:B,'male g'!A:V,IF(A54&gt;2033,22,MATCH(A54,'male g'!$A$1:$V$1,0)),FALSE),VLOOKUP(B:B,'female g'!A:V,IF(A54&gt;2033,22,MATCH(A54,'female g'!$A$1:$V$1,0)),FALSE))</f>
        <v>3.2681842000000003E-2</v>
      </c>
      <c r="E54" s="1">
        <f t="shared" si="2"/>
        <v>0.96731815799999998</v>
      </c>
      <c r="F54" s="1">
        <f t="shared" si="3"/>
        <v>0.72535889596374681</v>
      </c>
      <c r="G54" s="1">
        <f>1/(1+Summary!$O$2)^$C54</f>
        <v>7.9096350995356543E-2</v>
      </c>
      <c r="H54" s="1">
        <f>IF(B54&gt;64, Summary!$J$4, 0)*'TV 3'!G54*'TV 3'!F54</f>
        <v>527.49254721409943</v>
      </c>
      <c r="I54" s="1"/>
    </row>
    <row r="55" spans="1:9">
      <c r="A55" s="1">
        <f t="shared" si="5"/>
        <v>2072</v>
      </c>
      <c r="B55" s="1">
        <f t="shared" si="1"/>
        <v>82</v>
      </c>
      <c r="C55" s="1">
        <v>53</v>
      </c>
      <c r="D55" s="1">
        <f>IF(Summary!$G$4="M",VLOOKUP(B:B,'male g'!A:V,IF(A55&gt;2033,22,MATCH(A55,'male g'!$A$1:$V$1,0)),FALSE),VLOOKUP(B:B,'female g'!A:V,IF(A55&gt;2033,22,MATCH(A55,'female g'!$A$1:$V$1,0)),FALSE))</f>
        <v>3.6549238999999997E-2</v>
      </c>
      <c r="E55" s="1">
        <f t="shared" si="2"/>
        <v>0.96345076100000004</v>
      </c>
      <c r="F55" s="1">
        <f t="shared" si="3"/>
        <v>0.70165283113256516</v>
      </c>
      <c r="G55" s="1">
        <f>1/(1+Summary!$O$2)^$C55</f>
        <v>7.5329858090815757E-2</v>
      </c>
      <c r="H55" s="1">
        <f>IF(B55&gt;64, Summary!$J$4, 0)*'TV 3'!G55*'TV 3'!F55</f>
        <v>485.95535155225781</v>
      </c>
      <c r="I55" s="1"/>
    </row>
    <row r="56" spans="1:9">
      <c r="A56" s="1">
        <f t="shared" si="5"/>
        <v>2073</v>
      </c>
      <c r="B56" s="1">
        <f t="shared" si="1"/>
        <v>83</v>
      </c>
      <c r="C56" s="1">
        <v>54</v>
      </c>
      <c r="D56" s="1">
        <f>IF(Summary!$G$4="M",VLOOKUP(B:B,'male g'!A:V,IF(A56&gt;2033,22,MATCH(A56,'male g'!$A$1:$V$1,0)),FALSE),VLOOKUP(B:B,'female g'!A:V,IF(A56&gt;2033,22,MATCH(A56,'female g'!$A$1:$V$1,0)),FALSE))</f>
        <v>4.0956563000000001E-2</v>
      </c>
      <c r="E56" s="1">
        <f t="shared" si="2"/>
        <v>0.95904343700000005</v>
      </c>
      <c r="F56" s="1">
        <f t="shared" si="3"/>
        <v>0.67600795411247439</v>
      </c>
      <c r="G56" s="1">
        <f>1/(1+Summary!$O$2)^$C56</f>
        <v>7.1742721991253117E-2</v>
      </c>
      <c r="H56" s="1">
        <f>IF(B56&gt;64, Summary!$J$4, 0)*'TV 3'!G56*'TV 3'!F56</f>
        <v>445.89909834766235</v>
      </c>
      <c r="I56" s="1"/>
    </row>
    <row r="57" spans="1:9">
      <c r="A57" s="1">
        <f t="shared" si="5"/>
        <v>2074</v>
      </c>
      <c r="B57" s="1">
        <f t="shared" si="1"/>
        <v>84</v>
      </c>
      <c r="C57" s="1">
        <v>55</v>
      </c>
      <c r="D57" s="1">
        <f>IF(Summary!$G$4="M",VLOOKUP(B:B,'male g'!A:V,IF(A57&gt;2033,22,MATCH(A57,'male g'!$A$1:$V$1,0)),FALSE),VLOOKUP(B:B,'female g'!A:V,IF(A57&gt;2033,22,MATCH(A57,'female g'!$A$1:$V$1,0)),FALSE))</f>
        <v>4.5960176999999998E-2</v>
      </c>
      <c r="E57" s="1">
        <f t="shared" si="2"/>
        <v>0.95403982300000001</v>
      </c>
      <c r="F57" s="1">
        <f t="shared" si="3"/>
        <v>0.64832099175136571</v>
      </c>
      <c r="G57" s="1">
        <f>1/(1+Summary!$O$2)^$C57</f>
        <v>6.8326401896431521E-2</v>
      </c>
      <c r="H57" s="1">
        <f>IF(B57&gt;64, Summary!$J$4, 0)*'TV 3'!G57*'TV 3'!F57</f>
        <v>407.27295603289804</v>
      </c>
      <c r="I57" s="1"/>
    </row>
    <row r="58" spans="1:9">
      <c r="A58" s="1">
        <f t="shared" si="5"/>
        <v>2075</v>
      </c>
      <c r="B58" s="1">
        <f t="shared" si="1"/>
        <v>85</v>
      </c>
      <c r="C58" s="1">
        <v>56</v>
      </c>
      <c r="D58" s="1">
        <f>IF(Summary!$G$4="M",VLOOKUP(B:B,'male g'!A:V,IF(A58&gt;2033,22,MATCH(A58,'male g'!$A$1:$V$1,0)),FALSE),VLOOKUP(B:B,'female g'!A:V,IF(A58&gt;2033,22,MATCH(A58,'female g'!$A$1:$V$1,0)),FALSE))</f>
        <v>5.1631459999999997E-2</v>
      </c>
      <c r="E58" s="1">
        <f t="shared" si="2"/>
        <v>0.94836854000000004</v>
      </c>
      <c r="F58" s="1">
        <f t="shared" si="3"/>
        <v>0.61852404421765739</v>
      </c>
      <c r="G58" s="1">
        <f>1/(1+Summary!$O$2)^$C58</f>
        <v>6.5072763710887174E-2</v>
      </c>
      <c r="H58" s="1">
        <f>IF(B58&gt;64, Summary!$J$4, 0)*'TV 3'!G58*'TV 3'!F58</f>
        <v>370.0520179869647</v>
      </c>
      <c r="I58" s="1"/>
    </row>
    <row r="59" spans="1:9">
      <c r="A59" s="1">
        <f t="shared" si="5"/>
        <v>2076</v>
      </c>
      <c r="B59" s="1">
        <f t="shared" si="1"/>
        <v>86</v>
      </c>
      <c r="C59" s="1">
        <v>57</v>
      </c>
      <c r="D59" s="1">
        <f>IF(Summary!$G$4="M",VLOOKUP(B:B,'male g'!A:V,IF(A59&gt;2033,22,MATCH(A59,'male g'!$A$1:$V$1,0)),FALSE),VLOOKUP(B:B,'female g'!A:V,IF(A59&gt;2033,22,MATCH(A59,'female g'!$A$1:$V$1,0)),FALSE))</f>
        <v>5.8086306999999997E-2</v>
      </c>
      <c r="E59" s="1">
        <f t="shared" si="2"/>
        <v>0.94191369300000005</v>
      </c>
      <c r="F59" s="1">
        <f t="shared" si="3"/>
        <v>0.58658874476959522</v>
      </c>
      <c r="G59" s="1">
        <f>1/(1+Summary!$O$2)^$C59</f>
        <v>6.1974060677035397E-2</v>
      </c>
      <c r="H59" s="1">
        <f>IF(B59&gt;64, Summary!$J$4, 0)*'TV 3'!G59*'TV 3'!F59</f>
        <v>334.23399240223944</v>
      </c>
      <c r="I59" s="1"/>
    </row>
    <row r="60" spans="1:9">
      <c r="A60" s="1">
        <f t="shared" si="5"/>
        <v>2077</v>
      </c>
      <c r="B60" s="1">
        <f t="shared" si="1"/>
        <v>87</v>
      </c>
      <c r="C60" s="1">
        <v>58</v>
      </c>
      <c r="D60" s="1">
        <f>IF(Summary!$G$4="M",VLOOKUP(B:B,'male g'!A:V,IF(A60&gt;2033,22,MATCH(A60,'male g'!$A$1:$V$1,0)),FALSE),VLOOKUP(B:B,'female g'!A:V,IF(A60&gt;2033,22,MATCH(A60,'female g'!$A$1:$V$1,0)),FALSE))</f>
        <v>6.5370790999999998E-2</v>
      </c>
      <c r="E60" s="1">
        <f t="shared" si="2"/>
        <v>0.93462920900000002</v>
      </c>
      <c r="F60" s="1">
        <f t="shared" si="3"/>
        <v>0.55251597085816384</v>
      </c>
      <c r="G60" s="1">
        <f>1/(1+Summary!$O$2)^$C60</f>
        <v>5.9022914930509894E-2</v>
      </c>
      <c r="H60" s="1">
        <f>IF(B60&gt;64, Summary!$J$4, 0)*'TV 3'!G60*'TV 3'!F60</f>
        <v>299.8281658187878</v>
      </c>
      <c r="I60" s="1"/>
    </row>
    <row r="61" spans="1:9">
      <c r="A61" s="1">
        <f t="shared" si="5"/>
        <v>2078</v>
      </c>
      <c r="B61" s="1">
        <f t="shared" si="1"/>
        <v>88</v>
      </c>
      <c r="C61" s="1">
        <v>59</v>
      </c>
      <c r="D61" s="1">
        <f>IF(Summary!$G$4="M",VLOOKUP(B:B,'male g'!A:V,IF(A61&gt;2033,22,MATCH(A61,'male g'!$A$1:$V$1,0)),FALSE),VLOOKUP(B:B,'female g'!A:V,IF(A61&gt;2033,22,MATCH(A61,'female g'!$A$1:$V$1,0)),FALSE))</f>
        <v>7.3564853999999999E-2</v>
      </c>
      <c r="E61" s="1">
        <f t="shared" si="2"/>
        <v>0.92643514599999999</v>
      </c>
      <c r="F61" s="1">
        <f t="shared" si="3"/>
        <v>0.51639756480303278</v>
      </c>
      <c r="G61" s="1">
        <f>1/(1+Summary!$O$2)^$C61</f>
        <v>5.6212299933818946E-2</v>
      </c>
      <c r="H61" s="1">
        <f>IF(B61&gt;64, Summary!$J$4, 0)*'TV 3'!G61*'TV 3'!F61</f>
        <v>266.88396329060436</v>
      </c>
      <c r="I61" s="1"/>
    </row>
    <row r="62" spans="1:9">
      <c r="A62" s="1">
        <f t="shared" si="5"/>
        <v>2079</v>
      </c>
      <c r="B62" s="1">
        <f t="shared" si="1"/>
        <v>89</v>
      </c>
      <c r="C62" s="1">
        <v>60</v>
      </c>
      <c r="D62" s="1">
        <f>IF(Summary!$G$4="M",VLOOKUP(B:B,'male g'!A:V,IF(A62&gt;2033,22,MATCH(A62,'male g'!$A$1:$V$1,0)),FALSE),VLOOKUP(B:B,'female g'!A:V,IF(A62&gt;2033,22,MATCH(A62,'female g'!$A$1:$V$1,0)),FALSE))</f>
        <v>8.2758546000000002E-2</v>
      </c>
      <c r="E62" s="1">
        <f t="shared" si="2"/>
        <v>0.91724145400000001</v>
      </c>
      <c r="F62" s="1">
        <f t="shared" si="3"/>
        <v>0.47840885334234212</v>
      </c>
      <c r="G62" s="1">
        <f>1/(1+Summary!$O$2)^$C62</f>
        <v>5.3535523746494243E-2</v>
      </c>
      <c r="H62" s="1">
        <f>IF(B62&gt;64, Summary!$J$4, 0)*'TV 3'!G62*'TV 3'!F62</f>
        <v>235.47684142494256</v>
      </c>
      <c r="I62" s="1"/>
    </row>
    <row r="63" spans="1:9">
      <c r="A63" s="1">
        <f t="shared" si="5"/>
        <v>2080</v>
      </c>
      <c r="B63" s="1">
        <f t="shared" si="1"/>
        <v>90</v>
      </c>
      <c r="C63" s="1">
        <v>61</v>
      </c>
      <c r="D63" s="1">
        <f>IF(Summary!$G$4="M",VLOOKUP(B:B,'male g'!A:V,IF(A63&gt;2033,22,MATCH(A63,'male g'!$A$1:$V$1,0)),FALSE),VLOOKUP(B:B,'female g'!A:V,IF(A63&gt;2033,22,MATCH(A63,'female g'!$A$1:$V$1,0)),FALSE))</f>
        <v>9.3062779999999998E-2</v>
      </c>
      <c r="E63" s="1">
        <f t="shared" si="2"/>
        <v>0.90693721999999999</v>
      </c>
      <c r="F63" s="1">
        <f t="shared" si="3"/>
        <v>0.43881643224620265</v>
      </c>
      <c r="G63" s="1">
        <f>1/(1+Summary!$O$2)^$C63</f>
        <v>5.0986213091899268E-2</v>
      </c>
      <c r="H63" s="1">
        <f>IF(B63&gt;64, Summary!$J$4, 0)*'TV 3'!G63*'TV 3'!F63</f>
        <v>205.70392420184922</v>
      </c>
      <c r="I63" s="1"/>
    </row>
    <row r="64" spans="1:9">
      <c r="A64" s="1">
        <f t="shared" si="5"/>
        <v>2081</v>
      </c>
      <c r="B64" s="1">
        <f t="shared" si="1"/>
        <v>91</v>
      </c>
      <c r="C64" s="1">
        <v>62</v>
      </c>
      <c r="D64" s="1">
        <f>IF(Summary!$G$4="M",VLOOKUP(B:B,'male g'!A:V,IF(A64&gt;2033,22,MATCH(A64,'male g'!$A$1:$V$1,0)),FALSE),VLOOKUP(B:B,'female g'!A:V,IF(A64&gt;2033,22,MATCH(A64,'female g'!$A$1:$V$1,0)),FALSE))</f>
        <v>0.104297588</v>
      </c>
      <c r="E64" s="1">
        <f t="shared" si="2"/>
        <v>0.895702412</v>
      </c>
      <c r="F64" s="1">
        <f t="shared" si="3"/>
        <v>0.39797895515168941</v>
      </c>
      <c r="G64" s="1">
        <f>1/(1+Summary!$O$2)^$C64</f>
        <v>4.855829818276123E-2</v>
      </c>
      <c r="H64" s="1">
        <f>IF(B64&gt;64, Summary!$J$4, 0)*'TV 3'!G64*'TV 3'!F64</f>
        <v>177.67670967496758</v>
      </c>
      <c r="I64" s="1"/>
    </row>
    <row r="65" spans="1:9">
      <c r="A65" s="1">
        <f t="shared" si="5"/>
        <v>2082</v>
      </c>
      <c r="B65" s="1">
        <f t="shared" si="1"/>
        <v>92</v>
      </c>
      <c r="C65" s="1">
        <v>63</v>
      </c>
      <c r="D65" s="1">
        <f>IF(Summary!$G$4="M",VLOOKUP(B:B,'male g'!A:V,IF(A65&gt;2033,22,MATCH(A65,'male g'!$A$1:$V$1,0)),FALSE),VLOOKUP(B:B,'female g'!A:V,IF(A65&gt;2033,22,MATCH(A65,'female g'!$A$1:$V$1,0)),FALSE))</f>
        <v>0.116397271</v>
      </c>
      <c r="E65" s="1">
        <f t="shared" si="2"/>
        <v>0.88360272900000003</v>
      </c>
      <c r="F65" s="1">
        <f t="shared" si="3"/>
        <v>0.35647071005460801</v>
      </c>
      <c r="G65" s="1">
        <f>1/(1+Summary!$O$2)^$C65</f>
        <v>4.6245998269296387E-2</v>
      </c>
      <c r="H65" s="1">
        <f>IF(B65&gt;64, Summary!$J$4, 0)*'TV 3'!G65*'TV 3'!F65</f>
        <v>151.56710229723058</v>
      </c>
      <c r="I65" s="1"/>
    </row>
    <row r="66" spans="1:9">
      <c r="A66" s="1">
        <f t="shared" si="5"/>
        <v>2083</v>
      </c>
      <c r="B66" s="1">
        <f t="shared" si="1"/>
        <v>93</v>
      </c>
      <c r="C66" s="1">
        <v>64</v>
      </c>
      <c r="D66" s="1">
        <f>IF(Summary!$G$4="M",VLOOKUP(B:B,'male g'!A:V,IF(A66&gt;2033,22,MATCH(A66,'male g'!$A$1:$V$1,0)),FALSE),VLOOKUP(B:B,'female g'!A:V,IF(A66&gt;2033,22,MATCH(A66,'female g'!$A$1:$V$1,0)),FALSE))</f>
        <v>0.12927651700000001</v>
      </c>
      <c r="E66" s="1">
        <f t="shared" si="2"/>
        <v>0.87072348300000002</v>
      </c>
      <c r="F66" s="1">
        <f t="shared" si="3"/>
        <v>0.31497849221281937</v>
      </c>
      <c r="G66" s="1">
        <f>1/(1+Summary!$O$2)^$C66</f>
        <v>4.4043807875520369E-2</v>
      </c>
      <c r="H66" s="1">
        <f>IF(B66&gt;64, Summary!$J$4, 0)*'TV 3'!G66*'TV 3'!F66</f>
        <v>127.54771925376679</v>
      </c>
      <c r="I66" s="1"/>
    </row>
    <row r="67" spans="1:9">
      <c r="A67" s="1">
        <f t="shared" si="5"/>
        <v>2084</v>
      </c>
      <c r="B67" s="1">
        <f t="shared" si="1"/>
        <v>94</v>
      </c>
      <c r="C67" s="1">
        <v>65</v>
      </c>
      <c r="D67" s="1">
        <f>IF(Summary!$G$4="M",VLOOKUP(B:B,'male g'!A:V,IF(A67&gt;2033,22,MATCH(A67,'male g'!$A$1:$V$1,0)),FALSE),VLOOKUP(B:B,'female g'!A:V,IF(A67&gt;2033,22,MATCH(A67,'female g'!$A$1:$V$1,0)),FALSE))</f>
        <v>0.14283962</v>
      </c>
      <c r="E67" s="1">
        <f t="shared" si="2"/>
        <v>0.85716038000000006</v>
      </c>
      <c r="F67" s="1">
        <f t="shared" si="3"/>
        <v>0.27425916980963444</v>
      </c>
      <c r="G67" s="1">
        <f>1/(1+Summary!$O$2)^$C67</f>
        <v>4.1946483690971779E-2</v>
      </c>
      <c r="H67" s="1">
        <f>IF(B67&gt;64, Summary!$J$4, 0)*'TV 3'!G67*'TV 3'!F67</f>
        <v>105.77028034032948</v>
      </c>
      <c r="I67" s="1"/>
    </row>
    <row r="68" spans="1:9">
      <c r="A68" s="1">
        <f t="shared" si="5"/>
        <v>2085</v>
      </c>
      <c r="B68" s="1">
        <f t="shared" ref="B68:B73" si="6">$B$2+C68</f>
        <v>95</v>
      </c>
      <c r="C68" s="1">
        <v>66</v>
      </c>
      <c r="D68" s="1">
        <f>IF(Summary!$G$4="M",VLOOKUP(B:B,'male g'!A:V,IF(A68&gt;2033,22,MATCH(A68,'male g'!$A$1:$V$1,0)),FALSE),VLOOKUP(B:B,'female g'!A:V,IF(A68&gt;2033,22,MATCH(A68,'female g'!$A$1:$V$1,0)),FALSE))</f>
        <v>0.15715622100000001</v>
      </c>
      <c r="E68" s="1">
        <f t="shared" ref="E68:E93" si="7">1-D68</f>
        <v>0.84284377899999996</v>
      </c>
      <c r="F68" s="1">
        <f t="shared" si="3"/>
        <v>0.23508409421251081</v>
      </c>
      <c r="G68" s="1">
        <f>1/(1+Summary!$O$2)^$C68</f>
        <v>3.9949032086639788E-2</v>
      </c>
      <c r="H68" s="1">
        <f>IF(B68&gt;64, Summary!$J$4, 0)*'TV 3'!G68*'TV 3'!F68</f>
        <v>86.344851132593675</v>
      </c>
      <c r="I68" s="1"/>
    </row>
    <row r="69" spans="1:9">
      <c r="A69" s="1">
        <f t="shared" si="5"/>
        <v>2086</v>
      </c>
      <c r="B69" s="1">
        <f t="shared" si="6"/>
        <v>96</v>
      </c>
      <c r="C69" s="1">
        <v>67</v>
      </c>
      <c r="D69" s="1">
        <f>IF(Summary!$G$4="M",VLOOKUP(B:B,'male g'!A:V,IF(A69&gt;2033,22,MATCH(A69,'male g'!$A$1:$V$1,0)),FALSE),VLOOKUP(B:B,'female g'!A:V,IF(A69&gt;2033,22,MATCH(A69,'female g'!$A$1:$V$1,0)),FALSE))</f>
        <v>0.173075216</v>
      </c>
      <c r="E69" s="1">
        <f t="shared" si="7"/>
        <v>0.82692478400000002</v>
      </c>
      <c r="F69" s="1">
        <f t="shared" ref="F69:F93" si="8">E68*F68</f>
        <v>0.19813916634886464</v>
      </c>
      <c r="G69" s="1">
        <f>1/(1+Summary!$O$2)^$C69</f>
        <v>3.8046697225371226E-2</v>
      </c>
      <c r="H69" s="1">
        <f>IF(B69&gt;64, Summary!$J$4, 0)*'TV 3'!G69*'TV 3'!F69</f>
        <v>69.309733929321595</v>
      </c>
      <c r="I69" s="1"/>
    </row>
    <row r="70" spans="1:9">
      <c r="A70" s="1">
        <f t="shared" si="5"/>
        <v>2087</v>
      </c>
      <c r="B70" s="1">
        <f t="shared" si="6"/>
        <v>97</v>
      </c>
      <c r="C70" s="1">
        <v>68</v>
      </c>
      <c r="D70" s="1">
        <f>IF(Summary!$G$4="M",VLOOKUP(B:B,'male g'!A:V,IF(A70&gt;2033,22,MATCH(A70,'male g'!$A$1:$V$1,0)),FALSE),VLOOKUP(B:B,'female g'!A:V,IF(A70&gt;2033,22,MATCH(A70,'female g'!$A$1:$V$1,0)),FALSE))</f>
        <v>0.18989809799999999</v>
      </c>
      <c r="E70" s="1">
        <f t="shared" si="7"/>
        <v>0.81010190199999998</v>
      </c>
      <c r="F70" s="1">
        <f t="shared" si="8"/>
        <v>0.16384618733497497</v>
      </c>
      <c r="G70" s="1">
        <f>1/(1+Summary!$O$2)^$C70</f>
        <v>3.6234949738448791E-2</v>
      </c>
      <c r="H70" s="1">
        <f>IF(B70&gt;64, Summary!$J$4, 0)*'TV 3'!G70*'TV 3'!F70</f>
        <v>54.584701674858799</v>
      </c>
      <c r="I70" s="1"/>
    </row>
    <row r="71" spans="1:9">
      <c r="A71" s="1">
        <f t="shared" si="5"/>
        <v>2088</v>
      </c>
      <c r="B71" s="1">
        <f t="shared" si="6"/>
        <v>98</v>
      </c>
      <c r="C71" s="1">
        <v>69</v>
      </c>
      <c r="D71" s="1">
        <f>IF(Summary!$G$4="M",VLOOKUP(B:B,'male g'!A:V,IF(A71&gt;2033,22,MATCH(A71,'male g'!$A$1:$V$1,0)),FALSE),VLOOKUP(B:B,'female g'!A:V,IF(A71&gt;2033,22,MATCH(A71,'female g'!$A$1:$V$1,0)),FALSE))</f>
        <v>0.2077398</v>
      </c>
      <c r="E71" s="1">
        <f t="shared" si="7"/>
        <v>0.79226019999999997</v>
      </c>
      <c r="F71" s="1">
        <f t="shared" si="8"/>
        <v>0.13273210799551152</v>
      </c>
      <c r="G71" s="1">
        <f>1/(1+Summary!$O$2)^$C71</f>
        <v>3.4509475941379798E-2</v>
      </c>
      <c r="H71" s="1">
        <f>IF(B71&gt;64, Summary!$J$4, 0)*'TV 3'!G71*'TV 3'!F71</f>
        <v>42.113495854195897</v>
      </c>
      <c r="I71" s="1"/>
    </row>
    <row r="72" spans="1:9">
      <c r="A72" s="1">
        <f t="shared" si="5"/>
        <v>2089</v>
      </c>
      <c r="B72" s="1">
        <f t="shared" si="6"/>
        <v>99</v>
      </c>
      <c r="C72" s="1">
        <v>70</v>
      </c>
      <c r="D72" s="1">
        <f>IF(Summary!$G$4="M",VLOOKUP(B:B,'male g'!A:V,IF(A72&gt;2033,22,MATCH(A72,'male g'!$A$1:$V$1,0)),FALSE),VLOOKUP(B:B,'female g'!A:V,IF(A72&gt;2033,22,MATCH(A72,'female g'!$A$1:$V$1,0)),FALSE))</f>
        <v>0.22627810600000001</v>
      </c>
      <c r="E72" s="1">
        <f t="shared" si="7"/>
        <v>0.77372189400000002</v>
      </c>
      <c r="F72" s="1">
        <f t="shared" si="8"/>
        <v>0.10515836642694555</v>
      </c>
      <c r="G72" s="1">
        <f>1/(1+Summary!$O$2)^$C72</f>
        <v>3.2866167563218862E-2</v>
      </c>
      <c r="H72" s="1">
        <f>IF(B72&gt;64, Summary!$J$4, 0)*'TV 3'!G72*'TV 3'!F72</f>
        <v>31.776044426804209</v>
      </c>
      <c r="I72" s="1"/>
    </row>
    <row r="73" spans="1:9">
      <c r="A73" s="1">
        <f t="shared" si="5"/>
        <v>2090</v>
      </c>
      <c r="B73" s="1">
        <f t="shared" si="6"/>
        <v>100</v>
      </c>
      <c r="C73" s="1">
        <v>71</v>
      </c>
      <c r="D73" s="1">
        <f>IF(Summary!$G$4="M",VLOOKUP(B:B,'male g'!A:V,IF(A73&gt;2033,22,MATCH(A73,'male g'!$A$1:$V$1,0)),FALSE),VLOOKUP(B:B,'female g'!A:V,IF(A73&gt;2033,22,MATCH(A73,'female g'!$A$1:$V$1,0)),FALSE))</f>
        <v>0.245586414</v>
      </c>
      <c r="E73" s="1">
        <f t="shared" si="7"/>
        <v>0.75441358599999997</v>
      </c>
      <c r="F73" s="1">
        <f t="shared" si="8"/>
        <v>8.1363330441802328E-2</v>
      </c>
      <c r="G73" s="1">
        <f>1/(1+Summary!$O$2)^$C73</f>
        <v>3.1301111964970339E-2</v>
      </c>
      <c r="H73" s="1">
        <f>IF(B73&gt;64, Summary!$J$4, 0)*'TV 3'!G73*'TV 3'!F73</f>
        <v>23.415067883557235</v>
      </c>
      <c r="I73" s="1"/>
    </row>
    <row r="74" spans="1:9">
      <c r="A74" s="1">
        <f>$A$2+C74</f>
        <v>2091</v>
      </c>
      <c r="B74" s="1">
        <f>$B$2+C74</f>
        <v>101</v>
      </c>
      <c r="C74" s="1">
        <v>72</v>
      </c>
      <c r="D74" s="1">
        <f>IF(Summary!$G$4="M",VLOOKUP(B:B,'male g'!A:V,IF(A74&gt;2033,22,MATCH(A74,'male g'!$A$1:$V$1,0)),FALSE),VLOOKUP(B:B,'female g'!A:V,IF(A74&gt;2033,22,MATCH(A74,'female g'!$A$1:$V$1,0)),FALSE))</f>
        <v>0.26569467200000002</v>
      </c>
      <c r="E74" s="1">
        <f t="shared" si="7"/>
        <v>0.73430532800000003</v>
      </c>
      <c r="F74" s="1">
        <f t="shared" si="8"/>
        <v>6.1381601887503058E-2</v>
      </c>
      <c r="G74" s="1">
        <f>1/(1+Summary!$O$2)^$C74</f>
        <v>2.9810582823781274E-2</v>
      </c>
      <c r="H74" s="1">
        <f>IF(B74&gt;64, Summary!$J$4, 0)*'TV 3'!G74*'TV 3'!F74</f>
        <v>16.823471741397945</v>
      </c>
      <c r="I74" s="1"/>
    </row>
    <row r="75" spans="1:9">
      <c r="A75" s="1">
        <f t="shared" ref="A75:A93" si="9">$A$2+C75</f>
        <v>2092</v>
      </c>
      <c r="B75" s="1">
        <f t="shared" ref="B75:B93" si="10">$B$2+C75</f>
        <v>102</v>
      </c>
      <c r="C75" s="1">
        <v>73</v>
      </c>
      <c r="D75" s="1">
        <f>IF(Summary!$G$4="M",VLOOKUP(B:B,'male g'!A:V,IF(A75&gt;2033,22,MATCH(A75,'male g'!$A$1:$V$1,0)),FALSE),VLOOKUP(B:B,'female g'!A:V,IF(A75&gt;2033,22,MATCH(A75,'female g'!$A$1:$V$1,0)),FALSE))</f>
        <v>0.28621307499999998</v>
      </c>
      <c r="E75" s="1">
        <f t="shared" si="7"/>
        <v>0.71378692499999996</v>
      </c>
      <c r="F75" s="1">
        <f t="shared" si="8"/>
        <v>4.5072837307168358E-2</v>
      </c>
      <c r="G75" s="1">
        <f>1/(1+Summary!$O$2)^$C75</f>
        <v>2.8391031260744073E-2</v>
      </c>
      <c r="H75" s="1">
        <f>IF(B75&gt;64, Summary!$J$4, 0)*'TV 3'!G75*'TV 3'!F75</f>
        <v>11.765299938253287</v>
      </c>
      <c r="I75" s="1"/>
    </row>
    <row r="76" spans="1:9">
      <c r="A76" s="1">
        <f t="shared" si="9"/>
        <v>2093</v>
      </c>
      <c r="B76" s="1">
        <f t="shared" si="10"/>
        <v>103</v>
      </c>
      <c r="C76" s="1">
        <v>74</v>
      </c>
      <c r="D76" s="1">
        <f>IF(Summary!$G$4="M",VLOOKUP(B:B,'male g'!A:V,IF(A76&gt;2033,22,MATCH(A76,'male g'!$A$1:$V$1,0)),FALSE),VLOOKUP(B:B,'female g'!A:V,IF(A76&gt;2033,22,MATCH(A76,'female g'!$A$1:$V$1,0)),FALSE))</f>
        <v>0.306855239</v>
      </c>
      <c r="E76" s="1">
        <f t="shared" si="7"/>
        <v>0.693144761</v>
      </c>
      <c r="F76" s="1">
        <f t="shared" si="8"/>
        <v>3.2172401942508984E-2</v>
      </c>
      <c r="G76" s="1">
        <f>1/(1+Summary!$O$2)^$C76</f>
        <v>2.7039077391184833E-2</v>
      </c>
      <c r="H76" s="1">
        <f>IF(B76&gt;64, Summary!$J$4, 0)*'TV 3'!G76*'TV 3'!F76</f>
        <v>7.9980164425033369</v>
      </c>
      <c r="I76" s="1"/>
    </row>
    <row r="77" spans="1:9">
      <c r="A77" s="1">
        <f t="shared" si="9"/>
        <v>2094</v>
      </c>
      <c r="B77" s="1">
        <f t="shared" si="10"/>
        <v>104</v>
      </c>
      <c r="C77" s="1">
        <v>75</v>
      </c>
      <c r="D77" s="1">
        <f>IF(Summary!$G$4="M",VLOOKUP(B:B,'male g'!A:V,IF(A77&gt;2033,22,MATCH(A77,'male g'!$A$1:$V$1,0)),FALSE),VLOOKUP(B:B,'female g'!A:V,IF(A77&gt;2033,22,MATCH(A77,'female g'!$A$1:$V$1,0)),FALSE))</f>
        <v>0.32781771999999998</v>
      </c>
      <c r="E77" s="1">
        <f t="shared" si="7"/>
        <v>0.67218228000000002</v>
      </c>
      <c r="F77" s="1">
        <f t="shared" si="8"/>
        <v>2.2300131855236324E-2</v>
      </c>
      <c r="G77" s="1">
        <f>1/(1+Summary!$O$2)^$C77</f>
        <v>2.5751502277318886E-2</v>
      </c>
      <c r="H77" s="1">
        <f>IF(B77&gt;64, Summary!$J$4, 0)*'TV 3'!G77*'TV 3'!F77</f>
        <v>5.2797935195362333</v>
      </c>
      <c r="I77" s="1"/>
    </row>
    <row r="78" spans="1:9">
      <c r="A78" s="1">
        <f t="shared" si="9"/>
        <v>2095</v>
      </c>
      <c r="B78" s="1">
        <f t="shared" si="10"/>
        <v>105</v>
      </c>
      <c r="C78" s="1">
        <v>76</v>
      </c>
      <c r="D78" s="1">
        <f>IF(Summary!$G$4="M",VLOOKUP(B:B,'male g'!A:V,IF(A78&gt;2033,22,MATCH(A78,'male g'!$A$1:$V$1,0)),FALSE),VLOOKUP(B:B,'female g'!A:V,IF(A78&gt;2033,22,MATCH(A78,'female g'!$A$1:$V$1,0)),FALSE))</f>
        <v>0.34877203800000001</v>
      </c>
      <c r="E78" s="1">
        <f t="shared" si="7"/>
        <v>0.65122796199999999</v>
      </c>
      <c r="F78" s="1">
        <f t="shared" si="8"/>
        <v>1.4989753474753382E-2</v>
      </c>
      <c r="G78" s="1">
        <f>1/(1+Summary!$O$2)^$C78</f>
        <v>2.4525240264113228E-2</v>
      </c>
      <c r="H78" s="1">
        <f>IF(B78&gt;64, Summary!$J$4, 0)*'TV 3'!G78*'TV 3'!F78</f>
        <v>3.3799844246581814</v>
      </c>
      <c r="I78" s="1"/>
    </row>
    <row r="79" spans="1:9">
      <c r="A79" s="1">
        <f t="shared" si="9"/>
        <v>2096</v>
      </c>
      <c r="B79" s="1">
        <f t="shared" si="10"/>
        <v>106</v>
      </c>
      <c r="C79" s="1">
        <v>77</v>
      </c>
      <c r="D79" s="1">
        <f>IF(Summary!$G$4="M",VLOOKUP(B:B,'male g'!A:V,IF(A79&gt;2033,22,MATCH(A79,'male g'!$A$1:$V$1,0)),FALSE),VLOOKUP(B:B,'female g'!A:V,IF(A79&gt;2033,22,MATCH(A79,'female g'!$A$1:$V$1,0)),FALSE))</f>
        <v>0.36963544999999998</v>
      </c>
      <c r="E79" s="1">
        <f t="shared" si="7"/>
        <v>0.63036455000000002</v>
      </c>
      <c r="F79" s="1">
        <f t="shared" si="8"/>
        <v>9.7617466062460637E-3</v>
      </c>
      <c r="G79" s="1">
        <f>1/(1+Summary!$O$2)^$C79</f>
        <v>2.3357371680107829E-2</v>
      </c>
      <c r="H79" s="1">
        <f>IF(B79&gt;64, Summary!$J$4, 0)*'TV 3'!G79*'TV 3'!F79</f>
        <v>2.0963241604398948</v>
      </c>
      <c r="I79" s="1"/>
    </row>
    <row r="80" spans="1:9">
      <c r="A80" s="1">
        <f t="shared" si="9"/>
        <v>2097</v>
      </c>
      <c r="B80" s="1">
        <f t="shared" si="10"/>
        <v>107</v>
      </c>
      <c r="C80" s="1">
        <v>78</v>
      </c>
      <c r="D80" s="1">
        <f>IF(Summary!$G$4="M",VLOOKUP(B:B,'male g'!A:V,IF(A80&gt;2033,22,MATCH(A80,'male g'!$A$1:$V$1,0)),FALSE),VLOOKUP(B:B,'female g'!A:V,IF(A80&gt;2033,22,MATCH(A80,'female g'!$A$1:$V$1,0)),FALSE))</f>
        <v>0.39012102100000001</v>
      </c>
      <c r="E80" s="1">
        <f t="shared" si="7"/>
        <v>0.60987897899999999</v>
      </c>
      <c r="F80" s="1">
        <f t="shared" si="8"/>
        <v>6.1534590066603277E-3</v>
      </c>
      <c r="G80" s="1">
        <f>1/(1+Summary!$O$2)^$C80</f>
        <v>2.2245115885816989E-2</v>
      </c>
      <c r="H80" s="1">
        <f>IF(B80&gt;64, Summary!$J$4, 0)*'TV 3'!G80*'TV 3'!F80</f>
        <v>1.25852232004745</v>
      </c>
      <c r="I80" s="1"/>
    </row>
    <row r="81" spans="1:9">
      <c r="A81" s="1">
        <f t="shared" si="9"/>
        <v>2098</v>
      </c>
      <c r="B81" s="1">
        <f t="shared" si="10"/>
        <v>108</v>
      </c>
      <c r="C81" s="1">
        <v>79</v>
      </c>
      <c r="D81" s="1">
        <f>IF(Summary!$G$4="M",VLOOKUP(B:B,'male g'!A:V,IF(A81&gt;2033,22,MATCH(A81,'male g'!$A$1:$V$1,0)),FALSE),VLOOKUP(B:B,'female g'!A:V,IF(A81&gt;2033,22,MATCH(A81,'female g'!$A$1:$V$1,0)),FALSE))</f>
        <v>0.40992095000000001</v>
      </c>
      <c r="E81" s="1">
        <f t="shared" si="7"/>
        <v>0.59007904999999994</v>
      </c>
      <c r="F81" s="1">
        <f t="shared" si="8"/>
        <v>3.7528652963003547E-3</v>
      </c>
      <c r="G81" s="1">
        <f>1/(1+Summary!$O$2)^$C81</f>
        <v>2.1185824653159029E-2</v>
      </c>
      <c r="H81" s="1">
        <f>IF(B81&gt;64, Summary!$J$4, 0)*'TV 3'!G81*'TV 3'!F81</f>
        <v>0.73099648342785695</v>
      </c>
      <c r="I81" s="1"/>
    </row>
    <row r="82" spans="1:9">
      <c r="A82" s="1">
        <f t="shared" si="9"/>
        <v>2099</v>
      </c>
      <c r="B82" s="1">
        <f t="shared" si="10"/>
        <v>109</v>
      </c>
      <c r="C82" s="1">
        <v>80</v>
      </c>
      <c r="D82" s="1">
        <f>IF(Summary!$G$4="M",VLOOKUP(B:B,'male g'!A:V,IF(A82&gt;2033,22,MATCH(A82,'male g'!$A$1:$V$1,0)),FALSE),VLOOKUP(B:B,'female g'!A:V,IF(A82&gt;2033,22,MATCH(A82,'female g'!$A$1:$V$1,0)),FALSE))</f>
        <v>0.42944720199999997</v>
      </c>
      <c r="E82" s="1">
        <f t="shared" si="7"/>
        <v>0.57055279800000003</v>
      </c>
      <c r="F82" s="1">
        <f t="shared" si="8"/>
        <v>2.2144871888188818E-3</v>
      </c>
      <c r="G82" s="1">
        <f>1/(1+Summary!$O$2)^$C82</f>
        <v>2.0176975860151457E-2</v>
      </c>
      <c r="H82" s="1">
        <f>IF(B82&gt;64, Summary!$J$4, 0)*'TV 3'!G82*'TV 3'!F82</f>
        <v>0.41080543856614338</v>
      </c>
      <c r="I82" s="1"/>
    </row>
    <row r="83" spans="1:9">
      <c r="A83" s="1">
        <f t="shared" si="9"/>
        <v>2100</v>
      </c>
      <c r="B83" s="1">
        <f t="shared" si="10"/>
        <v>110</v>
      </c>
      <c r="C83" s="1">
        <v>81</v>
      </c>
      <c r="D83" s="1">
        <f>IF(Summary!$G$4="M",VLOOKUP(B:B,'male g'!A:V,IF(A83&gt;2033,22,MATCH(A83,'male g'!$A$1:$V$1,0)),FALSE),VLOOKUP(B:B,'female g'!A:V,IF(A83&gt;2033,22,MATCH(A83,'female g'!$A$1:$V$1,0)),FALSE))</f>
        <v>0.44824126199999997</v>
      </c>
      <c r="E83" s="1">
        <f t="shared" si="7"/>
        <v>0.55175873799999997</v>
      </c>
      <c r="F83" s="1">
        <f t="shared" si="8"/>
        <v>1.2634818617157674E-3</v>
      </c>
      <c r="G83" s="1">
        <f>1/(1+Summary!$O$2)^$C83</f>
        <v>1.9216167485858526E-2</v>
      </c>
      <c r="H83" s="1">
        <f>IF(B83&gt;64, Summary!$J$4, 0)*'TV 3'!G83*'TV 3'!F83</f>
        <v>0.22322494515002878</v>
      </c>
      <c r="I83" s="1"/>
    </row>
    <row r="84" spans="1:9">
      <c r="A84" s="1">
        <f t="shared" si="9"/>
        <v>2101</v>
      </c>
      <c r="B84" s="1">
        <f t="shared" si="10"/>
        <v>111</v>
      </c>
      <c r="C84" s="1">
        <v>82</v>
      </c>
      <c r="D84" s="1">
        <f>IF(Summary!$G$4="M",VLOOKUP(B:B,'male g'!A:V,IF(A84&gt;2033,22,MATCH(A84,'male g'!$A$1:$V$1,0)),FALSE),VLOOKUP(B:B,'female g'!A:V,IF(A84&gt;2033,22,MATCH(A84,'female g'!$A$1:$V$1,0)),FALSE))</f>
        <v>0.46617251599999998</v>
      </c>
      <c r="E84" s="1">
        <f t="shared" si="7"/>
        <v>0.53382748400000002</v>
      </c>
      <c r="F84" s="1">
        <f t="shared" si="8"/>
        <v>6.9713715750618227E-4</v>
      </c>
      <c r="G84" s="1">
        <f>1/(1+Summary!$O$2)^$C84</f>
        <v>1.8301111891293836E-2</v>
      </c>
      <c r="H84" s="1">
        <f>IF(B84&gt;64, Summary!$J$4, 0)*'TV 3'!G84*'TV 3'!F84</f>
        <v>0.11730125145342769</v>
      </c>
      <c r="I84" s="1"/>
    </row>
    <row r="85" spans="1:9">
      <c r="A85" s="1">
        <f t="shared" si="9"/>
        <v>2102</v>
      </c>
      <c r="B85" s="1">
        <f t="shared" si="10"/>
        <v>112</v>
      </c>
      <c r="C85" s="1">
        <v>83</v>
      </c>
      <c r="D85" s="1">
        <f>IF(Summary!$G$4="M",VLOOKUP(B:B,'male g'!A:V,IF(A85&gt;2033,22,MATCH(A85,'male g'!$A$1:$V$1,0)),FALSE),VLOOKUP(B:B,'female g'!A:V,IF(A85&gt;2033,22,MATCH(A85,'female g'!$A$1:$V$1,0)),FALSE))</f>
        <v>0.48365765799999999</v>
      </c>
      <c r="E85" s="1">
        <f t="shared" si="7"/>
        <v>0.51634234199999995</v>
      </c>
      <c r="F85" s="1">
        <f t="shared" si="8"/>
        <v>3.7215097479443703E-4</v>
      </c>
      <c r="G85" s="1">
        <f>1/(1+Summary!$O$2)^$C85</f>
        <v>1.7429630372660796E-2</v>
      </c>
      <c r="H85" s="1">
        <f>IF(B85&gt;64, Summary!$J$4, 0)*'TV 3'!G85*'TV 3'!F85</f>
        <v>5.9636792317556822E-2</v>
      </c>
      <c r="I85" s="1"/>
    </row>
    <row r="86" spans="1:9">
      <c r="A86" s="1">
        <f t="shared" si="9"/>
        <v>2103</v>
      </c>
      <c r="B86" s="1">
        <f t="shared" si="10"/>
        <v>113</v>
      </c>
      <c r="C86" s="1">
        <v>84</v>
      </c>
      <c r="D86" s="1">
        <f>IF(Summary!$G$4="M",VLOOKUP(B:B,'male g'!A:V,IF(A86&gt;2033,22,MATCH(A86,'male g'!$A$1:$V$1,0)),FALSE),VLOOKUP(B:B,'female g'!A:V,IF(A86&gt;2033,22,MATCH(A86,'female g'!$A$1:$V$1,0)),FALSE))</f>
        <v>0.49353991000000003</v>
      </c>
      <c r="E86" s="1">
        <f t="shared" si="7"/>
        <v>0.50646009000000003</v>
      </c>
      <c r="F86" s="1">
        <f t="shared" si="8"/>
        <v>1.9215730590294255E-4</v>
      </c>
      <c r="G86" s="1">
        <f>1/(1+Summary!$O$2)^$C86</f>
        <v>1.6599647973962663E-2</v>
      </c>
      <c r="H86" s="1">
        <f>IF(B86&gt;64, Summary!$J$4, 0)*'TV 3'!G86*'TV 3'!F86</f>
        <v>2.9326667632966562E-2</v>
      </c>
      <c r="I86" s="1"/>
    </row>
    <row r="87" spans="1:9">
      <c r="A87" s="1">
        <f t="shared" si="9"/>
        <v>2104</v>
      </c>
      <c r="B87" s="1">
        <f t="shared" si="10"/>
        <v>114</v>
      </c>
      <c r="C87" s="1">
        <v>85</v>
      </c>
      <c r="D87" s="1">
        <f>IF(Summary!$G$4="M",VLOOKUP(B:B,'male g'!A:V,IF(A87&gt;2033,22,MATCH(A87,'male g'!$A$1:$V$1,0)),FALSE),VLOOKUP(B:B,'female g'!A:V,IF(A87&gt;2033,22,MATCH(A87,'female g'!$A$1:$V$1,0)),FALSE))</f>
        <v>0.49666062900000002</v>
      </c>
      <c r="E87" s="1">
        <f t="shared" si="7"/>
        <v>0.50333937100000004</v>
      </c>
      <c r="F87" s="1">
        <f t="shared" si="8"/>
        <v>9.7320006441761821E-5</v>
      </c>
      <c r="G87" s="1">
        <f>1/(1+Summary!$O$2)^$C87</f>
        <v>1.580918854663111E-2</v>
      </c>
      <c r="H87" s="1">
        <f>IF(B87&gt;64, Summary!$J$4, 0)*'TV 3'!G87*'TV 3'!F87</f>
        <v>1.4145511170278414E-2</v>
      </c>
      <c r="I87" s="1"/>
    </row>
    <row r="88" spans="1:9">
      <c r="A88" s="1">
        <f t="shared" si="9"/>
        <v>2105</v>
      </c>
      <c r="B88" s="1">
        <f t="shared" si="10"/>
        <v>115</v>
      </c>
      <c r="C88" s="1">
        <v>86</v>
      </c>
      <c r="D88" s="1">
        <f>IF(Summary!$G$4="M",VLOOKUP(B:B,'male g'!A:V,IF(A88&gt;2033,22,MATCH(A88,'male g'!$A$1:$V$1,0)),FALSE),VLOOKUP(B:B,'female g'!A:V,IF(A88&gt;2033,22,MATCH(A88,'female g'!$A$1:$V$1,0)),FALSE))</f>
        <v>0.5</v>
      </c>
      <c r="E88" s="1">
        <f t="shared" si="7"/>
        <v>0.5</v>
      </c>
      <c r="F88" s="1">
        <f t="shared" si="8"/>
        <v>4.8984990828112344E-5</v>
      </c>
      <c r="G88" s="1">
        <f>1/(1+Summary!$O$2)^$C88</f>
        <v>1.5056370044410581E-2</v>
      </c>
      <c r="H88" s="1">
        <f>IF(B88&gt;64, Summary!$J$4, 0)*'TV 3'!G88*'TV 3'!F88</f>
        <v>6.7809454237346767E-3</v>
      </c>
      <c r="I88" s="1"/>
    </row>
    <row r="89" spans="1:9">
      <c r="A89" s="1">
        <f t="shared" si="9"/>
        <v>2106</v>
      </c>
      <c r="B89" s="1">
        <f t="shared" si="10"/>
        <v>116</v>
      </c>
      <c r="C89" s="1">
        <v>87</v>
      </c>
      <c r="D89" s="1">
        <f>IF(Summary!$G$4="M",VLOOKUP(B:B,'male g'!A:V,IF(A89&gt;2033,22,MATCH(A89,'male g'!$A$1:$V$1,0)),FALSE),VLOOKUP(B:B,'female g'!A:V,IF(A89&gt;2033,22,MATCH(A89,'female g'!$A$1:$V$1,0)),FALSE))</f>
        <v>0.5</v>
      </c>
      <c r="E89" s="1">
        <f t="shared" si="7"/>
        <v>0.5</v>
      </c>
      <c r="F89" s="1">
        <f t="shared" si="8"/>
        <v>2.4492495414056172E-5</v>
      </c>
      <c r="G89" s="1">
        <f>1/(1+Summary!$O$2)^$C89</f>
        <v>1.4339400042295789E-2</v>
      </c>
      <c r="H89" s="1">
        <f>IF(B89&gt;64, Summary!$J$4, 0)*'TV 3'!G89*'TV 3'!F89</f>
        <v>3.2290216303498456E-3</v>
      </c>
      <c r="I89" s="1"/>
    </row>
    <row r="90" spans="1:9">
      <c r="A90" s="1">
        <f t="shared" si="9"/>
        <v>2107</v>
      </c>
      <c r="B90" s="1">
        <f t="shared" si="10"/>
        <v>117</v>
      </c>
      <c r="C90" s="1">
        <v>88</v>
      </c>
      <c r="D90" s="1">
        <f>IF(Summary!$G$4="M",VLOOKUP(B:B,'male g'!A:V,IF(A90&gt;2033,22,MATCH(A90,'male g'!$A$1:$V$1,0)),FALSE),VLOOKUP(B:B,'female g'!A:V,IF(A90&gt;2033,22,MATCH(A90,'female g'!$A$1:$V$1,0)),FALSE))</f>
        <v>0.5</v>
      </c>
      <c r="E90" s="1">
        <f t="shared" si="7"/>
        <v>0.5</v>
      </c>
      <c r="F90" s="1">
        <f t="shared" si="8"/>
        <v>1.2246247707028086E-5</v>
      </c>
      <c r="G90" s="1">
        <f>1/(1+Summary!$O$2)^$C90</f>
        <v>1.3656571468853134E-2</v>
      </c>
      <c r="H90" s="1">
        <f>IF(B90&gt;64, Summary!$J$4, 0)*'TV 3'!G90*'TV 3'!F90</f>
        <v>1.537629347785641E-3</v>
      </c>
      <c r="I90" s="1"/>
    </row>
    <row r="91" spans="1:9">
      <c r="A91" s="1">
        <f t="shared" si="9"/>
        <v>2108</v>
      </c>
      <c r="B91" s="1">
        <f t="shared" si="10"/>
        <v>118</v>
      </c>
      <c r="C91" s="1">
        <v>89</v>
      </c>
      <c r="D91" s="1">
        <f>IF(Summary!$G$4="M",VLOOKUP(B:B,'male g'!A:V,IF(A91&gt;2033,22,MATCH(A91,'male g'!$A$1:$V$1,0)),FALSE),VLOOKUP(B:B,'female g'!A:V,IF(A91&gt;2033,22,MATCH(A91,'female g'!$A$1:$V$1,0)),FALSE))</f>
        <v>0.5</v>
      </c>
      <c r="E91" s="1">
        <f t="shared" si="7"/>
        <v>0.5</v>
      </c>
      <c r="F91" s="1">
        <f t="shared" si="8"/>
        <v>6.123123853514043E-6</v>
      </c>
      <c r="G91" s="1">
        <f>1/(1+Summary!$O$2)^$C91</f>
        <v>1.3006258541764888E-2</v>
      </c>
      <c r="H91" s="1">
        <f>IF(B91&gt;64, Summary!$J$4, 0)*'TV 3'!G91*'TV 3'!F91</f>
        <v>7.3220445132649557E-4</v>
      </c>
      <c r="I91" s="1"/>
    </row>
    <row r="92" spans="1:9">
      <c r="A92" s="1">
        <f t="shared" si="9"/>
        <v>2109</v>
      </c>
      <c r="B92" s="1">
        <f t="shared" si="10"/>
        <v>119</v>
      </c>
      <c r="C92" s="1">
        <v>90</v>
      </c>
      <c r="D92" s="1">
        <f>IF(Summary!$G$4="M",VLOOKUP(B:B,'male g'!A:V,IF(A92&gt;2033,22,MATCH(A92,'male g'!$A$1:$V$1,0)),FALSE),VLOOKUP(B:B,'female g'!A:V,IF(A92&gt;2033,22,MATCH(A92,'female g'!$A$1:$V$1,0)),FALSE))</f>
        <v>0.5</v>
      </c>
      <c r="E92" s="1">
        <f t="shared" si="7"/>
        <v>0.5</v>
      </c>
      <c r="F92" s="1">
        <f t="shared" si="8"/>
        <v>3.0615619267570215E-6</v>
      </c>
      <c r="G92" s="1">
        <f>1/(1+Summary!$O$2)^$C92</f>
        <v>1.2386912896918942E-2</v>
      </c>
      <c r="H92" s="1">
        <f>IF(B92&gt;64, Summary!$J$4, 0)*'TV 3'!G92*'TV 3'!F92</f>
        <v>3.4866878634595033E-4</v>
      </c>
      <c r="I92" s="1"/>
    </row>
    <row r="93" spans="1:9">
      <c r="A93" s="1">
        <f t="shared" si="9"/>
        <v>2110</v>
      </c>
      <c r="B93" s="1">
        <f t="shared" si="10"/>
        <v>120</v>
      </c>
      <c r="C93" s="1">
        <v>91</v>
      </c>
      <c r="D93" s="1">
        <f>IF(Summary!$G$4="M",VLOOKUP(B:B,'male g'!A:V,IF(A93&gt;2033,22,MATCH(A93,'male g'!$A$1:$V$1,0)),FALSE),VLOOKUP(B:B,'female g'!A:V,IF(A93&gt;2033,22,MATCH(A93,'female g'!$A$1:$V$1,0)),FALSE))</f>
        <v>1</v>
      </c>
      <c r="E93" s="1">
        <f t="shared" si="7"/>
        <v>0</v>
      </c>
      <c r="F93" s="1">
        <f t="shared" si="8"/>
        <v>1.5307809633785108E-6</v>
      </c>
      <c r="G93" s="1">
        <f>1/(1+Summary!$O$2)^$C93</f>
        <v>1.1797059901827561E-2</v>
      </c>
      <c r="H93" s="1">
        <f>IF(B93&gt;64, Summary!$J$4, 0)*'TV 3'!G93*'TV 3'!F93</f>
        <v>1.6603275540283345E-4</v>
      </c>
      <c r="I93" s="1"/>
    </row>
    <row r="94" spans="1:9">
      <c r="A94" s="1"/>
    </row>
    <row r="95" spans="1:9">
      <c r="A95" s="1"/>
    </row>
    <row r="96" spans="1:9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98"/>
  <sheetViews>
    <sheetView workbookViewId="0">
      <selection activeCell="H2" sqref="H2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Summary!H5</f>
        <v>34</v>
      </c>
      <c r="C2" s="1">
        <v>0</v>
      </c>
      <c r="D2" s="1">
        <f>IF(Summary!$G$5="M",VLOOKUP(B:B,'male g'!A:V,IF(A2&gt;2033,22,MATCH(A2,'male g'!$A$1:$V$1,0)),FALSE),VLOOKUP(B:B,'female g'!A:V,IF(A2&gt;2033,22,MATCH(A2,'female g'!$A$1:$V$1,0)),FALSE))</f>
        <v>3.1294899999999997E-4</v>
      </c>
      <c r="E2" s="1">
        <f>1-D2</f>
        <v>0.99968705099999999</v>
      </c>
      <c r="F2" s="1">
        <v>1</v>
      </c>
      <c r="G2" s="1">
        <f>1/(1+Summary!$O$2)^$C2</f>
        <v>1</v>
      </c>
      <c r="H2" s="1">
        <f>IF(B2&gt;64, Summary!$J$5, 0)*'TV 4'!G2*'TV 4'!F2</f>
        <v>0</v>
      </c>
      <c r="I2" s="1">
        <f>SUM(H2:H88)</f>
        <v>61755.30411891664</v>
      </c>
    </row>
    <row r="3" spans="1:9">
      <c r="A3" s="1">
        <f>$A$2+C3</f>
        <v>2020</v>
      </c>
      <c r="B3" s="1">
        <f>$B$2+C3</f>
        <v>35</v>
      </c>
      <c r="C3" s="1">
        <v>1</v>
      </c>
      <c r="D3" s="1">
        <f>IF(Summary!$G$5="M",VLOOKUP(B:B,'male g'!A:V,IF(A3&gt;2033,22,MATCH(A3,'male g'!$A$1:$V$1,0)),FALSE),VLOOKUP(B:B,'female g'!A:V,IF(A3&gt;2033,22,MATCH(A3,'female g'!$A$1:$V$1,0)),FALSE))</f>
        <v>3.3318399999999999E-4</v>
      </c>
      <c r="E3" s="1">
        <f>1-D3</f>
        <v>0.99966681599999996</v>
      </c>
      <c r="F3" s="1">
        <f>E2</f>
        <v>0.99968705099999999</v>
      </c>
      <c r="G3" s="1">
        <f>1/(1+Summary!$O$2)^$C3</f>
        <v>0.95238095238095233</v>
      </c>
      <c r="H3" s="1">
        <f>IF(B3&gt;64, Summary!$J$5, 0)*'TV 4'!G3*'TV 4'!F3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36</v>
      </c>
      <c r="C4" s="1">
        <v>2</v>
      </c>
      <c r="D4" s="1">
        <f>IF(Summary!$G$5="M",VLOOKUP(B:B,'male g'!A:V,IF(A4&gt;2033,22,MATCH(A4,'male g'!$A$1:$V$1,0)),FALSE),VLOOKUP(B:B,'female g'!A:V,IF(A4&gt;2033,22,MATCH(A4,'female g'!$A$1:$V$1,0)),FALSE))</f>
        <v>3.5135E-4</v>
      </c>
      <c r="E4" s="1">
        <f t="shared" ref="E4:E67" si="2">1-D4</f>
        <v>0.99964865000000003</v>
      </c>
      <c r="F4" s="1">
        <f t="shared" ref="F4:F67" si="3">E3</f>
        <v>0.99966681599999996</v>
      </c>
      <c r="G4" s="1">
        <f>1/(1+Summary!$O$2)^$C4</f>
        <v>0.90702947845804982</v>
      </c>
      <c r="H4" s="1">
        <f>IF(B4&gt;64, Summary!$J$5, 0)*'TV 4'!G4*'TV 4'!F4</f>
        <v>0</v>
      </c>
      <c r="I4" s="1"/>
    </row>
    <row r="5" spans="1:9">
      <c r="A5" s="1">
        <f t="shared" si="0"/>
        <v>2022</v>
      </c>
      <c r="B5" s="1">
        <f t="shared" si="1"/>
        <v>37</v>
      </c>
      <c r="C5" s="1">
        <v>3</v>
      </c>
      <c r="D5" s="1">
        <f>IF(Summary!$G$5="M",VLOOKUP(B:B,'male g'!A:V,IF(A5&gt;2033,22,MATCH(A5,'male g'!$A$1:$V$1,0)),FALSE),VLOOKUP(B:B,'female g'!A:V,IF(A5&gt;2033,22,MATCH(A5,'female g'!$A$1:$V$1,0)),FALSE))</f>
        <v>3.7176199999999998E-4</v>
      </c>
      <c r="E5" s="1">
        <f t="shared" si="2"/>
        <v>0.999628238</v>
      </c>
      <c r="F5" s="1">
        <f t="shared" si="3"/>
        <v>0.99964865000000003</v>
      </c>
      <c r="G5" s="1">
        <f>1/(1+Summary!$O$2)^$C5</f>
        <v>0.86383759853147601</v>
      </c>
      <c r="H5" s="1">
        <f>IF(B5&gt;64, Summary!$J$5, 0)*'TV 4'!G5*'TV 4'!F5</f>
        <v>0</v>
      </c>
      <c r="I5" s="1"/>
    </row>
    <row r="6" spans="1:9">
      <c r="A6" s="1">
        <f t="shared" si="0"/>
        <v>2023</v>
      </c>
      <c r="B6" s="1">
        <f t="shared" si="1"/>
        <v>38</v>
      </c>
      <c r="C6" s="1">
        <v>4</v>
      </c>
      <c r="D6" s="1">
        <f>IF(Summary!$G$5="M",VLOOKUP(B:B,'male g'!A:V,IF(A6&gt;2033,22,MATCH(A6,'male g'!$A$1:$V$1,0)),FALSE),VLOOKUP(B:B,'female g'!A:V,IF(A6&gt;2033,22,MATCH(A6,'female g'!$A$1:$V$1,0)),FALSE))</f>
        <v>3.9318300000000002E-4</v>
      </c>
      <c r="E6" s="1">
        <f t="shared" si="2"/>
        <v>0.99960681699999998</v>
      </c>
      <c r="F6" s="1">
        <f t="shared" si="3"/>
        <v>0.999628238</v>
      </c>
      <c r="G6" s="1">
        <f>1/(1+Summary!$O$2)^$C6</f>
        <v>0.82270247479188197</v>
      </c>
      <c r="H6" s="1">
        <f>IF(B6&gt;64, Summary!$J$5, 0)*'TV 4'!G6*'TV 4'!F6</f>
        <v>0</v>
      </c>
      <c r="I6" s="1"/>
    </row>
    <row r="7" spans="1:9">
      <c r="A7" s="1">
        <f t="shared" si="0"/>
        <v>2024</v>
      </c>
      <c r="B7" s="1">
        <f t="shared" si="1"/>
        <v>39</v>
      </c>
      <c r="C7" s="1">
        <v>5</v>
      </c>
      <c r="D7" s="1">
        <f>IF(Summary!$G$5="M",VLOOKUP(B:B,'male g'!A:V,IF(A7&gt;2033,22,MATCH(A7,'male g'!$A$1:$V$1,0)),FALSE),VLOOKUP(B:B,'female g'!A:V,IF(A7&gt;2033,22,MATCH(A7,'female g'!$A$1:$V$1,0)),FALSE))</f>
        <v>4.1795899999999997E-4</v>
      </c>
      <c r="E7" s="1">
        <f t="shared" si="2"/>
        <v>0.99958204100000003</v>
      </c>
      <c r="F7" s="1">
        <f t="shared" si="3"/>
        <v>0.99960681699999998</v>
      </c>
      <c r="G7" s="1">
        <f>1/(1+Summary!$O$2)^$C7</f>
        <v>0.78352616646845896</v>
      </c>
      <c r="H7" s="1">
        <f>IF(B7&gt;64, Summary!$J$5, 0)*'TV 4'!G7*'TV 4'!F7</f>
        <v>0</v>
      </c>
      <c r="I7" s="1"/>
    </row>
    <row r="8" spans="1:9">
      <c r="A8" s="1">
        <f t="shared" si="0"/>
        <v>2025</v>
      </c>
      <c r="B8" s="1">
        <f t="shared" si="1"/>
        <v>40</v>
      </c>
      <c r="C8" s="1">
        <v>6</v>
      </c>
      <c r="D8" s="1">
        <f>IF(Summary!$G$5="M",VLOOKUP(B:B,'male g'!A:V,IF(A8&gt;2033,22,MATCH(A8,'male g'!$A$1:$V$1,0)),FALSE),VLOOKUP(B:B,'female g'!A:V,IF(A8&gt;2033,22,MATCH(A8,'female g'!$A$1:$V$1,0)),FALSE))</f>
        <v>4.4573099999999999E-4</v>
      </c>
      <c r="E8" s="1">
        <f t="shared" si="2"/>
        <v>0.999554269</v>
      </c>
      <c r="F8" s="1">
        <f t="shared" si="3"/>
        <v>0.99958204100000003</v>
      </c>
      <c r="G8" s="1">
        <f>1/(1+Summary!$O$2)^$C8</f>
        <v>0.74621539663662761</v>
      </c>
      <c r="H8" s="1">
        <f>IF(B8&gt;64, Summary!$J$5, 0)*'TV 4'!G8*'TV 4'!F8</f>
        <v>0</v>
      </c>
      <c r="I8" s="1"/>
    </row>
    <row r="9" spans="1:9">
      <c r="A9" s="1">
        <f t="shared" si="0"/>
        <v>2026</v>
      </c>
      <c r="B9" s="1">
        <f t="shared" si="1"/>
        <v>41</v>
      </c>
      <c r="C9" s="1">
        <v>7</v>
      </c>
      <c r="D9" s="1">
        <f>IF(Summary!$G$5="M",VLOOKUP(B:B,'male g'!A:V,IF(A9&gt;2033,22,MATCH(A9,'male g'!$A$1:$V$1,0)),FALSE),VLOOKUP(B:B,'female g'!A:V,IF(A9&gt;2033,22,MATCH(A9,'female g'!$A$1:$V$1,0)),FALSE))</f>
        <v>4.7715000000000002E-4</v>
      </c>
      <c r="E9" s="1">
        <f t="shared" si="2"/>
        <v>0.99952284999999996</v>
      </c>
      <c r="F9" s="1">
        <f t="shared" si="3"/>
        <v>0.999554269</v>
      </c>
      <c r="G9" s="1">
        <f>1/(1+Summary!$O$2)^$C9</f>
        <v>0.71068133013012147</v>
      </c>
      <c r="H9" s="1">
        <f>IF(B9&gt;64, Summary!$J$5, 0)*'TV 4'!G9*'TV 4'!F9</f>
        <v>0</v>
      </c>
      <c r="I9" s="1"/>
    </row>
    <row r="10" spans="1:9">
      <c r="A10" s="1">
        <f t="shared" si="0"/>
        <v>2027</v>
      </c>
      <c r="B10" s="1">
        <f t="shared" si="1"/>
        <v>42</v>
      </c>
      <c r="C10" s="1">
        <v>8</v>
      </c>
      <c r="D10" s="1">
        <f>IF(Summary!$G$5="M",VLOOKUP(B:B,'male g'!A:V,IF(A10&gt;2033,22,MATCH(A10,'male g'!$A$1:$V$1,0)),FALSE),VLOOKUP(B:B,'female g'!A:V,IF(A10&gt;2033,22,MATCH(A10,'female g'!$A$1:$V$1,0)),FALSE))</f>
        <v>5.1318800000000003E-4</v>
      </c>
      <c r="E10" s="1">
        <f t="shared" si="2"/>
        <v>0.999486812</v>
      </c>
      <c r="F10" s="1">
        <f t="shared" si="3"/>
        <v>0.99952284999999996</v>
      </c>
      <c r="G10" s="1">
        <f>1/(1+Summary!$O$2)^$C10</f>
        <v>0.67683936202868722</v>
      </c>
      <c r="H10" s="1">
        <f>IF(B10&gt;64, Summary!$J$5, 0)*'TV 4'!G10*'TV 4'!F10</f>
        <v>0</v>
      </c>
      <c r="I10" s="1"/>
    </row>
    <row r="11" spans="1:9">
      <c r="A11" s="1">
        <f t="shared" si="0"/>
        <v>2028</v>
      </c>
      <c r="B11" s="1">
        <f t="shared" si="1"/>
        <v>43</v>
      </c>
      <c r="C11" s="1">
        <v>9</v>
      </c>
      <c r="D11" s="1">
        <f>IF(Summary!$G$5="M",VLOOKUP(B:B,'male g'!A:V,IF(A11&gt;2033,22,MATCH(A11,'male g'!$A$1:$V$1,0)),FALSE),VLOOKUP(B:B,'female g'!A:V,IF(A11&gt;2033,22,MATCH(A11,'female g'!$A$1:$V$1,0)),FALSE))</f>
        <v>5.5433999999999995E-4</v>
      </c>
      <c r="E11" s="1">
        <f t="shared" si="2"/>
        <v>0.99944566000000001</v>
      </c>
      <c r="F11" s="1">
        <f t="shared" si="3"/>
        <v>0.999486812</v>
      </c>
      <c r="G11" s="1">
        <f>1/(1+Summary!$O$2)^$C11</f>
        <v>0.64460891621779726</v>
      </c>
      <c r="H11" s="1">
        <f>IF(B11&gt;64, Summary!$J$5, 0)*'TV 4'!G11*'TV 4'!F11</f>
        <v>0</v>
      </c>
      <c r="I11" s="1"/>
    </row>
    <row r="12" spans="1:9">
      <c r="A12" s="1">
        <f t="shared" si="0"/>
        <v>2029</v>
      </c>
      <c r="B12" s="1">
        <f t="shared" si="1"/>
        <v>44</v>
      </c>
      <c r="C12" s="1">
        <v>10</v>
      </c>
      <c r="D12" s="1">
        <f>IF(Summary!$G$5="M",VLOOKUP(B:B,'male g'!A:V,IF(A12&gt;2033,22,MATCH(A12,'male g'!$A$1:$V$1,0)),FALSE),VLOOKUP(B:B,'female g'!A:V,IF(A12&gt;2033,22,MATCH(A12,'female g'!$A$1:$V$1,0)),FALSE))</f>
        <v>6.0034599999999997E-4</v>
      </c>
      <c r="E12" s="1">
        <f t="shared" si="2"/>
        <v>0.99939965399999997</v>
      </c>
      <c r="F12" s="1">
        <f t="shared" si="3"/>
        <v>0.99944566000000001</v>
      </c>
      <c r="G12" s="1">
        <f>1/(1+Summary!$O$2)^$C12</f>
        <v>0.61391325354075932</v>
      </c>
      <c r="H12" s="1">
        <f>IF(B12&gt;64, Summary!$J$5, 0)*'TV 4'!G12*'TV 4'!F12</f>
        <v>0</v>
      </c>
      <c r="I12" s="1"/>
    </row>
    <row r="13" spans="1:9">
      <c r="A13" s="1">
        <f t="shared" si="0"/>
        <v>2030</v>
      </c>
      <c r="B13" s="1">
        <f t="shared" si="1"/>
        <v>45</v>
      </c>
      <c r="C13" s="1">
        <v>11</v>
      </c>
      <c r="D13" s="1">
        <f>IF(Summary!$G$5="M",VLOOKUP(B:B,'male g'!A:V,IF(A13&gt;2033,22,MATCH(A13,'male g'!$A$1:$V$1,0)),FALSE),VLOOKUP(B:B,'female g'!A:V,IF(A13&gt;2033,22,MATCH(A13,'female g'!$A$1:$V$1,0)),FALSE))</f>
        <v>6.5111599999999998E-4</v>
      </c>
      <c r="E13" s="1">
        <f t="shared" si="2"/>
        <v>0.99934888399999999</v>
      </c>
      <c r="F13" s="1">
        <f t="shared" si="3"/>
        <v>0.99939965399999997</v>
      </c>
      <c r="G13" s="1">
        <f>1/(1+Summary!$O$2)^$C13</f>
        <v>0.5846792890864374</v>
      </c>
      <c r="H13" s="1">
        <f>IF(B13&gt;64, Summary!$J$5, 0)*'TV 4'!G13*'TV 4'!F13</f>
        <v>0</v>
      </c>
      <c r="I13" s="1"/>
    </row>
    <row r="14" spans="1:9">
      <c r="A14" s="1">
        <f t="shared" si="0"/>
        <v>2031</v>
      </c>
      <c r="B14" s="1">
        <f t="shared" si="1"/>
        <v>46</v>
      </c>
      <c r="C14" s="1">
        <v>12</v>
      </c>
      <c r="D14" s="1">
        <f>IF(Summary!$G$5="M",VLOOKUP(B:B,'male g'!A:V,IF(A14&gt;2033,22,MATCH(A14,'male g'!$A$1:$V$1,0)),FALSE),VLOOKUP(B:B,'female g'!A:V,IF(A14&gt;2033,22,MATCH(A14,'female g'!$A$1:$V$1,0)),FALSE))</f>
        <v>7.0663900000000001E-4</v>
      </c>
      <c r="E14" s="1">
        <f t="shared" si="2"/>
        <v>0.99929336099999999</v>
      </c>
      <c r="F14" s="1">
        <f t="shared" si="3"/>
        <v>0.99934888399999999</v>
      </c>
      <c r="G14" s="1">
        <f>1/(1+Summary!$O$2)^$C14</f>
        <v>0.5568374181775595</v>
      </c>
      <c r="H14" s="1">
        <f>IF(B14&gt;64, Summary!$J$5, 0)*'TV 4'!G14*'TV 4'!F14</f>
        <v>0</v>
      </c>
      <c r="I14" s="1"/>
    </row>
    <row r="15" spans="1:9">
      <c r="A15" s="1">
        <f t="shared" si="0"/>
        <v>2032</v>
      </c>
      <c r="B15" s="1">
        <f t="shared" si="1"/>
        <v>47</v>
      </c>
      <c r="C15" s="1">
        <v>13</v>
      </c>
      <c r="D15" s="1">
        <f>IF(Summary!$G$5="M",VLOOKUP(B:B,'male g'!A:V,IF(A15&gt;2033,22,MATCH(A15,'male g'!$A$1:$V$1,0)),FALSE),VLOOKUP(B:B,'female g'!A:V,IF(A15&gt;2033,22,MATCH(A15,'female g'!$A$1:$V$1,0)),FALSE))</f>
        <v>7.6680200000000002E-4</v>
      </c>
      <c r="E15" s="1">
        <f t="shared" si="2"/>
        <v>0.99923319799999999</v>
      </c>
      <c r="F15" s="1">
        <f t="shared" si="3"/>
        <v>0.99929336099999999</v>
      </c>
      <c r="G15" s="1">
        <f>1/(1+Summary!$O$2)^$C15</f>
        <v>0.53032135064529462</v>
      </c>
      <c r="H15" s="1">
        <f>IF(B15&gt;64, Summary!$J$5, 0)*'TV 4'!G15*'TV 4'!F15</f>
        <v>0</v>
      </c>
      <c r="I15" s="1"/>
    </row>
    <row r="16" spans="1:9">
      <c r="A16" s="1">
        <f t="shared" si="0"/>
        <v>2033</v>
      </c>
      <c r="B16" s="1">
        <f t="shared" si="1"/>
        <v>48</v>
      </c>
      <c r="C16" s="1">
        <v>14</v>
      </c>
      <c r="D16" s="1">
        <f>IF(Summary!$G$5="M",VLOOKUP(B:B,'male g'!A:V,IF(A16&gt;2033,22,MATCH(A16,'male g'!$A$1:$V$1,0)),FALSE),VLOOKUP(B:B,'female g'!A:V,IF(A16&gt;2033,22,MATCH(A16,'female g'!$A$1:$V$1,0)),FALSE))</f>
        <v>8.31955E-4</v>
      </c>
      <c r="E16" s="1">
        <f t="shared" si="2"/>
        <v>0.999168045</v>
      </c>
      <c r="F16" s="1">
        <f t="shared" si="3"/>
        <v>0.99923319799999999</v>
      </c>
      <c r="G16" s="1">
        <f>1/(1+Summary!$O$2)^$C16</f>
        <v>0.50506795299551888</v>
      </c>
      <c r="H16" s="1">
        <f>IF(B16&gt;64, Summary!$J$5, 0)*'TV 4'!G16*'TV 4'!F16</f>
        <v>0</v>
      </c>
      <c r="I16" s="1"/>
    </row>
    <row r="17" spans="1:9">
      <c r="A17" s="1">
        <f t="shared" si="0"/>
        <v>2034</v>
      </c>
      <c r="B17" s="1">
        <f t="shared" si="1"/>
        <v>49</v>
      </c>
      <c r="C17" s="1">
        <v>15</v>
      </c>
      <c r="D17" s="1">
        <f>IF(Summary!$G$5="M",VLOOKUP(B:B,'male g'!A:V,IF(A17&gt;2033,22,MATCH(A17,'male g'!$A$1:$V$1,0)),FALSE),VLOOKUP(B:B,'female g'!A:V,IF(A17&gt;2033,22,MATCH(A17,'female g'!$A$1:$V$1,0)),FALSE))</f>
        <v>9.0101099999999996E-4</v>
      </c>
      <c r="E17" s="1">
        <f t="shared" si="2"/>
        <v>0.99909898900000005</v>
      </c>
      <c r="F17" s="1">
        <f t="shared" si="3"/>
        <v>0.999168045</v>
      </c>
      <c r="G17" s="1">
        <f>1/(1+Summary!$O$2)^$C17</f>
        <v>0.48101709809097021</v>
      </c>
      <c r="H17" s="1">
        <f>IF(B17&gt;64, Summary!$J$5, 0)*'TV 4'!G17*'TV 4'!F17</f>
        <v>0</v>
      </c>
      <c r="I17" s="1"/>
    </row>
    <row r="18" spans="1:9">
      <c r="A18" s="1">
        <f t="shared" si="0"/>
        <v>2035</v>
      </c>
      <c r="B18" s="1">
        <f t="shared" si="1"/>
        <v>50</v>
      </c>
      <c r="C18" s="1">
        <v>16</v>
      </c>
      <c r="D18" s="1">
        <f>IF(Summary!$G$5="M",VLOOKUP(B:B,'male g'!A:V,IF(A18&gt;2033,22,MATCH(A18,'male g'!$A$1:$V$1,0)),FALSE),VLOOKUP(B:B,'female g'!A:V,IF(A18&gt;2033,22,MATCH(A18,'female g'!$A$1:$V$1,0)),FALSE))</f>
        <v>2.4758050000000002E-3</v>
      </c>
      <c r="E18" s="1">
        <f t="shared" si="2"/>
        <v>0.997524195</v>
      </c>
      <c r="F18" s="1">
        <f t="shared" si="3"/>
        <v>0.99909898900000005</v>
      </c>
      <c r="G18" s="1">
        <f>1/(1+Summary!$O$2)^$C18</f>
        <v>0.45811152199140021</v>
      </c>
      <c r="H18" s="1">
        <f>IF(B18&gt;64, Summary!$J$5, 0)*'TV 4'!G18*'TV 4'!F18</f>
        <v>0</v>
      </c>
      <c r="I18" s="1"/>
    </row>
    <row r="19" spans="1:9">
      <c r="A19" s="1">
        <f t="shared" si="0"/>
        <v>2036</v>
      </c>
      <c r="B19" s="1">
        <f t="shared" si="1"/>
        <v>51</v>
      </c>
      <c r="C19" s="1">
        <v>17</v>
      </c>
      <c r="D19" s="1">
        <f>IF(Summary!$G$5="M",VLOOKUP(B:B,'male g'!A:V,IF(A19&gt;2033,22,MATCH(A19,'male g'!$A$1:$V$1,0)),FALSE),VLOOKUP(B:B,'female g'!A:V,IF(A19&gt;2033,22,MATCH(A19,'female g'!$A$1:$V$1,0)),FALSE))</f>
        <v>2.5907640000000002E-3</v>
      </c>
      <c r="E19" s="1">
        <f t="shared" si="2"/>
        <v>0.99740923599999998</v>
      </c>
      <c r="F19" s="1">
        <f t="shared" si="3"/>
        <v>0.997524195</v>
      </c>
      <c r="G19" s="1">
        <f>1/(1+Summary!$O$2)^$C19</f>
        <v>0.43629668761085727</v>
      </c>
      <c r="H19" s="1">
        <f>IF(B19&gt;64, Summary!$J$5, 0)*'TV 4'!G19*'TV 4'!F19</f>
        <v>0</v>
      </c>
      <c r="I19" s="1"/>
    </row>
    <row r="20" spans="1:9">
      <c r="A20" s="1">
        <f t="shared" si="0"/>
        <v>2037</v>
      </c>
      <c r="B20" s="1">
        <f t="shared" si="1"/>
        <v>52</v>
      </c>
      <c r="C20" s="1">
        <v>18</v>
      </c>
      <c r="D20" s="1">
        <f>IF(Summary!$G$5="M",VLOOKUP(B:B,'male g'!A:V,IF(A20&gt;2033,22,MATCH(A20,'male g'!$A$1:$V$1,0)),FALSE),VLOOKUP(B:B,'female g'!A:V,IF(A20&gt;2033,22,MATCH(A20,'female g'!$A$1:$V$1,0)),FALSE))</f>
        <v>2.7267889999999999E-3</v>
      </c>
      <c r="E20" s="1">
        <f t="shared" si="2"/>
        <v>0.99727321099999999</v>
      </c>
      <c r="F20" s="1">
        <f t="shared" si="3"/>
        <v>0.99740923599999998</v>
      </c>
      <c r="G20" s="1">
        <f>1/(1+Summary!$O$2)^$C20</f>
        <v>0.41552065486748313</v>
      </c>
      <c r="H20" s="1">
        <f>IF(B20&gt;64, Summary!$J$5, 0)*'TV 4'!G20*'TV 4'!F20</f>
        <v>0</v>
      </c>
      <c r="I20" s="1"/>
    </row>
    <row r="21" spans="1:9">
      <c r="A21" s="1">
        <f t="shared" si="0"/>
        <v>2038</v>
      </c>
      <c r="B21" s="1">
        <f t="shared" si="1"/>
        <v>53</v>
      </c>
      <c r="C21" s="1">
        <v>19</v>
      </c>
      <c r="D21" s="1">
        <f>IF(Summary!$G$5="M",VLOOKUP(B:B,'male g'!A:V,IF(A21&gt;2033,22,MATCH(A21,'male g'!$A$1:$V$1,0)),FALSE),VLOOKUP(B:B,'female g'!A:V,IF(A21&gt;2033,22,MATCH(A21,'female g'!$A$1:$V$1,0)),FALSE))</f>
        <v>2.8860399999999999E-3</v>
      </c>
      <c r="E21" s="1">
        <f t="shared" si="2"/>
        <v>0.99711395999999997</v>
      </c>
      <c r="F21" s="1">
        <f t="shared" si="3"/>
        <v>0.99727321099999999</v>
      </c>
      <c r="G21" s="1">
        <f>1/(1+Summary!$O$2)^$C21</f>
        <v>0.39573395701665059</v>
      </c>
      <c r="H21" s="1">
        <f>IF(B21&gt;64, Summary!$J$5, 0)*'TV 4'!G21*'TV 4'!F21</f>
        <v>0</v>
      </c>
      <c r="I21" s="1"/>
    </row>
    <row r="22" spans="1:9">
      <c r="A22" s="1">
        <f t="shared" si="0"/>
        <v>2039</v>
      </c>
      <c r="B22" s="1">
        <f t="shared" si="1"/>
        <v>54</v>
      </c>
      <c r="C22" s="1">
        <v>20</v>
      </c>
      <c r="D22" s="1">
        <f>IF(Summary!$G$5="M",VLOOKUP(B:B,'male g'!A:V,IF(A22&gt;2033,22,MATCH(A22,'male g'!$A$1:$V$1,0)),FALSE),VLOOKUP(B:B,'female g'!A:V,IF(A22&gt;2033,22,MATCH(A22,'female g'!$A$1:$V$1,0)),FALSE))</f>
        <v>3.0685230000000001E-3</v>
      </c>
      <c r="E22" s="1">
        <f t="shared" si="2"/>
        <v>0.99693147699999995</v>
      </c>
      <c r="F22" s="1">
        <f t="shared" si="3"/>
        <v>0.99711395999999997</v>
      </c>
      <c r="G22" s="1">
        <f>1/(1+Summary!$O$2)^$C22</f>
        <v>0.37688948287300061</v>
      </c>
      <c r="H22" s="1">
        <f>IF(B22&gt;64, Summary!$J$5, 0)*'TV 4'!G22*'TV 4'!F22</f>
        <v>0</v>
      </c>
      <c r="I22" s="1"/>
    </row>
    <row r="23" spans="1:9">
      <c r="A23" s="1">
        <f t="shared" si="0"/>
        <v>2040</v>
      </c>
      <c r="B23" s="1">
        <f t="shared" si="1"/>
        <v>55</v>
      </c>
      <c r="C23" s="1">
        <v>21</v>
      </c>
      <c r="D23" s="1">
        <f>IF(Summary!$G$5="M",VLOOKUP(B:B,'male g'!A:V,IF(A23&gt;2033,22,MATCH(A23,'male g'!$A$1:$V$1,0)),FALSE),VLOOKUP(B:B,'female g'!A:V,IF(A23&gt;2033,22,MATCH(A23,'female g'!$A$1:$V$1,0)),FALSE))</f>
        <v>3.2780830000000002E-3</v>
      </c>
      <c r="E23" s="1">
        <f t="shared" si="2"/>
        <v>0.99672191700000001</v>
      </c>
      <c r="F23" s="1">
        <f t="shared" si="3"/>
        <v>0.99693147699999995</v>
      </c>
      <c r="G23" s="1">
        <f>1/(1+Summary!$O$2)^$C23</f>
        <v>0.35894236464095297</v>
      </c>
      <c r="H23" s="1">
        <f>IF(B23&gt;64, Summary!$J$5, 0)*'TV 4'!G23*'TV 4'!F23</f>
        <v>0</v>
      </c>
      <c r="I23" s="1"/>
    </row>
    <row r="24" spans="1:9">
      <c r="A24" s="1">
        <f t="shared" si="0"/>
        <v>2041</v>
      </c>
      <c r="B24" s="1">
        <f t="shared" si="1"/>
        <v>56</v>
      </c>
      <c r="C24" s="1">
        <v>22</v>
      </c>
      <c r="D24" s="1">
        <f>IF(Summary!$G$5="M",VLOOKUP(B:B,'male g'!A:V,IF(A24&gt;2033,22,MATCH(A24,'male g'!$A$1:$V$1,0)),FALSE),VLOOKUP(B:B,'female g'!A:V,IF(A24&gt;2033,22,MATCH(A24,'female g'!$A$1:$V$1,0)),FALSE))</f>
        <v>3.5159589999999999E-3</v>
      </c>
      <c r="E24" s="1">
        <f t="shared" si="2"/>
        <v>0.99648404099999999</v>
      </c>
      <c r="F24" s="1">
        <f t="shared" si="3"/>
        <v>0.99672191700000001</v>
      </c>
      <c r="G24" s="1">
        <f>1/(1+Summary!$O$2)^$C24</f>
        <v>0.3418498710866219</v>
      </c>
      <c r="H24" s="1">
        <f>IF(B24&gt;64, Summary!$J$5, 0)*'TV 4'!G24*'TV 4'!F24</f>
        <v>0</v>
      </c>
      <c r="I24" s="1"/>
    </row>
    <row r="25" spans="1:9">
      <c r="A25" s="1">
        <f t="shared" si="0"/>
        <v>2042</v>
      </c>
      <c r="B25" s="1">
        <f t="shared" si="1"/>
        <v>57</v>
      </c>
      <c r="C25" s="1">
        <v>23</v>
      </c>
      <c r="D25" s="1">
        <f>IF(Summary!$G$5="M",VLOOKUP(B:B,'male g'!A:V,IF(A25&gt;2033,22,MATCH(A25,'male g'!$A$1:$V$1,0)),FALSE),VLOOKUP(B:B,'female g'!A:V,IF(A25&gt;2033,22,MATCH(A25,'female g'!$A$1:$V$1,0)),FALSE))</f>
        <v>3.7870999999999998E-3</v>
      </c>
      <c r="E25" s="1">
        <f t="shared" si="2"/>
        <v>0.99621289999999996</v>
      </c>
      <c r="F25" s="1">
        <f t="shared" si="3"/>
        <v>0.99648404099999999</v>
      </c>
      <c r="G25" s="1">
        <f>1/(1+Summary!$O$2)^$C25</f>
        <v>0.32557130579678267</v>
      </c>
      <c r="H25" s="1">
        <f>IF(B25&gt;64, Summary!$J$5, 0)*'TV 4'!G25*'TV 4'!F25</f>
        <v>0</v>
      </c>
      <c r="I25" s="1"/>
    </row>
    <row r="26" spans="1:9">
      <c r="A26" s="1">
        <f t="shared" si="0"/>
        <v>2043</v>
      </c>
      <c r="B26" s="1">
        <f t="shared" si="1"/>
        <v>58</v>
      </c>
      <c r="C26" s="1">
        <v>24</v>
      </c>
      <c r="D26" s="1">
        <f>IF(Summary!$G$5="M",VLOOKUP(B:B,'male g'!A:V,IF(A26&gt;2033,22,MATCH(A26,'male g'!$A$1:$V$1,0)),FALSE),VLOOKUP(B:B,'female g'!A:V,IF(A26&gt;2033,22,MATCH(A26,'female g'!$A$1:$V$1,0)),FALSE))</f>
        <v>4.0919779999999996E-3</v>
      </c>
      <c r="E26" s="1">
        <f t="shared" si="2"/>
        <v>0.99590802199999995</v>
      </c>
      <c r="F26" s="1">
        <f t="shared" si="3"/>
        <v>0.99621289999999996</v>
      </c>
      <c r="G26" s="1">
        <f>1/(1+Summary!$O$2)^$C26</f>
        <v>0.31006791028265024</v>
      </c>
      <c r="H26" s="1">
        <f>IF(B26&gt;64, Summary!$J$5, 0)*'TV 4'!G26*'TV 4'!F26</f>
        <v>0</v>
      </c>
      <c r="I26" s="1"/>
    </row>
    <row r="27" spans="1:9">
      <c r="A27" s="1">
        <f t="shared" si="0"/>
        <v>2044</v>
      </c>
      <c r="B27" s="1">
        <f t="shared" si="1"/>
        <v>59</v>
      </c>
      <c r="C27" s="1">
        <v>25</v>
      </c>
      <c r="D27" s="1">
        <f>IF(Summary!$G$5="M",VLOOKUP(B:B,'male g'!A:V,IF(A27&gt;2033,22,MATCH(A27,'male g'!$A$1:$V$1,0)),FALSE),VLOOKUP(B:B,'female g'!A:V,IF(A27&gt;2033,22,MATCH(A27,'female g'!$A$1:$V$1,0)),FALSE))</f>
        <v>4.433523E-3</v>
      </c>
      <c r="E27" s="1">
        <f t="shared" si="2"/>
        <v>0.99556647700000001</v>
      </c>
      <c r="F27" s="1">
        <f t="shared" si="3"/>
        <v>0.99590802199999995</v>
      </c>
      <c r="G27" s="1">
        <f>1/(1+Summary!$O$2)^$C27</f>
        <v>0.29530277169776209</v>
      </c>
      <c r="H27" s="1">
        <f>IF(B27&gt;64, Summary!$J$5, 0)*'TV 4'!G27*'TV 4'!F27</f>
        <v>0</v>
      </c>
      <c r="I27" s="1"/>
    </row>
    <row r="28" spans="1:9">
      <c r="A28" s="1">
        <f t="shared" si="0"/>
        <v>2045</v>
      </c>
      <c r="B28" s="1">
        <f t="shared" si="1"/>
        <v>60</v>
      </c>
      <c r="C28" s="1">
        <v>26</v>
      </c>
      <c r="D28" s="1">
        <f>IF(Summary!$G$5="M",VLOOKUP(B:B,'male g'!A:V,IF(A28&gt;2033,22,MATCH(A28,'male g'!$A$1:$V$1,0)),FALSE),VLOOKUP(B:B,'female g'!A:V,IF(A28&gt;2033,22,MATCH(A28,'female g'!$A$1:$V$1,0)),FALSE))</f>
        <v>4.8115959999999996E-3</v>
      </c>
      <c r="E28" s="1">
        <f t="shared" si="2"/>
        <v>0.99518840399999997</v>
      </c>
      <c r="F28" s="1">
        <f t="shared" si="3"/>
        <v>0.99556647700000001</v>
      </c>
      <c r="G28" s="1">
        <f>1/(1+Summary!$O$2)^$C28</f>
        <v>0.28124073495024959</v>
      </c>
      <c r="H28" s="1">
        <f>IF(B28&gt;64, Summary!$J$5, 0)*'TV 4'!G28*'TV 4'!F28</f>
        <v>0</v>
      </c>
      <c r="I28" s="1"/>
    </row>
    <row r="29" spans="1:9">
      <c r="A29" s="1">
        <f t="shared" si="0"/>
        <v>2046</v>
      </c>
      <c r="B29" s="1">
        <f t="shared" si="1"/>
        <v>61</v>
      </c>
      <c r="C29" s="1">
        <v>27</v>
      </c>
      <c r="D29" s="1">
        <f>IF(Summary!$G$5="M",VLOOKUP(B:B,'male g'!A:V,IF(A29&gt;2033,22,MATCH(A29,'male g'!$A$1:$V$1,0)),FALSE),VLOOKUP(B:B,'female g'!A:V,IF(A29&gt;2033,22,MATCH(A29,'female g'!$A$1:$V$1,0)),FALSE))</f>
        <v>5.2263159999999999E-3</v>
      </c>
      <c r="E29" s="1">
        <f t="shared" si="2"/>
        <v>0.99477368399999999</v>
      </c>
      <c r="F29" s="1">
        <f t="shared" si="3"/>
        <v>0.99518840399999997</v>
      </c>
      <c r="G29" s="1">
        <f>1/(1+Summary!$O$2)^$C29</f>
        <v>0.2678483190002377</v>
      </c>
      <c r="H29" s="1">
        <f>IF(B29&gt;64, Summary!$J$5, 0)*'TV 4'!G29*'TV 4'!F29</f>
        <v>0</v>
      </c>
      <c r="I29" s="1"/>
    </row>
    <row r="30" spans="1:9">
      <c r="A30" s="1">
        <f t="shared" si="0"/>
        <v>2047</v>
      </c>
      <c r="B30" s="1">
        <f t="shared" si="1"/>
        <v>62</v>
      </c>
      <c r="C30" s="1">
        <v>28</v>
      </c>
      <c r="D30" s="1">
        <f>IF(Summary!$G$5="M",VLOOKUP(B:B,'male g'!A:V,IF(A30&gt;2033,22,MATCH(A30,'male g'!$A$1:$V$1,0)),FALSE),VLOOKUP(B:B,'female g'!A:V,IF(A30&gt;2033,22,MATCH(A30,'female g'!$A$1:$V$1,0)),FALSE))</f>
        <v>5.6760500000000002E-3</v>
      </c>
      <c r="E30" s="1">
        <f t="shared" si="2"/>
        <v>0.99432394999999996</v>
      </c>
      <c r="F30" s="1">
        <f t="shared" si="3"/>
        <v>0.99477368399999999</v>
      </c>
      <c r="G30" s="1">
        <f>1/(1+Summary!$O$2)^$C30</f>
        <v>0.25509363714308358</v>
      </c>
      <c r="H30" s="1">
        <f>IF(B30&gt;64, Summary!$J$5, 0)*'TV 4'!G30*'TV 4'!F30</f>
        <v>0</v>
      </c>
      <c r="I30" s="1"/>
    </row>
    <row r="31" spans="1:9">
      <c r="A31" s="1">
        <f t="shared" si="0"/>
        <v>2048</v>
      </c>
      <c r="B31" s="1">
        <f t="shared" si="1"/>
        <v>63</v>
      </c>
      <c r="C31" s="1">
        <v>29</v>
      </c>
      <c r="D31" s="1">
        <f>IF(Summary!$G$5="M",VLOOKUP(B:B,'male g'!A:V,IF(A31&gt;2033,22,MATCH(A31,'male g'!$A$1:$V$1,0)),FALSE),VLOOKUP(B:B,'female g'!A:V,IF(A31&gt;2033,22,MATCH(A31,'female g'!$A$1:$V$1,0)),FALSE))</f>
        <v>6.1621799999999997E-3</v>
      </c>
      <c r="E31" s="1">
        <f t="shared" si="2"/>
        <v>0.99383781999999998</v>
      </c>
      <c r="F31" s="1">
        <f t="shared" si="3"/>
        <v>0.99432394999999996</v>
      </c>
      <c r="G31" s="1">
        <f>1/(1+Summary!$O$2)^$C31</f>
        <v>0.24294632108865097</v>
      </c>
      <c r="H31" s="1">
        <f>IF(B31&gt;64, Summary!$J$5, 0)*'TV 4'!G31*'TV 4'!F31</f>
        <v>0</v>
      </c>
      <c r="I31" s="1"/>
    </row>
    <row r="32" spans="1:9">
      <c r="A32" s="1">
        <f t="shared" si="0"/>
        <v>2049</v>
      </c>
      <c r="B32" s="1">
        <f t="shared" si="1"/>
        <v>64</v>
      </c>
      <c r="C32" s="1">
        <v>30</v>
      </c>
      <c r="D32" s="1">
        <f>IF(Summary!$G$5="M",VLOOKUP(B:B,'male g'!A:V,IF(A32&gt;2033,22,MATCH(A32,'male g'!$A$1:$V$1,0)),FALSE),VLOOKUP(B:B,'female g'!A:V,IF(A32&gt;2033,22,MATCH(A32,'female g'!$A$1:$V$1,0)),FALSE))</f>
        <v>6.6840069999999996E-3</v>
      </c>
      <c r="E32" s="1">
        <f t="shared" si="2"/>
        <v>0.99331599299999995</v>
      </c>
      <c r="F32" s="1">
        <f t="shared" si="3"/>
        <v>0.99383781999999998</v>
      </c>
      <c r="G32" s="1">
        <f>1/(1+Summary!$O$2)^$C32</f>
        <v>0.23137744865585813</v>
      </c>
      <c r="H32" s="1">
        <f>IF(B32&gt;64, Summary!$J$5, 0)*'TV 4'!G32*'TV 4'!F32</f>
        <v>0</v>
      </c>
      <c r="I32" s="1"/>
    </row>
    <row r="33" spans="1:9">
      <c r="A33" s="1">
        <f t="shared" si="0"/>
        <v>2050</v>
      </c>
      <c r="B33" s="1">
        <f t="shared" si="1"/>
        <v>65</v>
      </c>
      <c r="C33" s="1">
        <v>31</v>
      </c>
      <c r="D33" s="1">
        <f>IF(Summary!$G$5="M",VLOOKUP(B:B,'male g'!A:V,IF(A33&gt;2033,22,MATCH(A33,'male g'!$A$1:$V$1,0)),FALSE),VLOOKUP(B:B,'female g'!A:V,IF(A33&gt;2033,22,MATCH(A33,'female g'!$A$1:$V$1,0)),FALSE))</f>
        <v>7.247748E-3</v>
      </c>
      <c r="E33" s="1">
        <f t="shared" si="2"/>
        <v>0.99275225199999995</v>
      </c>
      <c r="F33" s="1">
        <f t="shared" si="3"/>
        <v>0.99331599299999995</v>
      </c>
      <c r="G33" s="1">
        <f>1/(1+Summary!$O$2)^$C33</f>
        <v>0.220359474910341</v>
      </c>
      <c r="H33" s="1">
        <f>IF(B33&gt;64, Summary!$J$5, 0)*'TV 4'!G33*'TV 4'!F33</f>
        <v>3391.5515661059358</v>
      </c>
      <c r="I33" s="1"/>
    </row>
    <row r="34" spans="1:9">
      <c r="A34" s="1">
        <f t="shared" si="0"/>
        <v>2051</v>
      </c>
      <c r="B34" s="1">
        <f t="shared" si="1"/>
        <v>66</v>
      </c>
      <c r="C34" s="1">
        <v>32</v>
      </c>
      <c r="D34" s="1">
        <f>IF(Summary!$G$5="M",VLOOKUP(B:B,'male g'!A:V,IF(A34&gt;2033,22,MATCH(A34,'male g'!$A$1:$V$1,0)),FALSE),VLOOKUP(B:B,'female g'!A:V,IF(A34&gt;2033,22,MATCH(A34,'female g'!$A$1:$V$1,0)),FALSE))</f>
        <v>7.8640140000000008E-3</v>
      </c>
      <c r="E34" s="1">
        <f t="shared" si="2"/>
        <v>0.99213598599999997</v>
      </c>
      <c r="F34" s="1">
        <f t="shared" si="3"/>
        <v>0.99275225199999995</v>
      </c>
      <c r="G34" s="1">
        <f>1/(1+Summary!$O$2)^$C34</f>
        <v>0.20986616658127716</v>
      </c>
      <c r="H34" s="1">
        <f>IF(B34&gt;64, Summary!$J$5, 0)*'TV 4'!G34*'TV 4'!F34</f>
        <v>3228.2159465804507</v>
      </c>
      <c r="I34" s="1"/>
    </row>
    <row r="35" spans="1:9">
      <c r="A35" s="1">
        <f>$A$2+C35</f>
        <v>2052</v>
      </c>
      <c r="B35" s="1">
        <f>$B$2+C35</f>
        <v>67</v>
      </c>
      <c r="C35" s="1">
        <v>33</v>
      </c>
      <c r="D35" s="1">
        <f>IF(Summary!$G$5="M",VLOOKUP(B:B,'male g'!A:V,IF(A35&gt;2033,22,MATCH(A35,'male g'!$A$1:$V$1,0)),FALSE),VLOOKUP(B:B,'female g'!A:V,IF(A35&gt;2033,22,MATCH(A35,'female g'!$A$1:$V$1,0)),FALSE))</f>
        <v>8.5402580000000002E-3</v>
      </c>
      <c r="E35" s="1">
        <f t="shared" si="2"/>
        <v>0.99145974199999998</v>
      </c>
      <c r="F35" s="1">
        <f t="shared" si="3"/>
        <v>0.99213598599999997</v>
      </c>
      <c r="G35" s="1">
        <f>1/(1+Summary!$O$2)^$C35</f>
        <v>0.19987253960121634</v>
      </c>
      <c r="H35" s="1">
        <f>IF(B35&gt;64, Summary!$J$5, 0)*'TV 4'!G35*'TV 4'!F35</f>
        <v>3072.5828405963562</v>
      </c>
      <c r="I35" s="1"/>
    </row>
    <row r="36" spans="1:9">
      <c r="A36" s="1">
        <f t="shared" ref="A36:A47" si="4">$A$2+C36</f>
        <v>2053</v>
      </c>
      <c r="B36" s="1">
        <f t="shared" si="1"/>
        <v>68</v>
      </c>
      <c r="C36" s="1">
        <v>34</v>
      </c>
      <c r="D36" s="1">
        <f>IF(Summary!$G$5="M",VLOOKUP(B:B,'male g'!A:V,IF(A36&gt;2033,22,MATCH(A36,'male g'!$A$1:$V$1,0)),FALSE),VLOOKUP(B:B,'female g'!A:V,IF(A36&gt;2033,22,MATCH(A36,'female g'!$A$1:$V$1,0)),FALSE))</f>
        <v>9.291054E-3</v>
      </c>
      <c r="E36" s="1">
        <f t="shared" si="2"/>
        <v>0.99070894600000003</v>
      </c>
      <c r="F36" s="1">
        <f t="shared" si="3"/>
        <v>0.99145974199999998</v>
      </c>
      <c r="G36" s="1">
        <f>1/(1+Summary!$O$2)^$C36</f>
        <v>0.19035479962020604</v>
      </c>
      <c r="H36" s="1">
        <f>IF(B36&gt;64, Summary!$J$5, 0)*'TV 4'!G36*'TV 4'!F36</f>
        <v>2924.2748146645508</v>
      </c>
      <c r="I36" s="1"/>
    </row>
    <row r="37" spans="1:9">
      <c r="A37" s="1">
        <f t="shared" si="4"/>
        <v>2054</v>
      </c>
      <c r="B37" s="1">
        <f t="shared" si="1"/>
        <v>69</v>
      </c>
      <c r="C37" s="1">
        <v>35</v>
      </c>
      <c r="D37" s="1">
        <f>IF(Summary!$G$5="M",VLOOKUP(B:B,'male g'!A:V,IF(A37&gt;2033,22,MATCH(A37,'male g'!$A$1:$V$1,0)),FALSE),VLOOKUP(B:B,'female g'!A:V,IF(A37&gt;2033,22,MATCH(A37,'female g'!$A$1:$V$1,0)),FALSE))</f>
        <v>1.0121299E-2</v>
      </c>
      <c r="E37" s="1">
        <f t="shared" si="2"/>
        <v>0.98987870099999997</v>
      </c>
      <c r="F37" s="1">
        <f t="shared" si="3"/>
        <v>0.99070894600000003</v>
      </c>
      <c r="G37" s="1">
        <f>1/(1+Summary!$O$2)^$C37</f>
        <v>0.18129028535257716</v>
      </c>
      <c r="H37" s="1">
        <f>IF(B37&gt;64, Summary!$J$5, 0)*'TV 4'!G37*'TV 4'!F37</f>
        <v>2782.9146370405524</v>
      </c>
      <c r="I37" s="1"/>
    </row>
    <row r="38" spans="1:9">
      <c r="A38" s="1">
        <f t="shared" si="4"/>
        <v>2055</v>
      </c>
      <c r="B38" s="1">
        <f t="shared" si="1"/>
        <v>70</v>
      </c>
      <c r="C38" s="1">
        <v>36</v>
      </c>
      <c r="D38" s="1">
        <f>IF(Summary!$G$5="M",VLOOKUP(B:B,'male g'!A:V,IF(A38&gt;2033,22,MATCH(A38,'male g'!$A$1:$V$1,0)),FALSE),VLOOKUP(B:B,'female g'!A:V,IF(A38&gt;2033,22,MATCH(A38,'female g'!$A$1:$V$1,0)),FALSE))</f>
        <v>1.1050012E-2</v>
      </c>
      <c r="E38" s="1">
        <f t="shared" si="2"/>
        <v>0.988949988</v>
      </c>
      <c r="F38" s="1">
        <f t="shared" si="3"/>
        <v>0.98987870099999997</v>
      </c>
      <c r="G38" s="1">
        <f>1/(1+Summary!$O$2)^$C38</f>
        <v>0.17265741462150208</v>
      </c>
      <c r="H38" s="1">
        <f>IF(B38&gt;64, Summary!$J$5, 0)*'TV 4'!G38*'TV 4'!F38</f>
        <v>2648.1737788257769</v>
      </c>
      <c r="I38" s="1"/>
    </row>
    <row r="39" spans="1:9">
      <c r="A39" s="1">
        <f t="shared" si="4"/>
        <v>2056</v>
      </c>
      <c r="B39" s="1">
        <f t="shared" si="1"/>
        <v>71</v>
      </c>
      <c r="C39" s="1">
        <v>37</v>
      </c>
      <c r="D39" s="1">
        <f>IF(Summary!$G$5="M",VLOOKUP(B:B,'male g'!A:V,IF(A39&gt;2033,22,MATCH(A39,'male g'!$A$1:$V$1,0)),FALSE),VLOOKUP(B:B,'female g'!A:V,IF(A39&gt;2033,22,MATCH(A39,'female g'!$A$1:$V$1,0)),FALSE))</f>
        <v>1.2082262999999999E-2</v>
      </c>
      <c r="E39" s="1">
        <f t="shared" si="2"/>
        <v>0.98791773699999996</v>
      </c>
      <c r="F39" s="1">
        <f t="shared" si="3"/>
        <v>0.988949988</v>
      </c>
      <c r="G39" s="1">
        <f>1/(1+Summary!$O$2)^$C39</f>
        <v>0.1644356329728591</v>
      </c>
      <c r="H39" s="1">
        <f>IF(B39&gt;64, Summary!$J$5, 0)*'TV 4'!G39*'TV 4'!F39</f>
        <v>2519.7040367971372</v>
      </c>
      <c r="I39" s="1"/>
    </row>
    <row r="40" spans="1:9">
      <c r="A40" s="1">
        <f t="shared" si="4"/>
        <v>2057</v>
      </c>
      <c r="B40" s="1">
        <f t="shared" si="1"/>
        <v>72</v>
      </c>
      <c r="C40" s="1">
        <v>38</v>
      </c>
      <c r="D40" s="1">
        <f>IF(Summary!$G$5="M",VLOOKUP(B:B,'male g'!A:V,IF(A40&gt;2033,22,MATCH(A40,'male g'!$A$1:$V$1,0)),FALSE),VLOOKUP(B:B,'female g'!A:V,IF(A40&gt;2033,22,MATCH(A40,'female g'!$A$1:$V$1,0)),FALSE))</f>
        <v>1.3232393E-2</v>
      </c>
      <c r="E40" s="1">
        <f t="shared" si="2"/>
        <v>0.98676760699999999</v>
      </c>
      <c r="F40" s="1">
        <f t="shared" si="3"/>
        <v>0.98791773699999996</v>
      </c>
      <c r="G40" s="1">
        <f>1/(1+Summary!$O$2)^$C40</f>
        <v>0.15660536473605632</v>
      </c>
      <c r="H40" s="1">
        <f>IF(B40&gt;64, Summary!$J$5, 0)*'TV 4'!G40*'TV 4'!F40</f>
        <v>2397.2133408904401</v>
      </c>
      <c r="I40" s="1"/>
    </row>
    <row r="41" spans="1:9">
      <c r="A41" s="1">
        <f t="shared" si="4"/>
        <v>2058</v>
      </c>
      <c r="B41" s="1">
        <f t="shared" si="1"/>
        <v>73</v>
      </c>
      <c r="C41" s="1">
        <v>39</v>
      </c>
      <c r="D41" s="1">
        <f>IF(Summary!$G$5="M",VLOOKUP(B:B,'male g'!A:V,IF(A41&gt;2033,22,MATCH(A41,'male g'!$A$1:$V$1,0)),FALSE),VLOOKUP(B:B,'female g'!A:V,IF(A41&gt;2033,22,MATCH(A41,'female g'!$A$1:$V$1,0)),FALSE))</f>
        <v>1.4520474E-2</v>
      </c>
      <c r="E41" s="1">
        <f t="shared" si="2"/>
        <v>0.98547952599999999</v>
      </c>
      <c r="F41" s="1">
        <f t="shared" si="3"/>
        <v>0.98676760699999999</v>
      </c>
      <c r="G41" s="1">
        <f>1/(1+Summary!$O$2)^$C41</f>
        <v>0.14914796641529171</v>
      </c>
      <c r="H41" s="1">
        <f>IF(B41&gt;64, Summary!$J$5, 0)*'TV 4'!G41*'TV 4'!F41</f>
        <v>2280.4023946773059</v>
      </c>
      <c r="I41" s="1"/>
    </row>
    <row r="42" spans="1:9">
      <c r="A42" s="1">
        <f t="shared" si="4"/>
        <v>2059</v>
      </c>
      <c r="B42" s="1">
        <f t="shared" si="1"/>
        <v>74</v>
      </c>
      <c r="C42" s="1">
        <v>40</v>
      </c>
      <c r="D42" s="1">
        <f>IF(Summary!$G$5="M",VLOOKUP(B:B,'male g'!A:V,IF(A42&gt;2033,22,MATCH(A42,'male g'!$A$1:$V$1,0)),FALSE),VLOOKUP(B:B,'female g'!A:V,IF(A42&gt;2033,22,MATCH(A42,'female g'!$A$1:$V$1,0)),FALSE))</f>
        <v>1.5945328000000002E-2</v>
      </c>
      <c r="E42" s="1">
        <f t="shared" si="2"/>
        <v>0.98405467199999996</v>
      </c>
      <c r="F42" s="1">
        <f t="shared" si="3"/>
        <v>0.98547952599999999</v>
      </c>
      <c r="G42" s="1">
        <f>1/(1+Summary!$O$2)^$C42</f>
        <v>0.14204568230027784</v>
      </c>
      <c r="H42" s="1">
        <f>IF(B42&gt;64, Summary!$J$5, 0)*'TV 4'!G42*'TV 4'!F42</f>
        <v>2168.9768213227353</v>
      </c>
      <c r="I42" s="1"/>
    </row>
    <row r="43" spans="1:9">
      <c r="A43" s="1">
        <f t="shared" si="4"/>
        <v>2060</v>
      </c>
      <c r="B43" s="1">
        <f t="shared" si="1"/>
        <v>75</v>
      </c>
      <c r="C43" s="1">
        <v>41</v>
      </c>
      <c r="D43" s="1">
        <f>IF(Summary!$G$5="M",VLOOKUP(B:B,'male g'!A:V,IF(A43&gt;2033,22,MATCH(A43,'male g'!$A$1:$V$1,0)),FALSE),VLOOKUP(B:B,'female g'!A:V,IF(A43&gt;2033,22,MATCH(A43,'female g'!$A$1:$V$1,0)),FALSE))</f>
        <v>1.7550544000000001E-2</v>
      </c>
      <c r="E43" s="1">
        <f t="shared" si="2"/>
        <v>0.982449456</v>
      </c>
      <c r="F43" s="1">
        <f t="shared" si="3"/>
        <v>0.98405467199999996</v>
      </c>
      <c r="G43" s="1">
        <f>1/(1+Summary!$O$2)^$C43</f>
        <v>0.13528160219074079</v>
      </c>
      <c r="H43" s="1">
        <f>IF(B43&gt;64, Summary!$J$5, 0)*'TV 4'!G43*'TV 4'!F43</f>
        <v>2062.7055329971085</v>
      </c>
      <c r="I43" s="1"/>
    </row>
    <row r="44" spans="1:9">
      <c r="A44" s="1">
        <f t="shared" si="4"/>
        <v>2061</v>
      </c>
      <c r="B44" s="1">
        <f t="shared" si="1"/>
        <v>76</v>
      </c>
      <c r="C44" s="1">
        <v>42</v>
      </c>
      <c r="D44" s="1">
        <f>IF(Summary!$G$5="M",VLOOKUP(B:B,'male g'!A:V,IF(A44&gt;2033,22,MATCH(A44,'male g'!$A$1:$V$1,0)),FALSE),VLOOKUP(B:B,'female g'!A:V,IF(A44&gt;2033,22,MATCH(A44,'female g'!$A$1:$V$1,0)),FALSE))</f>
        <v>1.9346596000000001E-2</v>
      </c>
      <c r="E44" s="1">
        <f t="shared" si="2"/>
        <v>0.98065340400000001</v>
      </c>
      <c r="F44" s="1">
        <f t="shared" si="3"/>
        <v>0.982449456</v>
      </c>
      <c r="G44" s="1">
        <f>1/(1+Summary!$O$2)^$C44</f>
        <v>0.12883962113403885</v>
      </c>
      <c r="H44" s="1">
        <f>IF(B44&gt;64, Summary!$J$5, 0)*'TV 4'!G44*'TV 4'!F44</f>
        <v>1961.2769458975556</v>
      </c>
      <c r="I44" s="1"/>
    </row>
    <row r="45" spans="1:9">
      <c r="A45" s="1">
        <f t="shared" si="4"/>
        <v>2062</v>
      </c>
      <c r="B45" s="1">
        <f t="shared" si="1"/>
        <v>77</v>
      </c>
      <c r="C45" s="1">
        <v>43</v>
      </c>
      <c r="D45" s="1">
        <f>IF(Summary!$G$5="M",VLOOKUP(B:B,'male g'!A:V,IF(A45&gt;2033,22,MATCH(A45,'male g'!$A$1:$V$1,0)),FALSE),VLOOKUP(B:B,'female g'!A:V,IF(A45&gt;2033,22,MATCH(A45,'female g'!$A$1:$V$1,0)),FALSE))</f>
        <v>2.1378668999999999E-2</v>
      </c>
      <c r="E45" s="1">
        <f t="shared" si="2"/>
        <v>0.97862133100000004</v>
      </c>
      <c r="F45" s="1">
        <f t="shared" si="3"/>
        <v>0.98065340400000001</v>
      </c>
      <c r="G45" s="1">
        <f>1/(1+Summary!$O$2)^$C45</f>
        <v>0.12270440108003698</v>
      </c>
      <c r="H45" s="1">
        <f>IF(B45&gt;64, Summary!$J$5, 0)*'TV 4'!G45*'TV 4'!F45</f>
        <v>1864.4680603305317</v>
      </c>
      <c r="I45" s="1"/>
    </row>
    <row r="46" spans="1:9">
      <c r="A46" s="1">
        <f t="shared" si="4"/>
        <v>2063</v>
      </c>
      <c r="B46" s="1">
        <f t="shared" si="1"/>
        <v>78</v>
      </c>
      <c r="C46" s="1">
        <v>44</v>
      </c>
      <c r="D46" s="1">
        <f>IF(Summary!$G$5="M",VLOOKUP(B:B,'male g'!A:V,IF(A46&gt;2033,22,MATCH(A46,'male g'!$A$1:$V$1,0)),FALSE),VLOOKUP(B:B,'female g'!A:V,IF(A46&gt;2033,22,MATCH(A46,'female g'!$A$1:$V$1,0)),FALSE))</f>
        <v>2.3682564E-2</v>
      </c>
      <c r="E46" s="1">
        <f t="shared" si="2"/>
        <v>0.97631743599999998</v>
      </c>
      <c r="F46" s="1">
        <f t="shared" si="3"/>
        <v>0.97862133100000004</v>
      </c>
      <c r="G46" s="1">
        <f>1/(1+Summary!$O$2)^$C46</f>
        <v>0.11686133436193999</v>
      </c>
      <c r="H46" s="1">
        <f>IF(B46&gt;64, Summary!$J$5, 0)*'TV 4'!G46*'TV 4'!F46</f>
        <v>1772.0043618393663</v>
      </c>
      <c r="I46" s="1"/>
    </row>
    <row r="47" spans="1:9">
      <c r="A47" s="1">
        <f t="shared" si="4"/>
        <v>2064</v>
      </c>
      <c r="B47" s="1">
        <f t="shared" si="1"/>
        <v>79</v>
      </c>
      <c r="C47" s="1">
        <v>45</v>
      </c>
      <c r="D47" s="1">
        <f>IF(Summary!$G$5="M",VLOOKUP(B:B,'male g'!A:V,IF(A47&gt;2033,22,MATCH(A47,'male g'!$A$1:$V$1,0)),FALSE),VLOOKUP(B:B,'female g'!A:V,IF(A47&gt;2033,22,MATCH(A47,'female g'!$A$1:$V$1,0)),FALSE))</f>
        <v>2.6301709E-2</v>
      </c>
      <c r="E47" s="1">
        <f t="shared" si="2"/>
        <v>0.97369829100000005</v>
      </c>
      <c r="F47" s="1">
        <f t="shared" si="3"/>
        <v>0.97631743599999998</v>
      </c>
      <c r="G47" s="1">
        <f>1/(1+Summary!$O$2)^$C47</f>
        <v>0.1112965089161333</v>
      </c>
      <c r="H47" s="1">
        <f>IF(B47&gt;64, Summary!$J$5, 0)*'TV 4'!G47*'TV 4'!F47</f>
        <v>1683.6501566798627</v>
      </c>
      <c r="I47" s="1"/>
    </row>
    <row r="48" spans="1:9">
      <c r="A48" s="1">
        <f>$A$2+C48</f>
        <v>2065</v>
      </c>
      <c r="B48" s="1">
        <f>$B$2+C48</f>
        <v>80</v>
      </c>
      <c r="C48" s="1">
        <v>46</v>
      </c>
      <c r="D48" s="1">
        <f>IF(Summary!$G$5="M",VLOOKUP(B:B,'male g'!A:V,IF(A48&gt;2033,22,MATCH(A48,'male g'!$A$1:$V$1,0)),FALSE),VLOOKUP(B:B,'female g'!A:V,IF(A48&gt;2033,22,MATCH(A48,'female g'!$A$1:$V$1,0)),FALSE))</f>
        <v>2.9285830999999998E-2</v>
      </c>
      <c r="E48" s="1">
        <f t="shared" si="2"/>
        <v>0.97071416899999996</v>
      </c>
      <c r="F48" s="1">
        <f t="shared" si="3"/>
        <v>0.97369829100000005</v>
      </c>
      <c r="G48" s="1">
        <f>1/(1+Summary!$O$2)^$C48</f>
        <v>0.10599667515822221</v>
      </c>
      <c r="H48" s="1">
        <f>IF(B48&gt;64, Summary!$J$5, 0)*'TV 4'!G48*'TV 4'!F48</f>
        <v>1599.1747294985948</v>
      </c>
      <c r="I48" s="1"/>
    </row>
    <row r="49" spans="1:9">
      <c r="A49" s="1">
        <f t="shared" ref="A49:A73" si="5">$A$2+C49</f>
        <v>2066</v>
      </c>
      <c r="B49" s="1">
        <f t="shared" si="1"/>
        <v>81</v>
      </c>
      <c r="C49" s="1">
        <v>47</v>
      </c>
      <c r="D49" s="1">
        <f>IF(Summary!$G$5="M",VLOOKUP(B:B,'male g'!A:V,IF(A49&gt;2033,22,MATCH(A49,'male g'!$A$1:$V$1,0)),FALSE),VLOOKUP(B:B,'female g'!A:V,IF(A49&gt;2033,22,MATCH(A49,'female g'!$A$1:$V$1,0)),FALSE))</f>
        <v>3.2681842000000003E-2</v>
      </c>
      <c r="E49" s="1">
        <f t="shared" si="2"/>
        <v>0.96731815799999998</v>
      </c>
      <c r="F49" s="1">
        <f t="shared" si="3"/>
        <v>0.97071416899999996</v>
      </c>
      <c r="G49" s="1">
        <f>1/(1+Summary!$O$2)^$C49</f>
        <v>0.10094921443640208</v>
      </c>
      <c r="H49" s="1">
        <f>IF(B49&gt;64, Summary!$J$5, 0)*'TV 4'!G49*'TV 4'!F49</f>
        <v>1518.3558965015784</v>
      </c>
      <c r="I49" s="1"/>
    </row>
    <row r="50" spans="1:9">
      <c r="A50" s="1">
        <f t="shared" si="5"/>
        <v>2067</v>
      </c>
      <c r="B50" s="1">
        <f t="shared" si="1"/>
        <v>82</v>
      </c>
      <c r="C50" s="1">
        <v>48</v>
      </c>
      <c r="D50" s="1">
        <f>IF(Summary!$G$5="M",VLOOKUP(B:B,'male g'!A:V,IF(A50&gt;2033,22,MATCH(A50,'male g'!$A$1:$V$1,0)),FALSE),VLOOKUP(B:B,'female g'!A:V,IF(A50&gt;2033,22,MATCH(A50,'female g'!$A$1:$V$1,0)),FALSE))</f>
        <v>3.6549238999999997E-2</v>
      </c>
      <c r="E50" s="1">
        <f t="shared" si="2"/>
        <v>0.96345076100000004</v>
      </c>
      <c r="F50" s="1">
        <f t="shared" si="3"/>
        <v>0.96731815799999998</v>
      </c>
      <c r="G50" s="1">
        <f>1/(1+Summary!$O$2)^$C50</f>
        <v>9.6142108987049613E-2</v>
      </c>
      <c r="H50" s="1">
        <f>IF(B50&gt;64, Summary!$J$5, 0)*'TV 4'!G50*'TV 4'!F50</f>
        <v>1440.9942659663409</v>
      </c>
      <c r="I50" s="1"/>
    </row>
    <row r="51" spans="1:9">
      <c r="A51" s="1">
        <f t="shared" si="5"/>
        <v>2068</v>
      </c>
      <c r="B51" s="1">
        <f t="shared" si="1"/>
        <v>83</v>
      </c>
      <c r="C51" s="1">
        <v>49</v>
      </c>
      <c r="D51" s="1">
        <f>IF(Summary!$G$5="M",VLOOKUP(B:B,'male g'!A:V,IF(A51&gt;2033,22,MATCH(A51,'male g'!$A$1:$V$1,0)),FALSE),VLOOKUP(B:B,'female g'!A:V,IF(A51&gt;2033,22,MATCH(A51,'female g'!$A$1:$V$1,0)),FALSE))</f>
        <v>4.0956563000000001E-2</v>
      </c>
      <c r="E51" s="1">
        <f t="shared" si="2"/>
        <v>0.95904343700000005</v>
      </c>
      <c r="F51" s="1">
        <f t="shared" si="3"/>
        <v>0.96345076100000004</v>
      </c>
      <c r="G51" s="1">
        <f>1/(1+Summary!$O$2)^$C51</f>
        <v>9.1563913320999626E-2</v>
      </c>
      <c r="H51" s="1">
        <f>IF(B51&gt;64, Summary!$J$5, 0)*'TV 4'!G51*'TV 4'!F51</f>
        <v>1366.8886504699744</v>
      </c>
      <c r="I51" s="1"/>
    </row>
    <row r="52" spans="1:9">
      <c r="A52" s="1">
        <f t="shared" si="5"/>
        <v>2069</v>
      </c>
      <c r="B52" s="1">
        <f t="shared" si="1"/>
        <v>84</v>
      </c>
      <c r="C52" s="1">
        <v>50</v>
      </c>
      <c r="D52" s="1">
        <f>IF(Summary!$G$5="M",VLOOKUP(B:B,'male g'!A:V,IF(A52&gt;2033,22,MATCH(A52,'male g'!$A$1:$V$1,0)),FALSE),VLOOKUP(B:B,'female g'!A:V,IF(A52&gt;2033,22,MATCH(A52,'female g'!$A$1:$V$1,0)),FALSE))</f>
        <v>4.5960176999999998E-2</v>
      </c>
      <c r="E52" s="1">
        <f t="shared" si="2"/>
        <v>0.95403982300000001</v>
      </c>
      <c r="F52" s="1">
        <f t="shared" si="3"/>
        <v>0.95904343700000005</v>
      </c>
      <c r="G52" s="1">
        <f>1/(1+Summary!$O$2)^$C52</f>
        <v>8.7203726972380588E-2</v>
      </c>
      <c r="H52" s="1">
        <f>IF(B52&gt;64, Summary!$J$5, 0)*'TV 4'!G52*'TV 4'!F52</f>
        <v>1295.8436115242378</v>
      </c>
      <c r="I52" s="1"/>
    </row>
    <row r="53" spans="1:9">
      <c r="A53" s="1">
        <f t="shared" si="5"/>
        <v>2070</v>
      </c>
      <c r="B53" s="1">
        <f t="shared" si="1"/>
        <v>85</v>
      </c>
      <c r="C53" s="1">
        <v>51</v>
      </c>
      <c r="D53" s="1">
        <f>IF(Summary!$G$5="M",VLOOKUP(B:B,'male g'!A:V,IF(A53&gt;2033,22,MATCH(A53,'male g'!$A$1:$V$1,0)),FALSE),VLOOKUP(B:B,'female g'!A:V,IF(A53&gt;2033,22,MATCH(A53,'female g'!$A$1:$V$1,0)),FALSE))</f>
        <v>5.1631459999999997E-2</v>
      </c>
      <c r="E53" s="1">
        <f t="shared" si="2"/>
        <v>0.94836854000000004</v>
      </c>
      <c r="F53" s="1">
        <f t="shared" si="3"/>
        <v>0.95403982300000001</v>
      </c>
      <c r="G53" s="1">
        <f>1/(1+Summary!$O$2)^$C53</f>
        <v>8.3051168545124371E-2</v>
      </c>
      <c r="H53" s="1">
        <f>IF(B53&gt;64, Summary!$J$5, 0)*'TV 4'!G53*'TV 4'!F53</f>
        <v>1227.6979153723589</v>
      </c>
      <c r="I53" s="1"/>
    </row>
    <row r="54" spans="1:9">
      <c r="A54" s="1">
        <f t="shared" si="5"/>
        <v>2071</v>
      </c>
      <c r="B54" s="1">
        <f t="shared" si="1"/>
        <v>86</v>
      </c>
      <c r="C54" s="1">
        <v>52</v>
      </c>
      <c r="D54" s="1">
        <f>IF(Summary!$G$5="M",VLOOKUP(B:B,'male g'!A:V,IF(A54&gt;2033,22,MATCH(A54,'male g'!$A$1:$V$1,0)),FALSE),VLOOKUP(B:B,'female g'!A:V,IF(A54&gt;2033,22,MATCH(A54,'female g'!$A$1:$V$1,0)),FALSE))</f>
        <v>5.8086306999999997E-2</v>
      </c>
      <c r="E54" s="1">
        <f t="shared" si="2"/>
        <v>0.94191369300000005</v>
      </c>
      <c r="F54" s="1">
        <f t="shared" si="3"/>
        <v>0.94836854000000004</v>
      </c>
      <c r="G54" s="1">
        <f>1/(1+Summary!$O$2)^$C54</f>
        <v>7.9096350995356543E-2</v>
      </c>
      <c r="H54" s="1">
        <f>IF(B54&gt;64, Summary!$J$5, 0)*'TV 4'!G54*'TV 4'!F54</f>
        <v>1162.2855940686377</v>
      </c>
      <c r="I54" s="1"/>
    </row>
    <row r="55" spans="1:9">
      <c r="A55" s="1">
        <f t="shared" si="5"/>
        <v>2072</v>
      </c>
      <c r="B55" s="1">
        <f t="shared" si="1"/>
        <v>87</v>
      </c>
      <c r="C55" s="1">
        <v>53</v>
      </c>
      <c r="D55" s="1">
        <f>IF(Summary!$G$5="M",VLOOKUP(B:B,'male g'!A:V,IF(A55&gt;2033,22,MATCH(A55,'male g'!$A$1:$V$1,0)),FALSE),VLOOKUP(B:B,'female g'!A:V,IF(A55&gt;2033,22,MATCH(A55,'female g'!$A$1:$V$1,0)),FALSE))</f>
        <v>6.5370790999999998E-2</v>
      </c>
      <c r="E55" s="1">
        <f t="shared" si="2"/>
        <v>0.93462920900000002</v>
      </c>
      <c r="F55" s="1">
        <f t="shared" si="3"/>
        <v>0.94191369300000005</v>
      </c>
      <c r="G55" s="1">
        <f>1/(1+Summary!$O$2)^$C55</f>
        <v>7.5329858090815757E-2</v>
      </c>
      <c r="H55" s="1">
        <f>IF(B55&gt;64, Summary!$J$5, 0)*'TV 4'!G55*'TV 4'!F55</f>
        <v>1099.4045438534943</v>
      </c>
      <c r="I55" s="1"/>
    </row>
    <row r="56" spans="1:9">
      <c r="A56" s="1">
        <f t="shared" si="5"/>
        <v>2073</v>
      </c>
      <c r="B56" s="1">
        <f t="shared" si="1"/>
        <v>88</v>
      </c>
      <c r="C56" s="1">
        <v>54</v>
      </c>
      <c r="D56" s="1">
        <f>IF(Summary!$G$5="M",VLOOKUP(B:B,'male g'!A:V,IF(A56&gt;2033,22,MATCH(A56,'male g'!$A$1:$V$1,0)),FALSE),VLOOKUP(B:B,'female g'!A:V,IF(A56&gt;2033,22,MATCH(A56,'female g'!$A$1:$V$1,0)),FALSE))</f>
        <v>7.3564853999999999E-2</v>
      </c>
      <c r="E56" s="1">
        <f t="shared" si="2"/>
        <v>0.92643514599999999</v>
      </c>
      <c r="F56" s="1">
        <f t="shared" si="3"/>
        <v>0.93462920900000002</v>
      </c>
      <c r="G56" s="1">
        <f>1/(1+Summary!$O$2)^$C56</f>
        <v>7.1742721991253117E-2</v>
      </c>
      <c r="H56" s="1">
        <f>IF(B56&gt;64, Summary!$J$5, 0)*'TV 4'!G56*'TV 4'!F56</f>
        <v>1038.9543541380165</v>
      </c>
      <c r="I56" s="1"/>
    </row>
    <row r="57" spans="1:9">
      <c r="A57" s="1">
        <f t="shared" si="5"/>
        <v>2074</v>
      </c>
      <c r="B57" s="1">
        <f t="shared" si="1"/>
        <v>89</v>
      </c>
      <c r="C57" s="1">
        <v>55</v>
      </c>
      <c r="D57" s="1">
        <f>IF(Summary!$G$5="M",VLOOKUP(B:B,'male g'!A:V,IF(A57&gt;2033,22,MATCH(A57,'male g'!$A$1:$V$1,0)),FALSE),VLOOKUP(B:B,'female g'!A:V,IF(A57&gt;2033,22,MATCH(A57,'female g'!$A$1:$V$1,0)),FALSE))</f>
        <v>8.2758546000000002E-2</v>
      </c>
      <c r="E57" s="1">
        <f t="shared" si="2"/>
        <v>0.91724145400000001</v>
      </c>
      <c r="F57" s="1">
        <f t="shared" si="3"/>
        <v>0.92643514599999999</v>
      </c>
      <c r="G57" s="1">
        <f>1/(1+Summary!$O$2)^$C57</f>
        <v>6.8326401896431521E-2</v>
      </c>
      <c r="H57" s="1">
        <f>IF(B57&gt;64, Summary!$J$5, 0)*'TV 4'!G57*'TV 4'!F57</f>
        <v>980.80538453067584</v>
      </c>
      <c r="I57" s="1"/>
    </row>
    <row r="58" spans="1:9">
      <c r="A58" s="1">
        <f t="shared" si="5"/>
        <v>2075</v>
      </c>
      <c r="B58" s="1">
        <f t="shared" si="1"/>
        <v>90</v>
      </c>
      <c r="C58" s="1">
        <v>56</v>
      </c>
      <c r="D58" s="1">
        <f>IF(Summary!$G$5="M",VLOOKUP(B:B,'male g'!A:V,IF(A58&gt;2033,22,MATCH(A58,'male g'!$A$1:$V$1,0)),FALSE),VLOOKUP(B:B,'female g'!A:V,IF(A58&gt;2033,22,MATCH(A58,'female g'!$A$1:$V$1,0)),FALSE))</f>
        <v>9.3062779999999998E-2</v>
      </c>
      <c r="E58" s="1">
        <f t="shared" si="2"/>
        <v>0.90693721999999999</v>
      </c>
      <c r="F58" s="1">
        <f t="shared" si="3"/>
        <v>0.91724145400000001</v>
      </c>
      <c r="G58" s="1">
        <f>1/(1+Summary!$O$2)^$C58</f>
        <v>6.5072763710887174E-2</v>
      </c>
      <c r="H58" s="1">
        <f>IF(B58&gt;64, Summary!$J$5, 0)*'TV 4'!G58*'TV 4'!F58</f>
        <v>924.83060664592085</v>
      </c>
      <c r="I58" s="1"/>
    </row>
    <row r="59" spans="1:9">
      <c r="A59" s="1">
        <f t="shared" si="5"/>
        <v>2076</v>
      </c>
      <c r="B59" s="1">
        <f t="shared" si="1"/>
        <v>91</v>
      </c>
      <c r="C59" s="1">
        <v>57</v>
      </c>
      <c r="D59" s="1">
        <f>IF(Summary!$G$5="M",VLOOKUP(B:B,'male g'!A:V,IF(A59&gt;2033,22,MATCH(A59,'male g'!$A$1:$V$1,0)),FALSE),VLOOKUP(B:B,'female g'!A:V,IF(A59&gt;2033,22,MATCH(A59,'female g'!$A$1:$V$1,0)),FALSE))</f>
        <v>0.104297588</v>
      </c>
      <c r="E59" s="1">
        <f t="shared" si="2"/>
        <v>0.895702412</v>
      </c>
      <c r="F59" s="1">
        <f t="shared" si="3"/>
        <v>0.90693721999999999</v>
      </c>
      <c r="G59" s="1">
        <f>1/(1+Summary!$O$2)^$C59</f>
        <v>6.1974060677035397E-2</v>
      </c>
      <c r="H59" s="1">
        <f>IF(B59&gt;64, Summary!$J$5, 0)*'TV 4'!G59*'TV 4'!F59</f>
        <v>870.89630149764128</v>
      </c>
      <c r="I59" s="1"/>
    </row>
    <row r="60" spans="1:9">
      <c r="A60" s="1">
        <f t="shared" si="5"/>
        <v>2077</v>
      </c>
      <c r="B60" s="1">
        <f t="shared" si="1"/>
        <v>92</v>
      </c>
      <c r="C60" s="1">
        <v>58</v>
      </c>
      <c r="D60" s="1">
        <f>IF(Summary!$G$5="M",VLOOKUP(B:B,'male g'!A:V,IF(A60&gt;2033,22,MATCH(A60,'male g'!$A$1:$V$1,0)),FALSE),VLOOKUP(B:B,'female g'!A:V,IF(A60&gt;2033,22,MATCH(A60,'female g'!$A$1:$V$1,0)),FALSE))</f>
        <v>0.116397271</v>
      </c>
      <c r="E60" s="1">
        <f t="shared" si="2"/>
        <v>0.88360272900000003</v>
      </c>
      <c r="F60" s="1">
        <f t="shared" si="3"/>
        <v>0.895702412</v>
      </c>
      <c r="G60" s="1">
        <f>1/(1+Summary!$O$2)^$C60</f>
        <v>5.9022914930509894E-2</v>
      </c>
      <c r="H60" s="1">
        <f>IF(B60&gt;64, Summary!$J$5, 0)*'TV 4'!G60*'TV 4'!F60</f>
        <v>819.15043359137746</v>
      </c>
      <c r="I60" s="1"/>
    </row>
    <row r="61" spans="1:9">
      <c r="A61" s="1">
        <f t="shared" si="5"/>
        <v>2078</v>
      </c>
      <c r="B61" s="1">
        <f t="shared" si="1"/>
        <v>93</v>
      </c>
      <c r="C61" s="1">
        <v>59</v>
      </c>
      <c r="D61" s="1">
        <f>IF(Summary!$G$5="M",VLOOKUP(B:B,'male g'!A:V,IF(A61&gt;2033,22,MATCH(A61,'male g'!$A$1:$V$1,0)),FALSE),VLOOKUP(B:B,'female g'!A:V,IF(A61&gt;2033,22,MATCH(A61,'female g'!$A$1:$V$1,0)),FALSE))</f>
        <v>0.12927651700000001</v>
      </c>
      <c r="E61" s="1">
        <f t="shared" si="2"/>
        <v>0.87072348300000002</v>
      </c>
      <c r="F61" s="1">
        <f t="shared" si="3"/>
        <v>0.88360272900000003</v>
      </c>
      <c r="G61" s="1">
        <f>1/(1+Summary!$O$2)^$C61</f>
        <v>5.6212299933818946E-2</v>
      </c>
      <c r="H61" s="1">
        <f>IF(B61&gt;64, Summary!$J$5, 0)*'TV 4'!G61*'TV 4'!F61</f>
        <v>769.60462897567857</v>
      </c>
      <c r="I61" s="1"/>
    </row>
    <row r="62" spans="1:9">
      <c r="A62" s="1">
        <f t="shared" si="5"/>
        <v>2079</v>
      </c>
      <c r="B62" s="1">
        <f t="shared" si="1"/>
        <v>94</v>
      </c>
      <c r="C62" s="1">
        <v>60</v>
      </c>
      <c r="D62" s="1">
        <f>IF(Summary!$G$5="M",VLOOKUP(B:B,'male g'!A:V,IF(A62&gt;2033,22,MATCH(A62,'male g'!$A$1:$V$1,0)),FALSE),VLOOKUP(B:B,'female g'!A:V,IF(A62&gt;2033,22,MATCH(A62,'female g'!$A$1:$V$1,0)),FALSE))</f>
        <v>0.14283962</v>
      </c>
      <c r="E62" s="1">
        <f t="shared" si="2"/>
        <v>0.85716038000000006</v>
      </c>
      <c r="F62" s="1">
        <f t="shared" si="3"/>
        <v>0.87072348300000002</v>
      </c>
      <c r="G62" s="1">
        <f>1/(1+Summary!$O$2)^$C62</f>
        <v>5.3535523746494243E-2</v>
      </c>
      <c r="H62" s="1">
        <f>IF(B62&gt;64, Summary!$J$5, 0)*'TV 4'!G62*'TV 4'!F62</f>
        <v>722.27333358824501</v>
      </c>
      <c r="I62" s="1"/>
    </row>
    <row r="63" spans="1:9">
      <c r="A63" s="1">
        <f t="shared" si="5"/>
        <v>2080</v>
      </c>
      <c r="B63" s="1">
        <f t="shared" si="1"/>
        <v>95</v>
      </c>
      <c r="C63" s="1">
        <v>61</v>
      </c>
      <c r="D63" s="1">
        <f>IF(Summary!$G$5="M",VLOOKUP(B:B,'male g'!A:V,IF(A63&gt;2033,22,MATCH(A63,'male g'!$A$1:$V$1,0)),FALSE),VLOOKUP(B:B,'female g'!A:V,IF(A63&gt;2033,22,MATCH(A63,'female g'!$A$1:$V$1,0)),FALSE))</f>
        <v>0.15715622100000001</v>
      </c>
      <c r="E63" s="1">
        <f t="shared" si="2"/>
        <v>0.84284377899999996</v>
      </c>
      <c r="F63" s="1">
        <f t="shared" si="3"/>
        <v>0.85716038000000006</v>
      </c>
      <c r="G63" s="1">
        <f>1/(1+Summary!$O$2)^$C63</f>
        <v>5.0986213091899268E-2</v>
      </c>
      <c r="H63" s="1">
        <f>IF(B63&gt;64, Summary!$J$5, 0)*'TV 4'!G63*'TV 4'!F63</f>
        <v>677.16439223872703</v>
      </c>
      <c r="I63" s="1"/>
    </row>
    <row r="64" spans="1:9">
      <c r="A64" s="1">
        <f t="shared" si="5"/>
        <v>2081</v>
      </c>
      <c r="B64" s="1">
        <f t="shared" si="1"/>
        <v>96</v>
      </c>
      <c r="C64" s="1">
        <v>62</v>
      </c>
      <c r="D64" s="1">
        <f>IF(Summary!$G$5="M",VLOOKUP(B:B,'male g'!A:V,IF(A64&gt;2033,22,MATCH(A64,'male g'!$A$1:$V$1,0)),FALSE),VLOOKUP(B:B,'female g'!A:V,IF(A64&gt;2033,22,MATCH(A64,'female g'!$A$1:$V$1,0)),FALSE))</f>
        <v>0.173075216</v>
      </c>
      <c r="E64" s="1">
        <f t="shared" si="2"/>
        <v>0.82692478400000002</v>
      </c>
      <c r="F64" s="1">
        <f t="shared" si="3"/>
        <v>0.84284377899999996</v>
      </c>
      <c r="G64" s="1">
        <f>1/(1+Summary!$O$2)^$C64</f>
        <v>4.855829818276123E-2</v>
      </c>
      <c r="H64" s="1">
        <f>IF(B64&gt;64, Summary!$J$5, 0)*'TV 4'!G64*'TV 4'!F64</f>
        <v>634.14680854621861</v>
      </c>
      <c r="I64" s="1"/>
    </row>
    <row r="65" spans="1:9">
      <c r="A65" s="1">
        <f t="shared" si="5"/>
        <v>2082</v>
      </c>
      <c r="B65" s="1">
        <f t="shared" si="1"/>
        <v>97</v>
      </c>
      <c r="C65" s="1">
        <v>63</v>
      </c>
      <c r="D65" s="1">
        <f>IF(Summary!$G$5="M",VLOOKUP(B:B,'male g'!A:V,IF(A65&gt;2033,22,MATCH(A65,'male g'!$A$1:$V$1,0)),FALSE),VLOOKUP(B:B,'female g'!A:V,IF(A65&gt;2033,22,MATCH(A65,'female g'!$A$1:$V$1,0)),FALSE))</f>
        <v>0.18989809799999999</v>
      </c>
      <c r="E65" s="1">
        <f t="shared" si="2"/>
        <v>0.81010190199999998</v>
      </c>
      <c r="F65" s="1">
        <f t="shared" si="3"/>
        <v>0.82692478400000002</v>
      </c>
      <c r="G65" s="1">
        <f>1/(1+Summary!$O$2)^$C65</f>
        <v>4.6245998269296387E-2</v>
      </c>
      <c r="H65" s="1">
        <f>IF(B65&gt;64, Summary!$J$5, 0)*'TV 4'!G65*'TV 4'!F65</f>
        <v>592.54240369040303</v>
      </c>
      <c r="I65" s="1"/>
    </row>
    <row r="66" spans="1:9">
      <c r="A66" s="1">
        <f t="shared" si="5"/>
        <v>2083</v>
      </c>
      <c r="B66" s="1">
        <f t="shared" si="1"/>
        <v>98</v>
      </c>
      <c r="C66" s="1">
        <v>64</v>
      </c>
      <c r="D66" s="1">
        <f>IF(Summary!$G$5="M",VLOOKUP(B:B,'male g'!A:V,IF(A66&gt;2033,22,MATCH(A66,'male g'!$A$1:$V$1,0)),FALSE),VLOOKUP(B:B,'female g'!A:V,IF(A66&gt;2033,22,MATCH(A66,'female g'!$A$1:$V$1,0)),FALSE))</f>
        <v>0.2077398</v>
      </c>
      <c r="E66" s="1">
        <f t="shared" si="2"/>
        <v>0.79226019999999997</v>
      </c>
      <c r="F66" s="1">
        <f t="shared" si="3"/>
        <v>0.81010190199999998</v>
      </c>
      <c r="G66" s="1">
        <f>1/(1+Summary!$O$2)^$C66</f>
        <v>4.4043807875520369E-2</v>
      </c>
      <c r="H66" s="1">
        <f>IF(B66&gt;64, Summary!$J$5, 0)*'TV 4'!G66*'TV 4'!F66</f>
        <v>552.84550033253629</v>
      </c>
      <c r="I66" s="1"/>
    </row>
    <row r="67" spans="1:9">
      <c r="A67" s="1">
        <f t="shared" si="5"/>
        <v>2084</v>
      </c>
      <c r="B67" s="1">
        <f t="shared" si="1"/>
        <v>99</v>
      </c>
      <c r="C67" s="1">
        <v>65</v>
      </c>
      <c r="D67" s="1">
        <f>IF(Summary!$G$5="M",VLOOKUP(B:B,'male g'!A:V,IF(A67&gt;2033,22,MATCH(A67,'male g'!$A$1:$V$1,0)),FALSE),VLOOKUP(B:B,'female g'!A:V,IF(A67&gt;2033,22,MATCH(A67,'female g'!$A$1:$V$1,0)),FALSE))</f>
        <v>0.22627810600000001</v>
      </c>
      <c r="E67" s="1">
        <f t="shared" si="2"/>
        <v>0.77372189400000002</v>
      </c>
      <c r="F67" s="1">
        <f t="shared" si="3"/>
        <v>0.79226019999999997</v>
      </c>
      <c r="G67" s="1">
        <f>1/(1+Summary!$O$2)^$C67</f>
        <v>4.1946483690971779E-2</v>
      </c>
      <c r="H67" s="1">
        <f>IF(B67&gt;64, Summary!$J$5, 0)*'TV 4'!G67*'TV 4'!F67</f>
        <v>514.92344661616153</v>
      </c>
      <c r="I67" s="1"/>
    </row>
    <row r="68" spans="1:9">
      <c r="A68" s="1">
        <f t="shared" si="5"/>
        <v>2085</v>
      </c>
      <c r="B68" s="1">
        <f t="shared" ref="B68:B73" si="6">$B$2+C68</f>
        <v>100</v>
      </c>
      <c r="C68" s="1">
        <v>66</v>
      </c>
      <c r="D68" s="1">
        <f>IF(Summary!$G$5="M",VLOOKUP(B:B,'male g'!A:V,IF(A68&gt;2033,22,MATCH(A68,'male g'!$A$1:$V$1,0)),FALSE),VLOOKUP(B:B,'female g'!A:V,IF(A68&gt;2033,22,MATCH(A68,'female g'!$A$1:$V$1,0)),FALSE))</f>
        <v>0.245586414</v>
      </c>
      <c r="E68" s="1">
        <f t="shared" ref="E68:E88" si="7">1-D68</f>
        <v>0.75441358599999997</v>
      </c>
      <c r="F68" s="1">
        <f t="shared" ref="F68:F88" si="8">E67</f>
        <v>0.77372189400000002</v>
      </c>
      <c r="G68" s="1">
        <f>1/(1+Summary!$O$2)^$C68</f>
        <v>3.9949032086639788E-2</v>
      </c>
      <c r="H68" s="1">
        <f>IF(B68&gt;64, Summary!$J$5, 0)*'TV 4'!G68*'TV 4'!F68</f>
        <v>478.92820635594745</v>
      </c>
      <c r="I68" s="1"/>
    </row>
    <row r="69" spans="1:9">
      <c r="A69" s="1">
        <f t="shared" si="5"/>
        <v>2086</v>
      </c>
      <c r="B69" s="1">
        <f t="shared" si="6"/>
        <v>101</v>
      </c>
      <c r="C69" s="1">
        <v>67</v>
      </c>
      <c r="D69" s="1">
        <f>IF(Summary!$G$5="M",VLOOKUP(B:B,'male g'!A:V,IF(A69&gt;2033,22,MATCH(A69,'male g'!$A$1:$V$1,0)),FALSE),VLOOKUP(B:B,'female g'!A:V,IF(A69&gt;2033,22,MATCH(A69,'female g'!$A$1:$V$1,0)),FALSE))</f>
        <v>0.26569467200000002</v>
      </c>
      <c r="E69" s="1">
        <f t="shared" si="7"/>
        <v>0.73430532800000003</v>
      </c>
      <c r="F69" s="1">
        <f t="shared" si="8"/>
        <v>0.75441358599999997</v>
      </c>
      <c r="G69" s="1">
        <f>1/(1+Summary!$O$2)^$C69</f>
        <v>3.8046697225371226E-2</v>
      </c>
      <c r="H69" s="1">
        <f>IF(B69&gt;64, Summary!$J$5, 0)*'TV 4'!G69*'TV 4'!F69</f>
        <v>444.73952819161673</v>
      </c>
      <c r="I69" s="1"/>
    </row>
    <row r="70" spans="1:9">
      <c r="A70" s="1">
        <f t="shared" si="5"/>
        <v>2087</v>
      </c>
      <c r="B70" s="1">
        <f t="shared" si="6"/>
        <v>102</v>
      </c>
      <c r="C70" s="1">
        <v>68</v>
      </c>
      <c r="D70" s="1">
        <f>IF(Summary!$G$5="M",VLOOKUP(B:B,'male g'!A:V,IF(A70&gt;2033,22,MATCH(A70,'male g'!$A$1:$V$1,0)),FALSE),VLOOKUP(B:B,'female g'!A:V,IF(A70&gt;2033,22,MATCH(A70,'female g'!$A$1:$V$1,0)),FALSE))</f>
        <v>0.28621307499999998</v>
      </c>
      <c r="E70" s="1">
        <f t="shared" si="7"/>
        <v>0.71378692499999996</v>
      </c>
      <c r="F70" s="1">
        <f t="shared" si="8"/>
        <v>0.73430532800000003</v>
      </c>
      <c r="G70" s="1">
        <f>1/(1+Summary!$O$2)^$C70</f>
        <v>3.6234949738448791E-2</v>
      </c>
      <c r="H70" s="1">
        <f>IF(B70&gt;64, Summary!$J$5, 0)*'TV 4'!G70*'TV 4'!F70</f>
        <v>412.27178198083487</v>
      </c>
      <c r="I70" s="1"/>
    </row>
    <row r="71" spans="1:9">
      <c r="A71" s="1">
        <f t="shared" si="5"/>
        <v>2088</v>
      </c>
      <c r="B71" s="1">
        <f t="shared" si="6"/>
        <v>103</v>
      </c>
      <c r="C71" s="1">
        <v>69</v>
      </c>
      <c r="D71" s="1">
        <f>IF(Summary!$G$5="M",VLOOKUP(B:B,'male g'!A:V,IF(A71&gt;2033,22,MATCH(A71,'male g'!$A$1:$V$1,0)),FALSE),VLOOKUP(B:B,'female g'!A:V,IF(A71&gt;2033,22,MATCH(A71,'female g'!$A$1:$V$1,0)),FALSE))</f>
        <v>0.306855239</v>
      </c>
      <c r="E71" s="1">
        <f t="shared" si="7"/>
        <v>0.693144761</v>
      </c>
      <c r="F71" s="1">
        <f t="shared" si="8"/>
        <v>0.71378692499999996</v>
      </c>
      <c r="G71" s="1">
        <f>1/(1+Summary!$O$2)^$C71</f>
        <v>3.4509475941379798E-2</v>
      </c>
      <c r="H71" s="1">
        <f>IF(B71&gt;64, Summary!$J$5, 0)*'TV 4'!G71*'TV 4'!F71</f>
        <v>381.66841412760385</v>
      </c>
      <c r="I71" s="1"/>
    </row>
    <row r="72" spans="1:9">
      <c r="A72" s="1">
        <f t="shared" si="5"/>
        <v>2089</v>
      </c>
      <c r="B72" s="1">
        <f t="shared" si="6"/>
        <v>104</v>
      </c>
      <c r="C72" s="1">
        <v>70</v>
      </c>
      <c r="D72" s="1">
        <f>IF(Summary!$G$5="M",VLOOKUP(B:B,'male g'!A:V,IF(A72&gt;2033,22,MATCH(A72,'male g'!$A$1:$V$1,0)),FALSE),VLOOKUP(B:B,'female g'!A:V,IF(A72&gt;2033,22,MATCH(A72,'female g'!$A$1:$V$1,0)),FALSE))</f>
        <v>0.32781771999999998</v>
      </c>
      <c r="E72" s="1">
        <f t="shared" si="7"/>
        <v>0.67218228000000002</v>
      </c>
      <c r="F72" s="1">
        <f t="shared" si="8"/>
        <v>0.693144761</v>
      </c>
      <c r="G72" s="1">
        <f>1/(1+Summary!$O$2)^$C72</f>
        <v>3.2866167563218862E-2</v>
      </c>
      <c r="H72" s="1">
        <f>IF(B72&gt;64, Summary!$J$5, 0)*'TV 4'!G72*'TV 4'!F72</f>
        <v>352.98177119136784</v>
      </c>
      <c r="I72" s="1"/>
    </row>
    <row r="73" spans="1:9">
      <c r="A73" s="1">
        <f t="shared" si="5"/>
        <v>2090</v>
      </c>
      <c r="B73" s="1">
        <f t="shared" si="6"/>
        <v>105</v>
      </c>
      <c r="C73" s="1">
        <v>71</v>
      </c>
      <c r="D73" s="1">
        <f>IF(Summary!$G$5="M",VLOOKUP(B:B,'male g'!A:V,IF(A73&gt;2033,22,MATCH(A73,'male g'!$A$1:$V$1,0)),FALSE),VLOOKUP(B:B,'female g'!A:V,IF(A73&gt;2033,22,MATCH(A73,'female g'!$A$1:$V$1,0)),FALSE))</f>
        <v>0.34877203800000001</v>
      </c>
      <c r="E73" s="1">
        <f t="shared" si="7"/>
        <v>0.65122796199999999</v>
      </c>
      <c r="F73" s="1">
        <f t="shared" si="8"/>
        <v>0.67218228000000002</v>
      </c>
      <c r="G73" s="1">
        <f>1/(1+Summary!$O$2)^$C73</f>
        <v>3.1301111964970339E-2</v>
      </c>
      <c r="H73" s="1">
        <f>IF(B73&gt;64, Summary!$J$5, 0)*'TV 4'!G73*'TV 4'!F73</f>
        <v>326.00637545315618</v>
      </c>
      <c r="I73" s="1"/>
    </row>
    <row r="74" spans="1:9">
      <c r="A74" s="1">
        <f>$A$2+C74</f>
        <v>2091</v>
      </c>
      <c r="B74" s="1">
        <f>$B$2+C74</f>
        <v>106</v>
      </c>
      <c r="C74" s="1">
        <v>72</v>
      </c>
      <c r="D74" s="1">
        <f>IF(Summary!$G$5="M",VLOOKUP(B:B,'male g'!A:V,IF(A74&gt;2033,22,MATCH(A74,'male g'!$A$1:$V$1,0)),FALSE),VLOOKUP(B:B,'female g'!A:V,IF(A74&gt;2033,22,MATCH(A74,'female g'!$A$1:$V$1,0)),FALSE))</f>
        <v>0.36963544999999998</v>
      </c>
      <c r="E74" s="1">
        <f t="shared" si="7"/>
        <v>0.63036455000000002</v>
      </c>
      <c r="F74" s="1">
        <f t="shared" si="8"/>
        <v>0.65122796199999999</v>
      </c>
      <c r="G74" s="1">
        <f>1/(1+Summary!$O$2)^$C74</f>
        <v>2.9810582823781274E-2</v>
      </c>
      <c r="H74" s="1">
        <f>IF(B74&gt;64, Summary!$J$5, 0)*'TV 4'!G74*'TV 4'!F74</f>
        <v>300.80342334886234</v>
      </c>
      <c r="I74" s="1"/>
    </row>
    <row r="75" spans="1:9">
      <c r="A75" s="1">
        <f t="shared" ref="A75:A88" si="9">$A$2+C75</f>
        <v>2092</v>
      </c>
      <c r="B75" s="1">
        <f t="shared" ref="B75:B88" si="10">$B$2+C75</f>
        <v>107</v>
      </c>
      <c r="C75" s="1">
        <v>73</v>
      </c>
      <c r="D75" s="1">
        <f>IF(Summary!$G$5="M",VLOOKUP(B:B,'male g'!A:V,IF(A75&gt;2033,22,MATCH(A75,'male g'!$A$1:$V$1,0)),FALSE),VLOOKUP(B:B,'female g'!A:V,IF(A75&gt;2033,22,MATCH(A75,'female g'!$A$1:$V$1,0)),FALSE))</f>
        <v>0.39012102100000001</v>
      </c>
      <c r="E75" s="1">
        <f t="shared" si="7"/>
        <v>0.60987897899999999</v>
      </c>
      <c r="F75" s="1">
        <f t="shared" si="8"/>
        <v>0.63036455000000002</v>
      </c>
      <c r="G75" s="1">
        <f>1/(1+Summary!$O$2)^$C75</f>
        <v>2.8391031260744073E-2</v>
      </c>
      <c r="H75" s="1">
        <f>IF(B75&gt;64, Summary!$J$5, 0)*'TV 4'!G75*'TV 4'!F75</f>
        <v>277.30149906110705</v>
      </c>
      <c r="I75" s="1"/>
    </row>
    <row r="76" spans="1:9">
      <c r="A76" s="1">
        <f t="shared" si="9"/>
        <v>2093</v>
      </c>
      <c r="B76" s="1">
        <f t="shared" si="10"/>
        <v>108</v>
      </c>
      <c r="C76" s="1">
        <v>74</v>
      </c>
      <c r="D76" s="1">
        <f>IF(Summary!$G$5="M",VLOOKUP(B:B,'male g'!A:V,IF(A76&gt;2033,22,MATCH(A76,'male g'!$A$1:$V$1,0)),FALSE),VLOOKUP(B:B,'female g'!A:V,IF(A76&gt;2033,22,MATCH(A76,'female g'!$A$1:$V$1,0)),FALSE))</f>
        <v>0.40992095000000001</v>
      </c>
      <c r="E76" s="1">
        <f t="shared" si="7"/>
        <v>0.59007904999999994</v>
      </c>
      <c r="F76" s="1">
        <f t="shared" si="8"/>
        <v>0.60987897899999999</v>
      </c>
      <c r="G76" s="1">
        <f>1/(1+Summary!$O$2)^$C76</f>
        <v>2.7039077391184833E-2</v>
      </c>
      <c r="H76" s="1">
        <f>IF(B76&gt;64, Summary!$J$5, 0)*'TV 4'!G76*'TV 4'!F76</f>
        <v>255.51405909267285</v>
      </c>
      <c r="I76" s="1"/>
    </row>
    <row r="77" spans="1:9">
      <c r="A77" s="1">
        <f t="shared" si="9"/>
        <v>2094</v>
      </c>
      <c r="B77" s="1">
        <f t="shared" si="10"/>
        <v>109</v>
      </c>
      <c r="C77" s="1">
        <v>75</v>
      </c>
      <c r="D77" s="1">
        <f>IF(Summary!$G$5="M",VLOOKUP(B:B,'male g'!A:V,IF(A77&gt;2033,22,MATCH(A77,'male g'!$A$1:$V$1,0)),FALSE),VLOOKUP(B:B,'female g'!A:V,IF(A77&gt;2033,22,MATCH(A77,'female g'!$A$1:$V$1,0)),FALSE))</f>
        <v>0.42944720199999997</v>
      </c>
      <c r="E77" s="1">
        <f t="shared" si="7"/>
        <v>0.57055279800000003</v>
      </c>
      <c r="F77" s="1">
        <f t="shared" si="8"/>
        <v>0.59007904999999994</v>
      </c>
      <c r="G77" s="1">
        <f>1/(1+Summary!$O$2)^$C77</f>
        <v>2.5751502277318886E-2</v>
      </c>
      <c r="H77" s="1">
        <f>IF(B77&gt;64, Summary!$J$5, 0)*'TV 4'!G77*'TV 4'!F77</f>
        <v>235.44638861251258</v>
      </c>
      <c r="I77" s="1"/>
    </row>
    <row r="78" spans="1:9">
      <c r="A78" s="1">
        <f t="shared" si="9"/>
        <v>2095</v>
      </c>
      <c r="B78" s="1">
        <f t="shared" si="10"/>
        <v>110</v>
      </c>
      <c r="C78" s="1">
        <v>76</v>
      </c>
      <c r="D78" s="1">
        <f>IF(Summary!$G$5="M",VLOOKUP(B:B,'male g'!A:V,IF(A78&gt;2033,22,MATCH(A78,'male g'!$A$1:$V$1,0)),FALSE),VLOOKUP(B:B,'female g'!A:V,IF(A78&gt;2033,22,MATCH(A78,'female g'!$A$1:$V$1,0)),FALSE))</f>
        <v>0.44824126199999997</v>
      </c>
      <c r="E78" s="1">
        <f t="shared" si="7"/>
        <v>0.55175873799999997</v>
      </c>
      <c r="F78" s="1">
        <f t="shared" si="8"/>
        <v>0.57055279800000003</v>
      </c>
      <c r="G78" s="1">
        <f>1/(1+Summary!$O$2)^$C78</f>
        <v>2.4525240264113228E-2</v>
      </c>
      <c r="H78" s="1">
        <f>IF(B78&gt;64, Summary!$J$5, 0)*'TV 4'!G78*'TV 4'!F78</f>
        <v>216.81452728662359</v>
      </c>
      <c r="I78" s="1"/>
    </row>
    <row r="79" spans="1:9">
      <c r="A79" s="1">
        <f t="shared" si="9"/>
        <v>2096</v>
      </c>
      <c r="B79" s="1">
        <f t="shared" si="10"/>
        <v>111</v>
      </c>
      <c r="C79" s="1">
        <v>77</v>
      </c>
      <c r="D79" s="1">
        <f>IF(Summary!$G$5="M",VLOOKUP(B:B,'male g'!A:V,IF(A79&gt;2033,22,MATCH(A79,'male g'!$A$1:$V$1,0)),FALSE),VLOOKUP(B:B,'female g'!A:V,IF(A79&gt;2033,22,MATCH(A79,'female g'!$A$1:$V$1,0)),FALSE))</f>
        <v>0.46617251599999998</v>
      </c>
      <c r="E79" s="1">
        <f t="shared" si="7"/>
        <v>0.53382748400000002</v>
      </c>
      <c r="F79" s="1">
        <f t="shared" si="8"/>
        <v>0.55175873799999997</v>
      </c>
      <c r="G79" s="1">
        <f>1/(1+Summary!$O$2)^$C79</f>
        <v>2.3357371680107829E-2</v>
      </c>
      <c r="H79" s="1">
        <f>IF(B79&gt;64, Summary!$J$5, 0)*'TV 4'!G79*'TV 4'!F79</f>
        <v>199.68822613383813</v>
      </c>
      <c r="I79" s="1"/>
    </row>
    <row r="80" spans="1:9">
      <c r="A80" s="1">
        <f t="shared" si="9"/>
        <v>2097</v>
      </c>
      <c r="B80" s="1">
        <f t="shared" si="10"/>
        <v>112</v>
      </c>
      <c r="C80" s="1">
        <v>78</v>
      </c>
      <c r="D80" s="1">
        <f>IF(Summary!$G$5="M",VLOOKUP(B:B,'male g'!A:V,IF(A80&gt;2033,22,MATCH(A80,'male g'!$A$1:$V$1,0)),FALSE),VLOOKUP(B:B,'female g'!A:V,IF(A80&gt;2033,22,MATCH(A80,'female g'!$A$1:$V$1,0)),FALSE))</f>
        <v>0.48365765799999999</v>
      </c>
      <c r="E80" s="1">
        <f t="shared" si="7"/>
        <v>0.51634234199999995</v>
      </c>
      <c r="F80" s="1">
        <f t="shared" si="8"/>
        <v>0.53382748400000002</v>
      </c>
      <c r="G80" s="1">
        <f>1/(1+Summary!$O$2)^$C80</f>
        <v>2.2245115885816989E-2</v>
      </c>
      <c r="H80" s="1">
        <f>IF(B80&gt;64, Summary!$J$5, 0)*'TV 4'!G80*'TV 4'!F80</f>
        <v>183.998748866298</v>
      </c>
      <c r="I80" s="1"/>
    </row>
    <row r="81" spans="1:9">
      <c r="A81" s="1">
        <f t="shared" si="9"/>
        <v>2098</v>
      </c>
      <c r="B81" s="1">
        <f t="shared" si="10"/>
        <v>113</v>
      </c>
      <c r="C81" s="1">
        <v>79</v>
      </c>
      <c r="D81" s="1">
        <f>IF(Summary!$G$5="M",VLOOKUP(B:B,'male g'!A:V,IF(A81&gt;2033,22,MATCH(A81,'male g'!$A$1:$V$1,0)),FALSE),VLOOKUP(B:B,'female g'!A:V,IF(A81&gt;2033,22,MATCH(A81,'female g'!$A$1:$V$1,0)),FALSE))</f>
        <v>0.49353991000000003</v>
      </c>
      <c r="E81" s="1">
        <f t="shared" si="7"/>
        <v>0.50646009000000003</v>
      </c>
      <c r="F81" s="1">
        <f t="shared" si="8"/>
        <v>0.51634234199999995</v>
      </c>
      <c r="G81" s="1">
        <f>1/(1+Summary!$O$2)^$C81</f>
        <v>2.1185824653159029E-2</v>
      </c>
      <c r="H81" s="1">
        <f>IF(B81&gt;64, Summary!$J$5, 0)*'TV 4'!G81*'TV 4'!F81</f>
        <v>169.49714273626577</v>
      </c>
      <c r="I81" s="1"/>
    </row>
    <row r="82" spans="1:9">
      <c r="A82" s="1">
        <f t="shared" si="9"/>
        <v>2099</v>
      </c>
      <c r="B82" s="1">
        <f t="shared" si="10"/>
        <v>114</v>
      </c>
      <c r="C82" s="1">
        <v>80</v>
      </c>
      <c r="D82" s="1">
        <f>IF(Summary!$G$5="M",VLOOKUP(B:B,'male g'!A:V,IF(A82&gt;2033,22,MATCH(A82,'male g'!$A$1:$V$1,0)),FALSE),VLOOKUP(B:B,'female g'!A:V,IF(A82&gt;2033,22,MATCH(A82,'female g'!$A$1:$V$1,0)),FALSE))</f>
        <v>0.49666062900000002</v>
      </c>
      <c r="E82" s="1">
        <f t="shared" si="7"/>
        <v>0.50333937100000004</v>
      </c>
      <c r="F82" s="1">
        <f t="shared" si="8"/>
        <v>0.50646009000000003</v>
      </c>
      <c r="G82" s="1">
        <f>1/(1+Summary!$O$2)^$C82</f>
        <v>2.0176975860151457E-2</v>
      </c>
      <c r="H82" s="1">
        <f>IF(B82&gt;64, Summary!$J$5, 0)*'TV 4'!G82*'TV 4'!F82</f>
        <v>158.33632840687631</v>
      </c>
      <c r="I82" s="1"/>
    </row>
    <row r="83" spans="1:9">
      <c r="A83" s="1">
        <f t="shared" si="9"/>
        <v>2100</v>
      </c>
      <c r="B83" s="1">
        <f t="shared" si="10"/>
        <v>115</v>
      </c>
      <c r="C83" s="1">
        <v>81</v>
      </c>
      <c r="D83" s="1">
        <f>IF(Summary!$G$5="M",VLOOKUP(B:B,'male g'!A:V,IF(A83&gt;2033,22,MATCH(A83,'male g'!$A$1:$V$1,0)),FALSE),VLOOKUP(B:B,'female g'!A:V,IF(A83&gt;2033,22,MATCH(A83,'female g'!$A$1:$V$1,0)),FALSE))</f>
        <v>0.5</v>
      </c>
      <c r="E83" s="1">
        <f t="shared" si="7"/>
        <v>0.5</v>
      </c>
      <c r="F83" s="1">
        <f t="shared" si="8"/>
        <v>0.50333937100000004</v>
      </c>
      <c r="G83" s="1">
        <f>1/(1+Summary!$O$2)^$C83</f>
        <v>1.9216167485858526E-2</v>
      </c>
      <c r="H83" s="1">
        <f>IF(B83&gt;64, Summary!$J$5, 0)*'TV 4'!G83*'TV 4'!F83</f>
        <v>149.86732141551096</v>
      </c>
      <c r="I83" s="1"/>
    </row>
    <row r="84" spans="1:9">
      <c r="A84" s="1">
        <f t="shared" si="9"/>
        <v>2101</v>
      </c>
      <c r="B84" s="1">
        <f t="shared" si="10"/>
        <v>116</v>
      </c>
      <c r="C84" s="1">
        <v>82</v>
      </c>
      <c r="D84" s="1">
        <f>IF(Summary!$G$5="M",VLOOKUP(B:B,'male g'!A:V,IF(A84&gt;2033,22,MATCH(A84,'male g'!$A$1:$V$1,0)),FALSE),VLOOKUP(B:B,'female g'!A:V,IF(A84&gt;2033,22,MATCH(A84,'female g'!$A$1:$V$1,0)),FALSE))</f>
        <v>0.5</v>
      </c>
      <c r="E84" s="1">
        <f t="shared" si="7"/>
        <v>0.5</v>
      </c>
      <c r="F84" s="1">
        <f t="shared" si="8"/>
        <v>0.5</v>
      </c>
      <c r="G84" s="1">
        <f>1/(1+Summary!$O$2)^$C84</f>
        <v>1.8301111891293836E-2</v>
      </c>
      <c r="H84" s="1">
        <f>IF(B84&gt;64, Summary!$J$5, 0)*'TV 4'!G84*'TV 4'!F84</f>
        <v>141.78384458275033</v>
      </c>
      <c r="I84" s="1"/>
    </row>
    <row r="85" spans="1:9">
      <c r="A85" s="1">
        <f t="shared" si="9"/>
        <v>2102</v>
      </c>
      <c r="B85" s="1">
        <f t="shared" si="10"/>
        <v>117</v>
      </c>
      <c r="C85" s="1">
        <v>83</v>
      </c>
      <c r="D85" s="1">
        <f>IF(Summary!$G$5="M",VLOOKUP(B:B,'male g'!A:V,IF(A85&gt;2033,22,MATCH(A85,'male g'!$A$1:$V$1,0)),FALSE),VLOOKUP(B:B,'female g'!A:V,IF(A85&gt;2033,22,MATCH(A85,'female g'!$A$1:$V$1,0)),FALSE))</f>
        <v>0.5</v>
      </c>
      <c r="E85" s="1">
        <f t="shared" si="7"/>
        <v>0.5</v>
      </c>
      <c r="F85" s="1">
        <f t="shared" si="8"/>
        <v>0.5</v>
      </c>
      <c r="G85" s="1">
        <f>1/(1+Summary!$O$2)^$C85</f>
        <v>1.7429630372660796E-2</v>
      </c>
      <c r="H85" s="1">
        <f>IF(B85&gt;64, Summary!$J$5, 0)*'TV 4'!G85*'TV 4'!F85</f>
        <v>135.03223293595269</v>
      </c>
      <c r="I85" s="1"/>
    </row>
    <row r="86" spans="1:9">
      <c r="A86" s="1">
        <f t="shared" si="9"/>
        <v>2103</v>
      </c>
      <c r="B86" s="1">
        <f t="shared" si="10"/>
        <v>118</v>
      </c>
      <c r="C86" s="1">
        <v>84</v>
      </c>
      <c r="D86" s="1">
        <f>IF(Summary!$G$5="M",VLOOKUP(B:B,'male g'!A:V,IF(A86&gt;2033,22,MATCH(A86,'male g'!$A$1:$V$1,0)),FALSE),VLOOKUP(B:B,'female g'!A:V,IF(A86&gt;2033,22,MATCH(A86,'female g'!$A$1:$V$1,0)),FALSE))</f>
        <v>0.5</v>
      </c>
      <c r="E86" s="1">
        <f t="shared" si="7"/>
        <v>0.5</v>
      </c>
      <c r="F86" s="1">
        <f t="shared" si="8"/>
        <v>0.5</v>
      </c>
      <c r="G86" s="1">
        <f>1/(1+Summary!$O$2)^$C86</f>
        <v>1.6599647973962663E-2</v>
      </c>
      <c r="H86" s="1">
        <f>IF(B86&gt;64, Summary!$J$5, 0)*'TV 4'!G86*'TV 4'!F86</f>
        <v>128.60212660566924</v>
      </c>
      <c r="I86" s="1"/>
    </row>
    <row r="87" spans="1:9">
      <c r="A87" s="1">
        <f t="shared" si="9"/>
        <v>2104</v>
      </c>
      <c r="B87" s="1">
        <f t="shared" si="10"/>
        <v>119</v>
      </c>
      <c r="C87" s="1">
        <v>85</v>
      </c>
      <c r="D87" s="1">
        <f>IF(Summary!$G$5="M",VLOOKUP(B:B,'male g'!A:V,IF(A87&gt;2033,22,MATCH(A87,'male g'!$A$1:$V$1,0)),FALSE),VLOOKUP(B:B,'female g'!A:V,IF(A87&gt;2033,22,MATCH(A87,'female g'!$A$1:$V$1,0)),FALSE))</f>
        <v>0.5</v>
      </c>
      <c r="E87" s="1">
        <f t="shared" si="7"/>
        <v>0.5</v>
      </c>
      <c r="F87" s="1">
        <f t="shared" si="8"/>
        <v>0.5</v>
      </c>
      <c r="G87" s="1">
        <f>1/(1+Summary!$O$2)^$C87</f>
        <v>1.580918854663111E-2</v>
      </c>
      <c r="H87" s="1">
        <f>IF(B87&gt;64, Summary!$J$5, 0)*'TV 4'!G87*'TV 4'!F87</f>
        <v>122.4782158149231</v>
      </c>
      <c r="I87" s="1"/>
    </row>
    <row r="88" spans="1:9">
      <c r="A88" s="1">
        <f t="shared" si="9"/>
        <v>2105</v>
      </c>
      <c r="B88" s="1">
        <f t="shared" si="10"/>
        <v>120</v>
      </c>
      <c r="C88" s="1">
        <v>86</v>
      </c>
      <c r="D88" s="1">
        <f>IF(Summary!$G$5="M",VLOOKUP(B:B,'male g'!A:V,IF(A88&gt;2033,22,MATCH(A88,'male g'!$A$1:$V$1,0)),FALSE),VLOOKUP(B:B,'female g'!A:V,IF(A88&gt;2033,22,MATCH(A88,'female g'!$A$1:$V$1,0)),FALSE))</f>
        <v>1</v>
      </c>
      <c r="E88" s="1">
        <f t="shared" si="7"/>
        <v>0</v>
      </c>
      <c r="F88" s="1">
        <f t="shared" si="8"/>
        <v>0.5</v>
      </c>
      <c r="G88" s="1">
        <f>1/(1+Summary!$O$2)^$C88</f>
        <v>1.5056370044410581E-2</v>
      </c>
      <c r="H88" s="1">
        <f>IF(B88&gt;64, Summary!$J$5, 0)*'TV 4'!G88*'TV 4'!F88</f>
        <v>116.64591982373629</v>
      </c>
      <c r="I88" s="1"/>
    </row>
    <row r="89" spans="1:9">
      <c r="A89" s="1"/>
    </row>
    <row r="90" spans="1:9">
      <c r="A90" s="1"/>
    </row>
    <row r="91" spans="1:9">
      <c r="A91" s="1"/>
    </row>
    <row r="92" spans="1:9">
      <c r="A92" s="1"/>
    </row>
    <row r="93" spans="1:9">
      <c r="A93" s="1"/>
    </row>
    <row r="94" spans="1:9">
      <c r="A94" s="1"/>
    </row>
    <row r="95" spans="1:9">
      <c r="A95" s="1"/>
    </row>
    <row r="96" spans="1:9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98"/>
  <sheetViews>
    <sheetView workbookViewId="0">
      <selection activeCell="D2" sqref="D2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Summary!H6</f>
        <v>34</v>
      </c>
      <c r="C2" s="1">
        <v>0</v>
      </c>
      <c r="D2" s="1">
        <f>IF(Summary!$G$6="M",VLOOKUP(B:B,'male g'!A:V,IF(A2&gt;2033,22,MATCH(A2,'male g'!$A$1:$V$1,0)),FALSE),VLOOKUP(B:B,'female g'!A:V,IF(A2&gt;2033,22,MATCH(A2,'female g'!$A$1:$V$1,0)),FALSE))</f>
        <v>5.9996532195180576E-4</v>
      </c>
      <c r="E2" s="1">
        <f>1-D2</f>
        <v>0.99940003467804817</v>
      </c>
      <c r="F2" s="1">
        <v>1</v>
      </c>
      <c r="G2" s="1">
        <f>1/(1+Summary!$O$2)^$C2</f>
        <v>1</v>
      </c>
      <c r="H2" s="1">
        <f>IF(B2&gt;64, Summary!$J$6, 0)*'TV 5'!G2*'TV 5'!F2</f>
        <v>0</v>
      </c>
      <c r="I2" s="1">
        <f>SUM(H2:H88)</f>
        <v>48879.778693993481</v>
      </c>
    </row>
    <row r="3" spans="1:9">
      <c r="A3" s="1">
        <f>$A$2+C3</f>
        <v>2020</v>
      </c>
      <c r="B3" s="1">
        <f>$B$2+C3</f>
        <v>35</v>
      </c>
      <c r="C3" s="1">
        <v>1</v>
      </c>
      <c r="D3" s="1">
        <f>IF(Summary!$G$6="M",VLOOKUP(B:B,'male g'!A:V,IF(A3&gt;2033,22,MATCH(A3,'male g'!$A$1:$V$1,0)),FALSE),VLOOKUP(B:B,'female g'!A:V,IF(A3&gt;2033,22,MATCH(A3,'female g'!$A$1:$V$1,0)),FALSE))</f>
        <v>6.2880682595302503E-4</v>
      </c>
      <c r="E3" s="1">
        <f>1-D3</f>
        <v>0.99937119317404699</v>
      </c>
      <c r="F3" s="1">
        <f>E2</f>
        <v>0.99940003467804817</v>
      </c>
      <c r="G3" s="1">
        <f>1/(1+Summary!$O$2)^$C3</f>
        <v>0.95238095238095233</v>
      </c>
      <c r="H3" s="1">
        <f>IF(B3&gt;64, Summary!$J$6, 0)*'TV 5'!G3*'TV 5'!F3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36</v>
      </c>
      <c r="C4" s="1">
        <v>2</v>
      </c>
      <c r="D4" s="1">
        <f>IF(Summary!$G$6="M",VLOOKUP(B:B,'male g'!A:V,IF(A4&gt;2033,22,MATCH(A4,'male g'!$A$1:$V$1,0)),FALSE),VLOOKUP(B:B,'female g'!A:V,IF(A4&gt;2033,22,MATCH(A4,'female g'!$A$1:$V$1,0)),FALSE))</f>
        <v>6.5074181038340159E-4</v>
      </c>
      <c r="E4" s="1">
        <f t="shared" ref="E4:E67" si="2">1-D4</f>
        <v>0.99934925818961662</v>
      </c>
      <c r="F4" s="1">
        <f t="shared" ref="F4:F67" si="3">E3</f>
        <v>0.99937119317404699</v>
      </c>
      <c r="G4" s="1">
        <f>1/(1+Summary!$O$2)^$C4</f>
        <v>0.90702947845804982</v>
      </c>
      <c r="H4" s="1">
        <f>IF(B4&gt;64, Summary!$J$6, 0)*'TV 5'!G4*'TV 5'!F4</f>
        <v>0</v>
      </c>
      <c r="I4" s="1"/>
    </row>
    <row r="5" spans="1:9">
      <c r="A5" s="1">
        <f t="shared" si="0"/>
        <v>2022</v>
      </c>
      <c r="B5" s="1">
        <f t="shared" si="1"/>
        <v>37</v>
      </c>
      <c r="C5" s="1">
        <v>3</v>
      </c>
      <c r="D5" s="1">
        <f>IF(Summary!$G$6="M",VLOOKUP(B:B,'male g'!A:V,IF(A5&gt;2033,22,MATCH(A5,'male g'!$A$1:$V$1,0)),FALSE),VLOOKUP(B:B,'female g'!A:V,IF(A5&gt;2033,22,MATCH(A5,'female g'!$A$1:$V$1,0)),FALSE))</f>
        <v>6.7041659409086359E-4</v>
      </c>
      <c r="E5" s="1">
        <f t="shared" si="2"/>
        <v>0.99932958340590916</v>
      </c>
      <c r="F5" s="1">
        <f t="shared" si="3"/>
        <v>0.99934925818961662</v>
      </c>
      <c r="G5" s="1">
        <f>1/(1+Summary!$O$2)^$C5</f>
        <v>0.86383759853147601</v>
      </c>
      <c r="H5" s="1">
        <f>IF(B5&gt;64, Summary!$J$6, 0)*'TV 5'!G5*'TV 5'!F5</f>
        <v>0</v>
      </c>
      <c r="I5" s="1"/>
    </row>
    <row r="6" spans="1:9">
      <c r="A6" s="1">
        <f t="shared" si="0"/>
        <v>2023</v>
      </c>
      <c r="B6" s="1">
        <f t="shared" si="1"/>
        <v>38</v>
      </c>
      <c r="C6" s="1">
        <v>4</v>
      </c>
      <c r="D6" s="1">
        <f>IF(Summary!$G$6="M",VLOOKUP(B:B,'male g'!A:V,IF(A6&gt;2033,22,MATCH(A6,'male g'!$A$1:$V$1,0)),FALSE),VLOOKUP(B:B,'female g'!A:V,IF(A6&gt;2033,22,MATCH(A6,'female g'!$A$1:$V$1,0)),FALSE))</f>
        <v>6.8988045174784868E-4</v>
      </c>
      <c r="E6" s="1">
        <f t="shared" si="2"/>
        <v>0.99931011954825211</v>
      </c>
      <c r="F6" s="1">
        <f t="shared" si="3"/>
        <v>0.99932958340590916</v>
      </c>
      <c r="G6" s="1">
        <f>1/(1+Summary!$O$2)^$C6</f>
        <v>0.82270247479188197</v>
      </c>
      <c r="H6" s="1">
        <f>IF(B6&gt;64, Summary!$J$6, 0)*'TV 5'!G6*'TV 5'!F6</f>
        <v>0</v>
      </c>
      <c r="I6" s="1"/>
    </row>
    <row r="7" spans="1:9">
      <c r="A7" s="1">
        <f t="shared" si="0"/>
        <v>2024</v>
      </c>
      <c r="B7" s="1">
        <f t="shared" si="1"/>
        <v>39</v>
      </c>
      <c r="C7" s="1">
        <v>5</v>
      </c>
      <c r="D7" s="1">
        <f>IF(Summary!$G$6="M",VLOOKUP(B:B,'male g'!A:V,IF(A7&gt;2033,22,MATCH(A7,'male g'!$A$1:$V$1,0)),FALSE),VLOOKUP(B:B,'female g'!A:V,IF(A7&gt;2033,22,MATCH(A7,'female g'!$A$1:$V$1,0)),FALSE))</f>
        <v>7.121891145120085E-4</v>
      </c>
      <c r="E7" s="1">
        <f t="shared" si="2"/>
        <v>0.99928781088548801</v>
      </c>
      <c r="F7" s="1">
        <f t="shared" si="3"/>
        <v>0.99931011954825211</v>
      </c>
      <c r="G7" s="1">
        <f>1/(1+Summary!$O$2)^$C7</f>
        <v>0.78352616646845896</v>
      </c>
      <c r="H7" s="1">
        <f>IF(B7&gt;64, Summary!$J$6, 0)*'TV 5'!G7*'TV 5'!F7</f>
        <v>0</v>
      </c>
      <c r="I7" s="1"/>
    </row>
    <row r="8" spans="1:9">
      <c r="A8" s="1">
        <f t="shared" si="0"/>
        <v>2025</v>
      </c>
      <c r="B8" s="1">
        <f t="shared" si="1"/>
        <v>40</v>
      </c>
      <c r="C8" s="1">
        <v>6</v>
      </c>
      <c r="D8" s="1">
        <f>IF(Summary!$G$6="M",VLOOKUP(B:B,'male g'!A:V,IF(A8&gt;2033,22,MATCH(A8,'male g'!$A$1:$V$1,0)),FALSE),VLOOKUP(B:B,'female g'!A:V,IF(A8&gt;2033,22,MATCH(A8,'female g'!$A$1:$V$1,0)),FALSE))</f>
        <v>7.3934818342237627E-4</v>
      </c>
      <c r="E8" s="1">
        <f t="shared" si="2"/>
        <v>0.99926065181657764</v>
      </c>
      <c r="F8" s="1">
        <f t="shared" si="3"/>
        <v>0.99928781088548801</v>
      </c>
      <c r="G8" s="1">
        <f>1/(1+Summary!$O$2)^$C8</f>
        <v>0.74621539663662761</v>
      </c>
      <c r="H8" s="1">
        <f>IF(B8&gt;64, Summary!$J$6, 0)*'TV 5'!G8*'TV 5'!F8</f>
        <v>0</v>
      </c>
      <c r="I8" s="1"/>
    </row>
    <row r="9" spans="1:9">
      <c r="A9" s="1">
        <f t="shared" si="0"/>
        <v>2026</v>
      </c>
      <c r="B9" s="1">
        <f t="shared" si="1"/>
        <v>41</v>
      </c>
      <c r="C9" s="1">
        <v>7</v>
      </c>
      <c r="D9" s="1">
        <f>IF(Summary!$G$6="M",VLOOKUP(B:B,'male g'!A:V,IF(A9&gt;2033,22,MATCH(A9,'male g'!$A$1:$V$1,0)),FALSE),VLOOKUP(B:B,'female g'!A:V,IF(A9&gt;2033,22,MATCH(A9,'female g'!$A$1:$V$1,0)),FALSE))</f>
        <v>7.7327934792238804E-4</v>
      </c>
      <c r="E9" s="1">
        <f t="shared" si="2"/>
        <v>0.99922672065207763</v>
      </c>
      <c r="F9" s="1">
        <f t="shared" si="3"/>
        <v>0.99926065181657764</v>
      </c>
      <c r="G9" s="1">
        <f>1/(1+Summary!$O$2)^$C9</f>
        <v>0.71068133013012147</v>
      </c>
      <c r="H9" s="1">
        <f>IF(B9&gt;64, Summary!$J$6, 0)*'TV 5'!G9*'TV 5'!F9</f>
        <v>0</v>
      </c>
      <c r="I9" s="1"/>
    </row>
    <row r="10" spans="1:9">
      <c r="A10" s="1">
        <f t="shared" si="0"/>
        <v>2027</v>
      </c>
      <c r="B10" s="1">
        <f t="shared" si="1"/>
        <v>42</v>
      </c>
      <c r="C10" s="1">
        <v>8</v>
      </c>
      <c r="D10" s="1">
        <f>IF(Summary!$G$6="M",VLOOKUP(B:B,'male g'!A:V,IF(A10&gt;2033,22,MATCH(A10,'male g'!$A$1:$V$1,0)),FALSE),VLOOKUP(B:B,'female g'!A:V,IF(A10&gt;2033,22,MATCH(A10,'female g'!$A$1:$V$1,0)),FALSE))</f>
        <v>8.1439080650183592E-4</v>
      </c>
      <c r="E10" s="1">
        <f t="shared" si="2"/>
        <v>0.99918560919349819</v>
      </c>
      <c r="F10" s="1">
        <f t="shared" si="3"/>
        <v>0.99922672065207763</v>
      </c>
      <c r="G10" s="1">
        <f>1/(1+Summary!$O$2)^$C10</f>
        <v>0.67683936202868722</v>
      </c>
      <c r="H10" s="1">
        <f>IF(B10&gt;64, Summary!$J$6, 0)*'TV 5'!G10*'TV 5'!F10</f>
        <v>0</v>
      </c>
      <c r="I10" s="1"/>
    </row>
    <row r="11" spans="1:9">
      <c r="A11" s="1">
        <f t="shared" si="0"/>
        <v>2028</v>
      </c>
      <c r="B11" s="1">
        <f t="shared" si="1"/>
        <v>43</v>
      </c>
      <c r="C11" s="1">
        <v>9</v>
      </c>
      <c r="D11" s="1">
        <f>IF(Summary!$G$6="M",VLOOKUP(B:B,'male g'!A:V,IF(A11&gt;2033,22,MATCH(A11,'male g'!$A$1:$V$1,0)),FALSE),VLOOKUP(B:B,'female g'!A:V,IF(A11&gt;2033,22,MATCH(A11,'female g'!$A$1:$V$1,0)),FALSE))</f>
        <v>8.6507266967504831E-4</v>
      </c>
      <c r="E11" s="1">
        <f t="shared" si="2"/>
        <v>0.99913492733032494</v>
      </c>
      <c r="F11" s="1">
        <f t="shared" si="3"/>
        <v>0.99918560919349819</v>
      </c>
      <c r="G11" s="1">
        <f>1/(1+Summary!$O$2)^$C11</f>
        <v>0.64460891621779726</v>
      </c>
      <c r="H11" s="1">
        <f>IF(B11&gt;64, Summary!$J$6, 0)*'TV 5'!G11*'TV 5'!F11</f>
        <v>0</v>
      </c>
      <c r="I11" s="1"/>
    </row>
    <row r="12" spans="1:9">
      <c r="A12" s="1">
        <f t="shared" si="0"/>
        <v>2029</v>
      </c>
      <c r="B12" s="1">
        <f t="shared" si="1"/>
        <v>44</v>
      </c>
      <c r="C12" s="1">
        <v>10</v>
      </c>
      <c r="D12" s="1">
        <f>IF(Summary!$G$6="M",VLOOKUP(B:B,'male g'!A:V,IF(A12&gt;2033,22,MATCH(A12,'male g'!$A$1:$V$1,0)),FALSE),VLOOKUP(B:B,'female g'!A:V,IF(A12&gt;2033,22,MATCH(A12,'female g'!$A$1:$V$1,0)),FALSE))</f>
        <v>9.2572551929935045E-4</v>
      </c>
      <c r="E12" s="1">
        <f t="shared" si="2"/>
        <v>0.99907427448070063</v>
      </c>
      <c r="F12" s="1">
        <f t="shared" si="3"/>
        <v>0.99913492733032494</v>
      </c>
      <c r="G12" s="1">
        <f>1/(1+Summary!$O$2)^$C12</f>
        <v>0.61391325354075932</v>
      </c>
      <c r="H12" s="1">
        <f>IF(B12&gt;64, Summary!$J$6, 0)*'TV 5'!G12*'TV 5'!F12</f>
        <v>0</v>
      </c>
      <c r="I12" s="1"/>
    </row>
    <row r="13" spans="1:9">
      <c r="A13" s="1">
        <f t="shared" si="0"/>
        <v>2030</v>
      </c>
      <c r="B13" s="1">
        <f t="shared" si="1"/>
        <v>45</v>
      </c>
      <c r="C13" s="1">
        <v>11</v>
      </c>
      <c r="D13" s="1">
        <f>IF(Summary!$G$6="M",VLOOKUP(B:B,'male g'!A:V,IF(A13&gt;2033,22,MATCH(A13,'male g'!$A$1:$V$1,0)),FALSE),VLOOKUP(B:B,'female g'!A:V,IF(A13&gt;2033,22,MATCH(A13,'female g'!$A$1:$V$1,0)),FALSE))</f>
        <v>9.9516898163587312E-4</v>
      </c>
      <c r="E13" s="1">
        <f t="shared" si="2"/>
        <v>0.99900483101836413</v>
      </c>
      <c r="F13" s="1">
        <f t="shared" si="3"/>
        <v>0.99907427448070063</v>
      </c>
      <c r="G13" s="1">
        <f>1/(1+Summary!$O$2)^$C13</f>
        <v>0.5846792890864374</v>
      </c>
      <c r="H13" s="1">
        <f>IF(B13&gt;64, Summary!$J$6, 0)*'TV 5'!G13*'TV 5'!F13</f>
        <v>0</v>
      </c>
      <c r="I13" s="1"/>
    </row>
    <row r="14" spans="1:9">
      <c r="A14" s="1">
        <f t="shared" si="0"/>
        <v>2031</v>
      </c>
      <c r="B14" s="1">
        <f t="shared" si="1"/>
        <v>46</v>
      </c>
      <c r="C14" s="1">
        <v>12</v>
      </c>
      <c r="D14" s="1">
        <f>IF(Summary!$G$6="M",VLOOKUP(B:B,'male g'!A:V,IF(A14&gt;2033,22,MATCH(A14,'male g'!$A$1:$V$1,0)),FALSE),VLOOKUP(B:B,'female g'!A:V,IF(A14&gt;2033,22,MATCH(A14,'female g'!$A$1:$V$1,0)),FALSE))</f>
        <v>1.0753852264232984E-3</v>
      </c>
      <c r="E14" s="1">
        <f t="shared" si="2"/>
        <v>0.99892461477357675</v>
      </c>
      <c r="F14" s="1">
        <f t="shared" si="3"/>
        <v>0.99900483101836413</v>
      </c>
      <c r="G14" s="1">
        <f>1/(1+Summary!$O$2)^$C14</f>
        <v>0.5568374181775595</v>
      </c>
      <c r="H14" s="1">
        <f>IF(B14&gt;64, Summary!$J$6, 0)*'TV 5'!G14*'TV 5'!F14</f>
        <v>0</v>
      </c>
      <c r="I14" s="1"/>
    </row>
    <row r="15" spans="1:9">
      <c r="A15" s="1">
        <f t="shared" si="0"/>
        <v>2032</v>
      </c>
      <c r="B15" s="1">
        <f t="shared" si="1"/>
        <v>47</v>
      </c>
      <c r="C15" s="1">
        <v>13</v>
      </c>
      <c r="D15" s="1">
        <f>IF(Summary!$G$6="M",VLOOKUP(B:B,'male g'!A:V,IF(A15&gt;2033,22,MATCH(A15,'male g'!$A$1:$V$1,0)),FALSE),VLOOKUP(B:B,'female g'!A:V,IF(A15&gt;2033,22,MATCH(A15,'female g'!$A$1:$V$1,0)),FALSE))</f>
        <v>1.163882524709379E-3</v>
      </c>
      <c r="E15" s="1">
        <f t="shared" si="2"/>
        <v>0.99883611747529066</v>
      </c>
      <c r="F15" s="1">
        <f t="shared" si="3"/>
        <v>0.99892461477357675</v>
      </c>
      <c r="G15" s="1">
        <f>1/(1+Summary!$O$2)^$C15</f>
        <v>0.53032135064529462</v>
      </c>
      <c r="H15" s="1">
        <f>IF(B15&gt;64, Summary!$J$6, 0)*'TV 5'!G15*'TV 5'!F15</f>
        <v>0</v>
      </c>
      <c r="I15" s="1"/>
    </row>
    <row r="16" spans="1:9">
      <c r="A16" s="1">
        <f t="shared" si="0"/>
        <v>2033</v>
      </c>
      <c r="B16" s="1">
        <f t="shared" si="1"/>
        <v>48</v>
      </c>
      <c r="C16" s="1">
        <v>14</v>
      </c>
      <c r="D16" s="1">
        <f>IF(Summary!$G$6="M",VLOOKUP(B:B,'male g'!A:V,IF(A16&gt;2033,22,MATCH(A16,'male g'!$A$1:$V$1,0)),FALSE),VLOOKUP(B:B,'female g'!A:V,IF(A16&gt;2033,22,MATCH(A16,'female g'!$A$1:$V$1,0)),FALSE))</f>
        <v>1.2616873160863067E-3</v>
      </c>
      <c r="E16" s="1">
        <f t="shared" si="2"/>
        <v>0.99873831268391366</v>
      </c>
      <c r="F16" s="1">
        <f t="shared" si="3"/>
        <v>0.99883611747529066</v>
      </c>
      <c r="G16" s="1">
        <f>1/(1+Summary!$O$2)^$C16</f>
        <v>0.50506795299551888</v>
      </c>
      <c r="H16" s="1">
        <f>IF(B16&gt;64, Summary!$J$6, 0)*'TV 5'!G16*'TV 5'!F16</f>
        <v>0</v>
      </c>
      <c r="I16" s="1"/>
    </row>
    <row r="17" spans="1:9">
      <c r="A17" s="1">
        <f t="shared" si="0"/>
        <v>2034</v>
      </c>
      <c r="B17" s="1">
        <f t="shared" si="1"/>
        <v>49</v>
      </c>
      <c r="C17" s="1">
        <v>15</v>
      </c>
      <c r="D17" s="1">
        <f>IF(Summary!$G$6="M",VLOOKUP(B:B,'male g'!A:V,IF(A17&gt;2033,22,MATCH(A17,'male g'!$A$1:$V$1,0)),FALSE),VLOOKUP(B:B,'female g'!A:V,IF(A17&gt;2033,22,MATCH(A17,'female g'!$A$1:$V$1,0)),FALSE))</f>
        <v>1.369512151784593E-3</v>
      </c>
      <c r="E17" s="1">
        <f t="shared" si="2"/>
        <v>0.9986304878482154</v>
      </c>
      <c r="F17" s="1">
        <f t="shared" si="3"/>
        <v>0.99873831268391366</v>
      </c>
      <c r="G17" s="1">
        <f>1/(1+Summary!$O$2)^$C17</f>
        <v>0.48101709809097021</v>
      </c>
      <c r="H17" s="1">
        <f>IF(B17&gt;64, Summary!$J$6, 0)*'TV 5'!G17*'TV 5'!F17</f>
        <v>0</v>
      </c>
      <c r="I17" s="1"/>
    </row>
    <row r="18" spans="1:9">
      <c r="A18" s="1">
        <f t="shared" si="0"/>
        <v>2035</v>
      </c>
      <c r="B18" s="1">
        <f t="shared" si="1"/>
        <v>50</v>
      </c>
      <c r="C18" s="1">
        <v>16</v>
      </c>
      <c r="D18" s="1">
        <f>IF(Summary!$G$6="M",VLOOKUP(B:B,'male g'!A:V,IF(A18&gt;2033,22,MATCH(A18,'male g'!$A$1:$V$1,0)),FALSE),VLOOKUP(B:B,'female g'!A:V,IF(A18&gt;2033,22,MATCH(A18,'female g'!$A$1:$V$1,0)),FALSE))</f>
        <v>3.6199396557553844E-3</v>
      </c>
      <c r="E18" s="1">
        <f t="shared" si="2"/>
        <v>0.99638006034424464</v>
      </c>
      <c r="F18" s="1">
        <f t="shared" si="3"/>
        <v>0.9986304878482154</v>
      </c>
      <c r="G18" s="1">
        <f>1/(1+Summary!$O$2)^$C18</f>
        <v>0.45811152199140021</v>
      </c>
      <c r="H18" s="1">
        <f>IF(B18&gt;64, Summary!$J$6, 0)*'TV 5'!G18*'TV 5'!F18</f>
        <v>0</v>
      </c>
      <c r="I18" s="1"/>
    </row>
    <row r="19" spans="1:9">
      <c r="A19" s="1">
        <f t="shared" si="0"/>
        <v>2036</v>
      </c>
      <c r="B19" s="1">
        <f t="shared" si="1"/>
        <v>51</v>
      </c>
      <c r="C19" s="1">
        <v>17</v>
      </c>
      <c r="D19" s="1">
        <f>IF(Summary!$G$6="M",VLOOKUP(B:B,'male g'!A:V,IF(A19&gt;2033,22,MATCH(A19,'male g'!$A$1:$V$1,0)),FALSE),VLOOKUP(B:B,'female g'!A:V,IF(A19&gt;2033,22,MATCH(A19,'female g'!$A$1:$V$1,0)),FALSE))</f>
        <v>3.8605439270391782E-3</v>
      </c>
      <c r="E19" s="1">
        <f t="shared" si="2"/>
        <v>0.99613945607296084</v>
      </c>
      <c r="F19" s="1">
        <f t="shared" si="3"/>
        <v>0.99638006034424464</v>
      </c>
      <c r="G19" s="1">
        <f>1/(1+Summary!$O$2)^$C19</f>
        <v>0.43629668761085727</v>
      </c>
      <c r="H19" s="1">
        <f>IF(B19&gt;64, Summary!$J$6, 0)*'TV 5'!G19*'TV 5'!F19</f>
        <v>0</v>
      </c>
      <c r="I19" s="1"/>
    </row>
    <row r="20" spans="1:9">
      <c r="A20" s="1">
        <f t="shared" si="0"/>
        <v>2037</v>
      </c>
      <c r="B20" s="1">
        <f t="shared" si="1"/>
        <v>52</v>
      </c>
      <c r="C20" s="1">
        <v>18</v>
      </c>
      <c r="D20" s="1">
        <f>IF(Summary!$G$6="M",VLOOKUP(B:B,'male g'!A:V,IF(A20&gt;2033,22,MATCH(A20,'male g'!$A$1:$V$1,0)),FALSE),VLOOKUP(B:B,'female g'!A:V,IF(A20&gt;2033,22,MATCH(A20,'female g'!$A$1:$V$1,0)),FALSE))</f>
        <v>4.1135590860351774E-3</v>
      </c>
      <c r="E20" s="1">
        <f t="shared" si="2"/>
        <v>0.99588644091396483</v>
      </c>
      <c r="F20" s="1">
        <f t="shared" si="3"/>
        <v>0.99613945607296084</v>
      </c>
      <c r="G20" s="1">
        <f>1/(1+Summary!$O$2)^$C20</f>
        <v>0.41552065486748313</v>
      </c>
      <c r="H20" s="1">
        <f>IF(B20&gt;64, Summary!$J$6, 0)*'TV 5'!G20*'TV 5'!F20</f>
        <v>0</v>
      </c>
      <c r="I20" s="1"/>
    </row>
    <row r="21" spans="1:9">
      <c r="A21" s="1">
        <f t="shared" si="0"/>
        <v>2038</v>
      </c>
      <c r="B21" s="1">
        <f t="shared" si="1"/>
        <v>53</v>
      </c>
      <c r="C21" s="1">
        <v>19</v>
      </c>
      <c r="D21" s="1">
        <f>IF(Summary!$G$6="M",VLOOKUP(B:B,'male g'!A:V,IF(A21&gt;2033,22,MATCH(A21,'male g'!$A$1:$V$1,0)),FALSE),VLOOKUP(B:B,'female g'!A:V,IF(A21&gt;2033,22,MATCH(A21,'female g'!$A$1:$V$1,0)),FALSE))</f>
        <v>4.3810463073345211E-3</v>
      </c>
      <c r="E21" s="1">
        <f t="shared" si="2"/>
        <v>0.99561895369266551</v>
      </c>
      <c r="F21" s="1">
        <f t="shared" si="3"/>
        <v>0.99588644091396483</v>
      </c>
      <c r="G21" s="1">
        <f>1/(1+Summary!$O$2)^$C21</f>
        <v>0.39573395701665059</v>
      </c>
      <c r="H21" s="1">
        <f>IF(B21&gt;64, Summary!$J$6, 0)*'TV 5'!G21*'TV 5'!F21</f>
        <v>0</v>
      </c>
      <c r="I21" s="1"/>
    </row>
    <row r="22" spans="1:9">
      <c r="A22" s="1">
        <f t="shared" si="0"/>
        <v>2039</v>
      </c>
      <c r="B22" s="1">
        <f t="shared" si="1"/>
        <v>54</v>
      </c>
      <c r="C22" s="1">
        <v>20</v>
      </c>
      <c r="D22" s="1">
        <f>IF(Summary!$G$6="M",VLOOKUP(B:B,'male g'!A:V,IF(A22&gt;2033,22,MATCH(A22,'male g'!$A$1:$V$1,0)),FALSE),VLOOKUP(B:B,'female g'!A:V,IF(A22&gt;2033,22,MATCH(A22,'female g'!$A$1:$V$1,0)),FALSE))</f>
        <v>4.6687727319984478E-3</v>
      </c>
      <c r="E22" s="1">
        <f t="shared" si="2"/>
        <v>0.99533122726800161</v>
      </c>
      <c r="F22" s="1">
        <f t="shared" si="3"/>
        <v>0.99561895369266551</v>
      </c>
      <c r="G22" s="1">
        <f>1/(1+Summary!$O$2)^$C22</f>
        <v>0.37688948287300061</v>
      </c>
      <c r="H22" s="1">
        <f>IF(B22&gt;64, Summary!$J$6, 0)*'TV 5'!G22*'TV 5'!F22</f>
        <v>0</v>
      </c>
      <c r="I22" s="1"/>
    </row>
    <row r="23" spans="1:9">
      <c r="A23" s="1">
        <f t="shared" si="0"/>
        <v>2040</v>
      </c>
      <c r="B23" s="1">
        <f t="shared" si="1"/>
        <v>55</v>
      </c>
      <c r="C23" s="1">
        <v>21</v>
      </c>
      <c r="D23" s="1">
        <f>IF(Summary!$G$6="M",VLOOKUP(B:B,'male g'!A:V,IF(A23&gt;2033,22,MATCH(A23,'male g'!$A$1:$V$1,0)),FALSE),VLOOKUP(B:B,'female g'!A:V,IF(A23&gt;2033,22,MATCH(A23,'female g'!$A$1:$V$1,0)),FALSE))</f>
        <v>4.9760361404984493E-3</v>
      </c>
      <c r="E23" s="1">
        <f t="shared" si="2"/>
        <v>0.99502396385950154</v>
      </c>
      <c r="F23" s="1">
        <f t="shared" si="3"/>
        <v>0.99533122726800161</v>
      </c>
      <c r="G23" s="1">
        <f>1/(1+Summary!$O$2)^$C23</f>
        <v>0.35894236464095297</v>
      </c>
      <c r="H23" s="1">
        <f>IF(B23&gt;64, Summary!$J$6, 0)*'TV 5'!G23*'TV 5'!F23</f>
        <v>0</v>
      </c>
      <c r="I23" s="1"/>
    </row>
    <row r="24" spans="1:9">
      <c r="A24" s="1">
        <f t="shared" si="0"/>
        <v>2041</v>
      </c>
      <c r="B24" s="1">
        <f t="shared" si="1"/>
        <v>56</v>
      </c>
      <c r="C24" s="1">
        <v>22</v>
      </c>
      <c r="D24" s="1">
        <f>IF(Summary!$G$6="M",VLOOKUP(B:B,'male g'!A:V,IF(A24&gt;2033,22,MATCH(A24,'male g'!$A$1:$V$1,0)),FALSE),VLOOKUP(B:B,'female g'!A:V,IF(A24&gt;2033,22,MATCH(A24,'female g'!$A$1:$V$1,0)),FALSE))</f>
        <v>5.3066001918253454E-3</v>
      </c>
      <c r="E24" s="1">
        <f t="shared" si="2"/>
        <v>0.99469339980817462</v>
      </c>
      <c r="F24" s="1">
        <f t="shared" si="3"/>
        <v>0.99502396385950154</v>
      </c>
      <c r="G24" s="1">
        <f>1/(1+Summary!$O$2)^$C24</f>
        <v>0.3418498710866219</v>
      </c>
      <c r="H24" s="1">
        <f>IF(B24&gt;64, Summary!$J$6, 0)*'TV 5'!G24*'TV 5'!F24</f>
        <v>0</v>
      </c>
      <c r="I24" s="1"/>
    </row>
    <row r="25" spans="1:9">
      <c r="A25" s="1">
        <f t="shared" si="0"/>
        <v>2042</v>
      </c>
      <c r="B25" s="1">
        <f t="shared" si="1"/>
        <v>57</v>
      </c>
      <c r="C25" s="1">
        <v>23</v>
      </c>
      <c r="D25" s="1">
        <f>IF(Summary!$G$6="M",VLOOKUP(B:B,'male g'!A:V,IF(A25&gt;2033,22,MATCH(A25,'male g'!$A$1:$V$1,0)),FALSE),VLOOKUP(B:B,'female g'!A:V,IF(A25&gt;2033,22,MATCH(A25,'female g'!$A$1:$V$1,0)),FALSE))</f>
        <v>5.6627874947383543E-3</v>
      </c>
      <c r="E25" s="1">
        <f t="shared" si="2"/>
        <v>0.99433721250526164</v>
      </c>
      <c r="F25" s="1">
        <f t="shared" si="3"/>
        <v>0.99469339980817462</v>
      </c>
      <c r="G25" s="1">
        <f>1/(1+Summary!$O$2)^$C25</f>
        <v>0.32557130579678267</v>
      </c>
      <c r="H25" s="1">
        <f>IF(B25&gt;64, Summary!$J$6, 0)*'TV 5'!G25*'TV 5'!F25</f>
        <v>0</v>
      </c>
      <c r="I25" s="1"/>
    </row>
    <row r="26" spans="1:9">
      <c r="A26" s="1">
        <f t="shared" si="0"/>
        <v>2043</v>
      </c>
      <c r="B26" s="1">
        <f t="shared" si="1"/>
        <v>58</v>
      </c>
      <c r="C26" s="1">
        <v>24</v>
      </c>
      <c r="D26" s="1">
        <f>IF(Summary!$G$6="M",VLOOKUP(B:B,'male g'!A:V,IF(A26&gt;2033,22,MATCH(A26,'male g'!$A$1:$V$1,0)),FALSE),VLOOKUP(B:B,'female g'!A:V,IF(A26&gt;2033,22,MATCH(A26,'female g'!$A$1:$V$1,0)),FALSE))</f>
        <v>6.0512489492220572E-3</v>
      </c>
      <c r="E26" s="1">
        <f t="shared" si="2"/>
        <v>0.99394875105077796</v>
      </c>
      <c r="F26" s="1">
        <f t="shared" si="3"/>
        <v>0.99433721250526164</v>
      </c>
      <c r="G26" s="1">
        <f>1/(1+Summary!$O$2)^$C26</f>
        <v>0.31006791028265024</v>
      </c>
      <c r="H26" s="1">
        <f>IF(B26&gt;64, Summary!$J$6, 0)*'TV 5'!G26*'TV 5'!F26</f>
        <v>0</v>
      </c>
      <c r="I26" s="1"/>
    </row>
    <row r="27" spans="1:9">
      <c r="A27" s="1">
        <f t="shared" si="0"/>
        <v>2044</v>
      </c>
      <c r="B27" s="1">
        <f t="shared" si="1"/>
        <v>59</v>
      </c>
      <c r="C27" s="1">
        <v>25</v>
      </c>
      <c r="D27" s="1">
        <f>IF(Summary!$G$6="M",VLOOKUP(B:B,'male g'!A:V,IF(A27&gt;2033,22,MATCH(A27,'male g'!$A$1:$V$1,0)),FALSE),VLOOKUP(B:B,'female g'!A:V,IF(A27&gt;2033,22,MATCH(A27,'female g'!$A$1:$V$1,0)),FALSE))</f>
        <v>6.4741513414089766E-3</v>
      </c>
      <c r="E27" s="1">
        <f t="shared" si="2"/>
        <v>0.99352584865859106</v>
      </c>
      <c r="F27" s="1">
        <f t="shared" si="3"/>
        <v>0.99394875105077796</v>
      </c>
      <c r="G27" s="1">
        <f>1/(1+Summary!$O$2)^$C27</f>
        <v>0.29530277169776209</v>
      </c>
      <c r="H27" s="1">
        <f>IF(B27&gt;64, Summary!$J$6, 0)*'TV 5'!G27*'TV 5'!F27</f>
        <v>0</v>
      </c>
      <c r="I27" s="1"/>
    </row>
    <row r="28" spans="1:9">
      <c r="A28" s="1">
        <f t="shared" si="0"/>
        <v>2045</v>
      </c>
      <c r="B28" s="1">
        <f t="shared" si="1"/>
        <v>60</v>
      </c>
      <c r="C28" s="1">
        <v>26</v>
      </c>
      <c r="D28" s="1">
        <f>IF(Summary!$G$6="M",VLOOKUP(B:B,'male g'!A:V,IF(A28&gt;2033,22,MATCH(A28,'male g'!$A$1:$V$1,0)),FALSE),VLOOKUP(B:B,'female g'!A:V,IF(A28&gt;2033,22,MATCH(A28,'female g'!$A$1:$V$1,0)),FALSE))</f>
        <v>6.936066846596668E-3</v>
      </c>
      <c r="E28" s="1">
        <f t="shared" si="2"/>
        <v>0.99306393315340336</v>
      </c>
      <c r="F28" s="1">
        <f t="shared" si="3"/>
        <v>0.99352584865859106</v>
      </c>
      <c r="G28" s="1">
        <f>1/(1+Summary!$O$2)^$C28</f>
        <v>0.28124073495024959</v>
      </c>
      <c r="H28" s="1">
        <f>IF(B28&gt;64, Summary!$J$6, 0)*'TV 5'!G28*'TV 5'!F28</f>
        <v>0</v>
      </c>
      <c r="I28" s="1"/>
    </row>
    <row r="29" spans="1:9">
      <c r="A29" s="1">
        <f t="shared" si="0"/>
        <v>2046</v>
      </c>
      <c r="B29" s="1">
        <f t="shared" si="1"/>
        <v>61</v>
      </c>
      <c r="C29" s="1">
        <v>27</v>
      </c>
      <c r="D29" s="1">
        <f>IF(Summary!$G$6="M",VLOOKUP(B:B,'male g'!A:V,IF(A29&gt;2033,22,MATCH(A29,'male g'!$A$1:$V$1,0)),FALSE),VLOOKUP(B:B,'female g'!A:V,IF(A29&gt;2033,22,MATCH(A29,'female g'!$A$1:$V$1,0)),FALSE))</f>
        <v>7.4443231733826182E-3</v>
      </c>
      <c r="E29" s="1">
        <f t="shared" si="2"/>
        <v>0.99255567682661738</v>
      </c>
      <c r="F29" s="1">
        <f t="shared" si="3"/>
        <v>0.99306393315340336</v>
      </c>
      <c r="G29" s="1">
        <f>1/(1+Summary!$O$2)^$C29</f>
        <v>0.2678483190002377</v>
      </c>
      <c r="H29" s="1">
        <f>IF(B29&gt;64, Summary!$J$6, 0)*'TV 5'!G29*'TV 5'!F29</f>
        <v>0</v>
      </c>
      <c r="I29" s="1"/>
    </row>
    <row r="30" spans="1:9">
      <c r="A30" s="1">
        <f t="shared" si="0"/>
        <v>2047</v>
      </c>
      <c r="B30" s="1">
        <f t="shared" si="1"/>
        <v>62</v>
      </c>
      <c r="C30" s="1">
        <v>28</v>
      </c>
      <c r="D30" s="1">
        <f>IF(Summary!$G$6="M",VLOOKUP(B:B,'male g'!A:V,IF(A30&gt;2033,22,MATCH(A30,'male g'!$A$1:$V$1,0)),FALSE),VLOOKUP(B:B,'female g'!A:V,IF(A30&gt;2033,22,MATCH(A30,'female g'!$A$1:$V$1,0)),FALSE))</f>
        <v>7.9980591160673849E-3</v>
      </c>
      <c r="E30" s="1">
        <f t="shared" si="2"/>
        <v>0.99200194088393256</v>
      </c>
      <c r="F30" s="1">
        <f t="shared" si="3"/>
        <v>0.99255567682661738</v>
      </c>
      <c r="G30" s="1">
        <f>1/(1+Summary!$O$2)^$C30</f>
        <v>0.25509363714308358</v>
      </c>
      <c r="H30" s="1">
        <f>IF(B30&gt;64, Summary!$J$6, 0)*'TV 5'!G30*'TV 5'!F30</f>
        <v>0</v>
      </c>
      <c r="I30" s="1"/>
    </row>
    <row r="31" spans="1:9">
      <c r="A31" s="1">
        <f t="shared" si="0"/>
        <v>2048</v>
      </c>
      <c r="B31" s="1">
        <f t="shared" si="1"/>
        <v>63</v>
      </c>
      <c r="C31" s="1">
        <v>29</v>
      </c>
      <c r="D31" s="1">
        <f>IF(Summary!$G$6="M",VLOOKUP(B:B,'male g'!A:V,IF(A31&gt;2033,22,MATCH(A31,'male g'!$A$1:$V$1,0)),FALSE),VLOOKUP(B:B,'female g'!A:V,IF(A31&gt;2033,22,MATCH(A31,'female g'!$A$1:$V$1,0)),FALSE))</f>
        <v>8.6003126935298747E-3</v>
      </c>
      <c r="E31" s="1">
        <f t="shared" si="2"/>
        <v>0.9913996873064701</v>
      </c>
      <c r="F31" s="1">
        <f t="shared" si="3"/>
        <v>0.99200194088393256</v>
      </c>
      <c r="G31" s="1">
        <f>1/(1+Summary!$O$2)^$C31</f>
        <v>0.24294632108865097</v>
      </c>
      <c r="H31" s="1">
        <f>IF(B31&gt;64, Summary!$J$6, 0)*'TV 5'!G31*'TV 5'!F31</f>
        <v>0</v>
      </c>
      <c r="I31" s="1"/>
    </row>
    <row r="32" spans="1:9">
      <c r="A32" s="1">
        <f t="shared" si="0"/>
        <v>2049</v>
      </c>
      <c r="B32" s="1">
        <f t="shared" si="1"/>
        <v>64</v>
      </c>
      <c r="C32" s="1">
        <v>30</v>
      </c>
      <c r="D32" s="1">
        <f>IF(Summary!$G$6="M",VLOOKUP(B:B,'male g'!A:V,IF(A32&gt;2033,22,MATCH(A32,'male g'!$A$1:$V$1,0)),FALSE),VLOOKUP(B:B,'female g'!A:V,IF(A32&gt;2033,22,MATCH(A32,'female g'!$A$1:$V$1,0)),FALSE))</f>
        <v>9.2613902762817488E-3</v>
      </c>
      <c r="E32" s="1">
        <f t="shared" si="2"/>
        <v>0.9907386097237183</v>
      </c>
      <c r="F32" s="1">
        <f t="shared" si="3"/>
        <v>0.9913996873064701</v>
      </c>
      <c r="G32" s="1">
        <f>1/(1+Summary!$O$2)^$C32</f>
        <v>0.23137744865585813</v>
      </c>
      <c r="H32" s="1">
        <f>IF(B32&gt;64, Summary!$J$6, 0)*'TV 5'!G32*'TV 5'!F32</f>
        <v>0</v>
      </c>
      <c r="I32" s="1"/>
    </row>
    <row r="33" spans="1:9">
      <c r="A33" s="1">
        <f t="shared" si="0"/>
        <v>2050</v>
      </c>
      <c r="B33" s="1">
        <f t="shared" si="1"/>
        <v>65</v>
      </c>
      <c r="C33" s="1">
        <v>31</v>
      </c>
      <c r="D33" s="1">
        <f>IF(Summary!$G$6="M",VLOOKUP(B:B,'male g'!A:V,IF(A33&gt;2033,22,MATCH(A33,'male g'!$A$1:$V$1,0)),FALSE),VLOOKUP(B:B,'female g'!A:V,IF(A33&gt;2033,22,MATCH(A33,'female g'!$A$1:$V$1,0)),FALSE))</f>
        <v>9.9822267063302775E-3</v>
      </c>
      <c r="E33" s="1">
        <f t="shared" si="2"/>
        <v>0.99001777329366969</v>
      </c>
      <c r="F33" s="1">
        <f t="shared" si="3"/>
        <v>0.9907386097237183</v>
      </c>
      <c r="G33" s="1">
        <f>1/(1+Summary!$O$2)^$C33</f>
        <v>0.220359474910341</v>
      </c>
      <c r="H33" s="1">
        <f>IF(B33&gt;64, Summary!$J$6, 0)*'TV 5'!G33*'TV 5'!F33</f>
        <v>2709.7116028357691</v>
      </c>
      <c r="I33" s="1"/>
    </row>
    <row r="34" spans="1:9">
      <c r="A34" s="1">
        <f t="shared" si="0"/>
        <v>2051</v>
      </c>
      <c r="B34" s="1">
        <f t="shared" si="1"/>
        <v>66</v>
      </c>
      <c r="C34" s="1">
        <v>32</v>
      </c>
      <c r="D34" s="1">
        <f>IF(Summary!$G$6="M",VLOOKUP(B:B,'male g'!A:V,IF(A34&gt;2033,22,MATCH(A34,'male g'!$A$1:$V$1,0)),FALSE),VLOOKUP(B:B,'female g'!A:V,IF(A34&gt;2033,22,MATCH(A34,'female g'!$A$1:$V$1,0)),FALSE))</f>
        <v>1.0770988448590023E-2</v>
      </c>
      <c r="E34" s="1">
        <f t="shared" si="2"/>
        <v>0.98922901155140996</v>
      </c>
      <c r="F34" s="1">
        <f t="shared" si="3"/>
        <v>0.99001777329366969</v>
      </c>
      <c r="G34" s="1">
        <f>1/(1+Summary!$O$2)^$C34</f>
        <v>0.20986616658127716</v>
      </c>
      <c r="H34" s="1">
        <f>IF(B34&gt;64, Summary!$J$6, 0)*'TV 5'!G34*'TV 5'!F34</f>
        <v>2578.8000809537325</v>
      </c>
      <c r="I34" s="1"/>
    </row>
    <row r="35" spans="1:9">
      <c r="A35" s="1">
        <f>$A$2+C35</f>
        <v>2052</v>
      </c>
      <c r="B35" s="1">
        <f>$B$2+C35</f>
        <v>67</v>
      </c>
      <c r="C35" s="1">
        <v>33</v>
      </c>
      <c r="D35" s="1">
        <f>IF(Summary!$G$6="M",VLOOKUP(B:B,'male g'!A:V,IF(A35&gt;2033,22,MATCH(A35,'male g'!$A$1:$V$1,0)),FALSE),VLOOKUP(B:B,'female g'!A:V,IF(A35&gt;2033,22,MATCH(A35,'female g'!$A$1:$V$1,0)),FALSE))</f>
        <v>1.1633181958479108E-2</v>
      </c>
      <c r="E35" s="1">
        <f t="shared" si="2"/>
        <v>0.98836681804152093</v>
      </c>
      <c r="F35" s="1">
        <f t="shared" si="3"/>
        <v>0.98922901155140996</v>
      </c>
      <c r="G35" s="1">
        <f>1/(1+Summary!$O$2)^$C35</f>
        <v>0.19987253960121634</v>
      </c>
      <c r="H35" s="1">
        <f>IF(B35&gt;64, Summary!$J$6, 0)*'TV 5'!G35*'TV 5'!F35</f>
        <v>2454.0433456621872</v>
      </c>
      <c r="I35" s="1"/>
    </row>
    <row r="36" spans="1:9">
      <c r="A36" s="1">
        <f t="shared" ref="A36:A47" si="4">$A$2+C36</f>
        <v>2053</v>
      </c>
      <c r="B36" s="1">
        <f t="shared" si="1"/>
        <v>68</v>
      </c>
      <c r="C36" s="1">
        <v>34</v>
      </c>
      <c r="D36" s="1">
        <f>IF(Summary!$G$6="M",VLOOKUP(B:B,'male g'!A:V,IF(A36&gt;2033,22,MATCH(A36,'male g'!$A$1:$V$1,0)),FALSE),VLOOKUP(B:B,'female g'!A:V,IF(A36&gt;2033,22,MATCH(A36,'female g'!$A$1:$V$1,0)),FALSE))</f>
        <v>1.2580700369048322E-2</v>
      </c>
      <c r="E36" s="1">
        <f t="shared" si="2"/>
        <v>0.98741929963095165</v>
      </c>
      <c r="F36" s="1">
        <f t="shared" si="3"/>
        <v>0.98836681804152093</v>
      </c>
      <c r="G36" s="1">
        <f>1/(1+Summary!$O$2)^$C36</f>
        <v>0.19035479962020604</v>
      </c>
      <c r="H36" s="1">
        <f>IF(B36&gt;64, Summary!$J$6, 0)*'TV 5'!G36*'TV 5'!F36</f>
        <v>2335.1470927311893</v>
      </c>
      <c r="I36" s="1"/>
    </row>
    <row r="37" spans="1:9">
      <c r="A37" s="1">
        <f t="shared" si="4"/>
        <v>2054</v>
      </c>
      <c r="B37" s="1">
        <f t="shared" si="1"/>
        <v>69</v>
      </c>
      <c r="C37" s="1">
        <v>35</v>
      </c>
      <c r="D37" s="1">
        <f>IF(Summary!$G$6="M",VLOOKUP(B:B,'male g'!A:V,IF(A37&gt;2033,22,MATCH(A37,'male g'!$A$1:$V$1,0)),FALSE),VLOOKUP(B:B,'female g'!A:V,IF(A37&gt;2033,22,MATCH(A37,'female g'!$A$1:$V$1,0)),FALSE))</f>
        <v>1.3626686177724836E-2</v>
      </c>
      <c r="E37" s="1">
        <f t="shared" si="2"/>
        <v>0.98637331382227511</v>
      </c>
      <c r="F37" s="1">
        <f t="shared" si="3"/>
        <v>0.98741929963095165</v>
      </c>
      <c r="G37" s="1">
        <f>1/(1+Summary!$O$2)^$C37</f>
        <v>0.18129028535257716</v>
      </c>
      <c r="H37" s="1">
        <f>IF(B37&gt;64, Summary!$J$6, 0)*'TV 5'!G37*'TV 5'!F37</f>
        <v>2221.817576565672</v>
      </c>
      <c r="I37" s="1"/>
    </row>
    <row r="38" spans="1:9">
      <c r="A38" s="1">
        <f t="shared" si="4"/>
        <v>2055</v>
      </c>
      <c r="B38" s="1">
        <f t="shared" si="1"/>
        <v>70</v>
      </c>
      <c r="C38" s="1">
        <v>36</v>
      </c>
      <c r="D38" s="1">
        <f>IF(Summary!$G$6="M",VLOOKUP(B:B,'male g'!A:V,IF(A38&gt;2033,22,MATCH(A38,'male g'!$A$1:$V$1,0)),FALSE),VLOOKUP(B:B,'female g'!A:V,IF(A38&gt;2033,22,MATCH(A38,'female g'!$A$1:$V$1,0)),FALSE))</f>
        <v>1.4793079982031035E-2</v>
      </c>
      <c r="E38" s="1">
        <f t="shared" si="2"/>
        <v>0.98520692001796895</v>
      </c>
      <c r="F38" s="1">
        <f t="shared" si="3"/>
        <v>0.98637331382227511</v>
      </c>
      <c r="G38" s="1">
        <f>1/(1+Summary!$O$2)^$C38</f>
        <v>0.17265741462150208</v>
      </c>
      <c r="H38" s="1">
        <f>IF(B38&gt;64, Summary!$J$6, 0)*'TV 5'!G38*'TV 5'!F38</f>
        <v>2113.7752161713711</v>
      </c>
      <c r="I38" s="1"/>
    </row>
    <row r="39" spans="1:9">
      <c r="A39" s="1">
        <f t="shared" si="4"/>
        <v>2056</v>
      </c>
      <c r="B39" s="1">
        <f t="shared" si="1"/>
        <v>71</v>
      </c>
      <c r="C39" s="1">
        <v>37</v>
      </c>
      <c r="D39" s="1">
        <f>IF(Summary!$G$6="M",VLOOKUP(B:B,'male g'!A:V,IF(A39&gt;2033,22,MATCH(A39,'male g'!$A$1:$V$1,0)),FALSE),VLOOKUP(B:B,'female g'!A:V,IF(A39&gt;2033,22,MATCH(A39,'female g'!$A$1:$V$1,0)),FALSE))</f>
        <v>1.6081052063459764E-2</v>
      </c>
      <c r="E39" s="1">
        <f t="shared" si="2"/>
        <v>0.98391894793654022</v>
      </c>
      <c r="F39" s="1">
        <f t="shared" si="3"/>
        <v>0.98520692001796895</v>
      </c>
      <c r="G39" s="1">
        <f>1/(1+Summary!$O$2)^$C39</f>
        <v>0.1644356329728591</v>
      </c>
      <c r="H39" s="1">
        <f>IF(B39&gt;64, Summary!$J$6, 0)*'TV 5'!G39*'TV 5'!F39</f>
        <v>2010.7387249565845</v>
      </c>
      <c r="I39" s="1"/>
    </row>
    <row r="40" spans="1:9">
      <c r="A40" s="1">
        <f t="shared" si="4"/>
        <v>2057</v>
      </c>
      <c r="B40" s="1">
        <f t="shared" si="1"/>
        <v>72</v>
      </c>
      <c r="C40" s="1">
        <v>38</v>
      </c>
      <c r="D40" s="1">
        <f>IF(Summary!$G$6="M",VLOOKUP(B:B,'male g'!A:V,IF(A40&gt;2033,22,MATCH(A40,'male g'!$A$1:$V$1,0)),FALSE),VLOOKUP(B:B,'female g'!A:V,IF(A40&gt;2033,22,MATCH(A40,'female g'!$A$1:$V$1,0)),FALSE))</f>
        <v>1.7512751333317752E-2</v>
      </c>
      <c r="E40" s="1">
        <f t="shared" si="2"/>
        <v>0.98248724866668224</v>
      </c>
      <c r="F40" s="1">
        <f t="shared" si="3"/>
        <v>0.98391894793654022</v>
      </c>
      <c r="G40" s="1">
        <f>1/(1+Summary!$O$2)^$C40</f>
        <v>0.15660536473605632</v>
      </c>
      <c r="H40" s="1">
        <f>IF(B40&gt;64, Summary!$J$6, 0)*'TV 5'!G40*'TV 5'!F40</f>
        <v>1912.4857748746397</v>
      </c>
      <c r="I40" s="1"/>
    </row>
    <row r="41" spans="1:9">
      <c r="A41" s="1">
        <f t="shared" si="4"/>
        <v>2058</v>
      </c>
      <c r="B41" s="1">
        <f t="shared" si="1"/>
        <v>73</v>
      </c>
      <c r="C41" s="1">
        <v>39</v>
      </c>
      <c r="D41" s="1">
        <f>IF(Summary!$G$6="M",VLOOKUP(B:B,'male g'!A:V,IF(A41&gt;2033,22,MATCH(A41,'male g'!$A$1:$V$1,0)),FALSE),VLOOKUP(B:B,'female g'!A:V,IF(A41&gt;2033,22,MATCH(A41,'female g'!$A$1:$V$1,0)),FALSE))</f>
        <v>1.9108502444741413E-2</v>
      </c>
      <c r="E41" s="1">
        <f t="shared" si="2"/>
        <v>0.98089149755525862</v>
      </c>
      <c r="F41" s="1">
        <f t="shared" si="3"/>
        <v>0.98248724866668224</v>
      </c>
      <c r="G41" s="1">
        <f>1/(1+Summary!$O$2)^$C41</f>
        <v>0.14914796641529171</v>
      </c>
      <c r="H41" s="1">
        <f>IF(B41&gt;64, Summary!$J$6, 0)*'TV 5'!G41*'TV 5'!F41</f>
        <v>1818.764684894448</v>
      </c>
      <c r="I41" s="1"/>
    </row>
    <row r="42" spans="1:9">
      <c r="A42" s="1">
        <f t="shared" si="4"/>
        <v>2059</v>
      </c>
      <c r="B42" s="1">
        <f t="shared" si="1"/>
        <v>74</v>
      </c>
      <c r="C42" s="1">
        <v>40</v>
      </c>
      <c r="D42" s="1">
        <f>IF(Summary!$G$6="M",VLOOKUP(B:B,'male g'!A:V,IF(A42&gt;2033,22,MATCH(A42,'male g'!$A$1:$V$1,0)),FALSE),VLOOKUP(B:B,'female g'!A:V,IF(A42&gt;2033,22,MATCH(A42,'female g'!$A$1:$V$1,0)),FALSE))</f>
        <v>2.0891078905760852E-2</v>
      </c>
      <c r="E42" s="1">
        <f t="shared" si="2"/>
        <v>0.97910892109423919</v>
      </c>
      <c r="F42" s="1">
        <f t="shared" si="3"/>
        <v>0.98089149755525862</v>
      </c>
      <c r="G42" s="1">
        <f>1/(1+Summary!$O$2)^$C42</f>
        <v>0.14204568230027784</v>
      </c>
      <c r="H42" s="1">
        <f>IF(B42&gt;64, Summary!$J$6, 0)*'TV 5'!G42*'TV 5'!F42</f>
        <v>1729.3434818598321</v>
      </c>
      <c r="I42" s="1"/>
    </row>
    <row r="43" spans="1:9">
      <c r="A43" s="1">
        <f t="shared" si="4"/>
        <v>2060</v>
      </c>
      <c r="B43" s="1">
        <f t="shared" si="1"/>
        <v>75</v>
      </c>
      <c r="C43" s="1">
        <v>41</v>
      </c>
      <c r="D43" s="1">
        <f>IF(Summary!$G$6="M",VLOOKUP(B:B,'male g'!A:V,IF(A43&gt;2033,22,MATCH(A43,'male g'!$A$1:$V$1,0)),FALSE),VLOOKUP(B:B,'female g'!A:V,IF(A43&gt;2033,22,MATCH(A43,'female g'!$A$1:$V$1,0)),FALSE))</f>
        <v>2.289528896934603E-2</v>
      </c>
      <c r="E43" s="1">
        <f t="shared" si="2"/>
        <v>0.97710471103065399</v>
      </c>
      <c r="F43" s="1">
        <f t="shared" si="3"/>
        <v>0.97910892109423919</v>
      </c>
      <c r="G43" s="1">
        <f>1/(1+Summary!$O$2)^$C43</f>
        <v>0.13528160219074079</v>
      </c>
      <c r="H43" s="1">
        <f>IF(B43&gt;64, Summary!$J$6, 0)*'TV 5'!G43*'TV 5'!F43</f>
        <v>1644.0007064955457</v>
      </c>
      <c r="I43" s="1"/>
    </row>
    <row r="44" spans="1:9">
      <c r="A44" s="1">
        <f t="shared" si="4"/>
        <v>2061</v>
      </c>
      <c r="B44" s="1">
        <f t="shared" si="1"/>
        <v>76</v>
      </c>
      <c r="C44" s="1">
        <v>42</v>
      </c>
      <c r="D44" s="1">
        <f>IF(Summary!$G$6="M",VLOOKUP(B:B,'male g'!A:V,IF(A44&gt;2033,22,MATCH(A44,'male g'!$A$1:$V$1,0)),FALSE),VLOOKUP(B:B,'female g'!A:V,IF(A44&gt;2033,22,MATCH(A44,'female g'!$A$1:$V$1,0)),FALSE))</f>
        <v>2.513765115831567E-2</v>
      </c>
      <c r="E44" s="1">
        <f t="shared" si="2"/>
        <v>0.97486234884168432</v>
      </c>
      <c r="F44" s="1">
        <f t="shared" si="3"/>
        <v>0.97710471103065399</v>
      </c>
      <c r="G44" s="1">
        <f>1/(1+Summary!$O$2)^$C44</f>
        <v>0.12883962113403885</v>
      </c>
      <c r="H44" s="1">
        <f>IF(B44&gt;64, Summary!$J$6, 0)*'TV 5'!G44*'TV 5'!F44</f>
        <v>1562.5099814609018</v>
      </c>
      <c r="I44" s="1"/>
    </row>
    <row r="45" spans="1:9">
      <c r="A45" s="1">
        <f t="shared" si="4"/>
        <v>2062</v>
      </c>
      <c r="B45" s="1">
        <f t="shared" si="1"/>
        <v>77</v>
      </c>
      <c r="C45" s="1">
        <v>43</v>
      </c>
      <c r="D45" s="1">
        <f>IF(Summary!$G$6="M",VLOOKUP(B:B,'male g'!A:V,IF(A45&gt;2033,22,MATCH(A45,'male g'!$A$1:$V$1,0)),FALSE),VLOOKUP(B:B,'female g'!A:V,IF(A45&gt;2033,22,MATCH(A45,'female g'!$A$1:$V$1,0)),FALSE))</f>
        <v>2.7677948896305107E-2</v>
      </c>
      <c r="E45" s="1">
        <f t="shared" si="2"/>
        <v>0.97232205110369485</v>
      </c>
      <c r="F45" s="1">
        <f t="shared" si="3"/>
        <v>0.97486234884168432</v>
      </c>
      <c r="G45" s="1">
        <f>1/(1+Summary!$O$2)^$C45</f>
        <v>0.12270440108003698</v>
      </c>
      <c r="H45" s="1">
        <f>IF(B45&gt;64, Summary!$J$6, 0)*'TV 5'!G45*'TV 5'!F45</f>
        <v>1484.689685684069</v>
      </c>
      <c r="I45" s="1"/>
    </row>
    <row r="46" spans="1:9">
      <c r="A46" s="1">
        <f t="shared" si="4"/>
        <v>2063</v>
      </c>
      <c r="B46" s="1">
        <f t="shared" si="1"/>
        <v>78</v>
      </c>
      <c r="C46" s="1">
        <v>44</v>
      </c>
      <c r="D46" s="1">
        <f>IF(Summary!$G$6="M",VLOOKUP(B:B,'male g'!A:V,IF(A46&gt;2033,22,MATCH(A46,'male g'!$A$1:$V$1,0)),FALSE),VLOOKUP(B:B,'female g'!A:V,IF(A46&gt;2033,22,MATCH(A46,'female g'!$A$1:$V$1,0)),FALSE))</f>
        <v>3.0545666614171758E-2</v>
      </c>
      <c r="E46" s="1">
        <f t="shared" si="2"/>
        <v>0.9694543333858282</v>
      </c>
      <c r="F46" s="1">
        <f t="shared" si="3"/>
        <v>0.97232205110369485</v>
      </c>
      <c r="G46" s="1">
        <f>1/(1+Summary!$O$2)^$C46</f>
        <v>0.11686133436193999</v>
      </c>
      <c r="H46" s="1">
        <f>IF(B46&gt;64, Summary!$J$6, 0)*'TV 5'!G46*'TV 5'!F46</f>
        <v>1410.3055991659132</v>
      </c>
      <c r="I46" s="1"/>
    </row>
    <row r="47" spans="1:9">
      <c r="A47" s="1">
        <f t="shared" si="4"/>
        <v>2064</v>
      </c>
      <c r="B47" s="1">
        <f t="shared" si="1"/>
        <v>79</v>
      </c>
      <c r="C47" s="1">
        <v>45</v>
      </c>
      <c r="D47" s="1">
        <f>IF(Summary!$G$6="M",VLOOKUP(B:B,'male g'!A:V,IF(A47&gt;2033,22,MATCH(A47,'male g'!$A$1:$V$1,0)),FALSE),VLOOKUP(B:B,'female g'!A:V,IF(A47&gt;2033,22,MATCH(A47,'female g'!$A$1:$V$1,0)),FALSE))</f>
        <v>3.3801426006075351E-2</v>
      </c>
      <c r="E47" s="1">
        <f t="shared" si="2"/>
        <v>0.96619857399392461</v>
      </c>
      <c r="F47" s="1">
        <f t="shared" si="3"/>
        <v>0.9694543333858282</v>
      </c>
      <c r="G47" s="1">
        <f>1/(1+Summary!$O$2)^$C47</f>
        <v>0.1112965089161333</v>
      </c>
      <c r="H47" s="1">
        <f>IF(B47&gt;64, Summary!$J$6, 0)*'TV 5'!G47*'TV 5'!F47</f>
        <v>1339.1867760155383</v>
      </c>
      <c r="I47" s="1"/>
    </row>
    <row r="48" spans="1:9">
      <c r="A48" s="1">
        <f>$A$2+C48</f>
        <v>2065</v>
      </c>
      <c r="B48" s="1">
        <f>$B$2+C48</f>
        <v>80</v>
      </c>
      <c r="C48" s="1">
        <v>46</v>
      </c>
      <c r="D48" s="1">
        <f>IF(Summary!$G$6="M",VLOOKUP(B:B,'male g'!A:V,IF(A48&gt;2033,22,MATCH(A48,'male g'!$A$1:$V$1,0)),FALSE),VLOOKUP(B:B,'female g'!A:V,IF(A48&gt;2033,22,MATCH(A48,'female g'!$A$1:$V$1,0)),FALSE))</f>
        <v>3.7482908060753731E-2</v>
      </c>
      <c r="E48" s="1">
        <f t="shared" si="2"/>
        <v>0.96251709193924628</v>
      </c>
      <c r="F48" s="1">
        <f t="shared" si="3"/>
        <v>0.96619857399392461</v>
      </c>
      <c r="G48" s="1">
        <f>1/(1+Summary!$O$2)^$C48</f>
        <v>0.10599667515822221</v>
      </c>
      <c r="H48" s="1">
        <f>IF(B48&gt;64, Summary!$J$6, 0)*'TV 5'!G48*'TV 5'!F48</f>
        <v>1271.1326938680627</v>
      </c>
      <c r="I48" s="1"/>
    </row>
    <row r="49" spans="1:9">
      <c r="A49" s="1">
        <f t="shared" ref="A49:A73" si="5">$A$2+C49</f>
        <v>2066</v>
      </c>
      <c r="B49" s="1">
        <f t="shared" si="1"/>
        <v>81</v>
      </c>
      <c r="C49" s="1">
        <v>47</v>
      </c>
      <c r="D49" s="1">
        <f>IF(Summary!$G$6="M",VLOOKUP(B:B,'male g'!A:V,IF(A49&gt;2033,22,MATCH(A49,'male g'!$A$1:$V$1,0)),FALSE),VLOOKUP(B:B,'female g'!A:V,IF(A49&gt;2033,22,MATCH(A49,'female g'!$A$1:$V$1,0)),FALSE))</f>
        <v>4.1692652240478641E-2</v>
      </c>
      <c r="E49" s="1">
        <f t="shared" si="2"/>
        <v>0.95830734775952131</v>
      </c>
      <c r="F49" s="1">
        <f t="shared" si="3"/>
        <v>0.96251709193924628</v>
      </c>
      <c r="G49" s="1">
        <f>1/(1+Summary!$O$2)^$C49</f>
        <v>0.10094921443640208</v>
      </c>
      <c r="H49" s="1">
        <f>IF(B49&gt;64, Summary!$J$6, 0)*'TV 5'!G49*'TV 5'!F49</f>
        <v>1205.9898371697311</v>
      </c>
      <c r="I49" s="1"/>
    </row>
    <row r="50" spans="1:9">
      <c r="A50" s="1">
        <f t="shared" si="5"/>
        <v>2067</v>
      </c>
      <c r="B50" s="1">
        <f t="shared" si="1"/>
        <v>82</v>
      </c>
      <c r="C50" s="1">
        <v>48</v>
      </c>
      <c r="D50" s="1">
        <f>IF(Summary!$G$6="M",VLOOKUP(B:B,'male g'!A:V,IF(A50&gt;2033,22,MATCH(A50,'male g'!$A$1:$V$1,0)),FALSE),VLOOKUP(B:B,'female g'!A:V,IF(A50&gt;2033,22,MATCH(A50,'female g'!$A$1:$V$1,0)),FALSE))</f>
        <v>4.6458269197024199E-2</v>
      </c>
      <c r="E50" s="1">
        <f t="shared" si="2"/>
        <v>0.95354173080297577</v>
      </c>
      <c r="F50" s="1">
        <f t="shared" si="3"/>
        <v>0.95830734775952131</v>
      </c>
      <c r="G50" s="1">
        <f>1/(1+Summary!$O$2)^$C50</f>
        <v>9.6142108987049613E-2</v>
      </c>
      <c r="H50" s="1">
        <f>IF(B50&gt;64, Summary!$J$6, 0)*'TV 5'!G50*'TV 5'!F50</f>
        <v>1143.5383052383045</v>
      </c>
      <c r="I50" s="1"/>
    </row>
    <row r="51" spans="1:9">
      <c r="A51" s="1">
        <f t="shared" si="5"/>
        <v>2068</v>
      </c>
      <c r="B51" s="1">
        <f t="shared" si="1"/>
        <v>83</v>
      </c>
      <c r="C51" s="1">
        <v>49</v>
      </c>
      <c r="D51" s="1">
        <f>IF(Summary!$G$6="M",VLOOKUP(B:B,'male g'!A:V,IF(A51&gt;2033,22,MATCH(A51,'male g'!$A$1:$V$1,0)),FALSE),VLOOKUP(B:B,'female g'!A:V,IF(A51&gt;2033,22,MATCH(A51,'female g'!$A$1:$V$1,0)),FALSE))</f>
        <v>5.1882087565112409E-2</v>
      </c>
      <c r="E51" s="1">
        <f t="shared" si="2"/>
        <v>0.94811791243488763</v>
      </c>
      <c r="F51" s="1">
        <f t="shared" si="3"/>
        <v>0.95354173080297577</v>
      </c>
      <c r="G51" s="1">
        <f>1/(1+Summary!$O$2)^$C51</f>
        <v>9.1563913320999626E-2</v>
      </c>
      <c r="H51" s="1">
        <f>IF(B51&gt;64, Summary!$J$6, 0)*'TV 5'!G51*'TV 5'!F51</f>
        <v>1083.6681366874093</v>
      </c>
      <c r="I51" s="1"/>
    </row>
    <row r="52" spans="1:9">
      <c r="A52" s="1">
        <f t="shared" si="5"/>
        <v>2069</v>
      </c>
      <c r="B52" s="1">
        <f t="shared" si="1"/>
        <v>84</v>
      </c>
      <c r="C52" s="1">
        <v>50</v>
      </c>
      <c r="D52" s="1">
        <f>IF(Summary!$G$6="M",VLOOKUP(B:B,'male g'!A:V,IF(A52&gt;2033,22,MATCH(A52,'male g'!$A$1:$V$1,0)),FALSE),VLOOKUP(B:B,'female g'!A:V,IF(A52&gt;2033,22,MATCH(A52,'female g'!$A$1:$V$1,0)),FALSE))</f>
        <v>5.8015339398571217E-2</v>
      </c>
      <c r="E52" s="1">
        <f t="shared" si="2"/>
        <v>0.94198466060142882</v>
      </c>
      <c r="F52" s="1">
        <f t="shared" si="3"/>
        <v>0.94811791243488763</v>
      </c>
      <c r="G52" s="1">
        <f>1/(1+Summary!$O$2)^$C52</f>
        <v>8.7203726972380588E-2</v>
      </c>
      <c r="H52" s="1">
        <f>IF(B52&gt;64, Summary!$J$6, 0)*'TV 5'!G52*'TV 5'!F52</f>
        <v>1026.1944279620532</v>
      </c>
      <c r="I52" s="1"/>
    </row>
    <row r="53" spans="1:9">
      <c r="A53" s="1">
        <f t="shared" si="5"/>
        <v>2070</v>
      </c>
      <c r="B53" s="1">
        <f t="shared" si="1"/>
        <v>85</v>
      </c>
      <c r="C53" s="1">
        <v>51</v>
      </c>
      <c r="D53" s="1">
        <f>IF(Summary!$G$6="M",VLOOKUP(B:B,'male g'!A:V,IF(A53&gt;2033,22,MATCH(A53,'male g'!$A$1:$V$1,0)),FALSE),VLOOKUP(B:B,'female g'!A:V,IF(A53&gt;2033,22,MATCH(A53,'female g'!$A$1:$V$1,0)),FALSE))</f>
        <v>6.4965454874702594E-2</v>
      </c>
      <c r="E53" s="1">
        <f t="shared" si="2"/>
        <v>0.93503454512529738</v>
      </c>
      <c r="F53" s="1">
        <f t="shared" si="3"/>
        <v>0.94198466060142882</v>
      </c>
      <c r="G53" s="1">
        <f>1/(1+Summary!$O$2)^$C53</f>
        <v>8.3051168545124371E-2</v>
      </c>
      <c r="H53" s="1">
        <f>IF(B53&gt;64, Summary!$J$6, 0)*'TV 5'!G53*'TV 5'!F53</f>
        <v>971.00581835600042</v>
      </c>
      <c r="I53" s="1"/>
    </row>
    <row r="54" spans="1:9">
      <c r="A54" s="1">
        <f t="shared" si="5"/>
        <v>2071</v>
      </c>
      <c r="B54" s="1">
        <f t="shared" si="1"/>
        <v>86</v>
      </c>
      <c r="C54" s="1">
        <v>52</v>
      </c>
      <c r="D54" s="1">
        <f>IF(Summary!$G$6="M",VLOOKUP(B:B,'male g'!A:V,IF(A54&gt;2033,22,MATCH(A54,'male g'!$A$1:$V$1,0)),FALSE),VLOOKUP(B:B,'female g'!A:V,IF(A54&gt;2033,22,MATCH(A54,'female g'!$A$1:$V$1,0)),FALSE))</f>
        <v>7.2903222964449149E-2</v>
      </c>
      <c r="E54" s="1">
        <f t="shared" si="2"/>
        <v>0.92709677703555082</v>
      </c>
      <c r="F54" s="1">
        <f t="shared" si="3"/>
        <v>0.93503454512529738</v>
      </c>
      <c r="G54" s="1">
        <f>1/(1+Summary!$O$2)^$C54</f>
        <v>7.9096350995356543E-2</v>
      </c>
      <c r="H54" s="1">
        <f>IF(B54&gt;64, Summary!$J$6, 0)*'TV 5'!G54*'TV 5'!F54</f>
        <v>917.94436197621701</v>
      </c>
      <c r="I54" s="1"/>
    </row>
    <row r="55" spans="1:9">
      <c r="A55" s="1">
        <f t="shared" si="5"/>
        <v>2072</v>
      </c>
      <c r="B55" s="1">
        <f t="shared" si="1"/>
        <v>87</v>
      </c>
      <c r="C55" s="1">
        <v>53</v>
      </c>
      <c r="D55" s="1">
        <f>IF(Summary!$G$6="M",VLOOKUP(B:B,'male g'!A:V,IF(A55&gt;2033,22,MATCH(A55,'male g'!$A$1:$V$1,0)),FALSE),VLOOKUP(B:B,'female g'!A:V,IF(A55&gt;2033,22,MATCH(A55,'female g'!$A$1:$V$1,0)),FALSE))</f>
        <v>8.1848520672112443E-2</v>
      </c>
      <c r="E55" s="1">
        <f t="shared" si="2"/>
        <v>0.91815147932788754</v>
      </c>
      <c r="F55" s="1">
        <f t="shared" si="3"/>
        <v>0.92709677703555082</v>
      </c>
      <c r="G55" s="1">
        <f>1/(1+Summary!$O$2)^$C55</f>
        <v>7.5329858090815757E-2</v>
      </c>
      <c r="H55" s="1">
        <f>IF(B55&gt;64, Summary!$J$6, 0)*'TV 5'!G55*'TV 5'!F55</f>
        <v>866.81112114324151</v>
      </c>
      <c r="I55" s="1"/>
    </row>
    <row r="56" spans="1:9">
      <c r="A56" s="1">
        <f t="shared" si="5"/>
        <v>2073</v>
      </c>
      <c r="B56" s="1">
        <f t="shared" si="1"/>
        <v>88</v>
      </c>
      <c r="C56" s="1">
        <v>54</v>
      </c>
      <c r="D56" s="1">
        <f>IF(Summary!$G$6="M",VLOOKUP(B:B,'male g'!A:V,IF(A56&gt;2033,22,MATCH(A56,'male g'!$A$1:$V$1,0)),FALSE),VLOOKUP(B:B,'female g'!A:V,IF(A56&gt;2033,22,MATCH(A56,'female g'!$A$1:$V$1,0)),FALSE))</f>
        <v>9.1889133554378416E-2</v>
      </c>
      <c r="E56" s="1">
        <f t="shared" si="2"/>
        <v>0.90811086644562156</v>
      </c>
      <c r="F56" s="1">
        <f t="shared" si="3"/>
        <v>0.91815147932788754</v>
      </c>
      <c r="G56" s="1">
        <f>1/(1+Summary!$O$2)^$C56</f>
        <v>7.1742721991253117E-2</v>
      </c>
      <c r="H56" s="1">
        <f>IF(B56&gt;64, Summary!$J$6, 0)*'TV 5'!G56*'TV 5'!F56</f>
        <v>817.56905036320677</v>
      </c>
      <c r="I56" s="1"/>
    </row>
    <row r="57" spans="1:9">
      <c r="A57" s="1">
        <f t="shared" si="5"/>
        <v>2074</v>
      </c>
      <c r="B57" s="1">
        <f t="shared" si="1"/>
        <v>89</v>
      </c>
      <c r="C57" s="1">
        <v>55</v>
      </c>
      <c r="D57" s="1">
        <f>IF(Summary!$G$6="M",VLOOKUP(B:B,'male g'!A:V,IF(A57&gt;2033,22,MATCH(A57,'male g'!$A$1:$V$1,0)),FALSE),VLOOKUP(B:B,'female g'!A:V,IF(A57&gt;2033,22,MATCH(A57,'female g'!$A$1:$V$1,0)),FALSE))</f>
        <v>0.1031648969350115</v>
      </c>
      <c r="E57" s="1">
        <f t="shared" si="2"/>
        <v>0.89683510306498848</v>
      </c>
      <c r="F57" s="1">
        <f t="shared" si="3"/>
        <v>0.90811086644562156</v>
      </c>
      <c r="G57" s="1">
        <f>1/(1+Summary!$O$2)^$C57</f>
        <v>6.8326401896431521E-2</v>
      </c>
      <c r="H57" s="1">
        <f>IF(B57&gt;64, Summary!$J$6, 0)*'TV 5'!G57*'TV 5'!F57</f>
        <v>770.12226187540648</v>
      </c>
      <c r="I57" s="1"/>
    </row>
    <row r="58" spans="1:9">
      <c r="A58" s="1">
        <f t="shared" si="5"/>
        <v>2075</v>
      </c>
      <c r="B58" s="1">
        <f t="shared" si="1"/>
        <v>90</v>
      </c>
      <c r="C58" s="1">
        <v>56</v>
      </c>
      <c r="D58" s="1">
        <f>IF(Summary!$G$6="M",VLOOKUP(B:B,'male g'!A:V,IF(A58&gt;2033,22,MATCH(A58,'male g'!$A$1:$V$1,0)),FALSE),VLOOKUP(B:B,'female g'!A:V,IF(A58&gt;2033,22,MATCH(A58,'female g'!$A$1:$V$1,0)),FALSE))</f>
        <v>0.11576084940657383</v>
      </c>
      <c r="E58" s="1">
        <f t="shared" si="2"/>
        <v>0.88423915059342617</v>
      </c>
      <c r="F58" s="1">
        <f t="shared" si="3"/>
        <v>0.89683510306498848</v>
      </c>
      <c r="G58" s="1">
        <f>1/(1+Summary!$O$2)^$C58</f>
        <v>6.5072763710887174E-2</v>
      </c>
      <c r="H58" s="1">
        <f>IF(B58&gt;64, Summary!$J$6, 0)*'TV 5'!G58*'TV 5'!F58</f>
        <v>724.34272868968287</v>
      </c>
      <c r="I58" s="1"/>
    </row>
    <row r="59" spans="1:9">
      <c r="A59" s="1">
        <f t="shared" si="5"/>
        <v>2076</v>
      </c>
      <c r="B59" s="1">
        <f t="shared" si="1"/>
        <v>91</v>
      </c>
      <c r="C59" s="1">
        <v>57</v>
      </c>
      <c r="D59" s="1">
        <f>IF(Summary!$G$6="M",VLOOKUP(B:B,'male g'!A:V,IF(A59&gt;2033,22,MATCH(A59,'male g'!$A$1:$V$1,0)),FALSE),VLOOKUP(B:B,'female g'!A:V,IF(A59&gt;2033,22,MATCH(A59,'female g'!$A$1:$V$1,0)),FALSE))</f>
        <v>0.12933245912292859</v>
      </c>
      <c r="E59" s="1">
        <f t="shared" si="2"/>
        <v>0.87066754087707143</v>
      </c>
      <c r="F59" s="1">
        <f t="shared" si="3"/>
        <v>0.88423915059342617</v>
      </c>
      <c r="G59" s="1">
        <f>1/(1+Summary!$O$2)^$C59</f>
        <v>6.1974060677035397E-2</v>
      </c>
      <c r="H59" s="1">
        <f>IF(B59&gt;64, Summary!$J$6, 0)*'TV 5'!G59*'TV 5'!F59</f>
        <v>680.16134575822048</v>
      </c>
      <c r="I59" s="1"/>
    </row>
    <row r="60" spans="1:9">
      <c r="A60" s="1">
        <f t="shared" si="5"/>
        <v>2077</v>
      </c>
      <c r="B60" s="1">
        <f t="shared" si="1"/>
        <v>92</v>
      </c>
      <c r="C60" s="1">
        <v>58</v>
      </c>
      <c r="D60" s="1">
        <f>IF(Summary!$G$6="M",VLOOKUP(B:B,'male g'!A:V,IF(A60&gt;2033,22,MATCH(A60,'male g'!$A$1:$V$1,0)),FALSE),VLOOKUP(B:B,'female g'!A:V,IF(A60&gt;2033,22,MATCH(A60,'female g'!$A$1:$V$1,0)),FALSE))</f>
        <v>0.14348300858520585</v>
      </c>
      <c r="E60" s="1">
        <f t="shared" si="2"/>
        <v>0.85651699141479409</v>
      </c>
      <c r="F60" s="1">
        <f t="shared" si="3"/>
        <v>0.87066754087707143</v>
      </c>
      <c r="G60" s="1">
        <f>1/(1+Summary!$O$2)^$C60</f>
        <v>5.9022914930509894E-2</v>
      </c>
      <c r="H60" s="1">
        <f>IF(B60&gt;64, Summary!$J$6, 0)*'TV 5'!G60*'TV 5'!F60</f>
        <v>637.83046961739842</v>
      </c>
      <c r="I60" s="1"/>
    </row>
    <row r="61" spans="1:9">
      <c r="A61" s="1">
        <f t="shared" si="5"/>
        <v>2078</v>
      </c>
      <c r="B61" s="1">
        <f t="shared" si="1"/>
        <v>93</v>
      </c>
      <c r="C61" s="1">
        <v>59</v>
      </c>
      <c r="D61" s="1">
        <f>IF(Summary!$G$6="M",VLOOKUP(B:B,'male g'!A:V,IF(A61&gt;2033,22,MATCH(A61,'male g'!$A$1:$V$1,0)),FALSE),VLOOKUP(B:B,'female g'!A:V,IF(A61&gt;2033,22,MATCH(A61,'female g'!$A$1:$V$1,0)),FALSE))</f>
        <v>0.15808258232710681</v>
      </c>
      <c r="E61" s="1">
        <f t="shared" si="2"/>
        <v>0.84191741767289319</v>
      </c>
      <c r="F61" s="1">
        <f t="shared" si="3"/>
        <v>0.85651699141479409</v>
      </c>
      <c r="G61" s="1">
        <f>1/(1+Summary!$O$2)^$C61</f>
        <v>5.6212299933818946E-2</v>
      </c>
      <c r="H61" s="1">
        <f>IF(B61&gt;64, Summary!$J$6, 0)*'TV 5'!G61*'TV 5'!F61</f>
        <v>597.58486800888704</v>
      </c>
      <c r="I61" s="1"/>
    </row>
    <row r="62" spans="1:9">
      <c r="A62" s="1">
        <f t="shared" si="5"/>
        <v>2079</v>
      </c>
      <c r="B62" s="1">
        <f t="shared" si="1"/>
        <v>94</v>
      </c>
      <c r="C62" s="1">
        <v>60</v>
      </c>
      <c r="D62" s="1">
        <f>IF(Summary!$G$6="M",VLOOKUP(B:B,'male g'!A:V,IF(A62&gt;2033,22,MATCH(A62,'male g'!$A$1:$V$1,0)),FALSE),VLOOKUP(B:B,'female g'!A:V,IF(A62&gt;2033,22,MATCH(A62,'female g'!$A$1:$V$1,0)),FALSE))</f>
        <v>0.17308956870926934</v>
      </c>
      <c r="E62" s="1">
        <f t="shared" si="2"/>
        <v>0.82691043129073072</v>
      </c>
      <c r="F62" s="1">
        <f t="shared" si="3"/>
        <v>0.84191741767289319</v>
      </c>
      <c r="G62" s="1">
        <f>1/(1+Summary!$O$2)^$C62</f>
        <v>5.3535523746494243E-2</v>
      </c>
      <c r="H62" s="1">
        <f>IF(B62&gt;64, Summary!$J$6, 0)*'TV 5'!G62*'TV 5'!F62</f>
        <v>559.42749081440877</v>
      </c>
      <c r="I62" s="1"/>
    </row>
    <row r="63" spans="1:9">
      <c r="A63" s="1">
        <f t="shared" si="5"/>
        <v>2080</v>
      </c>
      <c r="B63" s="1">
        <f t="shared" si="1"/>
        <v>95</v>
      </c>
      <c r="C63" s="1">
        <v>61</v>
      </c>
      <c r="D63" s="1">
        <f>IF(Summary!$G$6="M",VLOOKUP(B:B,'male g'!A:V,IF(A63&gt;2033,22,MATCH(A63,'male g'!$A$1:$V$1,0)),FALSE),VLOOKUP(B:B,'female g'!A:V,IF(A63&gt;2033,22,MATCH(A63,'female g'!$A$1:$V$1,0)),FALSE))</f>
        <v>0.1884638420447376</v>
      </c>
      <c r="E63" s="1">
        <f t="shared" si="2"/>
        <v>0.81153615795526246</v>
      </c>
      <c r="F63" s="1">
        <f t="shared" si="3"/>
        <v>0.82691043129073072</v>
      </c>
      <c r="G63" s="1">
        <f>1/(1+Summary!$O$2)^$C63</f>
        <v>5.0986213091899268E-2</v>
      </c>
      <c r="H63" s="1">
        <f>IF(B63&gt;64, Summary!$J$6, 0)*'TV 5'!G63*'TV 5'!F63</f>
        <v>523.29126009020183</v>
      </c>
      <c r="I63" s="1"/>
    </row>
    <row r="64" spans="1:9">
      <c r="A64" s="1">
        <f t="shared" si="5"/>
        <v>2081</v>
      </c>
      <c r="B64" s="1">
        <f t="shared" si="1"/>
        <v>96</v>
      </c>
      <c r="C64" s="1">
        <v>62</v>
      </c>
      <c r="D64" s="1">
        <f>IF(Summary!$G$6="M",VLOOKUP(B:B,'male g'!A:V,IF(A64&gt;2033,22,MATCH(A64,'male g'!$A$1:$V$1,0)),FALSE),VLOOKUP(B:B,'female g'!A:V,IF(A64&gt;2033,22,MATCH(A64,'female g'!$A$1:$V$1,0)),FALSE))</f>
        <v>0.20546988897968524</v>
      </c>
      <c r="E64" s="1">
        <f t="shared" si="2"/>
        <v>0.79453011102031479</v>
      </c>
      <c r="F64" s="1">
        <f t="shared" si="3"/>
        <v>0.81153615795526246</v>
      </c>
      <c r="G64" s="1">
        <f>1/(1+Summary!$O$2)^$C64</f>
        <v>4.855829818276123E-2</v>
      </c>
      <c r="H64" s="1">
        <f>IF(B64&gt;64, Summary!$J$6, 0)*'TV 5'!G64*'TV 5'!F64</f>
        <v>489.10667103247647</v>
      </c>
      <c r="I64" s="1"/>
    </row>
    <row r="65" spans="1:9">
      <c r="A65" s="1">
        <f t="shared" si="5"/>
        <v>2082</v>
      </c>
      <c r="B65" s="1">
        <f t="shared" si="1"/>
        <v>97</v>
      </c>
      <c r="C65" s="1">
        <v>63</v>
      </c>
      <c r="D65" s="1">
        <f>IF(Summary!$G$6="M",VLOOKUP(B:B,'male g'!A:V,IF(A65&gt;2033,22,MATCH(A65,'male g'!$A$1:$V$1,0)),FALSE),VLOOKUP(B:B,'female g'!A:V,IF(A65&gt;2033,22,MATCH(A65,'female g'!$A$1:$V$1,0)),FALSE))</f>
        <v>0.22317315569892124</v>
      </c>
      <c r="E65" s="1">
        <f t="shared" si="2"/>
        <v>0.77682684430107873</v>
      </c>
      <c r="F65" s="1">
        <f t="shared" si="3"/>
        <v>0.79453011102031479</v>
      </c>
      <c r="G65" s="1">
        <f>1/(1+Summary!$O$2)^$C65</f>
        <v>4.6245998269296387E-2</v>
      </c>
      <c r="H65" s="1">
        <f>IF(B65&gt;64, Summary!$J$6, 0)*'TV 5'!G65*'TV 5'!F65</f>
        <v>456.05452939820452</v>
      </c>
      <c r="I65" s="1"/>
    </row>
    <row r="66" spans="1:9">
      <c r="A66" s="1">
        <f t="shared" si="5"/>
        <v>2083</v>
      </c>
      <c r="B66" s="1">
        <f t="shared" si="1"/>
        <v>98</v>
      </c>
      <c r="C66" s="1">
        <v>64</v>
      </c>
      <c r="D66" s="1">
        <f>IF(Summary!$G$6="M",VLOOKUP(B:B,'male g'!A:V,IF(A66&gt;2033,22,MATCH(A66,'male g'!$A$1:$V$1,0)),FALSE),VLOOKUP(B:B,'female g'!A:V,IF(A66&gt;2033,22,MATCH(A66,'female g'!$A$1:$V$1,0)),FALSE))</f>
        <v>0.2417371960764223</v>
      </c>
      <c r="E66" s="1">
        <f t="shared" si="2"/>
        <v>0.7582628039235777</v>
      </c>
      <c r="F66" s="1">
        <f t="shared" si="3"/>
        <v>0.77682684430107873</v>
      </c>
      <c r="G66" s="1">
        <f>1/(1+Summary!$O$2)^$C66</f>
        <v>4.4043807875520369E-2</v>
      </c>
      <c r="H66" s="1">
        <f>IF(B66&gt;64, Summary!$J$6, 0)*'TV 5'!G66*'TV 5'!F66</f>
        <v>424.65998334857625</v>
      </c>
      <c r="I66" s="1"/>
    </row>
    <row r="67" spans="1:9">
      <c r="A67" s="1">
        <f t="shared" si="5"/>
        <v>2084</v>
      </c>
      <c r="B67" s="1">
        <f t="shared" si="1"/>
        <v>99</v>
      </c>
      <c r="C67" s="1">
        <v>65</v>
      </c>
      <c r="D67" s="1">
        <f>IF(Summary!$G$6="M",VLOOKUP(B:B,'male g'!A:V,IF(A67&gt;2033,22,MATCH(A67,'male g'!$A$1:$V$1,0)),FALSE),VLOOKUP(B:B,'female g'!A:V,IF(A67&gt;2033,22,MATCH(A67,'female g'!$A$1:$V$1,0)),FALSE))</f>
        <v>0.26102364427750568</v>
      </c>
      <c r="E67" s="1">
        <f t="shared" si="2"/>
        <v>0.73897635572249432</v>
      </c>
      <c r="F67" s="1">
        <f t="shared" si="3"/>
        <v>0.7582628039235777</v>
      </c>
      <c r="G67" s="1">
        <f>1/(1+Summary!$O$2)^$C67</f>
        <v>4.1946483690971779E-2</v>
      </c>
      <c r="H67" s="1">
        <f>IF(B67&gt;64, Summary!$J$6, 0)*'TV 5'!G67*'TV 5'!F67</f>
        <v>394.77311363995744</v>
      </c>
      <c r="I67" s="1"/>
    </row>
    <row r="68" spans="1:9">
      <c r="A68" s="1">
        <f t="shared" si="5"/>
        <v>2085</v>
      </c>
      <c r="B68" s="1">
        <f t="shared" ref="B68:B73" si="6">$B$2+C68</f>
        <v>100</v>
      </c>
      <c r="C68" s="1">
        <v>66</v>
      </c>
      <c r="D68" s="1">
        <f>IF(Summary!$G$6="M",VLOOKUP(B:B,'male g'!A:V,IF(A68&gt;2033,22,MATCH(A68,'male g'!$A$1:$V$1,0)),FALSE),VLOOKUP(B:B,'female g'!A:V,IF(A68&gt;2033,22,MATCH(A68,'female g'!$A$1:$V$1,0)),FALSE))</f>
        <v>0.2809127683704345</v>
      </c>
      <c r="E68" s="1">
        <f t="shared" ref="E68:E88" si="7">1-D68</f>
        <v>0.71908723162956556</v>
      </c>
      <c r="F68" s="1">
        <f t="shared" ref="F68:F88" si="8">E67</f>
        <v>0.73897635572249432</v>
      </c>
      <c r="G68" s="1">
        <f>1/(1+Summary!$O$2)^$C68</f>
        <v>3.9949032086639788E-2</v>
      </c>
      <c r="H68" s="1">
        <f>IF(B68&gt;64, Summary!$J$6, 0)*'TV 5'!G68*'TV 5'!F68</f>
        <v>366.41146848189334</v>
      </c>
      <c r="I68" s="1"/>
    </row>
    <row r="69" spans="1:9">
      <c r="A69" s="1">
        <f t="shared" si="5"/>
        <v>2086</v>
      </c>
      <c r="B69" s="1">
        <f t="shared" si="6"/>
        <v>101</v>
      </c>
      <c r="C69" s="1">
        <v>67</v>
      </c>
      <c r="D69" s="1">
        <f>IF(Summary!$G$6="M",VLOOKUP(B:B,'male g'!A:V,IF(A69&gt;2033,22,MATCH(A69,'male g'!$A$1:$V$1,0)),FALSE),VLOOKUP(B:B,'female g'!A:V,IF(A69&gt;2033,22,MATCH(A69,'female g'!$A$1:$V$1,0)),FALSE))</f>
        <v>0.30146810411089092</v>
      </c>
      <c r="E69" s="1">
        <f t="shared" si="7"/>
        <v>0.69853189588910913</v>
      </c>
      <c r="F69" s="1">
        <f t="shared" si="8"/>
        <v>0.71908723162956556</v>
      </c>
      <c r="G69" s="1">
        <f>1/(1+Summary!$O$2)^$C69</f>
        <v>3.8046697225371226E-2</v>
      </c>
      <c r="H69" s="1">
        <f>IF(B69&gt;64, Summary!$J$6, 0)*'TV 5'!G69*'TV 5'!F69</f>
        <v>339.57115647703841</v>
      </c>
      <c r="I69" s="1"/>
    </row>
    <row r="70" spans="1:9">
      <c r="A70" s="1">
        <f t="shared" si="5"/>
        <v>2087</v>
      </c>
      <c r="B70" s="1">
        <f t="shared" si="6"/>
        <v>102</v>
      </c>
      <c r="C70" s="1">
        <v>68</v>
      </c>
      <c r="D70" s="1">
        <f>IF(Summary!$G$6="M",VLOOKUP(B:B,'male g'!A:V,IF(A70&gt;2033,22,MATCH(A70,'male g'!$A$1:$V$1,0)),FALSE),VLOOKUP(B:B,'female g'!A:V,IF(A70&gt;2033,22,MATCH(A70,'female g'!$A$1:$V$1,0)),FALSE))</f>
        <v>0.32206565548145499</v>
      </c>
      <c r="E70" s="1">
        <f t="shared" si="7"/>
        <v>0.67793434451854506</v>
      </c>
      <c r="F70" s="1">
        <f t="shared" si="8"/>
        <v>0.69853189588910913</v>
      </c>
      <c r="G70" s="1">
        <f>1/(1+Summary!$O$2)^$C70</f>
        <v>3.6234949738448791E-2</v>
      </c>
      <c r="H70" s="1">
        <f>IF(B70&gt;64, Summary!$J$6, 0)*'TV 5'!G70*'TV 5'!F70</f>
        <v>314.1565787315007</v>
      </c>
      <c r="I70" s="1"/>
    </row>
    <row r="71" spans="1:9">
      <c r="A71" s="1">
        <f t="shared" si="5"/>
        <v>2088</v>
      </c>
      <c r="B71" s="1">
        <f t="shared" si="6"/>
        <v>103</v>
      </c>
      <c r="C71" s="1">
        <v>69</v>
      </c>
      <c r="D71" s="1">
        <f>IF(Summary!$G$6="M",VLOOKUP(B:B,'male g'!A:V,IF(A71&gt;2033,22,MATCH(A71,'male g'!$A$1:$V$1,0)),FALSE),VLOOKUP(B:B,'female g'!A:V,IF(A71&gt;2033,22,MATCH(A71,'female g'!$A$1:$V$1,0)),FALSE))</f>
        <v>0.3427697952313476</v>
      </c>
      <c r="E71" s="1">
        <f t="shared" si="7"/>
        <v>0.65723020476865246</v>
      </c>
      <c r="F71" s="1">
        <f t="shared" si="8"/>
        <v>0.67793434451854506</v>
      </c>
      <c r="G71" s="1">
        <f>1/(1+Summary!$O$2)^$C71</f>
        <v>3.4509475941379798E-2</v>
      </c>
      <c r="H71" s="1">
        <f>IF(B71&gt;64, Summary!$J$6, 0)*'TV 5'!G71*'TV 5'!F71</f>
        <v>290.37435244636544</v>
      </c>
      <c r="I71" s="1"/>
    </row>
    <row r="72" spans="1:9">
      <c r="A72" s="1">
        <f t="shared" si="5"/>
        <v>2089</v>
      </c>
      <c r="B72" s="1">
        <f t="shared" si="6"/>
        <v>104</v>
      </c>
      <c r="C72" s="1">
        <v>70</v>
      </c>
      <c r="D72" s="1">
        <f>IF(Summary!$G$6="M",VLOOKUP(B:B,'male g'!A:V,IF(A72&gt;2033,22,MATCH(A72,'male g'!$A$1:$V$1,0)),FALSE),VLOOKUP(B:B,'female g'!A:V,IF(A72&gt;2033,22,MATCH(A72,'female g'!$A$1:$V$1,0)),FALSE))</f>
        <v>0.36312182573243618</v>
      </c>
      <c r="E72" s="1">
        <f t="shared" si="7"/>
        <v>0.63687817426756377</v>
      </c>
      <c r="F72" s="1">
        <f t="shared" si="8"/>
        <v>0.65723020476865246</v>
      </c>
      <c r="G72" s="1">
        <f>1/(1+Summary!$O$2)^$C72</f>
        <v>3.2866167563218862E-2</v>
      </c>
      <c r="H72" s="1">
        <f>IF(B72&gt;64, Summary!$J$6, 0)*'TV 5'!G72*'TV 5'!F72</f>
        <v>268.10124673429459</v>
      </c>
      <c r="I72" s="1"/>
    </row>
    <row r="73" spans="1:9">
      <c r="A73" s="1">
        <f t="shared" si="5"/>
        <v>2090</v>
      </c>
      <c r="B73" s="1">
        <f t="shared" si="6"/>
        <v>105</v>
      </c>
      <c r="C73" s="1">
        <v>71</v>
      </c>
      <c r="D73" s="1">
        <f>IF(Summary!$G$6="M",VLOOKUP(B:B,'male g'!A:V,IF(A73&gt;2033,22,MATCH(A73,'male g'!$A$1:$V$1,0)),FALSE),VLOOKUP(B:B,'female g'!A:V,IF(A73&gt;2033,22,MATCH(A73,'female g'!$A$1:$V$1,0)),FALSE))</f>
        <v>0.38340857179772014</v>
      </c>
      <c r="E73" s="1">
        <f t="shared" si="7"/>
        <v>0.61659142820227986</v>
      </c>
      <c r="F73" s="1">
        <f t="shared" si="8"/>
        <v>0.63687817426756377</v>
      </c>
      <c r="G73" s="1">
        <f>1/(1+Summary!$O$2)^$C73</f>
        <v>3.1301111964970339E-2</v>
      </c>
      <c r="H73" s="1">
        <f>IF(B73&gt;64, Summary!$J$6, 0)*'TV 5'!G73*'TV 5'!F73</f>
        <v>247.42773869882222</v>
      </c>
      <c r="I73" s="1"/>
    </row>
    <row r="74" spans="1:9">
      <c r="A74" s="1">
        <f>$A$2+C74</f>
        <v>2091</v>
      </c>
      <c r="B74" s="1">
        <f>$B$2+C74</f>
        <v>106</v>
      </c>
      <c r="C74" s="1">
        <v>72</v>
      </c>
      <c r="D74" s="1">
        <f>IF(Summary!$G$6="M",VLOOKUP(B:B,'male g'!A:V,IF(A74&gt;2033,22,MATCH(A74,'male g'!$A$1:$V$1,0)),FALSE),VLOOKUP(B:B,'female g'!A:V,IF(A74&gt;2033,22,MATCH(A74,'female g'!$A$1:$V$1,0)),FALSE))</f>
        <v>0.4032562438470747</v>
      </c>
      <c r="E74" s="1">
        <f t="shared" si="7"/>
        <v>0.5967437561529253</v>
      </c>
      <c r="F74" s="1">
        <f t="shared" si="8"/>
        <v>0.61659142820227986</v>
      </c>
      <c r="G74" s="1">
        <f>1/(1+Summary!$O$2)^$C74</f>
        <v>2.9810582823781274E-2</v>
      </c>
      <c r="H74" s="1">
        <f>IF(B74&gt;64, Summary!$J$6, 0)*'TV 5'!G74*'TV 5'!F74</f>
        <v>228.13935215223808</v>
      </c>
      <c r="I74" s="1"/>
    </row>
    <row r="75" spans="1:9">
      <c r="A75" s="1">
        <f t="shared" ref="A75:A88" si="9">$A$2+C75</f>
        <v>2092</v>
      </c>
      <c r="B75" s="1">
        <f t="shared" ref="B75:B88" si="10">$B$2+C75</f>
        <v>107</v>
      </c>
      <c r="C75" s="1">
        <v>73</v>
      </c>
      <c r="D75" s="1">
        <f>IF(Summary!$G$6="M",VLOOKUP(B:B,'male g'!A:V,IF(A75&gt;2033,22,MATCH(A75,'male g'!$A$1:$V$1,0)),FALSE),VLOOKUP(B:B,'female g'!A:V,IF(A75&gt;2033,22,MATCH(A75,'female g'!$A$1:$V$1,0)),FALSE))</f>
        <v>0.42246723803499708</v>
      </c>
      <c r="E75" s="1">
        <f t="shared" si="7"/>
        <v>0.57753276196500292</v>
      </c>
      <c r="F75" s="1">
        <f t="shared" si="8"/>
        <v>0.5967437561529253</v>
      </c>
      <c r="G75" s="1">
        <f>1/(1+Summary!$O$2)^$C75</f>
        <v>2.8391031260744073E-2</v>
      </c>
      <c r="H75" s="1">
        <f>IF(B75&gt;64, Summary!$J$6, 0)*'TV 5'!G75*'TV 5'!F75</f>
        <v>210.28161584367507</v>
      </c>
      <c r="I75" s="1"/>
    </row>
    <row r="76" spans="1:9">
      <c r="A76" s="1">
        <f t="shared" si="9"/>
        <v>2093</v>
      </c>
      <c r="B76" s="1">
        <f t="shared" si="10"/>
        <v>108</v>
      </c>
      <c r="C76" s="1">
        <v>74</v>
      </c>
      <c r="D76" s="1">
        <f>IF(Summary!$G$6="M",VLOOKUP(B:B,'male g'!A:V,IF(A76&gt;2033,22,MATCH(A76,'male g'!$A$1:$V$1,0)),FALSE),VLOOKUP(B:B,'female g'!A:V,IF(A76&gt;2033,22,MATCH(A76,'female g'!$A$1:$V$1,0)),FALSE))</f>
        <v>0.44119749280646176</v>
      </c>
      <c r="E76" s="1">
        <f t="shared" si="7"/>
        <v>0.5588025071935383</v>
      </c>
      <c r="F76" s="1">
        <f t="shared" si="8"/>
        <v>0.57753276196500292</v>
      </c>
      <c r="G76" s="1">
        <f>1/(1+Summary!$O$2)^$C76</f>
        <v>2.7039077391184833E-2</v>
      </c>
      <c r="H76" s="1">
        <f>IF(B76&gt;64, Summary!$J$6, 0)*'TV 5'!G76*'TV 5'!F76</f>
        <v>193.82096369069191</v>
      </c>
      <c r="I76" s="1"/>
    </row>
    <row r="77" spans="1:9">
      <c r="A77" s="1">
        <f t="shared" si="9"/>
        <v>2094</v>
      </c>
      <c r="B77" s="1">
        <f t="shared" si="10"/>
        <v>109</v>
      </c>
      <c r="C77" s="1">
        <v>75</v>
      </c>
      <c r="D77" s="1">
        <f>IF(Summary!$G$6="M",VLOOKUP(B:B,'male g'!A:V,IF(A77&gt;2033,22,MATCH(A77,'male g'!$A$1:$V$1,0)),FALSE),VLOOKUP(B:B,'female g'!A:V,IF(A77&gt;2033,22,MATCH(A77,'female g'!$A$1:$V$1,0)),FALSE))</f>
        <v>0.45907299166148602</v>
      </c>
      <c r="E77" s="1">
        <f t="shared" si="7"/>
        <v>0.54092700833851404</v>
      </c>
      <c r="F77" s="1">
        <f t="shared" si="8"/>
        <v>0.5588025071935383</v>
      </c>
      <c r="G77" s="1">
        <f>1/(1+Summary!$O$2)^$C77</f>
        <v>2.5751502277318886E-2</v>
      </c>
      <c r="H77" s="1">
        <f>IF(B77&gt;64, Summary!$J$6, 0)*'TV 5'!G77*'TV 5'!F77</f>
        <v>178.60481787671674</v>
      </c>
      <c r="I77" s="1"/>
    </row>
    <row r="78" spans="1:9">
      <c r="A78" s="1">
        <f t="shared" si="9"/>
        <v>2095</v>
      </c>
      <c r="B78" s="1">
        <f t="shared" si="10"/>
        <v>110</v>
      </c>
      <c r="C78" s="1">
        <v>76</v>
      </c>
      <c r="D78" s="1">
        <f>IF(Summary!$G$6="M",VLOOKUP(B:B,'male g'!A:V,IF(A78&gt;2033,22,MATCH(A78,'male g'!$A$1:$V$1,0)),FALSE),VLOOKUP(B:B,'female g'!A:V,IF(A78&gt;2033,22,MATCH(A78,'female g'!$A$1:$V$1,0)),FALSE))</f>
        <v>0.47644967979565578</v>
      </c>
      <c r="E78" s="1">
        <f t="shared" si="7"/>
        <v>0.52355032020434422</v>
      </c>
      <c r="F78" s="1">
        <f t="shared" si="8"/>
        <v>0.54092700833851404</v>
      </c>
      <c r="G78" s="1">
        <f>1/(1+Summary!$O$2)^$C78</f>
        <v>2.4525240264113228E-2</v>
      </c>
      <c r="H78" s="1">
        <f>IF(B78&gt;64, Summary!$J$6, 0)*'TV 5'!G78*'TV 5'!F78</f>
        <v>164.65851371407757</v>
      </c>
      <c r="I78" s="1"/>
    </row>
    <row r="79" spans="1:9">
      <c r="A79" s="1">
        <f t="shared" si="9"/>
        <v>2096</v>
      </c>
      <c r="B79" s="1">
        <f t="shared" si="10"/>
        <v>111</v>
      </c>
      <c r="C79" s="1">
        <v>77</v>
      </c>
      <c r="D79" s="1">
        <f>IF(Summary!$G$6="M",VLOOKUP(B:B,'male g'!A:V,IF(A79&gt;2033,22,MATCH(A79,'male g'!$A$1:$V$1,0)),FALSE),VLOOKUP(B:B,'female g'!A:V,IF(A79&gt;2033,22,MATCH(A79,'female g'!$A$1:$V$1,0)),FALSE))</f>
        <v>0.48540620500607778</v>
      </c>
      <c r="E79" s="1">
        <f t="shared" si="7"/>
        <v>0.51459379499392222</v>
      </c>
      <c r="F79" s="1">
        <f t="shared" si="8"/>
        <v>0.52355032020434422</v>
      </c>
      <c r="G79" s="1">
        <f>1/(1+Summary!$O$2)^$C79</f>
        <v>2.3357371680107829E-2</v>
      </c>
      <c r="H79" s="1">
        <f>IF(B79&gt;64, Summary!$J$6, 0)*'TV 5'!G79*'TV 5'!F79</f>
        <v>151.78003730364409</v>
      </c>
      <c r="I79" s="1"/>
    </row>
    <row r="80" spans="1:9">
      <c r="A80" s="1">
        <f t="shared" si="9"/>
        <v>2097</v>
      </c>
      <c r="B80" s="1">
        <f t="shared" si="10"/>
        <v>112</v>
      </c>
      <c r="C80" s="1">
        <v>78</v>
      </c>
      <c r="D80" s="1">
        <f>IF(Summary!$G$6="M",VLOOKUP(B:B,'male g'!A:V,IF(A80&gt;2033,22,MATCH(A80,'male g'!$A$1:$V$1,0)),FALSE),VLOOKUP(B:B,'female g'!A:V,IF(A80&gt;2033,22,MATCH(A80,'female g'!$A$1:$V$1,0)),FALSE))</f>
        <v>0.48906519527204906</v>
      </c>
      <c r="E80" s="1">
        <f t="shared" si="7"/>
        <v>0.51093480472795094</v>
      </c>
      <c r="F80" s="1">
        <f t="shared" si="8"/>
        <v>0.51459379499392222</v>
      </c>
      <c r="G80" s="1">
        <f>1/(1+Summary!$O$2)^$C80</f>
        <v>2.2245115885816989E-2</v>
      </c>
      <c r="H80" s="1">
        <f>IF(B80&gt;64, Summary!$J$6, 0)*'TV 5'!G80*'TV 5'!F80</f>
        <v>142.07951690828432</v>
      </c>
      <c r="I80" s="1"/>
    </row>
    <row r="81" spans="1:9">
      <c r="A81" s="1">
        <f t="shared" si="9"/>
        <v>2098</v>
      </c>
      <c r="B81" s="1">
        <f t="shared" si="10"/>
        <v>113</v>
      </c>
      <c r="C81" s="1">
        <v>79</v>
      </c>
      <c r="D81" s="1">
        <f>IF(Summary!$G$6="M",VLOOKUP(B:B,'male g'!A:V,IF(A81&gt;2033,22,MATCH(A81,'male g'!$A$1:$V$1,0)),FALSE),VLOOKUP(B:B,'female g'!A:V,IF(A81&gt;2033,22,MATCH(A81,'female g'!$A$1:$V$1,0)),FALSE))</f>
        <v>0.49265177497129853</v>
      </c>
      <c r="E81" s="1">
        <f t="shared" si="7"/>
        <v>0.50734822502870147</v>
      </c>
      <c r="F81" s="1">
        <f t="shared" si="8"/>
        <v>0.51093480472795094</v>
      </c>
      <c r="G81" s="1">
        <f>1/(1+Summary!$O$2)^$C81</f>
        <v>2.1185824653159029E-2</v>
      </c>
      <c r="H81" s="1">
        <f>IF(B81&gt;64, Summary!$J$6, 0)*'TV 5'!G81*'TV 5'!F81</f>
        <v>134.35168427265592</v>
      </c>
      <c r="I81" s="1"/>
    </row>
    <row r="82" spans="1:9">
      <c r="A82" s="1">
        <f t="shared" si="9"/>
        <v>2099</v>
      </c>
      <c r="B82" s="1">
        <f t="shared" si="10"/>
        <v>114</v>
      </c>
      <c r="C82" s="1">
        <v>80</v>
      </c>
      <c r="D82" s="1">
        <f>IF(Summary!$G$6="M",VLOOKUP(B:B,'male g'!A:V,IF(A82&gt;2033,22,MATCH(A82,'male g'!$A$1:$V$1,0)),FALSE),VLOOKUP(B:B,'female g'!A:V,IF(A82&gt;2033,22,MATCH(A82,'female g'!$A$1:$V$1,0)),FALSE))</f>
        <v>0.49631296624312721</v>
      </c>
      <c r="E82" s="1">
        <f t="shared" si="7"/>
        <v>0.50368703375687285</v>
      </c>
      <c r="F82" s="1">
        <f t="shared" si="8"/>
        <v>0.50734822502870147</v>
      </c>
      <c r="G82" s="1">
        <f>1/(1+Summary!$O$2)^$C82</f>
        <v>2.0176975860151457E-2</v>
      </c>
      <c r="H82" s="1">
        <f>IF(B82&gt;64, Summary!$J$6, 0)*'TV 5'!G82*'TV 5'!F82</f>
        <v>127.05579378294965</v>
      </c>
      <c r="I82" s="1"/>
    </row>
    <row r="83" spans="1:9">
      <c r="A83" s="1">
        <f t="shared" si="9"/>
        <v>2100</v>
      </c>
      <c r="B83" s="1">
        <f t="shared" si="10"/>
        <v>115</v>
      </c>
      <c r="C83" s="1">
        <v>81</v>
      </c>
      <c r="D83" s="1">
        <f>IF(Summary!$G$6="M",VLOOKUP(B:B,'male g'!A:V,IF(A83&gt;2033,22,MATCH(A83,'male g'!$A$1:$V$1,0)),FALSE),VLOOKUP(B:B,'female g'!A:V,IF(A83&gt;2033,22,MATCH(A83,'female g'!$A$1:$V$1,0)),FALSE))</f>
        <v>0.5</v>
      </c>
      <c r="E83" s="1">
        <f t="shared" si="7"/>
        <v>0.5</v>
      </c>
      <c r="F83" s="1">
        <f t="shared" si="8"/>
        <v>0.50368703375687285</v>
      </c>
      <c r="G83" s="1">
        <f>1/(1+Summary!$O$2)^$C83</f>
        <v>1.9216167485858526E-2</v>
      </c>
      <c r="H83" s="1">
        <f>IF(B83&gt;64, Summary!$J$6, 0)*'TV 5'!G83*'TV 5'!F83</f>
        <v>120.1323023649814</v>
      </c>
      <c r="I83" s="1"/>
    </row>
    <row r="84" spans="1:9">
      <c r="A84" s="1">
        <f t="shared" si="9"/>
        <v>2101</v>
      </c>
      <c r="B84" s="1">
        <f t="shared" si="10"/>
        <v>116</v>
      </c>
      <c r="C84" s="1">
        <v>82</v>
      </c>
      <c r="D84" s="1">
        <f>IF(Summary!$G$6="M",VLOOKUP(B:B,'male g'!A:V,IF(A84&gt;2033,22,MATCH(A84,'male g'!$A$1:$V$1,0)),FALSE),VLOOKUP(B:B,'female g'!A:V,IF(A84&gt;2033,22,MATCH(A84,'female g'!$A$1:$V$1,0)),FALSE))</f>
        <v>0.5</v>
      </c>
      <c r="E84" s="1">
        <f t="shared" si="7"/>
        <v>0.5</v>
      </c>
      <c r="F84" s="1">
        <f t="shared" si="8"/>
        <v>0.5</v>
      </c>
      <c r="G84" s="1">
        <f>1/(1+Summary!$O$2)^$C84</f>
        <v>1.8301111891293836E-2</v>
      </c>
      <c r="H84" s="1">
        <f>IF(B84&gt;64, Summary!$J$6, 0)*'TV 5'!G84*'TV 5'!F84</f>
        <v>113.57421262635032</v>
      </c>
      <c r="I84" s="1"/>
    </row>
    <row r="85" spans="1:9">
      <c r="A85" s="1">
        <f t="shared" si="9"/>
        <v>2102</v>
      </c>
      <c r="B85" s="1">
        <f t="shared" si="10"/>
        <v>117</v>
      </c>
      <c r="C85" s="1">
        <v>83</v>
      </c>
      <c r="D85" s="1">
        <f>IF(Summary!$G$6="M",VLOOKUP(B:B,'male g'!A:V,IF(A85&gt;2033,22,MATCH(A85,'male g'!$A$1:$V$1,0)),FALSE),VLOOKUP(B:B,'female g'!A:V,IF(A85&gt;2033,22,MATCH(A85,'female g'!$A$1:$V$1,0)),FALSE))</f>
        <v>0.5</v>
      </c>
      <c r="E85" s="1">
        <f t="shared" si="7"/>
        <v>0.5</v>
      </c>
      <c r="F85" s="1">
        <f t="shared" si="8"/>
        <v>0.5</v>
      </c>
      <c r="G85" s="1">
        <f>1/(1+Summary!$O$2)^$C85</f>
        <v>1.7429630372660796E-2</v>
      </c>
      <c r="H85" s="1">
        <f>IF(B85&gt;64, Summary!$J$6, 0)*'TV 5'!G85*'TV 5'!F85</f>
        <v>108.1659167870003</v>
      </c>
      <c r="I85" s="1"/>
    </row>
    <row r="86" spans="1:9">
      <c r="A86" s="1">
        <f t="shared" si="9"/>
        <v>2103</v>
      </c>
      <c r="B86" s="1">
        <f t="shared" si="10"/>
        <v>118</v>
      </c>
      <c r="C86" s="1">
        <v>84</v>
      </c>
      <c r="D86" s="1">
        <f>IF(Summary!$G$6="M",VLOOKUP(B:B,'male g'!A:V,IF(A86&gt;2033,22,MATCH(A86,'male g'!$A$1:$V$1,0)),FALSE),VLOOKUP(B:B,'female g'!A:V,IF(A86&gt;2033,22,MATCH(A86,'female g'!$A$1:$V$1,0)),FALSE))</f>
        <v>0.5</v>
      </c>
      <c r="E86" s="1">
        <f t="shared" si="7"/>
        <v>0.5</v>
      </c>
      <c r="F86" s="1">
        <f t="shared" si="8"/>
        <v>0.5</v>
      </c>
      <c r="G86" s="1">
        <f>1/(1+Summary!$O$2)^$C86</f>
        <v>1.6599647973962663E-2</v>
      </c>
      <c r="H86" s="1">
        <f>IF(B86&gt;64, Summary!$J$6, 0)*'TV 5'!G86*'TV 5'!F86</f>
        <v>103.01515884476218</v>
      </c>
      <c r="I86" s="1"/>
    </row>
    <row r="87" spans="1:9">
      <c r="A87" s="1">
        <f t="shared" si="9"/>
        <v>2104</v>
      </c>
      <c r="B87" s="1">
        <f t="shared" si="10"/>
        <v>119</v>
      </c>
      <c r="C87" s="1">
        <v>85</v>
      </c>
      <c r="D87" s="1">
        <f>IF(Summary!$G$6="M",VLOOKUP(B:B,'male g'!A:V,IF(A87&gt;2033,22,MATCH(A87,'male g'!$A$1:$V$1,0)),FALSE),VLOOKUP(B:B,'female g'!A:V,IF(A87&gt;2033,22,MATCH(A87,'female g'!$A$1:$V$1,0)),FALSE))</f>
        <v>0.5</v>
      </c>
      <c r="E87" s="1">
        <f t="shared" si="7"/>
        <v>0.5</v>
      </c>
      <c r="F87" s="1">
        <f t="shared" si="8"/>
        <v>0.5</v>
      </c>
      <c r="G87" s="1">
        <f>1/(1+Summary!$O$2)^$C87</f>
        <v>1.580918854663111E-2</v>
      </c>
      <c r="H87" s="1">
        <f>IF(B87&gt;64, Summary!$J$6, 0)*'TV 5'!G87*'TV 5'!F87</f>
        <v>98.109675090249723</v>
      </c>
      <c r="I87" s="1"/>
    </row>
    <row r="88" spans="1:9">
      <c r="A88" s="1">
        <f t="shared" si="9"/>
        <v>2105</v>
      </c>
      <c r="B88" s="1">
        <f t="shared" si="10"/>
        <v>120</v>
      </c>
      <c r="C88" s="1">
        <v>86</v>
      </c>
      <c r="D88" s="1">
        <f>IF(Summary!$G$6="M",VLOOKUP(B:B,'male g'!A:V,IF(A88&gt;2033,22,MATCH(A88,'male g'!$A$1:$V$1,0)),FALSE),VLOOKUP(B:B,'female g'!A:V,IF(A88&gt;2033,22,MATCH(A88,'female g'!$A$1:$V$1,0)),FALSE))</f>
        <v>1</v>
      </c>
      <c r="E88" s="1">
        <f t="shared" si="7"/>
        <v>0</v>
      </c>
      <c r="F88" s="1">
        <f t="shared" si="8"/>
        <v>0.5</v>
      </c>
      <c r="G88" s="1">
        <f>1/(1+Summary!$O$2)^$C88</f>
        <v>1.5056370044410581E-2</v>
      </c>
      <c r="H88" s="1">
        <f>IF(B88&gt;64, Summary!$J$6, 0)*'TV 5'!G88*'TV 5'!F88</f>
        <v>93.437785800237833</v>
      </c>
      <c r="I88" s="1"/>
    </row>
    <row r="89" spans="1:9">
      <c r="A89" s="1"/>
    </row>
    <row r="90" spans="1:9">
      <c r="A90" s="1"/>
    </row>
    <row r="91" spans="1:9">
      <c r="A91" s="1"/>
    </row>
    <row r="92" spans="1:9">
      <c r="A92" s="1"/>
    </row>
    <row r="93" spans="1:9">
      <c r="A93" s="1"/>
    </row>
    <row r="94" spans="1:9">
      <c r="A94" s="1"/>
    </row>
    <row r="95" spans="1:9">
      <c r="A95" s="1"/>
    </row>
    <row r="96" spans="1:9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98"/>
  <sheetViews>
    <sheetView workbookViewId="0">
      <selection activeCell="I88" sqref="I88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Summary!H7</f>
        <v>34</v>
      </c>
      <c r="C2" s="1">
        <v>0</v>
      </c>
      <c r="D2" s="1">
        <f>IF(Summary!$G$7="M",VLOOKUP(B:B,'male g'!A:V,IF(A2&gt;2033,22,MATCH(A2,'male g'!$A$1:$V$1,0)),FALSE),VLOOKUP(B:B,'female g'!A:V,IF(A2&gt;2033,22,MATCH(A2,'female g'!$A$1:$V$1,0)),FALSE))</f>
        <v>5.9996532195180576E-4</v>
      </c>
      <c r="E2" s="1">
        <f>1-D2</f>
        <v>0.99940003467804817</v>
      </c>
      <c r="F2" s="1">
        <v>1</v>
      </c>
      <c r="G2" s="1">
        <f>1/(1+Summary!$O$2)^$C2</f>
        <v>1</v>
      </c>
      <c r="H2" s="1">
        <f>IF(B2&gt;64, Summary!$J$7, 0)*'TV 6'!G2*'TV 6'!F2</f>
        <v>0</v>
      </c>
      <c r="I2" s="1">
        <f>SUM(H2:H88)</f>
        <v>32281.726159883681</v>
      </c>
    </row>
    <row r="3" spans="1:9">
      <c r="A3" s="1">
        <f>$A$2+C3</f>
        <v>2020</v>
      </c>
      <c r="B3" s="1">
        <f>$B$2+C3</f>
        <v>35</v>
      </c>
      <c r="C3" s="1">
        <v>1</v>
      </c>
      <c r="D3" s="1">
        <f>IF(Summary!$G$7="M",VLOOKUP(B:B,'male g'!A:V,IF(A3&gt;2033,22,MATCH(A3,'male g'!$A$1:$V$1,0)),FALSE),VLOOKUP(B:B,'female g'!A:V,IF(A3&gt;2033,22,MATCH(A3,'female g'!$A$1:$V$1,0)),FALSE))</f>
        <v>6.2880682595302503E-4</v>
      </c>
      <c r="E3" s="1">
        <f>1-D3</f>
        <v>0.99937119317404699</v>
      </c>
      <c r="F3" s="1">
        <f>E2</f>
        <v>0.99940003467804817</v>
      </c>
      <c r="G3" s="1">
        <f>1/(1+Summary!$O$2)^$C3</f>
        <v>0.95238095238095233</v>
      </c>
      <c r="H3" s="1">
        <f>IF(B3&gt;64, Summary!$J$7, 0)*'TV 6'!G3*'TV 6'!F3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36</v>
      </c>
      <c r="C4" s="1">
        <v>2</v>
      </c>
      <c r="D4" s="1">
        <f>IF(Summary!$G$7="M",VLOOKUP(B:B,'male g'!A:V,IF(A4&gt;2033,22,MATCH(A4,'male g'!$A$1:$V$1,0)),FALSE),VLOOKUP(B:B,'female g'!A:V,IF(A4&gt;2033,22,MATCH(A4,'female g'!$A$1:$V$1,0)),FALSE))</f>
        <v>6.5074181038340159E-4</v>
      </c>
      <c r="E4" s="1">
        <f t="shared" ref="E4:E67" si="2">1-D4</f>
        <v>0.99934925818961662</v>
      </c>
      <c r="F4" s="1">
        <f t="shared" ref="F4:F67" si="3">E3</f>
        <v>0.99937119317404699</v>
      </c>
      <c r="G4" s="1">
        <f>1/(1+Summary!$O$2)^$C4</f>
        <v>0.90702947845804982</v>
      </c>
      <c r="H4" s="1">
        <f>IF(B4&gt;64, Summary!$J$7, 0)*'TV 6'!G4*'TV 6'!F4</f>
        <v>0</v>
      </c>
      <c r="I4" s="1"/>
    </row>
    <row r="5" spans="1:9">
      <c r="A5" s="1">
        <f t="shared" si="0"/>
        <v>2022</v>
      </c>
      <c r="B5" s="1">
        <f t="shared" si="1"/>
        <v>37</v>
      </c>
      <c r="C5" s="1">
        <v>3</v>
      </c>
      <c r="D5" s="1">
        <f>IF(Summary!$G$7="M",VLOOKUP(B:B,'male g'!A:V,IF(A5&gt;2033,22,MATCH(A5,'male g'!$A$1:$V$1,0)),FALSE),VLOOKUP(B:B,'female g'!A:V,IF(A5&gt;2033,22,MATCH(A5,'female g'!$A$1:$V$1,0)),FALSE))</f>
        <v>6.7041659409086359E-4</v>
      </c>
      <c r="E5" s="1">
        <f t="shared" si="2"/>
        <v>0.99932958340590916</v>
      </c>
      <c r="F5" s="1">
        <f t="shared" si="3"/>
        <v>0.99934925818961662</v>
      </c>
      <c r="G5" s="1">
        <f>1/(1+Summary!$O$2)^$C5</f>
        <v>0.86383759853147601</v>
      </c>
      <c r="H5" s="1">
        <f>IF(B5&gt;64, Summary!$J$7, 0)*'TV 6'!G5*'TV 6'!F5</f>
        <v>0</v>
      </c>
      <c r="I5" s="1"/>
    </row>
    <row r="6" spans="1:9">
      <c r="A6" s="1">
        <f t="shared" si="0"/>
        <v>2023</v>
      </c>
      <c r="B6" s="1">
        <f t="shared" si="1"/>
        <v>38</v>
      </c>
      <c r="C6" s="1">
        <v>4</v>
      </c>
      <c r="D6" s="1">
        <f>IF(Summary!$G$7="M",VLOOKUP(B:B,'male g'!A:V,IF(A6&gt;2033,22,MATCH(A6,'male g'!$A$1:$V$1,0)),FALSE),VLOOKUP(B:B,'female g'!A:V,IF(A6&gt;2033,22,MATCH(A6,'female g'!$A$1:$V$1,0)),FALSE))</f>
        <v>6.8988045174784868E-4</v>
      </c>
      <c r="E6" s="1">
        <f t="shared" si="2"/>
        <v>0.99931011954825211</v>
      </c>
      <c r="F6" s="1">
        <f t="shared" si="3"/>
        <v>0.99932958340590916</v>
      </c>
      <c r="G6" s="1">
        <f>1/(1+Summary!$O$2)^$C6</f>
        <v>0.82270247479188197</v>
      </c>
      <c r="H6" s="1">
        <f>IF(B6&gt;64, Summary!$J$7, 0)*'TV 6'!G6*'TV 6'!F6</f>
        <v>0</v>
      </c>
      <c r="I6" s="1"/>
    </row>
    <row r="7" spans="1:9">
      <c r="A7" s="1">
        <f t="shared" si="0"/>
        <v>2024</v>
      </c>
      <c r="B7" s="1">
        <f t="shared" si="1"/>
        <v>39</v>
      </c>
      <c r="C7" s="1">
        <v>5</v>
      </c>
      <c r="D7" s="1">
        <f>IF(Summary!$G$7="M",VLOOKUP(B:B,'male g'!A:V,IF(A7&gt;2033,22,MATCH(A7,'male g'!$A$1:$V$1,0)),FALSE),VLOOKUP(B:B,'female g'!A:V,IF(A7&gt;2033,22,MATCH(A7,'female g'!$A$1:$V$1,0)),FALSE))</f>
        <v>7.121891145120085E-4</v>
      </c>
      <c r="E7" s="1">
        <f t="shared" si="2"/>
        <v>0.99928781088548801</v>
      </c>
      <c r="F7" s="1">
        <f t="shared" si="3"/>
        <v>0.99931011954825211</v>
      </c>
      <c r="G7" s="1">
        <f>1/(1+Summary!$O$2)^$C7</f>
        <v>0.78352616646845896</v>
      </c>
      <c r="H7" s="1">
        <f>IF(B7&gt;64, Summary!$J$7, 0)*'TV 6'!G7*'TV 6'!F7</f>
        <v>0</v>
      </c>
      <c r="I7" s="1"/>
    </row>
    <row r="8" spans="1:9">
      <c r="A8" s="1">
        <f t="shared" si="0"/>
        <v>2025</v>
      </c>
      <c r="B8" s="1">
        <f t="shared" si="1"/>
        <v>40</v>
      </c>
      <c r="C8" s="1">
        <v>6</v>
      </c>
      <c r="D8" s="1">
        <f>IF(Summary!$G$7="M",VLOOKUP(B:B,'male g'!A:V,IF(A8&gt;2033,22,MATCH(A8,'male g'!$A$1:$V$1,0)),FALSE),VLOOKUP(B:B,'female g'!A:V,IF(A8&gt;2033,22,MATCH(A8,'female g'!$A$1:$V$1,0)),FALSE))</f>
        <v>7.3934818342237627E-4</v>
      </c>
      <c r="E8" s="1">
        <f t="shared" si="2"/>
        <v>0.99926065181657764</v>
      </c>
      <c r="F8" s="1">
        <f t="shared" si="3"/>
        <v>0.99928781088548801</v>
      </c>
      <c r="G8" s="1">
        <f>1/(1+Summary!$O$2)^$C8</f>
        <v>0.74621539663662761</v>
      </c>
      <c r="H8" s="1">
        <f>IF(B8&gt;64, Summary!$J$7, 0)*'TV 6'!G8*'TV 6'!F8</f>
        <v>0</v>
      </c>
      <c r="I8" s="1"/>
    </row>
    <row r="9" spans="1:9">
      <c r="A9" s="1">
        <f t="shared" si="0"/>
        <v>2026</v>
      </c>
      <c r="B9" s="1">
        <f t="shared" si="1"/>
        <v>41</v>
      </c>
      <c r="C9" s="1">
        <v>7</v>
      </c>
      <c r="D9" s="1">
        <f>IF(Summary!$G$7="M",VLOOKUP(B:B,'male g'!A:V,IF(A9&gt;2033,22,MATCH(A9,'male g'!$A$1:$V$1,0)),FALSE),VLOOKUP(B:B,'female g'!A:V,IF(A9&gt;2033,22,MATCH(A9,'female g'!$A$1:$V$1,0)),FALSE))</f>
        <v>7.7327934792238804E-4</v>
      </c>
      <c r="E9" s="1">
        <f t="shared" si="2"/>
        <v>0.99922672065207763</v>
      </c>
      <c r="F9" s="1">
        <f t="shared" si="3"/>
        <v>0.99926065181657764</v>
      </c>
      <c r="G9" s="1">
        <f>1/(1+Summary!$O$2)^$C9</f>
        <v>0.71068133013012147</v>
      </c>
      <c r="H9" s="1">
        <f>IF(B9&gt;64, Summary!$J$7, 0)*'TV 6'!G9*'TV 6'!F9</f>
        <v>0</v>
      </c>
      <c r="I9" s="1"/>
    </row>
    <row r="10" spans="1:9">
      <c r="A10" s="1">
        <f t="shared" si="0"/>
        <v>2027</v>
      </c>
      <c r="B10" s="1">
        <f t="shared" si="1"/>
        <v>42</v>
      </c>
      <c r="C10" s="1">
        <v>8</v>
      </c>
      <c r="D10" s="1">
        <f>IF(Summary!$G$7="M",VLOOKUP(B:B,'male g'!A:V,IF(A10&gt;2033,22,MATCH(A10,'male g'!$A$1:$V$1,0)),FALSE),VLOOKUP(B:B,'female g'!A:V,IF(A10&gt;2033,22,MATCH(A10,'female g'!$A$1:$V$1,0)),FALSE))</f>
        <v>8.1439080650183592E-4</v>
      </c>
      <c r="E10" s="1">
        <f t="shared" si="2"/>
        <v>0.99918560919349819</v>
      </c>
      <c r="F10" s="1">
        <f t="shared" si="3"/>
        <v>0.99922672065207763</v>
      </c>
      <c r="G10" s="1">
        <f>1/(1+Summary!$O$2)^$C10</f>
        <v>0.67683936202868722</v>
      </c>
      <c r="H10" s="1">
        <f>IF(B10&gt;64, Summary!$J$7, 0)*'TV 6'!G10*'TV 6'!F10</f>
        <v>0</v>
      </c>
      <c r="I10" s="1"/>
    </row>
    <row r="11" spans="1:9">
      <c r="A11" s="1">
        <f t="shared" si="0"/>
        <v>2028</v>
      </c>
      <c r="B11" s="1">
        <f t="shared" si="1"/>
        <v>43</v>
      </c>
      <c r="C11" s="1">
        <v>9</v>
      </c>
      <c r="D11" s="1">
        <f>IF(Summary!$G$7="M",VLOOKUP(B:B,'male g'!A:V,IF(A11&gt;2033,22,MATCH(A11,'male g'!$A$1:$V$1,0)),FALSE),VLOOKUP(B:B,'female g'!A:V,IF(A11&gt;2033,22,MATCH(A11,'female g'!$A$1:$V$1,0)),FALSE))</f>
        <v>8.6507266967504831E-4</v>
      </c>
      <c r="E11" s="1">
        <f t="shared" si="2"/>
        <v>0.99913492733032494</v>
      </c>
      <c r="F11" s="1">
        <f t="shared" si="3"/>
        <v>0.99918560919349819</v>
      </c>
      <c r="G11" s="1">
        <f>1/(1+Summary!$O$2)^$C11</f>
        <v>0.64460891621779726</v>
      </c>
      <c r="H11" s="1">
        <f>IF(B11&gt;64, Summary!$J$7, 0)*'TV 6'!G11*'TV 6'!F11</f>
        <v>0</v>
      </c>
      <c r="I11" s="1"/>
    </row>
    <row r="12" spans="1:9">
      <c r="A12" s="1">
        <f t="shared" si="0"/>
        <v>2029</v>
      </c>
      <c r="B12" s="1">
        <f t="shared" si="1"/>
        <v>44</v>
      </c>
      <c r="C12" s="1">
        <v>10</v>
      </c>
      <c r="D12" s="1">
        <f>IF(Summary!$G$7="M",VLOOKUP(B:B,'male g'!A:V,IF(A12&gt;2033,22,MATCH(A12,'male g'!$A$1:$V$1,0)),FALSE),VLOOKUP(B:B,'female g'!A:V,IF(A12&gt;2033,22,MATCH(A12,'female g'!$A$1:$V$1,0)),FALSE))</f>
        <v>9.2572551929935045E-4</v>
      </c>
      <c r="E12" s="1">
        <f t="shared" si="2"/>
        <v>0.99907427448070063</v>
      </c>
      <c r="F12" s="1">
        <f t="shared" si="3"/>
        <v>0.99913492733032494</v>
      </c>
      <c r="G12" s="1">
        <f>1/(1+Summary!$O$2)^$C12</f>
        <v>0.61391325354075932</v>
      </c>
      <c r="H12" s="1">
        <f>IF(B12&gt;64, Summary!$J$7, 0)*'TV 6'!G12*'TV 6'!F12</f>
        <v>0</v>
      </c>
      <c r="I12" s="1"/>
    </row>
    <row r="13" spans="1:9">
      <c r="A13" s="1">
        <f t="shared" si="0"/>
        <v>2030</v>
      </c>
      <c r="B13" s="1">
        <f t="shared" si="1"/>
        <v>45</v>
      </c>
      <c r="C13" s="1">
        <v>11</v>
      </c>
      <c r="D13" s="1">
        <f>IF(Summary!$G$7="M",VLOOKUP(B:B,'male g'!A:V,IF(A13&gt;2033,22,MATCH(A13,'male g'!$A$1:$V$1,0)),FALSE),VLOOKUP(B:B,'female g'!A:V,IF(A13&gt;2033,22,MATCH(A13,'female g'!$A$1:$V$1,0)),FALSE))</f>
        <v>9.9516898163587312E-4</v>
      </c>
      <c r="E13" s="1">
        <f t="shared" si="2"/>
        <v>0.99900483101836413</v>
      </c>
      <c r="F13" s="1">
        <f t="shared" si="3"/>
        <v>0.99907427448070063</v>
      </c>
      <c r="G13" s="1">
        <f>1/(1+Summary!$O$2)^$C13</f>
        <v>0.5846792890864374</v>
      </c>
      <c r="H13" s="1">
        <f>IF(B13&gt;64, Summary!$J$7, 0)*'TV 6'!G13*'TV 6'!F13</f>
        <v>0</v>
      </c>
      <c r="I13" s="1"/>
    </row>
    <row r="14" spans="1:9">
      <c r="A14" s="1">
        <f t="shared" si="0"/>
        <v>2031</v>
      </c>
      <c r="B14" s="1">
        <f t="shared" si="1"/>
        <v>46</v>
      </c>
      <c r="C14" s="1">
        <v>12</v>
      </c>
      <c r="D14" s="1">
        <f>IF(Summary!$G$7="M",VLOOKUP(B:B,'male g'!A:V,IF(A14&gt;2033,22,MATCH(A14,'male g'!$A$1:$V$1,0)),FALSE),VLOOKUP(B:B,'female g'!A:V,IF(A14&gt;2033,22,MATCH(A14,'female g'!$A$1:$V$1,0)),FALSE))</f>
        <v>1.0753852264232984E-3</v>
      </c>
      <c r="E14" s="1">
        <f t="shared" si="2"/>
        <v>0.99892461477357675</v>
      </c>
      <c r="F14" s="1">
        <f t="shared" si="3"/>
        <v>0.99900483101836413</v>
      </c>
      <c r="G14" s="1">
        <f>1/(1+Summary!$O$2)^$C14</f>
        <v>0.5568374181775595</v>
      </c>
      <c r="H14" s="1">
        <f>IF(B14&gt;64, Summary!$J$7, 0)*'TV 6'!G14*'TV 6'!F14</f>
        <v>0</v>
      </c>
      <c r="I14" s="1"/>
    </row>
    <row r="15" spans="1:9">
      <c r="A15" s="1">
        <f t="shared" si="0"/>
        <v>2032</v>
      </c>
      <c r="B15" s="1">
        <f t="shared" si="1"/>
        <v>47</v>
      </c>
      <c r="C15" s="1">
        <v>13</v>
      </c>
      <c r="D15" s="1">
        <f>IF(Summary!$G$7="M",VLOOKUP(B:B,'male g'!A:V,IF(A15&gt;2033,22,MATCH(A15,'male g'!$A$1:$V$1,0)),FALSE),VLOOKUP(B:B,'female g'!A:V,IF(A15&gt;2033,22,MATCH(A15,'female g'!$A$1:$V$1,0)),FALSE))</f>
        <v>1.163882524709379E-3</v>
      </c>
      <c r="E15" s="1">
        <f t="shared" si="2"/>
        <v>0.99883611747529066</v>
      </c>
      <c r="F15" s="1">
        <f t="shared" si="3"/>
        <v>0.99892461477357675</v>
      </c>
      <c r="G15" s="1">
        <f>1/(1+Summary!$O$2)^$C15</f>
        <v>0.53032135064529462</v>
      </c>
      <c r="H15" s="1">
        <f>IF(B15&gt;64, Summary!$J$7, 0)*'TV 6'!G15*'TV 6'!F15</f>
        <v>0</v>
      </c>
      <c r="I15" s="1"/>
    </row>
    <row r="16" spans="1:9">
      <c r="A16" s="1">
        <f t="shared" si="0"/>
        <v>2033</v>
      </c>
      <c r="B16" s="1">
        <f t="shared" si="1"/>
        <v>48</v>
      </c>
      <c r="C16" s="1">
        <v>14</v>
      </c>
      <c r="D16" s="1">
        <f>IF(Summary!$G$7="M",VLOOKUP(B:B,'male g'!A:V,IF(A16&gt;2033,22,MATCH(A16,'male g'!$A$1:$V$1,0)),FALSE),VLOOKUP(B:B,'female g'!A:V,IF(A16&gt;2033,22,MATCH(A16,'female g'!$A$1:$V$1,0)),FALSE))</f>
        <v>1.2616873160863067E-3</v>
      </c>
      <c r="E16" s="1">
        <f t="shared" si="2"/>
        <v>0.99873831268391366</v>
      </c>
      <c r="F16" s="1">
        <f t="shared" si="3"/>
        <v>0.99883611747529066</v>
      </c>
      <c r="G16" s="1">
        <f>1/(1+Summary!$O$2)^$C16</f>
        <v>0.50506795299551888</v>
      </c>
      <c r="H16" s="1">
        <f>IF(B16&gt;64, Summary!$J$7, 0)*'TV 6'!G16*'TV 6'!F16</f>
        <v>0</v>
      </c>
      <c r="I16" s="1"/>
    </row>
    <row r="17" spans="1:9">
      <c r="A17" s="1">
        <f t="shared" si="0"/>
        <v>2034</v>
      </c>
      <c r="B17" s="1">
        <f t="shared" si="1"/>
        <v>49</v>
      </c>
      <c r="C17" s="1">
        <v>15</v>
      </c>
      <c r="D17" s="1">
        <f>IF(Summary!$G$7="M",VLOOKUP(B:B,'male g'!A:V,IF(A17&gt;2033,22,MATCH(A17,'male g'!$A$1:$V$1,0)),FALSE),VLOOKUP(B:B,'female g'!A:V,IF(A17&gt;2033,22,MATCH(A17,'female g'!$A$1:$V$1,0)),FALSE))</f>
        <v>1.369512151784593E-3</v>
      </c>
      <c r="E17" s="1">
        <f t="shared" si="2"/>
        <v>0.9986304878482154</v>
      </c>
      <c r="F17" s="1">
        <f t="shared" si="3"/>
        <v>0.99873831268391366</v>
      </c>
      <c r="G17" s="1">
        <f>1/(1+Summary!$O$2)^$C17</f>
        <v>0.48101709809097021</v>
      </c>
      <c r="H17" s="1">
        <f>IF(B17&gt;64, Summary!$J$7, 0)*'TV 6'!G17*'TV 6'!F17</f>
        <v>0</v>
      </c>
      <c r="I17" s="1"/>
    </row>
    <row r="18" spans="1:9">
      <c r="A18" s="1">
        <f t="shared" si="0"/>
        <v>2035</v>
      </c>
      <c r="B18" s="1">
        <f t="shared" si="1"/>
        <v>50</v>
      </c>
      <c r="C18" s="1">
        <v>16</v>
      </c>
      <c r="D18" s="1">
        <f>IF(Summary!$G$7="M",VLOOKUP(B:B,'male g'!A:V,IF(A18&gt;2033,22,MATCH(A18,'male g'!$A$1:$V$1,0)),FALSE),VLOOKUP(B:B,'female g'!A:V,IF(A18&gt;2033,22,MATCH(A18,'female g'!$A$1:$V$1,0)),FALSE))</f>
        <v>3.6199396557553844E-3</v>
      </c>
      <c r="E18" s="1">
        <f t="shared" si="2"/>
        <v>0.99638006034424464</v>
      </c>
      <c r="F18" s="1">
        <f t="shared" si="3"/>
        <v>0.9986304878482154</v>
      </c>
      <c r="G18" s="1">
        <f>1/(1+Summary!$O$2)^$C18</f>
        <v>0.45811152199140021</v>
      </c>
      <c r="H18" s="1">
        <f>IF(B18&gt;64, Summary!$J$7, 0)*'TV 6'!G18*'TV 6'!F18</f>
        <v>0</v>
      </c>
      <c r="I18" s="1"/>
    </row>
    <row r="19" spans="1:9">
      <c r="A19" s="1">
        <f t="shared" si="0"/>
        <v>2036</v>
      </c>
      <c r="B19" s="1">
        <f t="shared" si="1"/>
        <v>51</v>
      </c>
      <c r="C19" s="1">
        <v>17</v>
      </c>
      <c r="D19" s="1">
        <f>IF(Summary!$G$7="M",VLOOKUP(B:B,'male g'!A:V,IF(A19&gt;2033,22,MATCH(A19,'male g'!$A$1:$V$1,0)),FALSE),VLOOKUP(B:B,'female g'!A:V,IF(A19&gt;2033,22,MATCH(A19,'female g'!$A$1:$V$1,0)),FALSE))</f>
        <v>3.8605439270391782E-3</v>
      </c>
      <c r="E19" s="1">
        <f t="shared" si="2"/>
        <v>0.99613945607296084</v>
      </c>
      <c r="F19" s="1">
        <f t="shared" si="3"/>
        <v>0.99638006034424464</v>
      </c>
      <c r="G19" s="1">
        <f>1/(1+Summary!$O$2)^$C19</f>
        <v>0.43629668761085727</v>
      </c>
      <c r="H19" s="1">
        <f>IF(B19&gt;64, Summary!$J$7, 0)*'TV 6'!G19*'TV 6'!F19</f>
        <v>0</v>
      </c>
      <c r="I19" s="1"/>
    </row>
    <row r="20" spans="1:9">
      <c r="A20" s="1">
        <f t="shared" si="0"/>
        <v>2037</v>
      </c>
      <c r="B20" s="1">
        <f t="shared" si="1"/>
        <v>52</v>
      </c>
      <c r="C20" s="1">
        <v>18</v>
      </c>
      <c r="D20" s="1">
        <f>IF(Summary!$G$7="M",VLOOKUP(B:B,'male g'!A:V,IF(A20&gt;2033,22,MATCH(A20,'male g'!$A$1:$V$1,0)),FALSE),VLOOKUP(B:B,'female g'!A:V,IF(A20&gt;2033,22,MATCH(A20,'female g'!$A$1:$V$1,0)),FALSE))</f>
        <v>4.1135590860351774E-3</v>
      </c>
      <c r="E20" s="1">
        <f t="shared" si="2"/>
        <v>0.99588644091396483</v>
      </c>
      <c r="F20" s="1">
        <f t="shared" si="3"/>
        <v>0.99613945607296084</v>
      </c>
      <c r="G20" s="1">
        <f>1/(1+Summary!$O$2)^$C20</f>
        <v>0.41552065486748313</v>
      </c>
      <c r="H20" s="1">
        <f>IF(B20&gt;64, Summary!$J$7, 0)*'TV 6'!G20*'TV 6'!F20</f>
        <v>0</v>
      </c>
      <c r="I20" s="1"/>
    </row>
    <row r="21" spans="1:9">
      <c r="A21" s="1">
        <f t="shared" si="0"/>
        <v>2038</v>
      </c>
      <c r="B21" s="1">
        <f t="shared" si="1"/>
        <v>53</v>
      </c>
      <c r="C21" s="1">
        <v>19</v>
      </c>
      <c r="D21" s="1">
        <f>IF(Summary!$G$7="M",VLOOKUP(B:B,'male g'!A:V,IF(A21&gt;2033,22,MATCH(A21,'male g'!$A$1:$V$1,0)),FALSE),VLOOKUP(B:B,'female g'!A:V,IF(A21&gt;2033,22,MATCH(A21,'female g'!$A$1:$V$1,0)),FALSE))</f>
        <v>4.3810463073345211E-3</v>
      </c>
      <c r="E21" s="1">
        <f t="shared" si="2"/>
        <v>0.99561895369266551</v>
      </c>
      <c r="F21" s="1">
        <f t="shared" si="3"/>
        <v>0.99588644091396483</v>
      </c>
      <c r="G21" s="1">
        <f>1/(1+Summary!$O$2)^$C21</f>
        <v>0.39573395701665059</v>
      </c>
      <c r="H21" s="1">
        <f>IF(B21&gt;64, Summary!$J$7, 0)*'TV 6'!G21*'TV 6'!F21</f>
        <v>0</v>
      </c>
      <c r="I21" s="1"/>
    </row>
    <row r="22" spans="1:9">
      <c r="A22" s="1">
        <f t="shared" si="0"/>
        <v>2039</v>
      </c>
      <c r="B22" s="1">
        <f t="shared" si="1"/>
        <v>54</v>
      </c>
      <c r="C22" s="1">
        <v>20</v>
      </c>
      <c r="D22" s="1">
        <f>IF(Summary!$G$7="M",VLOOKUP(B:B,'male g'!A:V,IF(A22&gt;2033,22,MATCH(A22,'male g'!$A$1:$V$1,0)),FALSE),VLOOKUP(B:B,'female g'!A:V,IF(A22&gt;2033,22,MATCH(A22,'female g'!$A$1:$V$1,0)),FALSE))</f>
        <v>4.6687727319984478E-3</v>
      </c>
      <c r="E22" s="1">
        <f t="shared" si="2"/>
        <v>0.99533122726800161</v>
      </c>
      <c r="F22" s="1">
        <f t="shared" si="3"/>
        <v>0.99561895369266551</v>
      </c>
      <c r="G22" s="1">
        <f>1/(1+Summary!$O$2)^$C22</f>
        <v>0.37688948287300061</v>
      </c>
      <c r="H22" s="1">
        <f>IF(B22&gt;64, Summary!$J$7, 0)*'TV 6'!G22*'TV 6'!F22</f>
        <v>0</v>
      </c>
      <c r="I22" s="1"/>
    </row>
    <row r="23" spans="1:9">
      <c r="A23" s="1">
        <f t="shared" si="0"/>
        <v>2040</v>
      </c>
      <c r="B23" s="1">
        <f t="shared" si="1"/>
        <v>55</v>
      </c>
      <c r="C23" s="1">
        <v>21</v>
      </c>
      <c r="D23" s="1">
        <f>IF(Summary!$G$7="M",VLOOKUP(B:B,'male g'!A:V,IF(A23&gt;2033,22,MATCH(A23,'male g'!$A$1:$V$1,0)),FALSE),VLOOKUP(B:B,'female g'!A:V,IF(A23&gt;2033,22,MATCH(A23,'female g'!$A$1:$V$1,0)),FALSE))</f>
        <v>4.9760361404984493E-3</v>
      </c>
      <c r="E23" s="1">
        <f t="shared" si="2"/>
        <v>0.99502396385950154</v>
      </c>
      <c r="F23" s="1">
        <f t="shared" si="3"/>
        <v>0.99533122726800161</v>
      </c>
      <c r="G23" s="1">
        <f>1/(1+Summary!$O$2)^$C23</f>
        <v>0.35894236464095297</v>
      </c>
      <c r="H23" s="1">
        <f>IF(B23&gt;64, Summary!$J$7, 0)*'TV 6'!G23*'TV 6'!F23</f>
        <v>0</v>
      </c>
      <c r="I23" s="1"/>
    </row>
    <row r="24" spans="1:9">
      <c r="A24" s="1">
        <f t="shared" si="0"/>
        <v>2041</v>
      </c>
      <c r="B24" s="1">
        <f t="shared" si="1"/>
        <v>56</v>
      </c>
      <c r="C24" s="1">
        <v>22</v>
      </c>
      <c r="D24" s="1">
        <f>IF(Summary!$G$7="M",VLOOKUP(B:B,'male g'!A:V,IF(A24&gt;2033,22,MATCH(A24,'male g'!$A$1:$V$1,0)),FALSE),VLOOKUP(B:B,'female g'!A:V,IF(A24&gt;2033,22,MATCH(A24,'female g'!$A$1:$V$1,0)),FALSE))</f>
        <v>5.3066001918253454E-3</v>
      </c>
      <c r="E24" s="1">
        <f t="shared" si="2"/>
        <v>0.99469339980817462</v>
      </c>
      <c r="F24" s="1">
        <f t="shared" si="3"/>
        <v>0.99502396385950154</v>
      </c>
      <c r="G24" s="1">
        <f>1/(1+Summary!$O$2)^$C24</f>
        <v>0.3418498710866219</v>
      </c>
      <c r="H24" s="1">
        <f>IF(B24&gt;64, Summary!$J$7, 0)*'TV 6'!G24*'TV 6'!F24</f>
        <v>0</v>
      </c>
      <c r="I24" s="1"/>
    </row>
    <row r="25" spans="1:9">
      <c r="A25" s="1">
        <f t="shared" si="0"/>
        <v>2042</v>
      </c>
      <c r="B25" s="1">
        <f t="shared" si="1"/>
        <v>57</v>
      </c>
      <c r="C25" s="1">
        <v>23</v>
      </c>
      <c r="D25" s="1">
        <f>IF(Summary!$G$7="M",VLOOKUP(B:B,'male g'!A:V,IF(A25&gt;2033,22,MATCH(A25,'male g'!$A$1:$V$1,0)),FALSE),VLOOKUP(B:B,'female g'!A:V,IF(A25&gt;2033,22,MATCH(A25,'female g'!$A$1:$V$1,0)),FALSE))</f>
        <v>5.6627874947383543E-3</v>
      </c>
      <c r="E25" s="1">
        <f t="shared" si="2"/>
        <v>0.99433721250526164</v>
      </c>
      <c r="F25" s="1">
        <f t="shared" si="3"/>
        <v>0.99469339980817462</v>
      </c>
      <c r="G25" s="1">
        <f>1/(1+Summary!$O$2)^$C25</f>
        <v>0.32557130579678267</v>
      </c>
      <c r="H25" s="1">
        <f>IF(B25&gt;64, Summary!$J$7, 0)*'TV 6'!G25*'TV 6'!F25</f>
        <v>0</v>
      </c>
      <c r="I25" s="1"/>
    </row>
    <row r="26" spans="1:9">
      <c r="A26" s="1">
        <f t="shared" si="0"/>
        <v>2043</v>
      </c>
      <c r="B26" s="1">
        <f t="shared" si="1"/>
        <v>58</v>
      </c>
      <c r="C26" s="1">
        <v>24</v>
      </c>
      <c r="D26" s="1">
        <f>IF(Summary!$G$7="M",VLOOKUP(B:B,'male g'!A:V,IF(A26&gt;2033,22,MATCH(A26,'male g'!$A$1:$V$1,0)),FALSE),VLOOKUP(B:B,'female g'!A:V,IF(A26&gt;2033,22,MATCH(A26,'female g'!$A$1:$V$1,0)),FALSE))</f>
        <v>6.0512489492220572E-3</v>
      </c>
      <c r="E26" s="1">
        <f t="shared" si="2"/>
        <v>0.99394875105077796</v>
      </c>
      <c r="F26" s="1">
        <f t="shared" si="3"/>
        <v>0.99433721250526164</v>
      </c>
      <c r="G26" s="1">
        <f>1/(1+Summary!$O$2)^$C26</f>
        <v>0.31006791028265024</v>
      </c>
      <c r="H26" s="1">
        <f>IF(B26&gt;64, Summary!$J$7, 0)*'TV 6'!G26*'TV 6'!F26</f>
        <v>0</v>
      </c>
      <c r="I26" s="1"/>
    </row>
    <row r="27" spans="1:9">
      <c r="A27" s="1">
        <f t="shared" si="0"/>
        <v>2044</v>
      </c>
      <c r="B27" s="1">
        <f t="shared" si="1"/>
        <v>59</v>
      </c>
      <c r="C27" s="1">
        <v>25</v>
      </c>
      <c r="D27" s="1">
        <f>IF(Summary!$G$7="M",VLOOKUP(B:B,'male g'!A:V,IF(A27&gt;2033,22,MATCH(A27,'male g'!$A$1:$V$1,0)),FALSE),VLOOKUP(B:B,'female g'!A:V,IF(A27&gt;2033,22,MATCH(A27,'female g'!$A$1:$V$1,0)),FALSE))</f>
        <v>6.4741513414089766E-3</v>
      </c>
      <c r="E27" s="1">
        <f t="shared" si="2"/>
        <v>0.99352584865859106</v>
      </c>
      <c r="F27" s="1">
        <f t="shared" si="3"/>
        <v>0.99394875105077796</v>
      </c>
      <c r="G27" s="1">
        <f>1/(1+Summary!$O$2)^$C27</f>
        <v>0.29530277169776209</v>
      </c>
      <c r="H27" s="1">
        <f>IF(B27&gt;64, Summary!$J$7, 0)*'TV 6'!G27*'TV 6'!F27</f>
        <v>0</v>
      </c>
      <c r="I27" s="1"/>
    </row>
    <row r="28" spans="1:9">
      <c r="A28" s="1">
        <f t="shared" si="0"/>
        <v>2045</v>
      </c>
      <c r="B28" s="1">
        <f t="shared" si="1"/>
        <v>60</v>
      </c>
      <c r="C28" s="1">
        <v>26</v>
      </c>
      <c r="D28" s="1">
        <f>IF(Summary!$G$7="M",VLOOKUP(B:B,'male g'!A:V,IF(A28&gt;2033,22,MATCH(A28,'male g'!$A$1:$V$1,0)),FALSE),VLOOKUP(B:B,'female g'!A:V,IF(A28&gt;2033,22,MATCH(A28,'female g'!$A$1:$V$1,0)),FALSE))</f>
        <v>6.936066846596668E-3</v>
      </c>
      <c r="E28" s="1">
        <f t="shared" si="2"/>
        <v>0.99306393315340336</v>
      </c>
      <c r="F28" s="1">
        <f t="shared" si="3"/>
        <v>0.99352584865859106</v>
      </c>
      <c r="G28" s="1">
        <f>1/(1+Summary!$O$2)^$C28</f>
        <v>0.28124073495024959</v>
      </c>
      <c r="H28" s="1">
        <f>IF(B28&gt;64, Summary!$J$7, 0)*'TV 6'!G28*'TV 6'!F28</f>
        <v>0</v>
      </c>
      <c r="I28" s="1"/>
    </row>
    <row r="29" spans="1:9">
      <c r="A29" s="1">
        <f t="shared" si="0"/>
        <v>2046</v>
      </c>
      <c r="B29" s="1">
        <f t="shared" si="1"/>
        <v>61</v>
      </c>
      <c r="C29" s="1">
        <v>27</v>
      </c>
      <c r="D29" s="1">
        <f>IF(Summary!$G$7="M",VLOOKUP(B:B,'male g'!A:V,IF(A29&gt;2033,22,MATCH(A29,'male g'!$A$1:$V$1,0)),FALSE),VLOOKUP(B:B,'female g'!A:V,IF(A29&gt;2033,22,MATCH(A29,'female g'!$A$1:$V$1,0)),FALSE))</f>
        <v>7.4443231733826182E-3</v>
      </c>
      <c r="E29" s="1">
        <f t="shared" si="2"/>
        <v>0.99255567682661738</v>
      </c>
      <c r="F29" s="1">
        <f t="shared" si="3"/>
        <v>0.99306393315340336</v>
      </c>
      <c r="G29" s="1">
        <f>1/(1+Summary!$O$2)^$C29</f>
        <v>0.2678483190002377</v>
      </c>
      <c r="H29" s="1">
        <f>IF(B29&gt;64, Summary!$J$7, 0)*'TV 6'!G29*'TV 6'!F29</f>
        <v>0</v>
      </c>
      <c r="I29" s="1"/>
    </row>
    <row r="30" spans="1:9">
      <c r="A30" s="1">
        <f t="shared" si="0"/>
        <v>2047</v>
      </c>
      <c r="B30" s="1">
        <f t="shared" si="1"/>
        <v>62</v>
      </c>
      <c r="C30" s="1">
        <v>28</v>
      </c>
      <c r="D30" s="1">
        <f>IF(Summary!$G$7="M",VLOOKUP(B:B,'male g'!A:V,IF(A30&gt;2033,22,MATCH(A30,'male g'!$A$1:$V$1,0)),FALSE),VLOOKUP(B:B,'female g'!A:V,IF(A30&gt;2033,22,MATCH(A30,'female g'!$A$1:$V$1,0)),FALSE))</f>
        <v>7.9980591160673849E-3</v>
      </c>
      <c r="E30" s="1">
        <f t="shared" si="2"/>
        <v>0.99200194088393256</v>
      </c>
      <c r="F30" s="1">
        <f t="shared" si="3"/>
        <v>0.99255567682661738</v>
      </c>
      <c r="G30" s="1">
        <f>1/(1+Summary!$O$2)^$C30</f>
        <v>0.25509363714308358</v>
      </c>
      <c r="H30" s="1">
        <f>IF(B30&gt;64, Summary!$J$7, 0)*'TV 6'!G30*'TV 6'!F30</f>
        <v>0</v>
      </c>
      <c r="I30" s="1"/>
    </row>
    <row r="31" spans="1:9">
      <c r="A31" s="1">
        <f t="shared" si="0"/>
        <v>2048</v>
      </c>
      <c r="B31" s="1">
        <f t="shared" si="1"/>
        <v>63</v>
      </c>
      <c r="C31" s="1">
        <v>29</v>
      </c>
      <c r="D31" s="1">
        <f>IF(Summary!$G$7="M",VLOOKUP(B:B,'male g'!A:V,IF(A31&gt;2033,22,MATCH(A31,'male g'!$A$1:$V$1,0)),FALSE),VLOOKUP(B:B,'female g'!A:V,IF(A31&gt;2033,22,MATCH(A31,'female g'!$A$1:$V$1,0)),FALSE))</f>
        <v>8.6003126935298747E-3</v>
      </c>
      <c r="E31" s="1">
        <f t="shared" si="2"/>
        <v>0.9913996873064701</v>
      </c>
      <c r="F31" s="1">
        <f t="shared" si="3"/>
        <v>0.99200194088393256</v>
      </c>
      <c r="G31" s="1">
        <f>1/(1+Summary!$O$2)^$C31</f>
        <v>0.24294632108865097</v>
      </c>
      <c r="H31" s="1">
        <f>IF(B31&gt;64, Summary!$J$7, 0)*'TV 6'!G31*'TV 6'!F31</f>
        <v>0</v>
      </c>
      <c r="I31" s="1"/>
    </row>
    <row r="32" spans="1:9">
      <c r="A32" s="1">
        <f t="shared" si="0"/>
        <v>2049</v>
      </c>
      <c r="B32" s="1">
        <f t="shared" si="1"/>
        <v>64</v>
      </c>
      <c r="C32" s="1">
        <v>30</v>
      </c>
      <c r="D32" s="1">
        <f>IF(Summary!$G$7="M",VLOOKUP(B:B,'male g'!A:V,IF(A32&gt;2033,22,MATCH(A32,'male g'!$A$1:$V$1,0)),FALSE),VLOOKUP(B:B,'female g'!A:V,IF(A32&gt;2033,22,MATCH(A32,'female g'!$A$1:$V$1,0)),FALSE))</f>
        <v>9.2613902762817488E-3</v>
      </c>
      <c r="E32" s="1">
        <f t="shared" si="2"/>
        <v>0.9907386097237183</v>
      </c>
      <c r="F32" s="1">
        <f t="shared" si="3"/>
        <v>0.9913996873064701</v>
      </c>
      <c r="G32" s="1">
        <f>1/(1+Summary!$O$2)^$C32</f>
        <v>0.23137744865585813</v>
      </c>
      <c r="H32" s="1">
        <f>IF(B32&gt;64, Summary!$J$7, 0)*'TV 6'!G32*'TV 6'!F32</f>
        <v>0</v>
      </c>
      <c r="I32" s="1"/>
    </row>
    <row r="33" spans="1:9">
      <c r="A33" s="1">
        <f t="shared" si="0"/>
        <v>2050</v>
      </c>
      <c r="B33" s="1">
        <f t="shared" si="1"/>
        <v>65</v>
      </c>
      <c r="C33" s="1">
        <v>31</v>
      </c>
      <c r="D33" s="1">
        <f>IF(Summary!$G$7="M",VLOOKUP(B:B,'male g'!A:V,IF(A33&gt;2033,22,MATCH(A33,'male g'!$A$1:$V$1,0)),FALSE),VLOOKUP(B:B,'female g'!A:V,IF(A33&gt;2033,22,MATCH(A33,'female g'!$A$1:$V$1,0)),FALSE))</f>
        <v>9.9822267063302775E-3</v>
      </c>
      <c r="E33" s="1">
        <f t="shared" si="2"/>
        <v>0.99001777329366969</v>
      </c>
      <c r="F33" s="1">
        <f t="shared" si="3"/>
        <v>0.9907386097237183</v>
      </c>
      <c r="G33" s="1">
        <f>1/(1+Summary!$O$2)^$C33</f>
        <v>0.220359474910341</v>
      </c>
      <c r="H33" s="1">
        <f>IF(B33&gt;64, Summary!$J$7, 0)*'TV 6'!G33*'TV 6'!F33</f>
        <v>1789.5778228176168</v>
      </c>
      <c r="I33" s="1"/>
    </row>
    <row r="34" spans="1:9">
      <c r="A34" s="1">
        <f t="shared" si="0"/>
        <v>2051</v>
      </c>
      <c r="B34" s="1">
        <f t="shared" si="1"/>
        <v>66</v>
      </c>
      <c r="C34" s="1">
        <v>32</v>
      </c>
      <c r="D34" s="1">
        <f>IF(Summary!$G$7="M",VLOOKUP(B:B,'male g'!A:V,IF(A34&gt;2033,22,MATCH(A34,'male g'!$A$1:$V$1,0)),FALSE),VLOOKUP(B:B,'female g'!A:V,IF(A34&gt;2033,22,MATCH(A34,'female g'!$A$1:$V$1,0)),FALSE))</f>
        <v>1.0770988448590023E-2</v>
      </c>
      <c r="E34" s="1">
        <f t="shared" si="2"/>
        <v>0.98922901155140996</v>
      </c>
      <c r="F34" s="1">
        <f t="shared" si="3"/>
        <v>0.99001777329366969</v>
      </c>
      <c r="G34" s="1">
        <f>1/(1+Summary!$O$2)^$C34</f>
        <v>0.20986616658127716</v>
      </c>
      <c r="H34" s="1">
        <f>IF(B34&gt;64, Summary!$J$7, 0)*'TV 6'!G34*'TV 6'!F34</f>
        <v>1703.1197820186549</v>
      </c>
      <c r="I34" s="1"/>
    </row>
    <row r="35" spans="1:9">
      <c r="A35" s="1">
        <f>$A$2+C35</f>
        <v>2052</v>
      </c>
      <c r="B35" s="1">
        <f>$B$2+C35</f>
        <v>67</v>
      </c>
      <c r="C35" s="1">
        <v>33</v>
      </c>
      <c r="D35" s="1">
        <f>IF(Summary!$G$7="M",VLOOKUP(B:B,'male g'!A:V,IF(A35&gt;2033,22,MATCH(A35,'male g'!$A$1:$V$1,0)),FALSE),VLOOKUP(B:B,'female g'!A:V,IF(A35&gt;2033,22,MATCH(A35,'female g'!$A$1:$V$1,0)),FALSE))</f>
        <v>1.1633181958479108E-2</v>
      </c>
      <c r="E35" s="1">
        <f t="shared" si="2"/>
        <v>0.98836681804152093</v>
      </c>
      <c r="F35" s="1">
        <f t="shared" si="3"/>
        <v>0.98922901155140996</v>
      </c>
      <c r="G35" s="1">
        <f>1/(1+Summary!$O$2)^$C35</f>
        <v>0.19987253960121634</v>
      </c>
      <c r="H35" s="1">
        <f>IF(B35&gt;64, Summary!$J$7, 0)*'TV 6'!G35*'TV 6'!F35</f>
        <v>1620.7265537167095</v>
      </c>
      <c r="I35" s="1"/>
    </row>
    <row r="36" spans="1:9">
      <c r="A36" s="1">
        <f t="shared" ref="A36:A47" si="4">$A$2+C36</f>
        <v>2053</v>
      </c>
      <c r="B36" s="1">
        <f t="shared" si="1"/>
        <v>68</v>
      </c>
      <c r="C36" s="1">
        <v>34</v>
      </c>
      <c r="D36" s="1">
        <f>IF(Summary!$G$7="M",VLOOKUP(B:B,'male g'!A:V,IF(A36&gt;2033,22,MATCH(A36,'male g'!$A$1:$V$1,0)),FALSE),VLOOKUP(B:B,'female g'!A:V,IF(A36&gt;2033,22,MATCH(A36,'female g'!$A$1:$V$1,0)),FALSE))</f>
        <v>1.2580700369048322E-2</v>
      </c>
      <c r="E36" s="1">
        <f t="shared" si="2"/>
        <v>0.98741929963095165</v>
      </c>
      <c r="F36" s="1">
        <f t="shared" si="3"/>
        <v>0.98836681804152093</v>
      </c>
      <c r="G36" s="1">
        <f>1/(1+Summary!$O$2)^$C36</f>
        <v>0.19035479962020604</v>
      </c>
      <c r="H36" s="1">
        <f>IF(B36&gt;64, Summary!$J$7, 0)*'TV 6'!G36*'TV 6'!F36</f>
        <v>1542.2037702445659</v>
      </c>
      <c r="I36" s="1"/>
    </row>
    <row r="37" spans="1:9">
      <c r="A37" s="1">
        <f t="shared" si="4"/>
        <v>2054</v>
      </c>
      <c r="B37" s="1">
        <f t="shared" si="1"/>
        <v>69</v>
      </c>
      <c r="C37" s="1">
        <v>35</v>
      </c>
      <c r="D37" s="1">
        <f>IF(Summary!$G$7="M",VLOOKUP(B:B,'male g'!A:V,IF(A37&gt;2033,22,MATCH(A37,'male g'!$A$1:$V$1,0)),FALSE),VLOOKUP(B:B,'female g'!A:V,IF(A37&gt;2033,22,MATCH(A37,'female g'!$A$1:$V$1,0)),FALSE))</f>
        <v>1.3626686177724836E-2</v>
      </c>
      <c r="E37" s="1">
        <f t="shared" si="2"/>
        <v>0.98637331382227511</v>
      </c>
      <c r="F37" s="1">
        <f t="shared" si="3"/>
        <v>0.98741929963095165</v>
      </c>
      <c r="G37" s="1">
        <f>1/(1+Summary!$O$2)^$C37</f>
        <v>0.18129028535257716</v>
      </c>
      <c r="H37" s="1">
        <f>IF(B37&gt;64, Summary!$J$7, 0)*'TV 6'!G37*'TV 6'!F37</f>
        <v>1467.3574328748573</v>
      </c>
      <c r="I37" s="1"/>
    </row>
    <row r="38" spans="1:9">
      <c r="A38" s="1">
        <f t="shared" si="4"/>
        <v>2055</v>
      </c>
      <c r="B38" s="1">
        <f t="shared" si="1"/>
        <v>70</v>
      </c>
      <c r="C38" s="1">
        <v>36</v>
      </c>
      <c r="D38" s="1">
        <f>IF(Summary!$G$7="M",VLOOKUP(B:B,'male g'!A:V,IF(A38&gt;2033,22,MATCH(A38,'male g'!$A$1:$V$1,0)),FALSE),VLOOKUP(B:B,'female g'!A:V,IF(A38&gt;2033,22,MATCH(A38,'female g'!$A$1:$V$1,0)),FALSE))</f>
        <v>1.4793079982031035E-2</v>
      </c>
      <c r="E38" s="1">
        <f t="shared" si="2"/>
        <v>0.98520692001796895</v>
      </c>
      <c r="F38" s="1">
        <f t="shared" si="3"/>
        <v>0.98637331382227511</v>
      </c>
      <c r="G38" s="1">
        <f>1/(1+Summary!$O$2)^$C38</f>
        <v>0.17265741462150208</v>
      </c>
      <c r="H38" s="1">
        <f>IF(B38&gt;64, Summary!$J$7, 0)*'TV 6'!G38*'TV 6'!F38</f>
        <v>1396.0028976231486</v>
      </c>
      <c r="I38" s="1"/>
    </row>
    <row r="39" spans="1:9">
      <c r="A39" s="1">
        <f t="shared" si="4"/>
        <v>2056</v>
      </c>
      <c r="B39" s="1">
        <f t="shared" si="1"/>
        <v>71</v>
      </c>
      <c r="C39" s="1">
        <v>37</v>
      </c>
      <c r="D39" s="1">
        <f>IF(Summary!$G$7="M",VLOOKUP(B:B,'male g'!A:V,IF(A39&gt;2033,22,MATCH(A39,'male g'!$A$1:$V$1,0)),FALSE),VLOOKUP(B:B,'female g'!A:V,IF(A39&gt;2033,22,MATCH(A39,'female g'!$A$1:$V$1,0)),FALSE))</f>
        <v>1.6081052063459764E-2</v>
      </c>
      <c r="E39" s="1">
        <f t="shared" si="2"/>
        <v>0.98391894793654022</v>
      </c>
      <c r="F39" s="1">
        <f t="shared" si="3"/>
        <v>0.98520692001796895</v>
      </c>
      <c r="G39" s="1">
        <f>1/(1+Summary!$O$2)^$C39</f>
        <v>0.1644356329728591</v>
      </c>
      <c r="H39" s="1">
        <f>IF(B39&gt;64, Summary!$J$7, 0)*'TV 6'!G39*'TV 6'!F39</f>
        <v>1327.9543940754077</v>
      </c>
      <c r="I39" s="1"/>
    </row>
    <row r="40" spans="1:9">
      <c r="A40" s="1">
        <f t="shared" si="4"/>
        <v>2057</v>
      </c>
      <c r="B40" s="1">
        <f t="shared" si="1"/>
        <v>72</v>
      </c>
      <c r="C40" s="1">
        <v>38</v>
      </c>
      <c r="D40" s="1">
        <f>IF(Summary!$G$7="M",VLOOKUP(B:B,'male g'!A:V,IF(A40&gt;2033,22,MATCH(A40,'male g'!$A$1:$V$1,0)),FALSE),VLOOKUP(B:B,'female g'!A:V,IF(A40&gt;2033,22,MATCH(A40,'female g'!$A$1:$V$1,0)),FALSE))</f>
        <v>1.7512751333317752E-2</v>
      </c>
      <c r="E40" s="1">
        <f t="shared" si="2"/>
        <v>0.98248724866668224</v>
      </c>
      <c r="F40" s="1">
        <f t="shared" si="3"/>
        <v>0.98391894793654022</v>
      </c>
      <c r="G40" s="1">
        <f>1/(1+Summary!$O$2)^$C40</f>
        <v>0.15660536473605632</v>
      </c>
      <c r="H40" s="1">
        <f>IF(B40&gt;64, Summary!$J$7, 0)*'TV 6'!G40*'TV 6'!F40</f>
        <v>1263.0650898745312</v>
      </c>
      <c r="I40" s="1"/>
    </row>
    <row r="41" spans="1:9">
      <c r="A41" s="1">
        <f t="shared" si="4"/>
        <v>2058</v>
      </c>
      <c r="B41" s="1">
        <f t="shared" si="1"/>
        <v>73</v>
      </c>
      <c r="C41" s="1">
        <v>39</v>
      </c>
      <c r="D41" s="1">
        <f>IF(Summary!$G$7="M",VLOOKUP(B:B,'male g'!A:V,IF(A41&gt;2033,22,MATCH(A41,'male g'!$A$1:$V$1,0)),FALSE),VLOOKUP(B:B,'female g'!A:V,IF(A41&gt;2033,22,MATCH(A41,'female g'!$A$1:$V$1,0)),FALSE))</f>
        <v>1.9108502444741413E-2</v>
      </c>
      <c r="E41" s="1">
        <f t="shared" si="2"/>
        <v>0.98089149755525862</v>
      </c>
      <c r="F41" s="1">
        <f t="shared" si="3"/>
        <v>0.98248724866668224</v>
      </c>
      <c r="G41" s="1">
        <f>1/(1+Summary!$O$2)^$C41</f>
        <v>0.14914796641529171</v>
      </c>
      <c r="H41" s="1">
        <f>IF(B41&gt;64, Summary!$J$7, 0)*'TV 6'!G41*'TV 6'!F41</f>
        <v>1201.1687670395395</v>
      </c>
      <c r="I41" s="1"/>
    </row>
    <row r="42" spans="1:9">
      <c r="A42" s="1">
        <f t="shared" si="4"/>
        <v>2059</v>
      </c>
      <c r="B42" s="1">
        <f t="shared" si="1"/>
        <v>74</v>
      </c>
      <c r="C42" s="1">
        <v>40</v>
      </c>
      <c r="D42" s="1">
        <f>IF(Summary!$G$7="M",VLOOKUP(B:B,'male g'!A:V,IF(A42&gt;2033,22,MATCH(A42,'male g'!$A$1:$V$1,0)),FALSE),VLOOKUP(B:B,'female g'!A:V,IF(A42&gt;2033,22,MATCH(A42,'female g'!$A$1:$V$1,0)),FALSE))</f>
        <v>2.0891078905760852E-2</v>
      </c>
      <c r="E42" s="1">
        <f t="shared" si="2"/>
        <v>0.97910892109423919</v>
      </c>
      <c r="F42" s="1">
        <f t="shared" si="3"/>
        <v>0.98089149755525862</v>
      </c>
      <c r="G42" s="1">
        <f>1/(1+Summary!$O$2)^$C42</f>
        <v>0.14204568230027784</v>
      </c>
      <c r="H42" s="1">
        <f>IF(B42&gt;64, Summary!$J$7, 0)*'TV 6'!G42*'TV 6'!F42</f>
        <v>1142.1122232830196</v>
      </c>
      <c r="I42" s="1"/>
    </row>
    <row r="43" spans="1:9">
      <c r="A43" s="1">
        <f t="shared" si="4"/>
        <v>2060</v>
      </c>
      <c r="B43" s="1">
        <f t="shared" si="1"/>
        <v>75</v>
      </c>
      <c r="C43" s="1">
        <v>41</v>
      </c>
      <c r="D43" s="1">
        <f>IF(Summary!$G$7="M",VLOOKUP(B:B,'male g'!A:V,IF(A43&gt;2033,22,MATCH(A43,'male g'!$A$1:$V$1,0)),FALSE),VLOOKUP(B:B,'female g'!A:V,IF(A43&gt;2033,22,MATCH(A43,'female g'!$A$1:$V$1,0)),FALSE))</f>
        <v>2.289528896934603E-2</v>
      </c>
      <c r="E43" s="1">
        <f t="shared" si="2"/>
        <v>0.97710471103065399</v>
      </c>
      <c r="F43" s="1">
        <f t="shared" si="3"/>
        <v>0.97910892109423919</v>
      </c>
      <c r="G43" s="1">
        <f>1/(1+Summary!$O$2)^$C43</f>
        <v>0.13528160219074079</v>
      </c>
      <c r="H43" s="1">
        <f>IF(B43&gt;64, Summary!$J$7, 0)*'TV 6'!G43*'TV 6'!F43</f>
        <v>1085.7492000115394</v>
      </c>
      <c r="I43" s="1"/>
    </row>
    <row r="44" spans="1:9">
      <c r="A44" s="1">
        <f t="shared" si="4"/>
        <v>2061</v>
      </c>
      <c r="B44" s="1">
        <f t="shared" si="1"/>
        <v>76</v>
      </c>
      <c r="C44" s="1">
        <v>42</v>
      </c>
      <c r="D44" s="1">
        <f>IF(Summary!$G$7="M",VLOOKUP(B:B,'male g'!A:V,IF(A44&gt;2033,22,MATCH(A44,'male g'!$A$1:$V$1,0)),FALSE),VLOOKUP(B:B,'female g'!A:V,IF(A44&gt;2033,22,MATCH(A44,'female g'!$A$1:$V$1,0)),FALSE))</f>
        <v>2.513765115831567E-2</v>
      </c>
      <c r="E44" s="1">
        <f t="shared" si="2"/>
        <v>0.97486234884168432</v>
      </c>
      <c r="F44" s="1">
        <f t="shared" si="3"/>
        <v>0.97710471103065399</v>
      </c>
      <c r="G44" s="1">
        <f>1/(1+Summary!$O$2)^$C44</f>
        <v>0.12883962113403885</v>
      </c>
      <c r="H44" s="1">
        <f>IF(B44&gt;64, Summary!$J$7, 0)*'TV 6'!G44*'TV 6'!F44</f>
        <v>1031.9301905882826</v>
      </c>
      <c r="I44" s="1"/>
    </row>
    <row r="45" spans="1:9">
      <c r="A45" s="1">
        <f t="shared" si="4"/>
        <v>2062</v>
      </c>
      <c r="B45" s="1">
        <f t="shared" si="1"/>
        <v>77</v>
      </c>
      <c r="C45" s="1">
        <v>43</v>
      </c>
      <c r="D45" s="1">
        <f>IF(Summary!$G$7="M",VLOOKUP(B:B,'male g'!A:V,IF(A45&gt;2033,22,MATCH(A45,'male g'!$A$1:$V$1,0)),FALSE),VLOOKUP(B:B,'female g'!A:V,IF(A45&gt;2033,22,MATCH(A45,'female g'!$A$1:$V$1,0)),FALSE))</f>
        <v>2.7677948896305107E-2</v>
      </c>
      <c r="E45" s="1">
        <f t="shared" si="2"/>
        <v>0.97232205110369485</v>
      </c>
      <c r="F45" s="1">
        <f t="shared" si="3"/>
        <v>0.97486234884168432</v>
      </c>
      <c r="G45" s="1">
        <f>1/(1+Summary!$O$2)^$C45</f>
        <v>0.12270440108003698</v>
      </c>
      <c r="H45" s="1">
        <f>IF(B45&gt;64, Summary!$J$7, 0)*'TV 6'!G45*'TV 6'!F45</f>
        <v>980.53524680844146</v>
      </c>
      <c r="I45" s="1"/>
    </row>
    <row r="46" spans="1:9">
      <c r="A46" s="1">
        <f t="shared" si="4"/>
        <v>2063</v>
      </c>
      <c r="B46" s="1">
        <f t="shared" si="1"/>
        <v>78</v>
      </c>
      <c r="C46" s="1">
        <v>44</v>
      </c>
      <c r="D46" s="1">
        <f>IF(Summary!$G$7="M",VLOOKUP(B:B,'male g'!A:V,IF(A46&gt;2033,22,MATCH(A46,'male g'!$A$1:$V$1,0)),FALSE),VLOOKUP(B:B,'female g'!A:V,IF(A46&gt;2033,22,MATCH(A46,'female g'!$A$1:$V$1,0)),FALSE))</f>
        <v>3.0545666614171758E-2</v>
      </c>
      <c r="E46" s="1">
        <f t="shared" si="2"/>
        <v>0.9694543333858282</v>
      </c>
      <c r="F46" s="1">
        <f t="shared" si="3"/>
        <v>0.97232205110369485</v>
      </c>
      <c r="G46" s="1">
        <f>1/(1+Summary!$O$2)^$C46</f>
        <v>0.11686133436193999</v>
      </c>
      <c r="H46" s="1">
        <f>IF(B46&gt;64, Summary!$J$7, 0)*'TV 6'!G46*'TV 6'!F46</f>
        <v>931.40968249963089</v>
      </c>
      <c r="I46" s="1"/>
    </row>
    <row r="47" spans="1:9">
      <c r="A47" s="1">
        <f t="shared" si="4"/>
        <v>2064</v>
      </c>
      <c r="B47" s="1">
        <f t="shared" si="1"/>
        <v>79</v>
      </c>
      <c r="C47" s="1">
        <v>45</v>
      </c>
      <c r="D47" s="1">
        <f>IF(Summary!$G$7="M",VLOOKUP(B:B,'male g'!A:V,IF(A47&gt;2033,22,MATCH(A47,'male g'!$A$1:$V$1,0)),FALSE),VLOOKUP(B:B,'female g'!A:V,IF(A47&gt;2033,22,MATCH(A47,'female g'!$A$1:$V$1,0)),FALSE))</f>
        <v>3.3801426006075351E-2</v>
      </c>
      <c r="E47" s="1">
        <f t="shared" si="2"/>
        <v>0.96619857399392461</v>
      </c>
      <c r="F47" s="1">
        <f t="shared" si="3"/>
        <v>0.9694543333858282</v>
      </c>
      <c r="G47" s="1">
        <f>1/(1+Summary!$O$2)^$C47</f>
        <v>0.1112965089161333</v>
      </c>
      <c r="H47" s="1">
        <f>IF(B47&gt;64, Summary!$J$7, 0)*'TV 6'!G47*'TV 6'!F47</f>
        <v>884.44059967856401</v>
      </c>
      <c r="I47" s="1"/>
    </row>
    <row r="48" spans="1:9">
      <c r="A48" s="1">
        <f>$A$2+C48</f>
        <v>2065</v>
      </c>
      <c r="B48" s="1">
        <f>$B$2+C48</f>
        <v>80</v>
      </c>
      <c r="C48" s="1">
        <v>46</v>
      </c>
      <c r="D48" s="1">
        <f>IF(Summary!$G$7="M",VLOOKUP(B:B,'male g'!A:V,IF(A48&gt;2033,22,MATCH(A48,'male g'!$A$1:$V$1,0)),FALSE),VLOOKUP(B:B,'female g'!A:V,IF(A48&gt;2033,22,MATCH(A48,'female g'!$A$1:$V$1,0)),FALSE))</f>
        <v>3.7482908060753731E-2</v>
      </c>
      <c r="E48" s="1">
        <f t="shared" si="2"/>
        <v>0.96251709193924628</v>
      </c>
      <c r="F48" s="1">
        <f t="shared" si="3"/>
        <v>0.96619857399392461</v>
      </c>
      <c r="G48" s="1">
        <f>1/(1+Summary!$O$2)^$C48</f>
        <v>0.10599667515822221</v>
      </c>
      <c r="H48" s="1">
        <f>IF(B48&gt;64, Summary!$J$7, 0)*'TV 6'!G48*'TV 6'!F48</f>
        <v>839.49556713861534</v>
      </c>
      <c r="I48" s="1"/>
    </row>
    <row r="49" spans="1:9">
      <c r="A49" s="1">
        <f t="shared" ref="A49:A73" si="5">$A$2+C49</f>
        <v>2066</v>
      </c>
      <c r="B49" s="1">
        <f t="shared" si="1"/>
        <v>81</v>
      </c>
      <c r="C49" s="1">
        <v>47</v>
      </c>
      <c r="D49" s="1">
        <f>IF(Summary!$G$7="M",VLOOKUP(B:B,'male g'!A:V,IF(A49&gt;2033,22,MATCH(A49,'male g'!$A$1:$V$1,0)),FALSE),VLOOKUP(B:B,'female g'!A:V,IF(A49&gt;2033,22,MATCH(A49,'female g'!$A$1:$V$1,0)),FALSE))</f>
        <v>4.1692652240478641E-2</v>
      </c>
      <c r="E49" s="1">
        <f t="shared" si="2"/>
        <v>0.95830734775952131</v>
      </c>
      <c r="F49" s="1">
        <f t="shared" si="3"/>
        <v>0.96251709193924628</v>
      </c>
      <c r="G49" s="1">
        <f>1/(1+Summary!$O$2)^$C49</f>
        <v>0.10094921443640208</v>
      </c>
      <c r="H49" s="1">
        <f>IF(B49&gt;64, Summary!$J$7, 0)*'TV 6'!G49*'TV 6'!F49</f>
        <v>796.47319843328194</v>
      </c>
      <c r="I49" s="1"/>
    </row>
    <row r="50" spans="1:9">
      <c r="A50" s="1">
        <f t="shared" si="5"/>
        <v>2067</v>
      </c>
      <c r="B50" s="1">
        <f t="shared" si="1"/>
        <v>82</v>
      </c>
      <c r="C50" s="1">
        <v>48</v>
      </c>
      <c r="D50" s="1">
        <f>IF(Summary!$G$7="M",VLOOKUP(B:B,'male g'!A:V,IF(A50&gt;2033,22,MATCH(A50,'male g'!$A$1:$V$1,0)),FALSE),VLOOKUP(B:B,'female g'!A:V,IF(A50&gt;2033,22,MATCH(A50,'female g'!$A$1:$V$1,0)),FALSE))</f>
        <v>4.6458269197024199E-2</v>
      </c>
      <c r="E50" s="1">
        <f t="shared" si="2"/>
        <v>0.95354173080297577</v>
      </c>
      <c r="F50" s="1">
        <f t="shared" si="3"/>
        <v>0.95830734775952131</v>
      </c>
      <c r="G50" s="1">
        <f>1/(1+Summary!$O$2)^$C50</f>
        <v>9.6142108987049613E-2</v>
      </c>
      <c r="H50" s="1">
        <f>IF(B50&gt;64, Summary!$J$7, 0)*'TV 6'!G50*'TV 6'!F50</f>
        <v>755.22826431243061</v>
      </c>
      <c r="I50" s="1"/>
    </row>
    <row r="51" spans="1:9">
      <c r="A51" s="1">
        <f t="shared" si="5"/>
        <v>2068</v>
      </c>
      <c r="B51" s="1">
        <f t="shared" si="1"/>
        <v>83</v>
      </c>
      <c r="C51" s="1">
        <v>49</v>
      </c>
      <c r="D51" s="1">
        <f>IF(Summary!$G$7="M",VLOOKUP(B:B,'male g'!A:V,IF(A51&gt;2033,22,MATCH(A51,'male g'!$A$1:$V$1,0)),FALSE),VLOOKUP(B:B,'female g'!A:V,IF(A51&gt;2033,22,MATCH(A51,'female g'!$A$1:$V$1,0)),FALSE))</f>
        <v>5.1882087565112409E-2</v>
      </c>
      <c r="E51" s="1">
        <f t="shared" si="2"/>
        <v>0.94811791243488763</v>
      </c>
      <c r="F51" s="1">
        <f t="shared" si="3"/>
        <v>0.95354173080297577</v>
      </c>
      <c r="G51" s="1">
        <f>1/(1+Summary!$O$2)^$C51</f>
        <v>9.1563913320999626E-2</v>
      </c>
      <c r="H51" s="1">
        <f>IF(B51&gt;64, Summary!$J$7, 0)*'TV 6'!G51*'TV 6'!F51</f>
        <v>715.68814285636574</v>
      </c>
      <c r="I51" s="1"/>
    </row>
    <row r="52" spans="1:9">
      <c r="A52" s="1">
        <f t="shared" si="5"/>
        <v>2069</v>
      </c>
      <c r="B52" s="1">
        <f t="shared" si="1"/>
        <v>84</v>
      </c>
      <c r="C52" s="1">
        <v>50</v>
      </c>
      <c r="D52" s="1">
        <f>IF(Summary!$G$7="M",VLOOKUP(B:B,'male g'!A:V,IF(A52&gt;2033,22,MATCH(A52,'male g'!$A$1:$V$1,0)),FALSE),VLOOKUP(B:B,'female g'!A:V,IF(A52&gt;2033,22,MATCH(A52,'female g'!$A$1:$V$1,0)),FALSE))</f>
        <v>5.8015339398571217E-2</v>
      </c>
      <c r="E52" s="1">
        <f t="shared" si="2"/>
        <v>0.94198466060142882</v>
      </c>
      <c r="F52" s="1">
        <f t="shared" si="3"/>
        <v>0.94811791243488763</v>
      </c>
      <c r="G52" s="1">
        <f>1/(1+Summary!$O$2)^$C52</f>
        <v>8.7203726972380588E-2</v>
      </c>
      <c r="H52" s="1">
        <f>IF(B52&gt;64, Summary!$J$7, 0)*'TV 6'!G52*'TV 6'!F52</f>
        <v>677.73071800630476</v>
      </c>
      <c r="I52" s="1"/>
    </row>
    <row r="53" spans="1:9">
      <c r="A53" s="1">
        <f t="shared" si="5"/>
        <v>2070</v>
      </c>
      <c r="B53" s="1">
        <f t="shared" si="1"/>
        <v>85</v>
      </c>
      <c r="C53" s="1">
        <v>51</v>
      </c>
      <c r="D53" s="1">
        <f>IF(Summary!$G$7="M",VLOOKUP(B:B,'male g'!A:V,IF(A53&gt;2033,22,MATCH(A53,'male g'!$A$1:$V$1,0)),FALSE),VLOOKUP(B:B,'female g'!A:V,IF(A53&gt;2033,22,MATCH(A53,'female g'!$A$1:$V$1,0)),FALSE))</f>
        <v>6.4965454874702594E-2</v>
      </c>
      <c r="E53" s="1">
        <f t="shared" si="2"/>
        <v>0.93503454512529738</v>
      </c>
      <c r="F53" s="1">
        <f t="shared" si="3"/>
        <v>0.94198466060142882</v>
      </c>
      <c r="G53" s="1">
        <f>1/(1+Summary!$O$2)^$C53</f>
        <v>8.3051168545124371E-2</v>
      </c>
      <c r="H53" s="1">
        <f>IF(B53&gt;64, Summary!$J$7, 0)*'TV 6'!G53*'TV 6'!F53</f>
        <v>641.28244368819207</v>
      </c>
      <c r="I53" s="1"/>
    </row>
    <row r="54" spans="1:9">
      <c r="A54" s="1">
        <f t="shared" si="5"/>
        <v>2071</v>
      </c>
      <c r="B54" s="1">
        <f t="shared" si="1"/>
        <v>86</v>
      </c>
      <c r="C54" s="1">
        <v>52</v>
      </c>
      <c r="D54" s="1">
        <f>IF(Summary!$G$7="M",VLOOKUP(B:B,'male g'!A:V,IF(A54&gt;2033,22,MATCH(A54,'male g'!$A$1:$V$1,0)),FALSE),VLOOKUP(B:B,'female g'!A:V,IF(A54&gt;2033,22,MATCH(A54,'female g'!$A$1:$V$1,0)),FALSE))</f>
        <v>7.2903222964449149E-2</v>
      </c>
      <c r="E54" s="1">
        <f t="shared" si="2"/>
        <v>0.92709677703555082</v>
      </c>
      <c r="F54" s="1">
        <f t="shared" si="3"/>
        <v>0.93503454512529738</v>
      </c>
      <c r="G54" s="1">
        <f>1/(1+Summary!$O$2)^$C54</f>
        <v>7.9096350995356543E-2</v>
      </c>
      <c r="H54" s="1">
        <f>IF(B54&gt;64, Summary!$J$7, 0)*'TV 6'!G54*'TV 6'!F54</f>
        <v>606.23900752166799</v>
      </c>
      <c r="I54" s="1"/>
    </row>
    <row r="55" spans="1:9">
      <c r="A55" s="1">
        <f t="shared" si="5"/>
        <v>2072</v>
      </c>
      <c r="B55" s="1">
        <f t="shared" si="1"/>
        <v>87</v>
      </c>
      <c r="C55" s="1">
        <v>53</v>
      </c>
      <c r="D55" s="1">
        <f>IF(Summary!$G$7="M",VLOOKUP(B:B,'male g'!A:V,IF(A55&gt;2033,22,MATCH(A55,'male g'!$A$1:$V$1,0)),FALSE),VLOOKUP(B:B,'female g'!A:V,IF(A55&gt;2033,22,MATCH(A55,'female g'!$A$1:$V$1,0)),FALSE))</f>
        <v>8.1848520672112443E-2</v>
      </c>
      <c r="E55" s="1">
        <f t="shared" si="2"/>
        <v>0.91815147932788754</v>
      </c>
      <c r="F55" s="1">
        <f t="shared" si="3"/>
        <v>0.92709677703555082</v>
      </c>
      <c r="G55" s="1">
        <f>1/(1+Summary!$O$2)^$C55</f>
        <v>7.5329858090815757E-2</v>
      </c>
      <c r="H55" s="1">
        <f>IF(B55&gt;64, Summary!$J$7, 0)*'TV 6'!G55*'TV 6'!F55</f>
        <v>572.46902487564716</v>
      </c>
      <c r="I55" s="1"/>
    </row>
    <row r="56" spans="1:9">
      <c r="A56" s="1">
        <f t="shared" si="5"/>
        <v>2073</v>
      </c>
      <c r="B56" s="1">
        <f t="shared" si="1"/>
        <v>88</v>
      </c>
      <c r="C56" s="1">
        <v>54</v>
      </c>
      <c r="D56" s="1">
        <f>IF(Summary!$G$7="M",VLOOKUP(B:B,'male g'!A:V,IF(A56&gt;2033,22,MATCH(A56,'male g'!$A$1:$V$1,0)),FALSE),VLOOKUP(B:B,'female g'!A:V,IF(A56&gt;2033,22,MATCH(A56,'female g'!$A$1:$V$1,0)),FALSE))</f>
        <v>9.1889133554378416E-2</v>
      </c>
      <c r="E56" s="1">
        <f t="shared" si="2"/>
        <v>0.90811086644562156</v>
      </c>
      <c r="F56" s="1">
        <f t="shared" si="3"/>
        <v>0.91815147932788754</v>
      </c>
      <c r="G56" s="1">
        <f>1/(1+Summary!$O$2)^$C56</f>
        <v>7.1742721991253117E-2</v>
      </c>
      <c r="H56" s="1">
        <f>IF(B56&gt;64, Summary!$J$7, 0)*'TV 6'!G56*'TV 6'!F56</f>
        <v>539.94802975375171</v>
      </c>
      <c r="I56" s="1"/>
    </row>
    <row r="57" spans="1:9">
      <c r="A57" s="1">
        <f t="shared" si="5"/>
        <v>2074</v>
      </c>
      <c r="B57" s="1">
        <f t="shared" si="1"/>
        <v>89</v>
      </c>
      <c r="C57" s="1">
        <v>55</v>
      </c>
      <c r="D57" s="1">
        <f>IF(Summary!$G$7="M",VLOOKUP(B:B,'male g'!A:V,IF(A57&gt;2033,22,MATCH(A57,'male g'!$A$1:$V$1,0)),FALSE),VLOOKUP(B:B,'female g'!A:V,IF(A57&gt;2033,22,MATCH(A57,'female g'!$A$1:$V$1,0)),FALSE))</f>
        <v>0.1031648969350115</v>
      </c>
      <c r="E57" s="1">
        <f t="shared" si="2"/>
        <v>0.89683510306498848</v>
      </c>
      <c r="F57" s="1">
        <f t="shared" si="3"/>
        <v>0.90811086644562156</v>
      </c>
      <c r="G57" s="1">
        <f>1/(1+Summary!$O$2)^$C57</f>
        <v>6.8326401896431521E-2</v>
      </c>
      <c r="H57" s="1">
        <f>IF(B57&gt;64, Summary!$J$7, 0)*'TV 6'!G57*'TV 6'!F57</f>
        <v>508.61269489640904</v>
      </c>
      <c r="I57" s="1"/>
    </row>
    <row r="58" spans="1:9">
      <c r="A58" s="1">
        <f t="shared" si="5"/>
        <v>2075</v>
      </c>
      <c r="B58" s="1">
        <f t="shared" si="1"/>
        <v>90</v>
      </c>
      <c r="C58" s="1">
        <v>56</v>
      </c>
      <c r="D58" s="1">
        <f>IF(Summary!$G$7="M",VLOOKUP(B:B,'male g'!A:V,IF(A58&gt;2033,22,MATCH(A58,'male g'!$A$1:$V$1,0)),FALSE),VLOOKUP(B:B,'female g'!A:V,IF(A58&gt;2033,22,MATCH(A58,'female g'!$A$1:$V$1,0)),FALSE))</f>
        <v>0.11576084940657383</v>
      </c>
      <c r="E58" s="1">
        <f t="shared" si="2"/>
        <v>0.88423915059342617</v>
      </c>
      <c r="F58" s="1">
        <f t="shared" si="3"/>
        <v>0.89683510306498848</v>
      </c>
      <c r="G58" s="1">
        <f>1/(1+Summary!$O$2)^$C58</f>
        <v>6.5072763710887174E-2</v>
      </c>
      <c r="H58" s="1">
        <f>IF(B58&gt;64, Summary!$J$7, 0)*'TV 6'!G58*'TV 6'!F58</f>
        <v>478.37846729728858</v>
      </c>
      <c r="I58" s="1"/>
    </row>
    <row r="59" spans="1:9">
      <c r="A59" s="1">
        <f t="shared" si="5"/>
        <v>2076</v>
      </c>
      <c r="B59" s="1">
        <f t="shared" si="1"/>
        <v>91</v>
      </c>
      <c r="C59" s="1">
        <v>57</v>
      </c>
      <c r="D59" s="1">
        <f>IF(Summary!$G$7="M",VLOOKUP(B:B,'male g'!A:V,IF(A59&gt;2033,22,MATCH(A59,'male g'!$A$1:$V$1,0)),FALSE),VLOOKUP(B:B,'female g'!A:V,IF(A59&gt;2033,22,MATCH(A59,'female g'!$A$1:$V$1,0)),FALSE))</f>
        <v>0.12933245912292859</v>
      </c>
      <c r="E59" s="1">
        <f t="shared" si="2"/>
        <v>0.87066754087707143</v>
      </c>
      <c r="F59" s="1">
        <f t="shared" si="3"/>
        <v>0.88423915059342617</v>
      </c>
      <c r="G59" s="1">
        <f>1/(1+Summary!$O$2)^$C59</f>
        <v>6.1974060677035397E-2</v>
      </c>
      <c r="H59" s="1">
        <f>IF(B59&gt;64, Summary!$J$7, 0)*'TV 6'!G59*'TV 6'!F59</f>
        <v>449.19970783343501</v>
      </c>
      <c r="I59" s="1"/>
    </row>
    <row r="60" spans="1:9">
      <c r="A60" s="1">
        <f t="shared" si="5"/>
        <v>2077</v>
      </c>
      <c r="B60" s="1">
        <f t="shared" si="1"/>
        <v>92</v>
      </c>
      <c r="C60" s="1">
        <v>58</v>
      </c>
      <c r="D60" s="1">
        <f>IF(Summary!$G$7="M",VLOOKUP(B:B,'male g'!A:V,IF(A60&gt;2033,22,MATCH(A60,'male g'!$A$1:$V$1,0)),FALSE),VLOOKUP(B:B,'female g'!A:V,IF(A60&gt;2033,22,MATCH(A60,'female g'!$A$1:$V$1,0)),FALSE))</f>
        <v>0.14348300858520585</v>
      </c>
      <c r="E60" s="1">
        <f t="shared" si="2"/>
        <v>0.85651699141479409</v>
      </c>
      <c r="F60" s="1">
        <f t="shared" si="3"/>
        <v>0.87066754087707143</v>
      </c>
      <c r="G60" s="1">
        <f>1/(1+Summary!$O$2)^$C60</f>
        <v>5.9022914930509894E-2</v>
      </c>
      <c r="H60" s="1">
        <f>IF(B60&gt;64, Summary!$J$7, 0)*'TV 6'!G60*'TV 6'!F60</f>
        <v>421.2430806105321</v>
      </c>
      <c r="I60" s="1"/>
    </row>
    <row r="61" spans="1:9">
      <c r="A61" s="1">
        <f t="shared" si="5"/>
        <v>2078</v>
      </c>
      <c r="B61" s="1">
        <f t="shared" si="1"/>
        <v>93</v>
      </c>
      <c r="C61" s="1">
        <v>59</v>
      </c>
      <c r="D61" s="1">
        <f>IF(Summary!$G$7="M",VLOOKUP(B:B,'male g'!A:V,IF(A61&gt;2033,22,MATCH(A61,'male g'!$A$1:$V$1,0)),FALSE),VLOOKUP(B:B,'female g'!A:V,IF(A61&gt;2033,22,MATCH(A61,'female g'!$A$1:$V$1,0)),FALSE))</f>
        <v>0.15808258232710681</v>
      </c>
      <c r="E61" s="1">
        <f t="shared" si="2"/>
        <v>0.84191741767289319</v>
      </c>
      <c r="F61" s="1">
        <f t="shared" si="3"/>
        <v>0.85651699141479409</v>
      </c>
      <c r="G61" s="1">
        <f>1/(1+Summary!$O$2)^$C61</f>
        <v>5.6212299933818946E-2</v>
      </c>
      <c r="H61" s="1">
        <f>IF(B61&gt;64, Summary!$J$7, 0)*'TV 6'!G61*'TV 6'!F61</f>
        <v>394.66363354717231</v>
      </c>
      <c r="I61" s="1"/>
    </row>
    <row r="62" spans="1:9">
      <c r="A62" s="1">
        <f t="shared" si="5"/>
        <v>2079</v>
      </c>
      <c r="B62" s="1">
        <f t="shared" si="1"/>
        <v>94</v>
      </c>
      <c r="C62" s="1">
        <v>60</v>
      </c>
      <c r="D62" s="1">
        <f>IF(Summary!$G$7="M",VLOOKUP(B:B,'male g'!A:V,IF(A62&gt;2033,22,MATCH(A62,'male g'!$A$1:$V$1,0)),FALSE),VLOOKUP(B:B,'female g'!A:V,IF(A62&gt;2033,22,MATCH(A62,'female g'!$A$1:$V$1,0)),FALSE))</f>
        <v>0.17308956870926934</v>
      </c>
      <c r="E62" s="1">
        <f t="shared" si="2"/>
        <v>0.82691043129073072</v>
      </c>
      <c r="F62" s="1">
        <f t="shared" si="3"/>
        <v>0.84191741767289319</v>
      </c>
      <c r="G62" s="1">
        <f>1/(1+Summary!$O$2)^$C62</f>
        <v>5.3535523746494243E-2</v>
      </c>
      <c r="H62" s="1">
        <f>IF(B62&gt;64, Summary!$J$7, 0)*'TV 6'!G62*'TV 6'!F62</f>
        <v>369.46331483699566</v>
      </c>
      <c r="I62" s="1"/>
    </row>
    <row r="63" spans="1:9">
      <c r="A63" s="1">
        <f t="shared" si="5"/>
        <v>2080</v>
      </c>
      <c r="B63" s="1">
        <f t="shared" si="1"/>
        <v>95</v>
      </c>
      <c r="C63" s="1">
        <v>61</v>
      </c>
      <c r="D63" s="1">
        <f>IF(Summary!$G$7="M",VLOOKUP(B:B,'male g'!A:V,IF(A63&gt;2033,22,MATCH(A63,'male g'!$A$1:$V$1,0)),FALSE),VLOOKUP(B:B,'female g'!A:V,IF(A63&gt;2033,22,MATCH(A63,'female g'!$A$1:$V$1,0)),FALSE))</f>
        <v>0.1884638420447376</v>
      </c>
      <c r="E63" s="1">
        <f t="shared" si="2"/>
        <v>0.81153615795526246</v>
      </c>
      <c r="F63" s="1">
        <f t="shared" si="3"/>
        <v>0.82691043129073072</v>
      </c>
      <c r="G63" s="1">
        <f>1/(1+Summary!$O$2)^$C63</f>
        <v>5.0986213091899268E-2</v>
      </c>
      <c r="H63" s="1">
        <f>IF(B63&gt;64, Summary!$J$7, 0)*'TV 6'!G63*'TV 6'!F63</f>
        <v>345.59782411961299</v>
      </c>
      <c r="I63" s="1"/>
    </row>
    <row r="64" spans="1:9">
      <c r="A64" s="1">
        <f t="shared" si="5"/>
        <v>2081</v>
      </c>
      <c r="B64" s="1">
        <f t="shared" si="1"/>
        <v>96</v>
      </c>
      <c r="C64" s="1">
        <v>62</v>
      </c>
      <c r="D64" s="1">
        <f>IF(Summary!$G$7="M",VLOOKUP(B:B,'male g'!A:V,IF(A64&gt;2033,22,MATCH(A64,'male g'!$A$1:$V$1,0)),FALSE),VLOOKUP(B:B,'female g'!A:V,IF(A64&gt;2033,22,MATCH(A64,'female g'!$A$1:$V$1,0)),FALSE))</f>
        <v>0.20546988897968524</v>
      </c>
      <c r="E64" s="1">
        <f t="shared" si="2"/>
        <v>0.79453011102031479</v>
      </c>
      <c r="F64" s="1">
        <f t="shared" si="3"/>
        <v>0.81153615795526246</v>
      </c>
      <c r="G64" s="1">
        <f>1/(1+Summary!$O$2)^$C64</f>
        <v>4.855829818276123E-2</v>
      </c>
      <c r="H64" s="1">
        <f>IF(B64&gt;64, Summary!$J$7, 0)*'TV 6'!G64*'TV 6'!F64</f>
        <v>323.02125826078975</v>
      </c>
      <c r="I64" s="1"/>
    </row>
    <row r="65" spans="1:9">
      <c r="A65" s="1">
        <f t="shared" si="5"/>
        <v>2082</v>
      </c>
      <c r="B65" s="1">
        <f t="shared" si="1"/>
        <v>97</v>
      </c>
      <c r="C65" s="1">
        <v>63</v>
      </c>
      <c r="D65" s="1">
        <f>IF(Summary!$G$7="M",VLOOKUP(B:B,'male g'!A:V,IF(A65&gt;2033,22,MATCH(A65,'male g'!$A$1:$V$1,0)),FALSE),VLOOKUP(B:B,'female g'!A:V,IF(A65&gt;2033,22,MATCH(A65,'female g'!$A$1:$V$1,0)),FALSE))</f>
        <v>0.22317315569892124</v>
      </c>
      <c r="E65" s="1">
        <f t="shared" si="2"/>
        <v>0.77682684430107873</v>
      </c>
      <c r="F65" s="1">
        <f t="shared" si="3"/>
        <v>0.79453011102031479</v>
      </c>
      <c r="G65" s="1">
        <f>1/(1+Summary!$O$2)^$C65</f>
        <v>4.6245998269296387E-2</v>
      </c>
      <c r="H65" s="1">
        <f>IF(B65&gt;64, Summary!$J$7, 0)*'TV 6'!G65*'TV 6'!F65</f>
        <v>301.19259590298805</v>
      </c>
      <c r="I65" s="1"/>
    </row>
    <row r="66" spans="1:9">
      <c r="A66" s="1">
        <f t="shared" si="5"/>
        <v>2083</v>
      </c>
      <c r="B66" s="1">
        <f t="shared" si="1"/>
        <v>98</v>
      </c>
      <c r="C66" s="1">
        <v>64</v>
      </c>
      <c r="D66" s="1">
        <f>IF(Summary!$G$7="M",VLOOKUP(B:B,'male g'!A:V,IF(A66&gt;2033,22,MATCH(A66,'male g'!$A$1:$V$1,0)),FALSE),VLOOKUP(B:B,'female g'!A:V,IF(A66&gt;2033,22,MATCH(A66,'female g'!$A$1:$V$1,0)),FALSE))</f>
        <v>0.2417371960764223</v>
      </c>
      <c r="E66" s="1">
        <f t="shared" si="2"/>
        <v>0.7582628039235777</v>
      </c>
      <c r="F66" s="1">
        <f t="shared" si="3"/>
        <v>0.77682684430107873</v>
      </c>
      <c r="G66" s="1">
        <f>1/(1+Summary!$O$2)^$C66</f>
        <v>4.4043807875520369E-2</v>
      </c>
      <c r="H66" s="1">
        <f>IF(B66&gt;64, Summary!$J$7, 0)*'TV 6'!G66*'TV 6'!F66</f>
        <v>280.45866122556896</v>
      </c>
      <c r="I66" s="1"/>
    </row>
    <row r="67" spans="1:9">
      <c r="A67" s="1">
        <f t="shared" si="5"/>
        <v>2084</v>
      </c>
      <c r="B67" s="1">
        <f t="shared" si="1"/>
        <v>99</v>
      </c>
      <c r="C67" s="1">
        <v>65</v>
      </c>
      <c r="D67" s="1">
        <f>IF(Summary!$G$7="M",VLOOKUP(B:B,'male g'!A:V,IF(A67&gt;2033,22,MATCH(A67,'male g'!$A$1:$V$1,0)),FALSE),VLOOKUP(B:B,'female g'!A:V,IF(A67&gt;2033,22,MATCH(A67,'female g'!$A$1:$V$1,0)),FALSE))</f>
        <v>0.26102364427750568</v>
      </c>
      <c r="E67" s="1">
        <f t="shared" si="2"/>
        <v>0.73897635572249432</v>
      </c>
      <c r="F67" s="1">
        <f t="shared" si="3"/>
        <v>0.7582628039235777</v>
      </c>
      <c r="G67" s="1">
        <f>1/(1+Summary!$O$2)^$C67</f>
        <v>4.1946483690971779E-2</v>
      </c>
      <c r="H67" s="1">
        <f>IF(B67&gt;64, Summary!$J$7, 0)*'TV 6'!G67*'TV 6'!F67</f>
        <v>260.72044289709049</v>
      </c>
      <c r="I67" s="1"/>
    </row>
    <row r="68" spans="1:9">
      <c r="A68" s="1">
        <f t="shared" si="5"/>
        <v>2085</v>
      </c>
      <c r="B68" s="1">
        <f t="shared" ref="B68:B73" si="6">$B$2+C68</f>
        <v>100</v>
      </c>
      <c r="C68" s="1">
        <v>66</v>
      </c>
      <c r="D68" s="1">
        <f>IF(Summary!$G$7="M",VLOOKUP(B:B,'male g'!A:V,IF(A68&gt;2033,22,MATCH(A68,'male g'!$A$1:$V$1,0)),FALSE),VLOOKUP(B:B,'female g'!A:V,IF(A68&gt;2033,22,MATCH(A68,'female g'!$A$1:$V$1,0)),FALSE))</f>
        <v>0.2809127683704345</v>
      </c>
      <c r="E68" s="1">
        <f t="shared" ref="E68:E88" si="7">1-D68</f>
        <v>0.71908723162956556</v>
      </c>
      <c r="F68" s="1">
        <f t="shared" ref="F68:F88" si="8">E67</f>
        <v>0.73897635572249432</v>
      </c>
      <c r="G68" s="1">
        <f>1/(1+Summary!$O$2)^$C68</f>
        <v>3.9949032086639788E-2</v>
      </c>
      <c r="H68" s="1">
        <f>IF(B68&gt;64, Summary!$J$7, 0)*'TV 6'!G68*'TV 6'!F68</f>
        <v>241.98953030093907</v>
      </c>
      <c r="I68" s="1"/>
    </row>
    <row r="69" spans="1:9">
      <c r="A69" s="1">
        <f t="shared" si="5"/>
        <v>2086</v>
      </c>
      <c r="B69" s="1">
        <f t="shared" si="6"/>
        <v>101</v>
      </c>
      <c r="C69" s="1">
        <v>67</v>
      </c>
      <c r="D69" s="1">
        <f>IF(Summary!$G$7="M",VLOOKUP(B:B,'male g'!A:V,IF(A69&gt;2033,22,MATCH(A69,'male g'!$A$1:$V$1,0)),FALSE),VLOOKUP(B:B,'female g'!A:V,IF(A69&gt;2033,22,MATCH(A69,'female g'!$A$1:$V$1,0)),FALSE))</f>
        <v>0.30146810411089092</v>
      </c>
      <c r="E69" s="1">
        <f t="shared" si="7"/>
        <v>0.69853189588910913</v>
      </c>
      <c r="F69" s="1">
        <f t="shared" si="8"/>
        <v>0.71908723162956556</v>
      </c>
      <c r="G69" s="1">
        <f>1/(1+Summary!$O$2)^$C69</f>
        <v>3.8046697225371226E-2</v>
      </c>
      <c r="H69" s="1">
        <f>IF(B69&gt;64, Summary!$J$7, 0)*'TV 6'!G69*'TV 6'!F69</f>
        <v>224.26335343727345</v>
      </c>
      <c r="I69" s="1"/>
    </row>
    <row r="70" spans="1:9">
      <c r="A70" s="1">
        <f t="shared" si="5"/>
        <v>2087</v>
      </c>
      <c r="B70" s="1">
        <f t="shared" si="6"/>
        <v>102</v>
      </c>
      <c r="C70" s="1">
        <v>68</v>
      </c>
      <c r="D70" s="1">
        <f>IF(Summary!$G$7="M",VLOOKUP(B:B,'male g'!A:V,IF(A70&gt;2033,22,MATCH(A70,'male g'!$A$1:$V$1,0)),FALSE),VLOOKUP(B:B,'female g'!A:V,IF(A70&gt;2033,22,MATCH(A70,'female g'!$A$1:$V$1,0)),FALSE))</f>
        <v>0.32206565548145499</v>
      </c>
      <c r="E70" s="1">
        <f t="shared" si="7"/>
        <v>0.67793434451854506</v>
      </c>
      <c r="F70" s="1">
        <f t="shared" si="8"/>
        <v>0.69853189588910913</v>
      </c>
      <c r="G70" s="1">
        <f>1/(1+Summary!$O$2)^$C70</f>
        <v>3.6234949738448791E-2</v>
      </c>
      <c r="H70" s="1">
        <f>IF(B70&gt;64, Summary!$J$7, 0)*'TV 6'!G70*'TV 6'!F70</f>
        <v>207.47877582314973</v>
      </c>
      <c r="I70" s="1"/>
    </row>
    <row r="71" spans="1:9">
      <c r="A71" s="1">
        <f t="shared" si="5"/>
        <v>2088</v>
      </c>
      <c r="B71" s="1">
        <f t="shared" si="6"/>
        <v>103</v>
      </c>
      <c r="C71" s="1">
        <v>69</v>
      </c>
      <c r="D71" s="1">
        <f>IF(Summary!$G$7="M",VLOOKUP(B:B,'male g'!A:V,IF(A71&gt;2033,22,MATCH(A71,'male g'!$A$1:$V$1,0)),FALSE),VLOOKUP(B:B,'female g'!A:V,IF(A71&gt;2033,22,MATCH(A71,'female g'!$A$1:$V$1,0)),FALSE))</f>
        <v>0.3427697952313476</v>
      </c>
      <c r="E71" s="1">
        <f t="shared" si="7"/>
        <v>0.65723020476865246</v>
      </c>
      <c r="F71" s="1">
        <f t="shared" si="8"/>
        <v>0.67793434451854506</v>
      </c>
      <c r="G71" s="1">
        <f>1/(1+Summary!$O$2)^$C71</f>
        <v>3.4509475941379798E-2</v>
      </c>
      <c r="H71" s="1">
        <f>IF(B71&gt;64, Summary!$J$7, 0)*'TV 6'!G71*'TV 6'!F71</f>
        <v>191.77225388459058</v>
      </c>
      <c r="I71" s="1"/>
    </row>
    <row r="72" spans="1:9">
      <c r="A72" s="1">
        <f t="shared" si="5"/>
        <v>2089</v>
      </c>
      <c r="B72" s="1">
        <f t="shared" si="6"/>
        <v>104</v>
      </c>
      <c r="C72" s="1">
        <v>70</v>
      </c>
      <c r="D72" s="1">
        <f>IF(Summary!$G$7="M",VLOOKUP(B:B,'male g'!A:V,IF(A72&gt;2033,22,MATCH(A72,'male g'!$A$1:$V$1,0)),FALSE),VLOOKUP(B:B,'female g'!A:V,IF(A72&gt;2033,22,MATCH(A72,'female g'!$A$1:$V$1,0)),FALSE))</f>
        <v>0.36312182573243618</v>
      </c>
      <c r="E72" s="1">
        <f t="shared" si="7"/>
        <v>0.63687817426756377</v>
      </c>
      <c r="F72" s="1">
        <f t="shared" si="8"/>
        <v>0.65723020476865246</v>
      </c>
      <c r="G72" s="1">
        <f>1/(1+Summary!$O$2)^$C72</f>
        <v>3.2866167563218862E-2</v>
      </c>
      <c r="H72" s="1">
        <f>IF(B72&gt;64, Summary!$J$7, 0)*'TV 6'!G72*'TV 6'!F72</f>
        <v>177.06240211074103</v>
      </c>
      <c r="I72" s="1"/>
    </row>
    <row r="73" spans="1:9">
      <c r="A73" s="1">
        <f t="shared" si="5"/>
        <v>2090</v>
      </c>
      <c r="B73" s="1">
        <f t="shared" si="6"/>
        <v>105</v>
      </c>
      <c r="C73" s="1">
        <v>71</v>
      </c>
      <c r="D73" s="1">
        <f>IF(Summary!$G$7="M",VLOOKUP(B:B,'male g'!A:V,IF(A73&gt;2033,22,MATCH(A73,'male g'!$A$1:$V$1,0)),FALSE),VLOOKUP(B:B,'female g'!A:V,IF(A73&gt;2033,22,MATCH(A73,'female g'!$A$1:$V$1,0)),FALSE))</f>
        <v>0.38340857179772014</v>
      </c>
      <c r="E73" s="1">
        <f t="shared" si="7"/>
        <v>0.61659142820227986</v>
      </c>
      <c r="F73" s="1">
        <f t="shared" si="8"/>
        <v>0.63687817426756377</v>
      </c>
      <c r="G73" s="1">
        <f>1/(1+Summary!$O$2)^$C73</f>
        <v>3.1301111964970339E-2</v>
      </c>
      <c r="H73" s="1">
        <f>IF(B73&gt;64, Summary!$J$7, 0)*'TV 6'!G73*'TV 6'!F73</f>
        <v>163.40897439488927</v>
      </c>
      <c r="I73" s="1"/>
    </row>
    <row r="74" spans="1:9">
      <c r="A74" s="1">
        <f>$A$2+C74</f>
        <v>2091</v>
      </c>
      <c r="B74" s="1">
        <f>$B$2+C74</f>
        <v>106</v>
      </c>
      <c r="C74" s="1">
        <v>72</v>
      </c>
      <c r="D74" s="1">
        <f>IF(Summary!$G$7="M",VLOOKUP(B:B,'male g'!A:V,IF(A74&gt;2033,22,MATCH(A74,'male g'!$A$1:$V$1,0)),FALSE),VLOOKUP(B:B,'female g'!A:V,IF(A74&gt;2033,22,MATCH(A74,'female g'!$A$1:$V$1,0)),FALSE))</f>
        <v>0.4032562438470747</v>
      </c>
      <c r="E74" s="1">
        <f t="shared" si="7"/>
        <v>0.5967437561529253</v>
      </c>
      <c r="F74" s="1">
        <f t="shared" si="8"/>
        <v>0.61659142820227986</v>
      </c>
      <c r="G74" s="1">
        <f>1/(1+Summary!$O$2)^$C74</f>
        <v>2.9810582823781274E-2</v>
      </c>
      <c r="H74" s="1">
        <f>IF(B74&gt;64, Summary!$J$7, 0)*'TV 6'!G74*'TV 6'!F74</f>
        <v>150.67032399180695</v>
      </c>
      <c r="I74" s="1"/>
    </row>
    <row r="75" spans="1:9">
      <c r="A75" s="1">
        <f t="shared" ref="A75:A88" si="9">$A$2+C75</f>
        <v>2092</v>
      </c>
      <c r="B75" s="1">
        <f t="shared" ref="B75:B88" si="10">$B$2+C75</f>
        <v>107</v>
      </c>
      <c r="C75" s="1">
        <v>73</v>
      </c>
      <c r="D75" s="1">
        <f>IF(Summary!$G$7="M",VLOOKUP(B:B,'male g'!A:V,IF(A75&gt;2033,22,MATCH(A75,'male g'!$A$1:$V$1,0)),FALSE),VLOOKUP(B:B,'female g'!A:V,IF(A75&gt;2033,22,MATCH(A75,'female g'!$A$1:$V$1,0)),FALSE))</f>
        <v>0.42246723803499708</v>
      </c>
      <c r="E75" s="1">
        <f t="shared" si="7"/>
        <v>0.57753276196500292</v>
      </c>
      <c r="F75" s="1">
        <f t="shared" si="8"/>
        <v>0.5967437561529253</v>
      </c>
      <c r="G75" s="1">
        <f>1/(1+Summary!$O$2)^$C75</f>
        <v>2.8391031260744073E-2</v>
      </c>
      <c r="H75" s="1">
        <f>IF(B75&gt;64, Summary!$J$7, 0)*'TV 6'!G75*'TV 6'!F75</f>
        <v>138.87651950350465</v>
      </c>
      <c r="I75" s="1"/>
    </row>
    <row r="76" spans="1:9">
      <c r="A76" s="1">
        <f t="shared" si="9"/>
        <v>2093</v>
      </c>
      <c r="B76" s="1">
        <f t="shared" si="10"/>
        <v>108</v>
      </c>
      <c r="C76" s="1">
        <v>74</v>
      </c>
      <c r="D76" s="1">
        <f>IF(Summary!$G$7="M",VLOOKUP(B:B,'male g'!A:V,IF(A76&gt;2033,22,MATCH(A76,'male g'!$A$1:$V$1,0)),FALSE),VLOOKUP(B:B,'female g'!A:V,IF(A76&gt;2033,22,MATCH(A76,'female g'!$A$1:$V$1,0)),FALSE))</f>
        <v>0.44119749280646176</v>
      </c>
      <c r="E76" s="1">
        <f t="shared" si="7"/>
        <v>0.5588025071935383</v>
      </c>
      <c r="F76" s="1">
        <f t="shared" si="8"/>
        <v>0.57753276196500292</v>
      </c>
      <c r="G76" s="1">
        <f>1/(1+Summary!$O$2)^$C76</f>
        <v>2.7039077391184833E-2</v>
      </c>
      <c r="H76" s="1">
        <f>IF(B76&gt;64, Summary!$J$7, 0)*'TV 6'!G76*'TV 6'!F76</f>
        <v>128.00539284513047</v>
      </c>
      <c r="I76" s="1"/>
    </row>
    <row r="77" spans="1:9">
      <c r="A77" s="1">
        <f t="shared" si="9"/>
        <v>2094</v>
      </c>
      <c r="B77" s="1">
        <f t="shared" si="10"/>
        <v>109</v>
      </c>
      <c r="C77" s="1">
        <v>75</v>
      </c>
      <c r="D77" s="1">
        <f>IF(Summary!$G$7="M",VLOOKUP(B:B,'male g'!A:V,IF(A77&gt;2033,22,MATCH(A77,'male g'!$A$1:$V$1,0)),FALSE),VLOOKUP(B:B,'female g'!A:V,IF(A77&gt;2033,22,MATCH(A77,'female g'!$A$1:$V$1,0)),FALSE))</f>
        <v>0.45907299166148602</v>
      </c>
      <c r="E77" s="1">
        <f t="shared" si="7"/>
        <v>0.54092700833851404</v>
      </c>
      <c r="F77" s="1">
        <f t="shared" si="8"/>
        <v>0.5588025071935383</v>
      </c>
      <c r="G77" s="1">
        <f>1/(1+Summary!$O$2)^$C77</f>
        <v>2.5751502277318886E-2</v>
      </c>
      <c r="H77" s="1">
        <f>IF(B77&gt;64, Summary!$J$7, 0)*'TV 6'!G77*'TV 6'!F77</f>
        <v>117.9561768809844</v>
      </c>
      <c r="I77" s="1"/>
    </row>
    <row r="78" spans="1:9">
      <c r="A78" s="1">
        <f t="shared" si="9"/>
        <v>2095</v>
      </c>
      <c r="B78" s="1">
        <f t="shared" si="10"/>
        <v>110</v>
      </c>
      <c r="C78" s="1">
        <v>76</v>
      </c>
      <c r="D78" s="1">
        <f>IF(Summary!$G$7="M",VLOOKUP(B:B,'male g'!A:V,IF(A78&gt;2033,22,MATCH(A78,'male g'!$A$1:$V$1,0)),FALSE),VLOOKUP(B:B,'female g'!A:V,IF(A78&gt;2033,22,MATCH(A78,'female g'!$A$1:$V$1,0)),FALSE))</f>
        <v>0.47644967979565578</v>
      </c>
      <c r="E78" s="1">
        <f t="shared" si="7"/>
        <v>0.52355032020434422</v>
      </c>
      <c r="F78" s="1">
        <f t="shared" si="8"/>
        <v>0.54092700833851404</v>
      </c>
      <c r="G78" s="1">
        <f>1/(1+Summary!$O$2)^$C78</f>
        <v>2.4525240264113228E-2</v>
      </c>
      <c r="H78" s="1">
        <f>IF(B78&gt;64, Summary!$J$7, 0)*'TV 6'!G78*'TV 6'!F78</f>
        <v>108.74560383933338</v>
      </c>
      <c r="I78" s="1"/>
    </row>
    <row r="79" spans="1:9">
      <c r="A79" s="1">
        <f t="shared" si="9"/>
        <v>2096</v>
      </c>
      <c r="B79" s="1">
        <f t="shared" si="10"/>
        <v>111</v>
      </c>
      <c r="C79" s="1">
        <v>77</v>
      </c>
      <c r="D79" s="1">
        <f>IF(Summary!$G$7="M",VLOOKUP(B:B,'male g'!A:V,IF(A79&gt;2033,22,MATCH(A79,'male g'!$A$1:$V$1,0)),FALSE),VLOOKUP(B:B,'female g'!A:V,IF(A79&gt;2033,22,MATCH(A79,'female g'!$A$1:$V$1,0)),FALSE))</f>
        <v>0.48540620500607778</v>
      </c>
      <c r="E79" s="1">
        <f t="shared" si="7"/>
        <v>0.51459379499392222</v>
      </c>
      <c r="F79" s="1">
        <f t="shared" si="8"/>
        <v>0.52355032020434422</v>
      </c>
      <c r="G79" s="1">
        <f>1/(1+Summary!$O$2)^$C79</f>
        <v>2.3357371680107829E-2</v>
      </c>
      <c r="H79" s="1">
        <f>IF(B79&gt;64, Summary!$J$7, 0)*'TV 6'!G79*'TV 6'!F79</f>
        <v>100.24025745794272</v>
      </c>
      <c r="I79" s="1"/>
    </row>
    <row r="80" spans="1:9">
      <c r="A80" s="1">
        <f t="shared" si="9"/>
        <v>2097</v>
      </c>
      <c r="B80" s="1">
        <f t="shared" si="10"/>
        <v>112</v>
      </c>
      <c r="C80" s="1">
        <v>78</v>
      </c>
      <c r="D80" s="1">
        <f>IF(Summary!$G$7="M",VLOOKUP(B:B,'male g'!A:V,IF(A80&gt;2033,22,MATCH(A80,'male g'!$A$1:$V$1,0)),FALSE),VLOOKUP(B:B,'female g'!A:V,IF(A80&gt;2033,22,MATCH(A80,'female g'!$A$1:$V$1,0)),FALSE))</f>
        <v>0.48906519527204906</v>
      </c>
      <c r="E80" s="1">
        <f t="shared" si="7"/>
        <v>0.51093480472795094</v>
      </c>
      <c r="F80" s="1">
        <f t="shared" si="8"/>
        <v>0.51459379499392222</v>
      </c>
      <c r="G80" s="1">
        <f>1/(1+Summary!$O$2)^$C80</f>
        <v>2.2245115885816989E-2</v>
      </c>
      <c r="H80" s="1">
        <f>IF(B80&gt;64, Summary!$J$7, 0)*'TV 6'!G80*'TV 6'!F80</f>
        <v>93.833732073042555</v>
      </c>
      <c r="I80" s="1"/>
    </row>
    <row r="81" spans="1:9">
      <c r="A81" s="1">
        <f t="shared" si="9"/>
        <v>2098</v>
      </c>
      <c r="B81" s="1">
        <f t="shared" si="10"/>
        <v>113</v>
      </c>
      <c r="C81" s="1">
        <v>79</v>
      </c>
      <c r="D81" s="1">
        <f>IF(Summary!$G$7="M",VLOOKUP(B:B,'male g'!A:V,IF(A81&gt;2033,22,MATCH(A81,'male g'!$A$1:$V$1,0)),FALSE),VLOOKUP(B:B,'female g'!A:V,IF(A81&gt;2033,22,MATCH(A81,'female g'!$A$1:$V$1,0)),FALSE))</f>
        <v>0.49265177497129853</v>
      </c>
      <c r="E81" s="1">
        <f t="shared" si="7"/>
        <v>0.50734822502870147</v>
      </c>
      <c r="F81" s="1">
        <f t="shared" si="8"/>
        <v>0.51093480472795094</v>
      </c>
      <c r="G81" s="1">
        <f>1/(1+Summary!$O$2)^$C81</f>
        <v>2.1185824653159029E-2</v>
      </c>
      <c r="H81" s="1">
        <f>IF(B81&gt;64, Summary!$J$7, 0)*'TV 6'!G81*'TV 6'!F81</f>
        <v>88.730031041281876</v>
      </c>
      <c r="I81" s="1"/>
    </row>
    <row r="82" spans="1:9">
      <c r="A82" s="1">
        <f t="shared" si="9"/>
        <v>2099</v>
      </c>
      <c r="B82" s="1">
        <f t="shared" si="10"/>
        <v>114</v>
      </c>
      <c r="C82" s="1">
        <v>80</v>
      </c>
      <c r="D82" s="1">
        <f>IF(Summary!$G$7="M",VLOOKUP(B:B,'male g'!A:V,IF(A82&gt;2033,22,MATCH(A82,'male g'!$A$1:$V$1,0)),FALSE),VLOOKUP(B:B,'female g'!A:V,IF(A82&gt;2033,22,MATCH(A82,'female g'!$A$1:$V$1,0)),FALSE))</f>
        <v>0.49631296624312721</v>
      </c>
      <c r="E82" s="1">
        <f t="shared" si="7"/>
        <v>0.50368703375687285</v>
      </c>
      <c r="F82" s="1">
        <f t="shared" si="8"/>
        <v>0.50734822502870147</v>
      </c>
      <c r="G82" s="1">
        <f>1/(1+Summary!$O$2)^$C82</f>
        <v>2.0176975860151457E-2</v>
      </c>
      <c r="H82" s="1">
        <f>IF(B82&gt;64, Summary!$J$7, 0)*'TV 6'!G82*'TV 6'!F82</f>
        <v>83.911598037407828</v>
      </c>
      <c r="I82" s="1"/>
    </row>
    <row r="83" spans="1:9">
      <c r="A83" s="1">
        <f t="shared" si="9"/>
        <v>2100</v>
      </c>
      <c r="B83" s="1">
        <f t="shared" si="10"/>
        <v>115</v>
      </c>
      <c r="C83" s="1">
        <v>81</v>
      </c>
      <c r="D83" s="1">
        <f>IF(Summary!$G$7="M",VLOOKUP(B:B,'male g'!A:V,IF(A83&gt;2033,22,MATCH(A83,'male g'!$A$1:$V$1,0)),FALSE),VLOOKUP(B:B,'female g'!A:V,IF(A83&gt;2033,22,MATCH(A83,'female g'!$A$1:$V$1,0)),FALSE))</f>
        <v>0.5</v>
      </c>
      <c r="E83" s="1">
        <f t="shared" si="7"/>
        <v>0.5</v>
      </c>
      <c r="F83" s="1">
        <f t="shared" si="8"/>
        <v>0.50368703375687285</v>
      </c>
      <c r="G83" s="1">
        <f>1/(1+Summary!$O$2)^$C83</f>
        <v>1.9216167485858526E-2</v>
      </c>
      <c r="H83" s="1">
        <f>IF(B83&gt;64, Summary!$J$7, 0)*'TV 6'!G83*'TV 6'!F83</f>
        <v>79.339108963257814</v>
      </c>
      <c r="I83" s="1"/>
    </row>
    <row r="84" spans="1:9">
      <c r="A84" s="1">
        <f t="shared" si="9"/>
        <v>2101</v>
      </c>
      <c r="B84" s="1">
        <f t="shared" si="10"/>
        <v>116</v>
      </c>
      <c r="C84" s="1">
        <v>82</v>
      </c>
      <c r="D84" s="1">
        <f>IF(Summary!$G$7="M",VLOOKUP(B:B,'male g'!A:V,IF(A84&gt;2033,22,MATCH(A84,'male g'!$A$1:$V$1,0)),FALSE),VLOOKUP(B:B,'female g'!A:V,IF(A84&gt;2033,22,MATCH(A84,'female g'!$A$1:$V$1,0)),FALSE))</f>
        <v>0.5</v>
      </c>
      <c r="E84" s="1">
        <f t="shared" si="7"/>
        <v>0.5</v>
      </c>
      <c r="F84" s="1">
        <f t="shared" si="8"/>
        <v>0.5</v>
      </c>
      <c r="G84" s="1">
        <f>1/(1+Summary!$O$2)^$C84</f>
        <v>1.8301111891293836E-2</v>
      </c>
      <c r="H84" s="1">
        <f>IF(B84&gt;64, Summary!$J$7, 0)*'TV 6'!G84*'TV 6'!F84</f>
        <v>75.007942523250037</v>
      </c>
      <c r="I84" s="1"/>
    </row>
    <row r="85" spans="1:9">
      <c r="A85" s="1">
        <f t="shared" si="9"/>
        <v>2102</v>
      </c>
      <c r="B85" s="1">
        <f t="shared" si="10"/>
        <v>117</v>
      </c>
      <c r="C85" s="1">
        <v>83</v>
      </c>
      <c r="D85" s="1">
        <f>IF(Summary!$G$7="M",VLOOKUP(B:B,'male g'!A:V,IF(A85&gt;2033,22,MATCH(A85,'male g'!$A$1:$V$1,0)),FALSE),VLOOKUP(B:B,'female g'!A:V,IF(A85&gt;2033,22,MATCH(A85,'female g'!$A$1:$V$1,0)),FALSE))</f>
        <v>0.5</v>
      </c>
      <c r="E85" s="1">
        <f t="shared" si="7"/>
        <v>0.5</v>
      </c>
      <c r="F85" s="1">
        <f t="shared" si="8"/>
        <v>0.5</v>
      </c>
      <c r="G85" s="1">
        <f>1/(1+Summary!$O$2)^$C85</f>
        <v>1.7429630372660796E-2</v>
      </c>
      <c r="H85" s="1">
        <f>IF(B85&gt;64, Summary!$J$7, 0)*'TV 6'!G85*'TV 6'!F85</f>
        <v>71.436135736428611</v>
      </c>
      <c r="I85" s="1"/>
    </row>
    <row r="86" spans="1:9">
      <c r="A86" s="1">
        <f t="shared" si="9"/>
        <v>2103</v>
      </c>
      <c r="B86" s="1">
        <f t="shared" si="10"/>
        <v>118</v>
      </c>
      <c r="C86" s="1">
        <v>84</v>
      </c>
      <c r="D86" s="1">
        <f>IF(Summary!$G$7="M",VLOOKUP(B:B,'male g'!A:V,IF(A86&gt;2033,22,MATCH(A86,'male g'!$A$1:$V$1,0)),FALSE),VLOOKUP(B:B,'female g'!A:V,IF(A86&gt;2033,22,MATCH(A86,'female g'!$A$1:$V$1,0)),FALSE))</f>
        <v>0.5</v>
      </c>
      <c r="E86" s="1">
        <f t="shared" si="7"/>
        <v>0.5</v>
      </c>
      <c r="F86" s="1">
        <f t="shared" si="8"/>
        <v>0.5</v>
      </c>
      <c r="G86" s="1">
        <f>1/(1+Summary!$O$2)^$C86</f>
        <v>1.6599647973962663E-2</v>
      </c>
      <c r="H86" s="1">
        <f>IF(B86&gt;64, Summary!$J$7, 0)*'TV 6'!G86*'TV 6'!F86</f>
        <v>68.034414987074854</v>
      </c>
      <c r="I86" s="1"/>
    </row>
    <row r="87" spans="1:9">
      <c r="A87" s="1">
        <f t="shared" si="9"/>
        <v>2104</v>
      </c>
      <c r="B87" s="1">
        <f t="shared" si="10"/>
        <v>119</v>
      </c>
      <c r="C87" s="1">
        <v>85</v>
      </c>
      <c r="D87" s="1">
        <f>IF(Summary!$G$7="M",VLOOKUP(B:B,'male g'!A:V,IF(A87&gt;2033,22,MATCH(A87,'male g'!$A$1:$V$1,0)),FALSE),VLOOKUP(B:B,'female g'!A:V,IF(A87&gt;2033,22,MATCH(A87,'female g'!$A$1:$V$1,0)),FALSE))</f>
        <v>0.5</v>
      </c>
      <c r="E87" s="1">
        <f t="shared" si="7"/>
        <v>0.5</v>
      </c>
      <c r="F87" s="1">
        <f t="shared" si="8"/>
        <v>0.5</v>
      </c>
      <c r="G87" s="1">
        <f>1/(1+Summary!$O$2)^$C87</f>
        <v>1.580918854663111E-2</v>
      </c>
      <c r="H87" s="1">
        <f>IF(B87&gt;64, Summary!$J$7, 0)*'TV 6'!G87*'TV 6'!F87</f>
        <v>64.794680940071302</v>
      </c>
      <c r="I87" s="1"/>
    </row>
    <row r="88" spans="1:9">
      <c r="A88" s="1">
        <f t="shared" si="9"/>
        <v>2105</v>
      </c>
      <c r="B88" s="1">
        <f t="shared" si="10"/>
        <v>120</v>
      </c>
      <c r="C88" s="1">
        <v>86</v>
      </c>
      <c r="D88" s="1">
        <f>IF(Summary!$G$7="M",VLOOKUP(B:B,'male g'!A:V,IF(A88&gt;2033,22,MATCH(A88,'male g'!$A$1:$V$1,0)),FALSE),VLOOKUP(B:B,'female g'!A:V,IF(A88&gt;2033,22,MATCH(A88,'female g'!$A$1:$V$1,0)),FALSE))</f>
        <v>1</v>
      </c>
      <c r="E88" s="1">
        <f t="shared" si="7"/>
        <v>0</v>
      </c>
      <c r="F88" s="1">
        <f t="shared" si="8"/>
        <v>0.5</v>
      </c>
      <c r="G88" s="1">
        <f>1/(1+Summary!$O$2)^$C88</f>
        <v>1.5056370044410581E-2</v>
      </c>
      <c r="H88" s="1">
        <f>IF(B88&gt;64, Summary!$J$7, 0)*'TV 6'!G88*'TV 6'!F88</f>
        <v>61.709219942925053</v>
      </c>
      <c r="I88" s="1"/>
    </row>
    <row r="89" spans="1:9">
      <c r="A89" s="1"/>
    </row>
    <row r="90" spans="1:9">
      <c r="A90" s="1"/>
    </row>
    <row r="91" spans="1:9">
      <c r="A91" s="1"/>
    </row>
    <row r="92" spans="1:9">
      <c r="A92" s="1"/>
    </row>
    <row r="93" spans="1:9">
      <c r="A93" s="1"/>
    </row>
    <row r="94" spans="1:9">
      <c r="A94" s="1"/>
    </row>
    <row r="95" spans="1:9">
      <c r="A95" s="1"/>
    </row>
    <row r="96" spans="1:9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98"/>
  <sheetViews>
    <sheetView workbookViewId="0">
      <selection activeCell="D5" sqref="D5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Summary!H8</f>
        <v>39</v>
      </c>
      <c r="C2" s="1">
        <v>0</v>
      </c>
      <c r="D2" s="1">
        <f>IF(Summary!$G$8="M",VLOOKUP(B:B,'male g'!A:V,IF(A2&gt;2033,22,MATCH(A2,'male g'!$A$1:$V$1,0)),FALSE),VLOOKUP(B:B,'female g'!A:V,IF(A2&gt;2033,22,MATCH(A2,'female g'!$A$1:$V$1,0)),FALSE))</f>
        <v>6.8016351052409838E-4</v>
      </c>
      <c r="E2" s="1">
        <f>1-D2</f>
        <v>0.99931983648947587</v>
      </c>
      <c r="F2" s="1">
        <v>1</v>
      </c>
      <c r="G2" s="1">
        <f>1/(1+Summary!$O$2)^$C2</f>
        <v>1</v>
      </c>
      <c r="H2" s="1">
        <f>IF(B2&gt;64, Summary!$J$8, 0)*'TV 7'!G2*'TV 7'!F2</f>
        <v>0</v>
      </c>
      <c r="I2" s="1">
        <f>SUM(H2:H83)</f>
        <v>82401.14380706691</v>
      </c>
    </row>
    <row r="3" spans="1:9">
      <c r="A3" s="1">
        <f>$A$2+C3</f>
        <v>2020</v>
      </c>
      <c r="B3" s="1">
        <f>$B$2+C3</f>
        <v>40</v>
      </c>
      <c r="C3" s="1">
        <v>1</v>
      </c>
      <c r="D3" s="1">
        <f>IF(Summary!$G$8="M",VLOOKUP(B:B,'male g'!A:V,IF(A3&gt;2033,22,MATCH(A3,'male g'!$A$1:$V$1,0)),FALSE),VLOOKUP(B:B,'female g'!A:V,IF(A3&gt;2033,22,MATCH(A3,'female g'!$A$1:$V$1,0)),FALSE))</f>
        <v>7.1795332729538634E-4</v>
      </c>
      <c r="E3" s="1">
        <f>1-D3</f>
        <v>0.99928204667270459</v>
      </c>
      <c r="F3" s="1">
        <f>E2</f>
        <v>0.99931983648947587</v>
      </c>
      <c r="G3" s="1">
        <f>1/(1+Summary!$O$2)^$C3</f>
        <v>0.95238095238095233</v>
      </c>
      <c r="H3" s="1">
        <f>IF(B3&gt;64, Summary!$J$8, 0)*'TV 7'!G3*'TV 7'!F3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41</v>
      </c>
      <c r="C4" s="1">
        <v>2</v>
      </c>
      <c r="D4" s="1">
        <f>IF(Summary!$G$8="M",VLOOKUP(B:B,'male g'!A:V,IF(A4&gt;2033,22,MATCH(A4,'male g'!$A$1:$V$1,0)),FALSE),VLOOKUP(B:B,'female g'!A:V,IF(A4&gt;2033,22,MATCH(A4,'female g'!$A$1:$V$1,0)),FALSE))</f>
        <v>7.6089796722975881E-4</v>
      </c>
      <c r="E4" s="1">
        <f t="shared" ref="E4:E67" si="2">1-D4</f>
        <v>0.99923910203277022</v>
      </c>
      <c r="F4" s="1">
        <f t="shared" ref="F4:F67" si="3">E3</f>
        <v>0.99928204667270459</v>
      </c>
      <c r="G4" s="1">
        <f>1/(1+Summary!$O$2)^$C4</f>
        <v>0.90702947845804982</v>
      </c>
      <c r="H4" s="1">
        <f>IF(B4&gt;64, Summary!$J$8, 0)*'TV 7'!G4*'TV 7'!F4</f>
        <v>0</v>
      </c>
      <c r="I4" s="1"/>
    </row>
    <row r="5" spans="1:9">
      <c r="A5" s="1">
        <f t="shared" si="0"/>
        <v>2022</v>
      </c>
      <c r="B5" s="1">
        <f t="shared" si="1"/>
        <v>42</v>
      </c>
      <c r="C5" s="1">
        <v>3</v>
      </c>
      <c r="D5" s="1">
        <f>IF(Summary!$G$8="M",VLOOKUP(B:B,'male g'!A:V,IF(A5&gt;2033,22,MATCH(A5,'male g'!$A$1:$V$1,0)),FALSE),VLOOKUP(B:B,'female g'!A:V,IF(A5&gt;2033,22,MATCH(A5,'female g'!$A$1:$V$1,0)),FALSE))</f>
        <v>8.1010815635574912E-4</v>
      </c>
      <c r="E5" s="1">
        <f t="shared" si="2"/>
        <v>0.99918989184364426</v>
      </c>
      <c r="F5" s="1">
        <f t="shared" si="3"/>
        <v>0.99923910203277022</v>
      </c>
      <c r="G5" s="1">
        <f>1/(1+Summary!$O$2)^$C5</f>
        <v>0.86383759853147601</v>
      </c>
      <c r="H5" s="1">
        <f>IF(B5&gt;64, Summary!$J$8, 0)*'TV 7'!G5*'TV 7'!F5</f>
        <v>0</v>
      </c>
      <c r="I5" s="1"/>
    </row>
    <row r="6" spans="1:9">
      <c r="A6" s="1">
        <f t="shared" si="0"/>
        <v>2023</v>
      </c>
      <c r="B6" s="1">
        <f t="shared" si="1"/>
        <v>43</v>
      </c>
      <c r="C6" s="1">
        <v>4</v>
      </c>
      <c r="D6" s="1">
        <f>IF(Summary!$G$8="M",VLOOKUP(B:B,'male g'!A:V,IF(A6&gt;2033,22,MATCH(A6,'male g'!$A$1:$V$1,0)),FALSE),VLOOKUP(B:B,'female g'!A:V,IF(A6&gt;2033,22,MATCH(A6,'female g'!$A$1:$V$1,0)),FALSE))</f>
        <v>8.6873326929139247E-4</v>
      </c>
      <c r="E6" s="1">
        <f t="shared" si="2"/>
        <v>0.99913126673070862</v>
      </c>
      <c r="F6" s="1">
        <f t="shared" si="3"/>
        <v>0.99918989184364426</v>
      </c>
      <c r="G6" s="1">
        <f>1/(1+Summary!$O$2)^$C6</f>
        <v>0.82270247479188197</v>
      </c>
      <c r="H6" s="1">
        <f>IF(B6&gt;64, Summary!$J$8, 0)*'TV 7'!G6*'TV 7'!F6</f>
        <v>0</v>
      </c>
      <c r="I6" s="1"/>
    </row>
    <row r="7" spans="1:9">
      <c r="A7" s="1">
        <f t="shared" si="0"/>
        <v>2024</v>
      </c>
      <c r="B7" s="1">
        <f t="shared" si="1"/>
        <v>44</v>
      </c>
      <c r="C7" s="1">
        <v>5</v>
      </c>
      <c r="D7" s="1">
        <f>IF(Summary!$G$8="M",VLOOKUP(B:B,'male g'!A:V,IF(A7&gt;2033,22,MATCH(A7,'male g'!$A$1:$V$1,0)),FALSE),VLOOKUP(B:B,'female g'!A:V,IF(A7&gt;2033,22,MATCH(A7,'female g'!$A$1:$V$1,0)),FALSE))</f>
        <v>9.3787160457664619E-4</v>
      </c>
      <c r="E7" s="1">
        <f t="shared" si="2"/>
        <v>0.9990621283954233</v>
      </c>
      <c r="F7" s="1">
        <f t="shared" si="3"/>
        <v>0.99913126673070862</v>
      </c>
      <c r="G7" s="1">
        <f>1/(1+Summary!$O$2)^$C7</f>
        <v>0.78352616646845896</v>
      </c>
      <c r="H7" s="1">
        <f>IF(B7&gt;64, Summary!$J$8, 0)*'TV 7'!G7*'TV 7'!F7</f>
        <v>0</v>
      </c>
      <c r="I7" s="1"/>
    </row>
    <row r="8" spans="1:9">
      <c r="A8" s="1">
        <f t="shared" si="0"/>
        <v>2025</v>
      </c>
      <c r="B8" s="1">
        <f t="shared" si="1"/>
        <v>45</v>
      </c>
      <c r="C8" s="1">
        <v>6</v>
      </c>
      <c r="D8" s="1">
        <f>IF(Summary!$G$8="M",VLOOKUP(B:B,'male g'!A:V,IF(A8&gt;2033,22,MATCH(A8,'male g'!$A$1:$V$1,0)),FALSE),VLOOKUP(B:B,'female g'!A:V,IF(A8&gt;2033,22,MATCH(A8,'female g'!$A$1:$V$1,0)),FALSE))</f>
        <v>1.0165530040503626E-3</v>
      </c>
      <c r="E8" s="1">
        <f t="shared" si="2"/>
        <v>0.99898344699594965</v>
      </c>
      <c r="F8" s="1">
        <f t="shared" si="3"/>
        <v>0.9990621283954233</v>
      </c>
      <c r="G8" s="1">
        <f>1/(1+Summary!$O$2)^$C8</f>
        <v>0.74621539663662761</v>
      </c>
      <c r="H8" s="1">
        <f>IF(B8&gt;64, Summary!$J$8, 0)*'TV 7'!G8*'TV 7'!F8</f>
        <v>0</v>
      </c>
      <c r="I8" s="1"/>
    </row>
    <row r="9" spans="1:9">
      <c r="A9" s="1">
        <f t="shared" si="0"/>
        <v>2026</v>
      </c>
      <c r="B9" s="1">
        <f t="shared" si="1"/>
        <v>46</v>
      </c>
      <c r="C9" s="1">
        <v>7</v>
      </c>
      <c r="D9" s="1">
        <f>IF(Summary!$G$8="M",VLOOKUP(B:B,'male g'!A:V,IF(A9&gt;2033,22,MATCH(A9,'male g'!$A$1:$V$1,0)),FALSE),VLOOKUP(B:B,'female g'!A:V,IF(A9&gt;2033,22,MATCH(A9,'female g'!$A$1:$V$1,0)),FALSE))</f>
        <v>1.1068003315984135E-3</v>
      </c>
      <c r="E9" s="1">
        <f t="shared" si="2"/>
        <v>0.99889319966840162</v>
      </c>
      <c r="F9" s="1">
        <f t="shared" si="3"/>
        <v>0.99898344699594965</v>
      </c>
      <c r="G9" s="1">
        <f>1/(1+Summary!$O$2)^$C9</f>
        <v>0.71068133013012147</v>
      </c>
      <c r="H9" s="1">
        <f>IF(B9&gt;64, Summary!$J$8, 0)*'TV 7'!G9*'TV 7'!F9</f>
        <v>0</v>
      </c>
      <c r="I9" s="1"/>
    </row>
    <row r="10" spans="1:9">
      <c r="A10" s="1">
        <f t="shared" si="0"/>
        <v>2027</v>
      </c>
      <c r="B10" s="1">
        <f t="shared" si="1"/>
        <v>47</v>
      </c>
      <c r="C10" s="1">
        <v>8</v>
      </c>
      <c r="D10" s="1">
        <f>IF(Summary!$G$8="M",VLOOKUP(B:B,'male g'!A:V,IF(A10&gt;2033,22,MATCH(A10,'male g'!$A$1:$V$1,0)),FALSE),VLOOKUP(B:B,'female g'!A:V,IF(A10&gt;2033,22,MATCH(A10,'female g'!$A$1:$V$1,0)),FALSE))</f>
        <v>1.205862148675571E-3</v>
      </c>
      <c r="E10" s="1">
        <f t="shared" si="2"/>
        <v>0.99879413785132443</v>
      </c>
      <c r="F10" s="1">
        <f t="shared" si="3"/>
        <v>0.99889319966840162</v>
      </c>
      <c r="G10" s="1">
        <f>1/(1+Summary!$O$2)^$C10</f>
        <v>0.67683936202868722</v>
      </c>
      <c r="H10" s="1">
        <f>IF(B10&gt;64, Summary!$J$8, 0)*'TV 7'!G10*'TV 7'!F10</f>
        <v>0</v>
      </c>
      <c r="I10" s="1"/>
    </row>
    <row r="11" spans="1:9">
      <c r="A11" s="1">
        <f t="shared" si="0"/>
        <v>2028</v>
      </c>
      <c r="B11" s="1">
        <f t="shared" si="1"/>
        <v>48</v>
      </c>
      <c r="C11" s="1">
        <v>9</v>
      </c>
      <c r="D11" s="1">
        <f>IF(Summary!$G$8="M",VLOOKUP(B:B,'male g'!A:V,IF(A11&gt;2033,22,MATCH(A11,'male g'!$A$1:$V$1,0)),FALSE),VLOOKUP(B:B,'female g'!A:V,IF(A11&gt;2033,22,MATCH(A11,'female g'!$A$1:$V$1,0)),FALSE))</f>
        <v>1.314190590324809E-3</v>
      </c>
      <c r="E11" s="1">
        <f t="shared" si="2"/>
        <v>0.99868580940967522</v>
      </c>
      <c r="F11" s="1">
        <f t="shared" si="3"/>
        <v>0.99879413785132443</v>
      </c>
      <c r="G11" s="1">
        <f>1/(1+Summary!$O$2)^$C11</f>
        <v>0.64460891621779726</v>
      </c>
      <c r="H11" s="1">
        <f>IF(B11&gt;64, Summary!$J$8, 0)*'TV 7'!G11*'TV 7'!F11</f>
        <v>0</v>
      </c>
      <c r="I11" s="1"/>
    </row>
    <row r="12" spans="1:9">
      <c r="A12" s="1">
        <f t="shared" si="0"/>
        <v>2029</v>
      </c>
      <c r="B12" s="1">
        <f t="shared" si="1"/>
        <v>49</v>
      </c>
      <c r="C12" s="1">
        <v>10</v>
      </c>
      <c r="D12" s="1">
        <f>IF(Summary!$G$8="M",VLOOKUP(B:B,'male g'!A:V,IF(A12&gt;2033,22,MATCH(A12,'male g'!$A$1:$V$1,0)),FALSE),VLOOKUP(B:B,'female g'!A:V,IF(A12&gt;2033,22,MATCH(A12,'female g'!$A$1:$V$1,0)),FALSE))</f>
        <v>1.4324099330379335E-3</v>
      </c>
      <c r="E12" s="1">
        <f t="shared" si="2"/>
        <v>0.99856759006696205</v>
      </c>
      <c r="F12" s="1">
        <f t="shared" si="3"/>
        <v>0.99868580940967522</v>
      </c>
      <c r="G12" s="1">
        <f>1/(1+Summary!$O$2)^$C12</f>
        <v>0.61391325354075932</v>
      </c>
      <c r="H12" s="1">
        <f>IF(B12&gt;64, Summary!$J$8, 0)*'TV 7'!G12*'TV 7'!F12</f>
        <v>0</v>
      </c>
      <c r="I12" s="1"/>
    </row>
    <row r="13" spans="1:9">
      <c r="A13" s="1">
        <f t="shared" si="0"/>
        <v>2030</v>
      </c>
      <c r="B13" s="1">
        <f t="shared" si="1"/>
        <v>50</v>
      </c>
      <c r="C13" s="1">
        <v>11</v>
      </c>
      <c r="D13" s="1">
        <f>IF(Summary!$G$8="M",VLOOKUP(B:B,'male g'!A:V,IF(A13&gt;2033,22,MATCH(A13,'male g'!$A$1:$V$1,0)),FALSE),VLOOKUP(B:B,'female g'!A:V,IF(A13&gt;2033,22,MATCH(A13,'female g'!$A$1:$V$1,0)),FALSE))</f>
        <v>3.7589325535012396E-3</v>
      </c>
      <c r="E13" s="1">
        <f t="shared" si="2"/>
        <v>0.99624106744649876</v>
      </c>
      <c r="F13" s="1">
        <f t="shared" si="3"/>
        <v>0.99856759006696205</v>
      </c>
      <c r="G13" s="1">
        <f>1/(1+Summary!$O$2)^$C13</f>
        <v>0.5846792890864374</v>
      </c>
      <c r="H13" s="1">
        <f>IF(B13&gt;64, Summary!$J$8, 0)*'TV 7'!G13*'TV 7'!F13</f>
        <v>0</v>
      </c>
      <c r="I13" s="1"/>
    </row>
    <row r="14" spans="1:9">
      <c r="A14" s="1">
        <f t="shared" si="0"/>
        <v>2031</v>
      </c>
      <c r="B14" s="1">
        <f t="shared" si="1"/>
        <v>51</v>
      </c>
      <c r="C14" s="1">
        <v>12</v>
      </c>
      <c r="D14" s="1">
        <f>IF(Summary!$G$8="M",VLOOKUP(B:B,'male g'!A:V,IF(A14&gt;2033,22,MATCH(A14,'male g'!$A$1:$V$1,0)),FALSE),VLOOKUP(B:B,'female g'!A:V,IF(A14&gt;2033,22,MATCH(A14,'female g'!$A$1:$V$1,0)),FALSE))</f>
        <v>3.9751014675235442E-3</v>
      </c>
      <c r="E14" s="1">
        <f t="shared" si="2"/>
        <v>0.99602489853247644</v>
      </c>
      <c r="F14" s="1">
        <f t="shared" si="3"/>
        <v>0.99624106744649876</v>
      </c>
      <c r="G14" s="1">
        <f>1/(1+Summary!$O$2)^$C14</f>
        <v>0.5568374181775595</v>
      </c>
      <c r="H14" s="1">
        <f>IF(B14&gt;64, Summary!$J$8, 0)*'TV 7'!G14*'TV 7'!F14</f>
        <v>0</v>
      </c>
      <c r="I14" s="1"/>
    </row>
    <row r="15" spans="1:9">
      <c r="A15" s="1">
        <f t="shared" si="0"/>
        <v>2032</v>
      </c>
      <c r="B15" s="1">
        <f t="shared" si="1"/>
        <v>52</v>
      </c>
      <c r="C15" s="1">
        <v>13</v>
      </c>
      <c r="D15" s="1">
        <f>IF(Summary!$G$8="M",VLOOKUP(B:B,'male g'!A:V,IF(A15&gt;2033,22,MATCH(A15,'male g'!$A$1:$V$1,0)),FALSE),VLOOKUP(B:B,'female g'!A:V,IF(A15&gt;2033,22,MATCH(A15,'female g'!$A$1:$V$1,0)),FALSE))</f>
        <v>4.1962332739995155E-3</v>
      </c>
      <c r="E15" s="1">
        <f t="shared" si="2"/>
        <v>0.99580376672600046</v>
      </c>
      <c r="F15" s="1">
        <f t="shared" si="3"/>
        <v>0.99602489853247644</v>
      </c>
      <c r="G15" s="1">
        <f>1/(1+Summary!$O$2)^$C15</f>
        <v>0.53032135064529462</v>
      </c>
      <c r="H15" s="1">
        <f>IF(B15&gt;64, Summary!$J$8, 0)*'TV 7'!G15*'TV 7'!F15</f>
        <v>0</v>
      </c>
      <c r="I15" s="1"/>
    </row>
    <row r="16" spans="1:9">
      <c r="A16" s="1">
        <f t="shared" si="0"/>
        <v>2033</v>
      </c>
      <c r="B16" s="1">
        <f t="shared" si="1"/>
        <v>53</v>
      </c>
      <c r="C16" s="1">
        <v>14</v>
      </c>
      <c r="D16" s="1">
        <f>IF(Summary!$G$8="M",VLOOKUP(B:B,'male g'!A:V,IF(A16&gt;2033,22,MATCH(A16,'male g'!$A$1:$V$1,0)),FALSE),VLOOKUP(B:B,'female g'!A:V,IF(A16&gt;2033,22,MATCH(A16,'female g'!$A$1:$V$1,0)),FALSE))</f>
        <v>4.4252993003379001E-3</v>
      </c>
      <c r="E16" s="1">
        <f t="shared" si="2"/>
        <v>0.99557470069966214</v>
      </c>
      <c r="F16" s="1">
        <f t="shared" si="3"/>
        <v>0.99580376672600046</v>
      </c>
      <c r="G16" s="1">
        <f>1/(1+Summary!$O$2)^$C16</f>
        <v>0.50506795299551888</v>
      </c>
      <c r="H16" s="1">
        <f>IF(B16&gt;64, Summary!$J$8, 0)*'TV 7'!G16*'TV 7'!F16</f>
        <v>0</v>
      </c>
      <c r="I16" s="1"/>
    </row>
    <row r="17" spans="1:9">
      <c r="A17" s="1">
        <f t="shared" si="0"/>
        <v>2034</v>
      </c>
      <c r="B17" s="1">
        <f t="shared" si="1"/>
        <v>54</v>
      </c>
      <c r="C17" s="1">
        <v>15</v>
      </c>
      <c r="D17" s="1">
        <f>IF(Summary!$G$8="M",VLOOKUP(B:B,'male g'!A:V,IF(A17&gt;2033,22,MATCH(A17,'male g'!$A$1:$V$1,0)),FALSE),VLOOKUP(B:B,'female g'!A:V,IF(A17&gt;2033,22,MATCH(A17,'female g'!$A$1:$V$1,0)),FALSE))</f>
        <v>4.6687727319984478E-3</v>
      </c>
      <c r="E17" s="1">
        <f t="shared" si="2"/>
        <v>0.99533122726800161</v>
      </c>
      <c r="F17" s="1">
        <f t="shared" si="3"/>
        <v>0.99557470069966214</v>
      </c>
      <c r="G17" s="1">
        <f>1/(1+Summary!$O$2)^$C17</f>
        <v>0.48101709809097021</v>
      </c>
      <c r="H17" s="1">
        <f>IF(B17&gt;64, Summary!$J$8, 0)*'TV 7'!G17*'TV 7'!F17</f>
        <v>0</v>
      </c>
      <c r="I17" s="1"/>
    </row>
    <row r="18" spans="1:9">
      <c r="A18" s="1">
        <f t="shared" si="0"/>
        <v>2035</v>
      </c>
      <c r="B18" s="1">
        <f t="shared" si="1"/>
        <v>55</v>
      </c>
      <c r="C18" s="1">
        <v>16</v>
      </c>
      <c r="D18" s="1">
        <f>IF(Summary!$G$8="M",VLOOKUP(B:B,'male g'!A:V,IF(A18&gt;2033,22,MATCH(A18,'male g'!$A$1:$V$1,0)),FALSE),VLOOKUP(B:B,'female g'!A:V,IF(A18&gt;2033,22,MATCH(A18,'female g'!$A$1:$V$1,0)),FALSE))</f>
        <v>4.9760361404984493E-3</v>
      </c>
      <c r="E18" s="1">
        <f t="shared" si="2"/>
        <v>0.99502396385950154</v>
      </c>
      <c r="F18" s="1">
        <f t="shared" si="3"/>
        <v>0.99533122726800161</v>
      </c>
      <c r="G18" s="1">
        <f>1/(1+Summary!$O$2)^$C18</f>
        <v>0.45811152199140021</v>
      </c>
      <c r="H18" s="1">
        <f>IF(B18&gt;64, Summary!$J$8, 0)*'TV 7'!G18*'TV 7'!F18</f>
        <v>0</v>
      </c>
      <c r="I18" s="1"/>
    </row>
    <row r="19" spans="1:9">
      <c r="A19" s="1">
        <f t="shared" si="0"/>
        <v>2036</v>
      </c>
      <c r="B19" s="1">
        <f t="shared" si="1"/>
        <v>56</v>
      </c>
      <c r="C19" s="1">
        <v>17</v>
      </c>
      <c r="D19" s="1">
        <f>IF(Summary!$G$8="M",VLOOKUP(B:B,'male g'!A:V,IF(A19&gt;2033,22,MATCH(A19,'male g'!$A$1:$V$1,0)),FALSE),VLOOKUP(B:B,'female g'!A:V,IF(A19&gt;2033,22,MATCH(A19,'female g'!$A$1:$V$1,0)),FALSE))</f>
        <v>5.3066001918253454E-3</v>
      </c>
      <c r="E19" s="1">
        <f t="shared" si="2"/>
        <v>0.99469339980817462</v>
      </c>
      <c r="F19" s="1">
        <f t="shared" si="3"/>
        <v>0.99502396385950154</v>
      </c>
      <c r="G19" s="1">
        <f>1/(1+Summary!$O$2)^$C19</f>
        <v>0.43629668761085727</v>
      </c>
      <c r="H19" s="1">
        <f>IF(B19&gt;64, Summary!$J$8, 0)*'TV 7'!G19*'TV 7'!F19</f>
        <v>0</v>
      </c>
      <c r="I19" s="1"/>
    </row>
    <row r="20" spans="1:9">
      <c r="A20" s="1">
        <f t="shared" si="0"/>
        <v>2037</v>
      </c>
      <c r="B20" s="1">
        <f t="shared" si="1"/>
        <v>57</v>
      </c>
      <c r="C20" s="1">
        <v>18</v>
      </c>
      <c r="D20" s="1">
        <f>IF(Summary!$G$8="M",VLOOKUP(B:B,'male g'!A:V,IF(A20&gt;2033,22,MATCH(A20,'male g'!$A$1:$V$1,0)),FALSE),VLOOKUP(B:B,'female g'!A:V,IF(A20&gt;2033,22,MATCH(A20,'female g'!$A$1:$V$1,0)),FALSE))</f>
        <v>5.6627874947383543E-3</v>
      </c>
      <c r="E20" s="1">
        <f t="shared" si="2"/>
        <v>0.99433721250526164</v>
      </c>
      <c r="F20" s="1">
        <f t="shared" si="3"/>
        <v>0.99469339980817462</v>
      </c>
      <c r="G20" s="1">
        <f>1/(1+Summary!$O$2)^$C20</f>
        <v>0.41552065486748313</v>
      </c>
      <c r="H20" s="1">
        <f>IF(B20&gt;64, Summary!$J$8, 0)*'TV 7'!G20*'TV 7'!F20</f>
        <v>0</v>
      </c>
      <c r="I20" s="1"/>
    </row>
    <row r="21" spans="1:9">
      <c r="A21" s="1">
        <f t="shared" si="0"/>
        <v>2038</v>
      </c>
      <c r="B21" s="1">
        <f t="shared" si="1"/>
        <v>58</v>
      </c>
      <c r="C21" s="1">
        <v>19</v>
      </c>
      <c r="D21" s="1">
        <f>IF(Summary!$G$8="M",VLOOKUP(B:B,'male g'!A:V,IF(A21&gt;2033,22,MATCH(A21,'male g'!$A$1:$V$1,0)),FALSE),VLOOKUP(B:B,'female g'!A:V,IF(A21&gt;2033,22,MATCH(A21,'female g'!$A$1:$V$1,0)),FALSE))</f>
        <v>6.0512489492220572E-3</v>
      </c>
      <c r="E21" s="1">
        <f t="shared" si="2"/>
        <v>0.99394875105077796</v>
      </c>
      <c r="F21" s="1">
        <f t="shared" si="3"/>
        <v>0.99433721250526164</v>
      </c>
      <c r="G21" s="1">
        <f>1/(1+Summary!$O$2)^$C21</f>
        <v>0.39573395701665059</v>
      </c>
      <c r="H21" s="1">
        <f>IF(B21&gt;64, Summary!$J$8, 0)*'TV 7'!G21*'TV 7'!F21</f>
        <v>0</v>
      </c>
      <c r="I21" s="1"/>
    </row>
    <row r="22" spans="1:9">
      <c r="A22" s="1">
        <f t="shared" si="0"/>
        <v>2039</v>
      </c>
      <c r="B22" s="1">
        <f t="shared" si="1"/>
        <v>59</v>
      </c>
      <c r="C22" s="1">
        <v>20</v>
      </c>
      <c r="D22" s="1">
        <f>IF(Summary!$G$8="M",VLOOKUP(B:B,'male g'!A:V,IF(A22&gt;2033,22,MATCH(A22,'male g'!$A$1:$V$1,0)),FALSE),VLOOKUP(B:B,'female g'!A:V,IF(A22&gt;2033,22,MATCH(A22,'female g'!$A$1:$V$1,0)),FALSE))</f>
        <v>6.4741513414089766E-3</v>
      </c>
      <c r="E22" s="1">
        <f t="shared" si="2"/>
        <v>0.99352584865859106</v>
      </c>
      <c r="F22" s="1">
        <f t="shared" si="3"/>
        <v>0.99394875105077796</v>
      </c>
      <c r="G22" s="1">
        <f>1/(1+Summary!$O$2)^$C22</f>
        <v>0.37688948287300061</v>
      </c>
      <c r="H22" s="1">
        <f>IF(B22&gt;64, Summary!$J$8, 0)*'TV 7'!G22*'TV 7'!F22</f>
        <v>0</v>
      </c>
      <c r="I22" s="1"/>
    </row>
    <row r="23" spans="1:9">
      <c r="A23" s="1">
        <f t="shared" si="0"/>
        <v>2040</v>
      </c>
      <c r="B23" s="1">
        <f t="shared" si="1"/>
        <v>60</v>
      </c>
      <c r="C23" s="1">
        <v>21</v>
      </c>
      <c r="D23" s="1">
        <f>IF(Summary!$G$8="M",VLOOKUP(B:B,'male g'!A:V,IF(A23&gt;2033,22,MATCH(A23,'male g'!$A$1:$V$1,0)),FALSE),VLOOKUP(B:B,'female g'!A:V,IF(A23&gt;2033,22,MATCH(A23,'female g'!$A$1:$V$1,0)),FALSE))</f>
        <v>6.936066846596668E-3</v>
      </c>
      <c r="E23" s="1">
        <f t="shared" si="2"/>
        <v>0.99306393315340336</v>
      </c>
      <c r="F23" s="1">
        <f t="shared" si="3"/>
        <v>0.99352584865859106</v>
      </c>
      <c r="G23" s="1">
        <f>1/(1+Summary!$O$2)^$C23</f>
        <v>0.35894236464095297</v>
      </c>
      <c r="H23" s="1">
        <f>IF(B23&gt;64, Summary!$J$8, 0)*'TV 7'!G23*'TV 7'!F23</f>
        <v>0</v>
      </c>
      <c r="I23" s="1"/>
    </row>
    <row r="24" spans="1:9">
      <c r="A24" s="1">
        <f t="shared" si="0"/>
        <v>2041</v>
      </c>
      <c r="B24" s="1">
        <f t="shared" si="1"/>
        <v>61</v>
      </c>
      <c r="C24" s="1">
        <v>22</v>
      </c>
      <c r="D24" s="1">
        <f>IF(Summary!$G$8="M",VLOOKUP(B:B,'male g'!A:V,IF(A24&gt;2033,22,MATCH(A24,'male g'!$A$1:$V$1,0)),FALSE),VLOOKUP(B:B,'female g'!A:V,IF(A24&gt;2033,22,MATCH(A24,'female g'!$A$1:$V$1,0)),FALSE))</f>
        <v>7.4443231733826182E-3</v>
      </c>
      <c r="E24" s="1">
        <f t="shared" si="2"/>
        <v>0.99255567682661738</v>
      </c>
      <c r="F24" s="1">
        <f t="shared" si="3"/>
        <v>0.99306393315340336</v>
      </c>
      <c r="G24" s="1">
        <f>1/(1+Summary!$O$2)^$C24</f>
        <v>0.3418498710866219</v>
      </c>
      <c r="H24" s="1">
        <f>IF(B24&gt;64, Summary!$J$8, 0)*'TV 7'!G24*'TV 7'!F24</f>
        <v>0</v>
      </c>
      <c r="I24" s="1"/>
    </row>
    <row r="25" spans="1:9">
      <c r="A25" s="1">
        <f t="shared" si="0"/>
        <v>2042</v>
      </c>
      <c r="B25" s="1">
        <f t="shared" si="1"/>
        <v>62</v>
      </c>
      <c r="C25" s="1">
        <v>23</v>
      </c>
      <c r="D25" s="1">
        <f>IF(Summary!$G$8="M",VLOOKUP(B:B,'male g'!A:V,IF(A25&gt;2033,22,MATCH(A25,'male g'!$A$1:$V$1,0)),FALSE),VLOOKUP(B:B,'female g'!A:V,IF(A25&gt;2033,22,MATCH(A25,'female g'!$A$1:$V$1,0)),FALSE))</f>
        <v>7.9980591160673849E-3</v>
      </c>
      <c r="E25" s="1">
        <f t="shared" si="2"/>
        <v>0.99200194088393256</v>
      </c>
      <c r="F25" s="1">
        <f t="shared" si="3"/>
        <v>0.99255567682661738</v>
      </c>
      <c r="G25" s="1">
        <f>1/(1+Summary!$O$2)^$C25</f>
        <v>0.32557130579678267</v>
      </c>
      <c r="H25" s="1">
        <f>IF(B25&gt;64, Summary!$J$8, 0)*'TV 7'!G25*'TV 7'!F25</f>
        <v>0</v>
      </c>
      <c r="I25" s="1"/>
    </row>
    <row r="26" spans="1:9">
      <c r="A26" s="1">
        <f t="shared" si="0"/>
        <v>2043</v>
      </c>
      <c r="B26" s="1">
        <f t="shared" si="1"/>
        <v>63</v>
      </c>
      <c r="C26" s="1">
        <v>24</v>
      </c>
      <c r="D26" s="1">
        <f>IF(Summary!$G$8="M",VLOOKUP(B:B,'male g'!A:V,IF(A26&gt;2033,22,MATCH(A26,'male g'!$A$1:$V$1,0)),FALSE),VLOOKUP(B:B,'female g'!A:V,IF(A26&gt;2033,22,MATCH(A26,'female g'!$A$1:$V$1,0)),FALSE))</f>
        <v>8.6003126935298747E-3</v>
      </c>
      <c r="E26" s="1">
        <f t="shared" si="2"/>
        <v>0.9913996873064701</v>
      </c>
      <c r="F26" s="1">
        <f t="shared" si="3"/>
        <v>0.99200194088393256</v>
      </c>
      <c r="G26" s="1">
        <f>1/(1+Summary!$O$2)^$C26</f>
        <v>0.31006791028265024</v>
      </c>
      <c r="H26" s="1">
        <f>IF(B26&gt;64, Summary!$J$8, 0)*'TV 7'!G26*'TV 7'!F26</f>
        <v>0</v>
      </c>
      <c r="I26" s="1"/>
    </row>
    <row r="27" spans="1:9">
      <c r="A27" s="1">
        <f t="shared" si="0"/>
        <v>2044</v>
      </c>
      <c r="B27" s="1">
        <f t="shared" si="1"/>
        <v>64</v>
      </c>
      <c r="C27" s="1">
        <v>25</v>
      </c>
      <c r="D27" s="1">
        <f>IF(Summary!$G$8="M",VLOOKUP(B:B,'male g'!A:V,IF(A27&gt;2033,22,MATCH(A27,'male g'!$A$1:$V$1,0)),FALSE),VLOOKUP(B:B,'female g'!A:V,IF(A27&gt;2033,22,MATCH(A27,'female g'!$A$1:$V$1,0)),FALSE))</f>
        <v>9.2613902762817488E-3</v>
      </c>
      <c r="E27" s="1">
        <f t="shared" si="2"/>
        <v>0.9907386097237183</v>
      </c>
      <c r="F27" s="1">
        <f t="shared" si="3"/>
        <v>0.9913996873064701</v>
      </c>
      <c r="G27" s="1">
        <f>1/(1+Summary!$O$2)^$C27</f>
        <v>0.29530277169776209</v>
      </c>
      <c r="H27" s="1">
        <f>IF(B27&gt;64, Summary!$J$8, 0)*'TV 7'!G27*'TV 7'!F27</f>
        <v>0</v>
      </c>
      <c r="I27" s="1"/>
    </row>
    <row r="28" spans="1:9">
      <c r="A28" s="1">
        <f t="shared" si="0"/>
        <v>2045</v>
      </c>
      <c r="B28" s="1">
        <f t="shared" si="1"/>
        <v>65</v>
      </c>
      <c r="C28" s="1">
        <v>26</v>
      </c>
      <c r="D28" s="1">
        <f>IF(Summary!$G$8="M",VLOOKUP(B:B,'male g'!A:V,IF(A28&gt;2033,22,MATCH(A28,'male g'!$A$1:$V$1,0)),FALSE),VLOOKUP(B:B,'female g'!A:V,IF(A28&gt;2033,22,MATCH(A28,'female g'!$A$1:$V$1,0)),FALSE))</f>
        <v>9.9822267063302775E-3</v>
      </c>
      <c r="E28" s="1">
        <f t="shared" si="2"/>
        <v>0.99001777329366969</v>
      </c>
      <c r="F28" s="1">
        <f t="shared" si="3"/>
        <v>0.9907386097237183</v>
      </c>
      <c r="G28" s="1">
        <f>1/(1+Summary!$O$2)^$C28</f>
        <v>0.28124073495024959</v>
      </c>
      <c r="H28" s="1">
        <f>IF(B28&gt;64, Summary!$J$8, 0)*'TV 7'!G28*'TV 7'!F28</f>
        <v>4568.0103598420328</v>
      </c>
      <c r="I28" s="1"/>
    </row>
    <row r="29" spans="1:9">
      <c r="A29" s="1">
        <f t="shared" si="0"/>
        <v>2046</v>
      </c>
      <c r="B29" s="1">
        <f t="shared" si="1"/>
        <v>66</v>
      </c>
      <c r="C29" s="1">
        <v>27</v>
      </c>
      <c r="D29" s="1">
        <f>IF(Summary!$G$8="M",VLOOKUP(B:B,'male g'!A:V,IF(A29&gt;2033,22,MATCH(A29,'male g'!$A$1:$V$1,0)),FALSE),VLOOKUP(B:B,'female g'!A:V,IF(A29&gt;2033,22,MATCH(A29,'female g'!$A$1:$V$1,0)),FALSE))</f>
        <v>1.0770988448590023E-2</v>
      </c>
      <c r="E29" s="1">
        <f t="shared" si="2"/>
        <v>0.98922901155140996</v>
      </c>
      <c r="F29" s="1">
        <f t="shared" si="3"/>
        <v>0.99001777329366969</v>
      </c>
      <c r="G29" s="1">
        <f>1/(1+Summary!$O$2)^$C29</f>
        <v>0.2678483190002377</v>
      </c>
      <c r="H29" s="1">
        <f>IF(B29&gt;64, Summary!$J$8, 0)*'TV 7'!G29*'TV 7'!F29</f>
        <v>4347.3207530388572</v>
      </c>
      <c r="I29" s="1"/>
    </row>
    <row r="30" spans="1:9">
      <c r="A30" s="1">
        <f t="shared" si="0"/>
        <v>2047</v>
      </c>
      <c r="B30" s="1">
        <f t="shared" si="1"/>
        <v>67</v>
      </c>
      <c r="C30" s="1">
        <v>28</v>
      </c>
      <c r="D30" s="1">
        <f>IF(Summary!$G$8="M",VLOOKUP(B:B,'male g'!A:V,IF(A30&gt;2033,22,MATCH(A30,'male g'!$A$1:$V$1,0)),FALSE),VLOOKUP(B:B,'female g'!A:V,IF(A30&gt;2033,22,MATCH(A30,'female g'!$A$1:$V$1,0)),FALSE))</f>
        <v>1.1633181958479108E-2</v>
      </c>
      <c r="E30" s="1">
        <f t="shared" si="2"/>
        <v>0.98836681804152093</v>
      </c>
      <c r="F30" s="1">
        <f t="shared" si="3"/>
        <v>0.98922901155140996</v>
      </c>
      <c r="G30" s="1">
        <f>1/(1+Summary!$O$2)^$C30</f>
        <v>0.25509363714308358</v>
      </c>
      <c r="H30" s="1">
        <f>IF(B30&gt;64, Summary!$J$8, 0)*'TV 7'!G30*'TV 7'!F30</f>
        <v>4137.0068367256054</v>
      </c>
      <c r="I30" s="1"/>
    </row>
    <row r="31" spans="1:9">
      <c r="A31" s="1">
        <f t="shared" si="0"/>
        <v>2048</v>
      </c>
      <c r="B31" s="1">
        <f t="shared" si="1"/>
        <v>68</v>
      </c>
      <c r="C31" s="1">
        <v>29</v>
      </c>
      <c r="D31" s="1">
        <f>IF(Summary!$G$8="M",VLOOKUP(B:B,'male g'!A:V,IF(A31&gt;2033,22,MATCH(A31,'male g'!$A$1:$V$1,0)),FALSE),VLOOKUP(B:B,'female g'!A:V,IF(A31&gt;2033,22,MATCH(A31,'female g'!$A$1:$V$1,0)),FALSE))</f>
        <v>1.2580700369048322E-2</v>
      </c>
      <c r="E31" s="1">
        <f t="shared" si="2"/>
        <v>0.98741929963095165</v>
      </c>
      <c r="F31" s="1">
        <f t="shared" si="3"/>
        <v>0.98836681804152093</v>
      </c>
      <c r="G31" s="1">
        <f>1/(1+Summary!$O$2)^$C31</f>
        <v>0.24294632108865097</v>
      </c>
      <c r="H31" s="1">
        <f>IF(B31&gt;64, Summary!$J$8, 0)*'TV 7'!G31*'TV 7'!F31</f>
        <v>3936.5724751622515</v>
      </c>
      <c r="I31" s="1"/>
    </row>
    <row r="32" spans="1:9">
      <c r="A32" s="1">
        <f t="shared" si="0"/>
        <v>2049</v>
      </c>
      <c r="B32" s="1">
        <f t="shared" si="1"/>
        <v>69</v>
      </c>
      <c r="C32" s="1">
        <v>30</v>
      </c>
      <c r="D32" s="1">
        <f>IF(Summary!$G$8="M",VLOOKUP(B:B,'male g'!A:V,IF(A32&gt;2033,22,MATCH(A32,'male g'!$A$1:$V$1,0)),FALSE),VLOOKUP(B:B,'female g'!A:V,IF(A32&gt;2033,22,MATCH(A32,'female g'!$A$1:$V$1,0)),FALSE))</f>
        <v>1.3626686177724836E-2</v>
      </c>
      <c r="E32" s="1">
        <f t="shared" si="2"/>
        <v>0.98637331382227511</v>
      </c>
      <c r="F32" s="1">
        <f t="shared" si="3"/>
        <v>0.98741929963095165</v>
      </c>
      <c r="G32" s="1">
        <f>1/(1+Summary!$O$2)^$C32</f>
        <v>0.23137744865585813</v>
      </c>
      <c r="H32" s="1">
        <f>IF(B32&gt;64, Summary!$J$8, 0)*'TV 7'!G32*'TV 7'!F32</f>
        <v>3745.5224743510253</v>
      </c>
      <c r="I32" s="1"/>
    </row>
    <row r="33" spans="1:9">
      <c r="A33" s="1">
        <f t="shared" si="0"/>
        <v>2050</v>
      </c>
      <c r="B33" s="1">
        <f t="shared" si="1"/>
        <v>70</v>
      </c>
      <c r="C33" s="1">
        <v>31</v>
      </c>
      <c r="D33" s="1">
        <f>IF(Summary!$G$8="M",VLOOKUP(B:B,'male g'!A:V,IF(A33&gt;2033,22,MATCH(A33,'male g'!$A$1:$V$1,0)),FALSE),VLOOKUP(B:B,'female g'!A:V,IF(A33&gt;2033,22,MATCH(A33,'female g'!$A$1:$V$1,0)),FALSE))</f>
        <v>1.4793079982031035E-2</v>
      </c>
      <c r="E33" s="1">
        <f t="shared" si="2"/>
        <v>0.98520692001796895</v>
      </c>
      <c r="F33" s="1">
        <f t="shared" si="3"/>
        <v>0.98637331382227511</v>
      </c>
      <c r="G33" s="1">
        <f>1/(1+Summary!$O$2)^$C33</f>
        <v>0.220359474910341</v>
      </c>
      <c r="H33" s="1">
        <f>IF(B33&gt;64, Summary!$J$8, 0)*'TV 7'!G33*'TV 7'!F33</f>
        <v>3563.3855188659986</v>
      </c>
      <c r="I33" s="1"/>
    </row>
    <row r="34" spans="1:9">
      <c r="A34" s="1">
        <f t="shared" si="0"/>
        <v>2051</v>
      </c>
      <c r="B34" s="1">
        <f t="shared" si="1"/>
        <v>71</v>
      </c>
      <c r="C34" s="1">
        <v>32</v>
      </c>
      <c r="D34" s="1">
        <f>IF(Summary!$G$8="M",VLOOKUP(B:B,'male g'!A:V,IF(A34&gt;2033,22,MATCH(A34,'male g'!$A$1:$V$1,0)),FALSE),VLOOKUP(B:B,'female g'!A:V,IF(A34&gt;2033,22,MATCH(A34,'female g'!$A$1:$V$1,0)),FALSE))</f>
        <v>1.6081052063459764E-2</v>
      </c>
      <c r="E34" s="1">
        <f t="shared" si="2"/>
        <v>0.98391894793654022</v>
      </c>
      <c r="F34" s="1">
        <f t="shared" si="3"/>
        <v>0.98520692001796895</v>
      </c>
      <c r="G34" s="1">
        <f>1/(1+Summary!$O$2)^$C34</f>
        <v>0.20986616658127716</v>
      </c>
      <c r="H34" s="1">
        <f>IF(B34&gt;64, Summary!$J$8, 0)*'TV 7'!G34*'TV 7'!F34</f>
        <v>3389.6874179986048</v>
      </c>
      <c r="I34" s="1"/>
    </row>
    <row r="35" spans="1:9">
      <c r="A35" s="1">
        <f>$A$2+C35</f>
        <v>2052</v>
      </c>
      <c r="B35" s="1">
        <f>$B$2+C35</f>
        <v>72</v>
      </c>
      <c r="C35" s="1">
        <v>33</v>
      </c>
      <c r="D35" s="1">
        <f>IF(Summary!$G$8="M",VLOOKUP(B:B,'male g'!A:V,IF(A35&gt;2033,22,MATCH(A35,'male g'!$A$1:$V$1,0)),FALSE),VLOOKUP(B:B,'female g'!A:V,IF(A35&gt;2033,22,MATCH(A35,'female g'!$A$1:$V$1,0)),FALSE))</f>
        <v>1.7512751333317752E-2</v>
      </c>
      <c r="E35" s="1">
        <f t="shared" si="2"/>
        <v>0.98248724866668224</v>
      </c>
      <c r="F35" s="1">
        <f t="shared" si="3"/>
        <v>0.98391894793654022</v>
      </c>
      <c r="G35" s="1">
        <f>1/(1+Summary!$O$2)^$C35</f>
        <v>0.19987253960121634</v>
      </c>
      <c r="H35" s="1">
        <f>IF(B35&gt;64, Summary!$J$8, 0)*'TV 7'!G35*'TV 7'!F35</f>
        <v>3224.0533728885389</v>
      </c>
      <c r="I35" s="1"/>
    </row>
    <row r="36" spans="1:9">
      <c r="A36" s="1">
        <f t="shared" ref="A36:A47" si="4">$A$2+C36</f>
        <v>2053</v>
      </c>
      <c r="B36" s="1">
        <f t="shared" si="1"/>
        <v>73</v>
      </c>
      <c r="C36" s="1">
        <v>34</v>
      </c>
      <c r="D36" s="1">
        <f>IF(Summary!$G$8="M",VLOOKUP(B:B,'male g'!A:V,IF(A36&gt;2033,22,MATCH(A36,'male g'!$A$1:$V$1,0)),FALSE),VLOOKUP(B:B,'female g'!A:V,IF(A36&gt;2033,22,MATCH(A36,'female g'!$A$1:$V$1,0)),FALSE))</f>
        <v>1.9108502444741413E-2</v>
      </c>
      <c r="E36" s="1">
        <f t="shared" si="2"/>
        <v>0.98089149755525862</v>
      </c>
      <c r="F36" s="1">
        <f t="shared" si="3"/>
        <v>0.98248724866668224</v>
      </c>
      <c r="G36" s="1">
        <f>1/(1+Summary!$O$2)^$C36</f>
        <v>0.19035479962020604</v>
      </c>
      <c r="H36" s="1">
        <f>IF(B36&gt;64, Summary!$J$8, 0)*'TV 7'!G36*'TV 7'!F36</f>
        <v>3066.0591016468443</v>
      </c>
      <c r="I36" s="1"/>
    </row>
    <row r="37" spans="1:9">
      <c r="A37" s="1">
        <f t="shared" si="4"/>
        <v>2054</v>
      </c>
      <c r="B37" s="1">
        <f t="shared" si="1"/>
        <v>74</v>
      </c>
      <c r="C37" s="1">
        <v>35</v>
      </c>
      <c r="D37" s="1">
        <f>IF(Summary!$G$8="M",VLOOKUP(B:B,'male g'!A:V,IF(A37&gt;2033,22,MATCH(A37,'male g'!$A$1:$V$1,0)),FALSE),VLOOKUP(B:B,'female g'!A:V,IF(A37&gt;2033,22,MATCH(A37,'female g'!$A$1:$V$1,0)),FALSE))</f>
        <v>2.0891078905760852E-2</v>
      </c>
      <c r="E37" s="1">
        <f t="shared" si="2"/>
        <v>0.97910892109423919</v>
      </c>
      <c r="F37" s="1">
        <f t="shared" si="3"/>
        <v>0.98089149755525862</v>
      </c>
      <c r="G37" s="1">
        <f>1/(1+Summary!$O$2)^$C37</f>
        <v>0.18129028535257716</v>
      </c>
      <c r="H37" s="1">
        <f>IF(B37&gt;64, Summary!$J$8, 0)*'TV 7'!G37*'TV 7'!F37</f>
        <v>2915.3135457640024</v>
      </c>
      <c r="I37" s="1"/>
    </row>
    <row r="38" spans="1:9">
      <c r="A38" s="1">
        <f t="shared" si="4"/>
        <v>2055</v>
      </c>
      <c r="B38" s="1">
        <f t="shared" si="1"/>
        <v>75</v>
      </c>
      <c r="C38" s="1">
        <v>36</v>
      </c>
      <c r="D38" s="1">
        <f>IF(Summary!$G$8="M",VLOOKUP(B:B,'male g'!A:V,IF(A38&gt;2033,22,MATCH(A38,'male g'!$A$1:$V$1,0)),FALSE),VLOOKUP(B:B,'female g'!A:V,IF(A38&gt;2033,22,MATCH(A38,'female g'!$A$1:$V$1,0)),FALSE))</f>
        <v>2.289528896934603E-2</v>
      </c>
      <c r="E38" s="1">
        <f t="shared" si="2"/>
        <v>0.97710471103065399</v>
      </c>
      <c r="F38" s="1">
        <f t="shared" si="3"/>
        <v>0.97910892109423919</v>
      </c>
      <c r="G38" s="1">
        <f>1/(1+Summary!$O$2)^$C38</f>
        <v>0.17265741462150208</v>
      </c>
      <c r="H38" s="1">
        <f>IF(B38&gt;64, Summary!$J$8, 0)*'TV 7'!G38*'TV 7'!F38</f>
        <v>2771.4433709477053</v>
      </c>
      <c r="I38" s="1"/>
    </row>
    <row r="39" spans="1:9">
      <c r="A39" s="1">
        <f t="shared" si="4"/>
        <v>2056</v>
      </c>
      <c r="B39" s="1">
        <f t="shared" si="1"/>
        <v>76</v>
      </c>
      <c r="C39" s="1">
        <v>37</v>
      </c>
      <c r="D39" s="1">
        <f>IF(Summary!$G$8="M",VLOOKUP(B:B,'male g'!A:V,IF(A39&gt;2033,22,MATCH(A39,'male g'!$A$1:$V$1,0)),FALSE),VLOOKUP(B:B,'female g'!A:V,IF(A39&gt;2033,22,MATCH(A39,'female g'!$A$1:$V$1,0)),FALSE))</f>
        <v>2.513765115831567E-2</v>
      </c>
      <c r="E39" s="1">
        <f t="shared" si="2"/>
        <v>0.97486234884168432</v>
      </c>
      <c r="F39" s="1">
        <f t="shared" si="3"/>
        <v>0.97710471103065399</v>
      </c>
      <c r="G39" s="1">
        <f>1/(1+Summary!$O$2)^$C39</f>
        <v>0.1644356329728591</v>
      </c>
      <c r="H39" s="1">
        <f>IF(B39&gt;64, Summary!$J$8, 0)*'TV 7'!G39*'TV 7'!F39</f>
        <v>2634.0669520698711</v>
      </c>
      <c r="I39" s="1"/>
    </row>
    <row r="40" spans="1:9">
      <c r="A40" s="1">
        <f t="shared" si="4"/>
        <v>2057</v>
      </c>
      <c r="B40" s="1">
        <f t="shared" si="1"/>
        <v>77</v>
      </c>
      <c r="C40" s="1">
        <v>38</v>
      </c>
      <c r="D40" s="1">
        <f>IF(Summary!$G$8="M",VLOOKUP(B:B,'male g'!A:V,IF(A40&gt;2033,22,MATCH(A40,'male g'!$A$1:$V$1,0)),FALSE),VLOOKUP(B:B,'female g'!A:V,IF(A40&gt;2033,22,MATCH(A40,'female g'!$A$1:$V$1,0)),FALSE))</f>
        <v>2.7677948896305107E-2</v>
      </c>
      <c r="E40" s="1">
        <f t="shared" si="2"/>
        <v>0.97232205110369485</v>
      </c>
      <c r="F40" s="1">
        <f t="shared" si="3"/>
        <v>0.97486234884168432</v>
      </c>
      <c r="G40" s="1">
        <f>1/(1+Summary!$O$2)^$C40</f>
        <v>0.15660536473605632</v>
      </c>
      <c r="H40" s="1">
        <f>IF(B40&gt;64, Summary!$J$8, 0)*'TV 7'!G40*'TV 7'!F40</f>
        <v>2502.8781137660021</v>
      </c>
      <c r="I40" s="1"/>
    </row>
    <row r="41" spans="1:9">
      <c r="A41" s="1">
        <f t="shared" si="4"/>
        <v>2058</v>
      </c>
      <c r="B41" s="1">
        <f t="shared" si="1"/>
        <v>78</v>
      </c>
      <c r="C41" s="1">
        <v>39</v>
      </c>
      <c r="D41" s="1">
        <f>IF(Summary!$G$8="M",VLOOKUP(B:B,'male g'!A:V,IF(A41&gt;2033,22,MATCH(A41,'male g'!$A$1:$V$1,0)),FALSE),VLOOKUP(B:B,'female g'!A:V,IF(A41&gt;2033,22,MATCH(A41,'female g'!$A$1:$V$1,0)),FALSE))</f>
        <v>3.0545666614171758E-2</v>
      </c>
      <c r="E41" s="1">
        <f t="shared" si="2"/>
        <v>0.9694543333858282</v>
      </c>
      <c r="F41" s="1">
        <f t="shared" si="3"/>
        <v>0.97232205110369485</v>
      </c>
      <c r="G41" s="1">
        <f>1/(1+Summary!$O$2)^$C41</f>
        <v>0.14914796641529171</v>
      </c>
      <c r="H41" s="1">
        <f>IF(B41&gt;64, Summary!$J$8, 0)*'TV 7'!G41*'TV 7'!F41</f>
        <v>2377.4820098165155</v>
      </c>
      <c r="I41" s="1"/>
    </row>
    <row r="42" spans="1:9">
      <c r="A42" s="1">
        <f t="shared" si="4"/>
        <v>2059</v>
      </c>
      <c r="B42" s="1">
        <f t="shared" si="1"/>
        <v>79</v>
      </c>
      <c r="C42" s="1">
        <v>40</v>
      </c>
      <c r="D42" s="1">
        <f>IF(Summary!$G$8="M",VLOOKUP(B:B,'male g'!A:V,IF(A42&gt;2033,22,MATCH(A42,'male g'!$A$1:$V$1,0)),FALSE),VLOOKUP(B:B,'female g'!A:V,IF(A42&gt;2033,22,MATCH(A42,'female g'!$A$1:$V$1,0)),FALSE))</f>
        <v>3.3801426006075351E-2</v>
      </c>
      <c r="E42" s="1">
        <f t="shared" si="2"/>
        <v>0.96619857399392461</v>
      </c>
      <c r="F42" s="1">
        <f t="shared" si="3"/>
        <v>0.9694543333858282</v>
      </c>
      <c r="G42" s="1">
        <f>1/(1+Summary!$O$2)^$C42</f>
        <v>0.14204568230027784</v>
      </c>
      <c r="H42" s="1">
        <f>IF(B42&gt;64, Summary!$J$8, 0)*'TV 7'!G42*'TV 7'!F42</f>
        <v>2257.59046099239</v>
      </c>
      <c r="I42" s="1"/>
    </row>
    <row r="43" spans="1:9">
      <c r="A43" s="1">
        <f t="shared" si="4"/>
        <v>2060</v>
      </c>
      <c r="B43" s="1">
        <f t="shared" si="1"/>
        <v>80</v>
      </c>
      <c r="C43" s="1">
        <v>41</v>
      </c>
      <c r="D43" s="1">
        <f>IF(Summary!$G$8="M",VLOOKUP(B:B,'male g'!A:V,IF(A43&gt;2033,22,MATCH(A43,'male g'!$A$1:$V$1,0)),FALSE),VLOOKUP(B:B,'female g'!A:V,IF(A43&gt;2033,22,MATCH(A43,'female g'!$A$1:$V$1,0)),FALSE))</f>
        <v>3.7482908060753731E-2</v>
      </c>
      <c r="E43" s="1">
        <f t="shared" si="2"/>
        <v>0.96251709193924628</v>
      </c>
      <c r="F43" s="1">
        <f t="shared" si="3"/>
        <v>0.96619857399392461</v>
      </c>
      <c r="G43" s="1">
        <f>1/(1+Summary!$O$2)^$C43</f>
        <v>0.13528160219074079</v>
      </c>
      <c r="H43" s="1">
        <f>IF(B43&gt;64, Summary!$J$8, 0)*'TV 7'!G43*'TV 7'!F43</f>
        <v>2142.8654282789912</v>
      </c>
      <c r="I43" s="1"/>
    </row>
    <row r="44" spans="1:9">
      <c r="A44" s="1">
        <f t="shared" si="4"/>
        <v>2061</v>
      </c>
      <c r="B44" s="1">
        <f t="shared" si="1"/>
        <v>81</v>
      </c>
      <c r="C44" s="1">
        <v>42</v>
      </c>
      <c r="D44" s="1">
        <f>IF(Summary!$G$8="M",VLOOKUP(B:B,'male g'!A:V,IF(A44&gt;2033,22,MATCH(A44,'male g'!$A$1:$V$1,0)),FALSE),VLOOKUP(B:B,'female g'!A:V,IF(A44&gt;2033,22,MATCH(A44,'female g'!$A$1:$V$1,0)),FALSE))</f>
        <v>4.1692652240478641E-2</v>
      </c>
      <c r="E44" s="1">
        <f t="shared" si="2"/>
        <v>0.95830734775952131</v>
      </c>
      <c r="F44" s="1">
        <f t="shared" si="3"/>
        <v>0.96251709193924628</v>
      </c>
      <c r="G44" s="1">
        <f>1/(1+Summary!$O$2)^$C44</f>
        <v>0.12883962113403885</v>
      </c>
      <c r="H44" s="1">
        <f>IF(B44&gt;64, Summary!$J$8, 0)*'TV 7'!G44*'TV 7'!F44</f>
        <v>2033.0481163716042</v>
      </c>
      <c r="I44" s="1"/>
    </row>
    <row r="45" spans="1:9">
      <c r="A45" s="1">
        <f t="shared" si="4"/>
        <v>2062</v>
      </c>
      <c r="B45" s="1">
        <f t="shared" si="1"/>
        <v>82</v>
      </c>
      <c r="C45" s="1">
        <v>43</v>
      </c>
      <c r="D45" s="1">
        <f>IF(Summary!$G$8="M",VLOOKUP(B:B,'male g'!A:V,IF(A45&gt;2033,22,MATCH(A45,'male g'!$A$1:$V$1,0)),FALSE),VLOOKUP(B:B,'female g'!A:V,IF(A45&gt;2033,22,MATCH(A45,'female g'!$A$1:$V$1,0)),FALSE))</f>
        <v>4.6458269197024199E-2</v>
      </c>
      <c r="E45" s="1">
        <f t="shared" si="2"/>
        <v>0.95354173080297577</v>
      </c>
      <c r="F45" s="1">
        <f t="shared" si="3"/>
        <v>0.95830734775952131</v>
      </c>
      <c r="G45" s="1">
        <f>1/(1+Summary!$O$2)^$C45</f>
        <v>0.12270440108003698</v>
      </c>
      <c r="H45" s="1">
        <f>IF(B45&gt;64, Summary!$J$8, 0)*'TV 7'!G45*'TV 7'!F45</f>
        <v>1927.7678184416641</v>
      </c>
      <c r="I45" s="1"/>
    </row>
    <row r="46" spans="1:9">
      <c r="A46" s="1">
        <f t="shared" si="4"/>
        <v>2063</v>
      </c>
      <c r="B46" s="1">
        <f t="shared" si="1"/>
        <v>83</v>
      </c>
      <c r="C46" s="1">
        <v>44</v>
      </c>
      <c r="D46" s="1">
        <f>IF(Summary!$G$8="M",VLOOKUP(B:B,'male g'!A:V,IF(A46&gt;2033,22,MATCH(A46,'male g'!$A$1:$V$1,0)),FALSE),VLOOKUP(B:B,'female g'!A:V,IF(A46&gt;2033,22,MATCH(A46,'female g'!$A$1:$V$1,0)),FALSE))</f>
        <v>5.1882087565112409E-2</v>
      </c>
      <c r="E46" s="1">
        <f t="shared" si="2"/>
        <v>0.94811791243488763</v>
      </c>
      <c r="F46" s="1">
        <f t="shared" si="3"/>
        <v>0.95354173080297577</v>
      </c>
      <c r="G46" s="1">
        <f>1/(1+Summary!$O$2)^$C46</f>
        <v>0.11686133436193999</v>
      </c>
      <c r="H46" s="1">
        <f>IF(B46&gt;64, Summary!$J$8, 0)*'TV 7'!G46*'TV 7'!F46</f>
        <v>1826.8391624548919</v>
      </c>
      <c r="I46" s="1"/>
    </row>
    <row r="47" spans="1:9">
      <c r="A47" s="1">
        <f t="shared" si="4"/>
        <v>2064</v>
      </c>
      <c r="B47" s="1">
        <f t="shared" si="1"/>
        <v>84</v>
      </c>
      <c r="C47" s="1">
        <v>45</v>
      </c>
      <c r="D47" s="1">
        <f>IF(Summary!$G$8="M",VLOOKUP(B:B,'male g'!A:V,IF(A47&gt;2033,22,MATCH(A47,'male g'!$A$1:$V$1,0)),FALSE),VLOOKUP(B:B,'female g'!A:V,IF(A47&gt;2033,22,MATCH(A47,'female g'!$A$1:$V$1,0)),FALSE))</f>
        <v>5.8015339398571217E-2</v>
      </c>
      <c r="E47" s="1">
        <f t="shared" si="2"/>
        <v>0.94198466060142882</v>
      </c>
      <c r="F47" s="1">
        <f t="shared" si="3"/>
        <v>0.94811791243488763</v>
      </c>
      <c r="G47" s="1">
        <f>1/(1+Summary!$O$2)^$C47</f>
        <v>0.1112965089161333</v>
      </c>
      <c r="H47" s="1">
        <f>IF(B47&gt;64, Summary!$J$8, 0)*'TV 7'!G47*'TV 7'!F47</f>
        <v>1729.9504394626672</v>
      </c>
      <c r="I47" s="1"/>
    </row>
    <row r="48" spans="1:9">
      <c r="A48" s="1">
        <f>$A$2+C48</f>
        <v>2065</v>
      </c>
      <c r="B48" s="1">
        <f>$B$2+C48</f>
        <v>85</v>
      </c>
      <c r="C48" s="1">
        <v>46</v>
      </c>
      <c r="D48" s="1">
        <f>IF(Summary!$G$8="M",VLOOKUP(B:B,'male g'!A:V,IF(A48&gt;2033,22,MATCH(A48,'male g'!$A$1:$V$1,0)),FALSE),VLOOKUP(B:B,'female g'!A:V,IF(A48&gt;2033,22,MATCH(A48,'female g'!$A$1:$V$1,0)),FALSE))</f>
        <v>6.4965454874702594E-2</v>
      </c>
      <c r="E48" s="1">
        <f t="shared" si="2"/>
        <v>0.93503454512529738</v>
      </c>
      <c r="F48" s="1">
        <f t="shared" si="3"/>
        <v>0.94198466060142882</v>
      </c>
      <c r="G48" s="1">
        <f>1/(1+Summary!$O$2)^$C48</f>
        <v>0.10599667515822221</v>
      </c>
      <c r="H48" s="1">
        <f>IF(B48&gt;64, Summary!$J$8, 0)*'TV 7'!G48*'TV 7'!F48</f>
        <v>1636.9139184683686</v>
      </c>
      <c r="I48" s="1"/>
    </row>
    <row r="49" spans="1:9">
      <c r="A49" s="1">
        <f t="shared" ref="A49:A73" si="5">$A$2+C49</f>
        <v>2066</v>
      </c>
      <c r="B49" s="1">
        <f t="shared" si="1"/>
        <v>86</v>
      </c>
      <c r="C49" s="1">
        <v>47</v>
      </c>
      <c r="D49" s="1">
        <f>IF(Summary!$G$8="M",VLOOKUP(B:B,'male g'!A:V,IF(A49&gt;2033,22,MATCH(A49,'male g'!$A$1:$V$1,0)),FALSE),VLOOKUP(B:B,'female g'!A:V,IF(A49&gt;2033,22,MATCH(A49,'female g'!$A$1:$V$1,0)),FALSE))</f>
        <v>7.2903222964449149E-2</v>
      </c>
      <c r="E49" s="1">
        <f t="shared" si="2"/>
        <v>0.92709677703555082</v>
      </c>
      <c r="F49" s="1">
        <f t="shared" si="3"/>
        <v>0.93503454512529738</v>
      </c>
      <c r="G49" s="1">
        <f>1/(1+Summary!$O$2)^$C49</f>
        <v>0.10094921443640208</v>
      </c>
      <c r="H49" s="1">
        <f>IF(B49&gt;64, Summary!$J$8, 0)*'TV 7'!G49*'TV 7'!F49</f>
        <v>1547.4633355364074</v>
      </c>
      <c r="I49" s="1"/>
    </row>
    <row r="50" spans="1:9">
      <c r="A50" s="1">
        <f t="shared" si="5"/>
        <v>2067</v>
      </c>
      <c r="B50" s="1">
        <f t="shared" si="1"/>
        <v>87</v>
      </c>
      <c r="C50" s="1">
        <v>48</v>
      </c>
      <c r="D50" s="1">
        <f>IF(Summary!$G$8="M",VLOOKUP(B:B,'male g'!A:V,IF(A50&gt;2033,22,MATCH(A50,'male g'!$A$1:$V$1,0)),FALSE),VLOOKUP(B:B,'female g'!A:V,IF(A50&gt;2033,22,MATCH(A50,'female g'!$A$1:$V$1,0)),FALSE))</f>
        <v>8.1848520672112443E-2</v>
      </c>
      <c r="E50" s="1">
        <f t="shared" si="2"/>
        <v>0.91815147932788754</v>
      </c>
      <c r="F50" s="1">
        <f t="shared" si="3"/>
        <v>0.92709677703555082</v>
      </c>
      <c r="G50" s="1">
        <f>1/(1+Summary!$O$2)^$C50</f>
        <v>9.6142108987049613E-2</v>
      </c>
      <c r="H50" s="1">
        <f>IF(B50&gt;64, Summary!$J$8, 0)*'TV 7'!G50*'TV 7'!F50</f>
        <v>1461.2633231022849</v>
      </c>
      <c r="I50" s="1"/>
    </row>
    <row r="51" spans="1:9">
      <c r="A51" s="1">
        <f t="shared" si="5"/>
        <v>2068</v>
      </c>
      <c r="B51" s="1">
        <f t="shared" si="1"/>
        <v>88</v>
      </c>
      <c r="C51" s="1">
        <v>49</v>
      </c>
      <c r="D51" s="1">
        <f>IF(Summary!$G$8="M",VLOOKUP(B:B,'male g'!A:V,IF(A51&gt;2033,22,MATCH(A51,'male g'!$A$1:$V$1,0)),FALSE),VLOOKUP(B:B,'female g'!A:V,IF(A51&gt;2033,22,MATCH(A51,'female g'!$A$1:$V$1,0)),FALSE))</f>
        <v>9.1889133554378416E-2</v>
      </c>
      <c r="E51" s="1">
        <f t="shared" si="2"/>
        <v>0.90811086644562156</v>
      </c>
      <c r="F51" s="1">
        <f t="shared" si="3"/>
        <v>0.91815147932788754</v>
      </c>
      <c r="G51" s="1">
        <f>1/(1+Summary!$O$2)^$C51</f>
        <v>9.1563913320999626E-2</v>
      </c>
      <c r="H51" s="1">
        <f>IF(B51&gt;64, Summary!$J$8, 0)*'TV 7'!G51*'TV 7'!F51</f>
        <v>1378.2514301658293</v>
      </c>
      <c r="I51" s="1"/>
    </row>
    <row r="52" spans="1:9">
      <c r="A52" s="1">
        <f t="shared" si="5"/>
        <v>2069</v>
      </c>
      <c r="B52" s="1">
        <f t="shared" si="1"/>
        <v>89</v>
      </c>
      <c r="C52" s="1">
        <v>50</v>
      </c>
      <c r="D52" s="1">
        <f>IF(Summary!$G$8="M",VLOOKUP(B:B,'male g'!A:V,IF(A52&gt;2033,22,MATCH(A52,'male g'!$A$1:$V$1,0)),FALSE),VLOOKUP(B:B,'female g'!A:V,IF(A52&gt;2033,22,MATCH(A52,'female g'!$A$1:$V$1,0)),FALSE))</f>
        <v>0.1031648969350115</v>
      </c>
      <c r="E52" s="1">
        <f t="shared" si="2"/>
        <v>0.89683510306498848</v>
      </c>
      <c r="F52" s="1">
        <f t="shared" si="3"/>
        <v>0.90811086644562156</v>
      </c>
      <c r="G52" s="1">
        <f>1/(1+Summary!$O$2)^$C52</f>
        <v>8.7203726972380588E-2</v>
      </c>
      <c r="H52" s="1">
        <f>IF(B52&gt;64, Summary!$J$8, 0)*'TV 7'!G52*'TV 7'!F52</f>
        <v>1298.2660098994495</v>
      </c>
      <c r="I52" s="1"/>
    </row>
    <row r="53" spans="1:9">
      <c r="A53" s="1">
        <f t="shared" si="5"/>
        <v>2070</v>
      </c>
      <c r="B53" s="1">
        <f t="shared" si="1"/>
        <v>90</v>
      </c>
      <c r="C53" s="1">
        <v>51</v>
      </c>
      <c r="D53" s="1">
        <f>IF(Summary!$G$8="M",VLOOKUP(B:B,'male g'!A:V,IF(A53&gt;2033,22,MATCH(A53,'male g'!$A$1:$V$1,0)),FALSE),VLOOKUP(B:B,'female g'!A:V,IF(A53&gt;2033,22,MATCH(A53,'female g'!$A$1:$V$1,0)),FALSE))</f>
        <v>0.11576084940657383</v>
      </c>
      <c r="E53" s="1">
        <f t="shared" si="2"/>
        <v>0.88423915059342617</v>
      </c>
      <c r="F53" s="1">
        <f t="shared" si="3"/>
        <v>0.89683510306498848</v>
      </c>
      <c r="G53" s="1">
        <f>1/(1+Summary!$O$2)^$C53</f>
        <v>8.3051168545124371E-2</v>
      </c>
      <c r="H53" s="1">
        <f>IF(B53&gt;64, Summary!$J$8, 0)*'TV 7'!G53*'TV 7'!F53</f>
        <v>1221.0912354170771</v>
      </c>
      <c r="I53" s="1"/>
    </row>
    <row r="54" spans="1:9">
      <c r="A54" s="1">
        <f t="shared" si="5"/>
        <v>2071</v>
      </c>
      <c r="B54" s="1">
        <f t="shared" si="1"/>
        <v>91</v>
      </c>
      <c r="C54" s="1">
        <v>52</v>
      </c>
      <c r="D54" s="1">
        <f>IF(Summary!$G$8="M",VLOOKUP(B:B,'male g'!A:V,IF(A54&gt;2033,22,MATCH(A54,'male g'!$A$1:$V$1,0)),FALSE),VLOOKUP(B:B,'female g'!A:V,IF(A54&gt;2033,22,MATCH(A54,'female g'!$A$1:$V$1,0)),FALSE))</f>
        <v>0.12933245912292859</v>
      </c>
      <c r="E54" s="1">
        <f t="shared" si="2"/>
        <v>0.87066754087707143</v>
      </c>
      <c r="F54" s="1">
        <f t="shared" si="3"/>
        <v>0.88423915059342617</v>
      </c>
      <c r="G54" s="1">
        <f>1/(1+Summary!$O$2)^$C54</f>
        <v>7.9096350995356543E-2</v>
      </c>
      <c r="H54" s="1">
        <f>IF(B54&gt;64, Summary!$J$8, 0)*'TV 7'!G54*'TV 7'!F54</f>
        <v>1146.6106099763999</v>
      </c>
      <c r="I54" s="1"/>
    </row>
    <row r="55" spans="1:9">
      <c r="A55" s="1">
        <f t="shared" si="5"/>
        <v>2072</v>
      </c>
      <c r="B55" s="1">
        <f t="shared" si="1"/>
        <v>92</v>
      </c>
      <c r="C55" s="1">
        <v>53</v>
      </c>
      <c r="D55" s="1">
        <f>IF(Summary!$G$8="M",VLOOKUP(B:B,'male g'!A:V,IF(A55&gt;2033,22,MATCH(A55,'male g'!$A$1:$V$1,0)),FALSE),VLOOKUP(B:B,'female g'!A:V,IF(A55&gt;2033,22,MATCH(A55,'female g'!$A$1:$V$1,0)),FALSE))</f>
        <v>0.14348300858520585</v>
      </c>
      <c r="E55" s="1">
        <f t="shared" si="2"/>
        <v>0.85651699141479409</v>
      </c>
      <c r="F55" s="1">
        <f t="shared" si="3"/>
        <v>0.87066754087707143</v>
      </c>
      <c r="G55" s="1">
        <f>1/(1+Summary!$O$2)^$C55</f>
        <v>7.5329858090815757E-2</v>
      </c>
      <c r="H55" s="1">
        <f>IF(B55&gt;64, Summary!$J$8, 0)*'TV 7'!G55*'TV 7'!F55</f>
        <v>1075.2495542278468</v>
      </c>
      <c r="I55" s="1"/>
    </row>
    <row r="56" spans="1:9">
      <c r="A56" s="1">
        <f t="shared" si="5"/>
        <v>2073</v>
      </c>
      <c r="B56" s="1">
        <f t="shared" si="1"/>
        <v>93</v>
      </c>
      <c r="C56" s="1">
        <v>54</v>
      </c>
      <c r="D56" s="1">
        <f>IF(Summary!$G$8="M",VLOOKUP(B:B,'male g'!A:V,IF(A56&gt;2033,22,MATCH(A56,'male g'!$A$1:$V$1,0)),FALSE),VLOOKUP(B:B,'female g'!A:V,IF(A56&gt;2033,22,MATCH(A56,'female g'!$A$1:$V$1,0)),FALSE))</f>
        <v>0.15808258232710681</v>
      </c>
      <c r="E56" s="1">
        <f t="shared" si="2"/>
        <v>0.84191741767289319</v>
      </c>
      <c r="F56" s="1">
        <f t="shared" si="3"/>
        <v>0.85651699141479409</v>
      </c>
      <c r="G56" s="1">
        <f>1/(1+Summary!$O$2)^$C56</f>
        <v>7.1742721991253117E-2</v>
      </c>
      <c r="H56" s="1">
        <f>IF(B56&gt;64, Summary!$J$8, 0)*'TV 7'!G56*'TV 7'!F56</f>
        <v>1007.4038377710253</v>
      </c>
      <c r="I56" s="1"/>
    </row>
    <row r="57" spans="1:9">
      <c r="A57" s="1">
        <f t="shared" si="5"/>
        <v>2074</v>
      </c>
      <c r="B57" s="1">
        <f t="shared" si="1"/>
        <v>94</v>
      </c>
      <c r="C57" s="1">
        <v>55</v>
      </c>
      <c r="D57" s="1">
        <f>IF(Summary!$G$8="M",VLOOKUP(B:B,'male g'!A:V,IF(A57&gt;2033,22,MATCH(A57,'male g'!$A$1:$V$1,0)),FALSE),VLOOKUP(B:B,'female g'!A:V,IF(A57&gt;2033,22,MATCH(A57,'female g'!$A$1:$V$1,0)),FALSE))</f>
        <v>0.17308956870926934</v>
      </c>
      <c r="E57" s="1">
        <f t="shared" si="2"/>
        <v>0.82691043129073072</v>
      </c>
      <c r="F57" s="1">
        <f t="shared" si="3"/>
        <v>0.84191741767289319</v>
      </c>
      <c r="G57" s="1">
        <f>1/(1+Summary!$O$2)^$C57</f>
        <v>6.8326401896431521E-2</v>
      </c>
      <c r="H57" s="1">
        <f>IF(B57&gt;64, Summary!$J$8, 0)*'TV 7'!G57*'TV 7'!F57</f>
        <v>943.07843349318046</v>
      </c>
      <c r="I57" s="1"/>
    </row>
    <row r="58" spans="1:9">
      <c r="A58" s="1">
        <f t="shared" si="5"/>
        <v>2075</v>
      </c>
      <c r="B58" s="1">
        <f t="shared" si="1"/>
        <v>95</v>
      </c>
      <c r="C58" s="1">
        <v>56</v>
      </c>
      <c r="D58" s="1">
        <f>IF(Summary!$G$8="M",VLOOKUP(B:B,'male g'!A:V,IF(A58&gt;2033,22,MATCH(A58,'male g'!$A$1:$V$1,0)),FALSE),VLOOKUP(B:B,'female g'!A:V,IF(A58&gt;2033,22,MATCH(A58,'female g'!$A$1:$V$1,0)),FALSE))</f>
        <v>0.1884638420447376</v>
      </c>
      <c r="E58" s="1">
        <f t="shared" si="2"/>
        <v>0.81153615795526246</v>
      </c>
      <c r="F58" s="1">
        <f t="shared" si="3"/>
        <v>0.82691043129073072</v>
      </c>
      <c r="G58" s="1">
        <f>1/(1+Summary!$O$2)^$C58</f>
        <v>6.5072763710887174E-2</v>
      </c>
      <c r="H58" s="1">
        <f>IF(B58&gt;64, Summary!$J$8, 0)*'TV 7'!G58*'TV 7'!F58</f>
        <v>882.16026192796005</v>
      </c>
      <c r="I58" s="1"/>
    </row>
    <row r="59" spans="1:9">
      <c r="A59" s="1">
        <f t="shared" si="5"/>
        <v>2076</v>
      </c>
      <c r="B59" s="1">
        <f t="shared" si="1"/>
        <v>96</v>
      </c>
      <c r="C59" s="1">
        <v>57</v>
      </c>
      <c r="D59" s="1">
        <f>IF(Summary!$G$8="M",VLOOKUP(B:B,'male g'!A:V,IF(A59&gt;2033,22,MATCH(A59,'male g'!$A$1:$V$1,0)),FALSE),VLOOKUP(B:B,'female g'!A:V,IF(A59&gt;2033,22,MATCH(A59,'female g'!$A$1:$V$1,0)),FALSE))</f>
        <v>0.20546988897968524</v>
      </c>
      <c r="E59" s="1">
        <f t="shared" si="2"/>
        <v>0.79453011102031479</v>
      </c>
      <c r="F59" s="1">
        <f t="shared" si="3"/>
        <v>0.81153615795526246</v>
      </c>
      <c r="G59" s="1">
        <f>1/(1+Summary!$O$2)^$C59</f>
        <v>6.1974060677035397E-2</v>
      </c>
      <c r="H59" s="1">
        <f>IF(B59&gt;64, Summary!$J$8, 0)*'TV 7'!G59*'TV 7'!F59</f>
        <v>824.53215242759336</v>
      </c>
      <c r="I59" s="1"/>
    </row>
    <row r="60" spans="1:9">
      <c r="A60" s="1">
        <f t="shared" si="5"/>
        <v>2077</v>
      </c>
      <c r="B60" s="1">
        <f t="shared" si="1"/>
        <v>97</v>
      </c>
      <c r="C60" s="1">
        <v>58</v>
      </c>
      <c r="D60" s="1">
        <f>IF(Summary!$G$8="M",VLOOKUP(B:B,'male g'!A:V,IF(A60&gt;2033,22,MATCH(A60,'male g'!$A$1:$V$1,0)),FALSE),VLOOKUP(B:B,'female g'!A:V,IF(A60&gt;2033,22,MATCH(A60,'female g'!$A$1:$V$1,0)),FALSE))</f>
        <v>0.22317315569892124</v>
      </c>
      <c r="E60" s="1">
        <f t="shared" si="2"/>
        <v>0.77682684430107873</v>
      </c>
      <c r="F60" s="1">
        <f t="shared" si="3"/>
        <v>0.79453011102031479</v>
      </c>
      <c r="G60" s="1">
        <f>1/(1+Summary!$O$2)^$C60</f>
        <v>5.9022914930509894E-2</v>
      </c>
      <c r="H60" s="1">
        <f>IF(B60&gt;64, Summary!$J$8, 0)*'TV 7'!G60*'TV 7'!F60</f>
        <v>768.81311382499337</v>
      </c>
      <c r="I60" s="1"/>
    </row>
    <row r="61" spans="1:9">
      <c r="A61" s="1">
        <f t="shared" si="5"/>
        <v>2078</v>
      </c>
      <c r="B61" s="1">
        <f t="shared" si="1"/>
        <v>98</v>
      </c>
      <c r="C61" s="1">
        <v>59</v>
      </c>
      <c r="D61" s="1">
        <f>IF(Summary!$G$8="M",VLOOKUP(B:B,'male g'!A:V,IF(A61&gt;2033,22,MATCH(A61,'male g'!$A$1:$V$1,0)),FALSE),VLOOKUP(B:B,'female g'!A:V,IF(A61&gt;2033,22,MATCH(A61,'female g'!$A$1:$V$1,0)),FALSE))</f>
        <v>0.2417371960764223</v>
      </c>
      <c r="E61" s="1">
        <f t="shared" si="2"/>
        <v>0.7582628039235777</v>
      </c>
      <c r="F61" s="1">
        <f t="shared" si="3"/>
        <v>0.77682684430107873</v>
      </c>
      <c r="G61" s="1">
        <f>1/(1+Summary!$O$2)^$C61</f>
        <v>5.6212299933818946E-2</v>
      </c>
      <c r="H61" s="1">
        <f>IF(B61&gt;64, Summary!$J$8, 0)*'TV 7'!G61*'TV 7'!F61</f>
        <v>715.88843673125473</v>
      </c>
      <c r="I61" s="1"/>
    </row>
    <row r="62" spans="1:9">
      <c r="A62" s="1">
        <f t="shared" si="5"/>
        <v>2079</v>
      </c>
      <c r="B62" s="1">
        <f t="shared" si="1"/>
        <v>99</v>
      </c>
      <c r="C62" s="1">
        <v>60</v>
      </c>
      <c r="D62" s="1">
        <f>IF(Summary!$G$8="M",VLOOKUP(B:B,'male g'!A:V,IF(A62&gt;2033,22,MATCH(A62,'male g'!$A$1:$V$1,0)),FALSE),VLOOKUP(B:B,'female g'!A:V,IF(A62&gt;2033,22,MATCH(A62,'female g'!$A$1:$V$1,0)),FALSE))</f>
        <v>0.26102364427750568</v>
      </c>
      <c r="E62" s="1">
        <f t="shared" si="2"/>
        <v>0.73897635572249432</v>
      </c>
      <c r="F62" s="1">
        <f t="shared" si="3"/>
        <v>0.7582628039235777</v>
      </c>
      <c r="G62" s="1">
        <f>1/(1+Summary!$O$2)^$C62</f>
        <v>5.3535523746494243E-2</v>
      </c>
      <c r="H62" s="1">
        <f>IF(B62&gt;64, Summary!$J$8, 0)*'TV 7'!G62*'TV 7'!F62</f>
        <v>665.50538847278153</v>
      </c>
      <c r="I62" s="1"/>
    </row>
    <row r="63" spans="1:9">
      <c r="A63" s="1">
        <f t="shared" si="5"/>
        <v>2080</v>
      </c>
      <c r="B63" s="1">
        <f t="shared" si="1"/>
        <v>100</v>
      </c>
      <c r="C63" s="1">
        <v>61</v>
      </c>
      <c r="D63" s="1">
        <f>IF(Summary!$G$8="M",VLOOKUP(B:B,'male g'!A:V,IF(A63&gt;2033,22,MATCH(A63,'male g'!$A$1:$V$1,0)),FALSE),VLOOKUP(B:B,'female g'!A:V,IF(A63&gt;2033,22,MATCH(A63,'female g'!$A$1:$V$1,0)),FALSE))</f>
        <v>0.2809127683704345</v>
      </c>
      <c r="E63" s="1">
        <f t="shared" si="2"/>
        <v>0.71908723162956556</v>
      </c>
      <c r="F63" s="1">
        <f t="shared" si="3"/>
        <v>0.73897635572249432</v>
      </c>
      <c r="G63" s="1">
        <f>1/(1+Summary!$O$2)^$C63</f>
        <v>5.0986213091899268E-2</v>
      </c>
      <c r="H63" s="1">
        <f>IF(B63&gt;64, Summary!$J$8, 0)*'TV 7'!G63*'TV 7'!F63</f>
        <v>617.69355168224729</v>
      </c>
      <c r="I63" s="1"/>
    </row>
    <row r="64" spans="1:9">
      <c r="A64" s="1">
        <f t="shared" si="5"/>
        <v>2081</v>
      </c>
      <c r="B64" s="1">
        <f t="shared" si="1"/>
        <v>101</v>
      </c>
      <c r="C64" s="1">
        <v>62</v>
      </c>
      <c r="D64" s="1">
        <f>IF(Summary!$G$8="M",VLOOKUP(B:B,'male g'!A:V,IF(A64&gt;2033,22,MATCH(A64,'male g'!$A$1:$V$1,0)),FALSE),VLOOKUP(B:B,'female g'!A:V,IF(A64&gt;2033,22,MATCH(A64,'female g'!$A$1:$V$1,0)),FALSE))</f>
        <v>0.30146810411089092</v>
      </c>
      <c r="E64" s="1">
        <f t="shared" si="2"/>
        <v>0.69853189588910913</v>
      </c>
      <c r="F64" s="1">
        <f t="shared" si="3"/>
        <v>0.71908723162956556</v>
      </c>
      <c r="G64" s="1">
        <f>1/(1+Summary!$O$2)^$C64</f>
        <v>4.855829818276123E-2</v>
      </c>
      <c r="H64" s="1">
        <f>IF(B64&gt;64, Summary!$J$8, 0)*'TV 7'!G64*'TV 7'!F64</f>
        <v>572.44636627282648</v>
      </c>
      <c r="I64" s="1"/>
    </row>
    <row r="65" spans="1:9">
      <c r="A65" s="1">
        <f t="shared" si="5"/>
        <v>2082</v>
      </c>
      <c r="B65" s="1">
        <f t="shared" si="1"/>
        <v>102</v>
      </c>
      <c r="C65" s="1">
        <v>63</v>
      </c>
      <c r="D65" s="1">
        <f>IF(Summary!$G$8="M",VLOOKUP(B:B,'male g'!A:V,IF(A65&gt;2033,22,MATCH(A65,'male g'!$A$1:$V$1,0)),FALSE),VLOOKUP(B:B,'female g'!A:V,IF(A65&gt;2033,22,MATCH(A65,'female g'!$A$1:$V$1,0)),FALSE))</f>
        <v>0.32206565548145499</v>
      </c>
      <c r="E65" s="1">
        <f t="shared" si="2"/>
        <v>0.67793434451854506</v>
      </c>
      <c r="F65" s="1">
        <f t="shared" si="3"/>
        <v>0.69853189588910913</v>
      </c>
      <c r="G65" s="1">
        <f>1/(1+Summary!$O$2)^$C65</f>
        <v>4.6245998269296387E-2</v>
      </c>
      <c r="H65" s="1">
        <f>IF(B65&gt;64, Summary!$J$8, 0)*'TV 7'!G65*'TV 7'!F65</f>
        <v>529.60267238631354</v>
      </c>
      <c r="I65" s="1"/>
    </row>
    <row r="66" spans="1:9">
      <c r="A66" s="1">
        <f t="shared" si="5"/>
        <v>2083</v>
      </c>
      <c r="B66" s="1">
        <f t="shared" si="1"/>
        <v>103</v>
      </c>
      <c r="C66" s="1">
        <v>64</v>
      </c>
      <c r="D66" s="1">
        <f>IF(Summary!$G$8="M",VLOOKUP(B:B,'male g'!A:V,IF(A66&gt;2033,22,MATCH(A66,'male g'!$A$1:$V$1,0)),FALSE),VLOOKUP(B:B,'female g'!A:V,IF(A66&gt;2033,22,MATCH(A66,'female g'!$A$1:$V$1,0)),FALSE))</f>
        <v>0.3427697952313476</v>
      </c>
      <c r="E66" s="1">
        <f t="shared" si="2"/>
        <v>0.65723020476865246</v>
      </c>
      <c r="F66" s="1">
        <f t="shared" si="3"/>
        <v>0.67793434451854506</v>
      </c>
      <c r="G66" s="1">
        <f>1/(1+Summary!$O$2)^$C66</f>
        <v>4.4043807875520369E-2</v>
      </c>
      <c r="H66" s="1">
        <f>IF(B66&gt;64, Summary!$J$8, 0)*'TV 7'!G66*'TV 7'!F66</f>
        <v>489.51078366394393</v>
      </c>
      <c r="I66" s="1"/>
    </row>
    <row r="67" spans="1:9">
      <c r="A67" s="1">
        <f t="shared" si="5"/>
        <v>2084</v>
      </c>
      <c r="B67" s="1">
        <f t="shared" si="1"/>
        <v>104</v>
      </c>
      <c r="C67" s="1">
        <v>65</v>
      </c>
      <c r="D67" s="1">
        <f>IF(Summary!$G$8="M",VLOOKUP(B:B,'male g'!A:V,IF(A67&gt;2033,22,MATCH(A67,'male g'!$A$1:$V$1,0)),FALSE),VLOOKUP(B:B,'female g'!A:V,IF(A67&gt;2033,22,MATCH(A67,'female g'!$A$1:$V$1,0)),FALSE))</f>
        <v>0.36312182573243618</v>
      </c>
      <c r="E67" s="1">
        <f t="shared" si="2"/>
        <v>0.63687817426756377</v>
      </c>
      <c r="F67" s="1">
        <f t="shared" si="3"/>
        <v>0.65723020476865246</v>
      </c>
      <c r="G67" s="1">
        <f>1/(1+Summary!$O$2)^$C67</f>
        <v>4.1946483690971779E-2</v>
      </c>
      <c r="H67" s="1">
        <f>IF(B67&gt;64, Summary!$J$8, 0)*'TV 7'!G67*'TV 7'!F67</f>
        <v>451.96295845179969</v>
      </c>
      <c r="I67" s="1"/>
    </row>
    <row r="68" spans="1:9">
      <c r="A68" s="1">
        <f t="shared" si="5"/>
        <v>2085</v>
      </c>
      <c r="B68" s="1">
        <f t="shared" ref="B68:B73" si="6">$B$2+C68</f>
        <v>105</v>
      </c>
      <c r="C68" s="1">
        <v>66</v>
      </c>
      <c r="D68" s="1">
        <f>IF(Summary!$G$8="M",VLOOKUP(B:B,'male g'!A:V,IF(A68&gt;2033,22,MATCH(A68,'male g'!$A$1:$V$1,0)),FALSE),VLOOKUP(B:B,'female g'!A:V,IF(A68&gt;2033,22,MATCH(A68,'female g'!$A$1:$V$1,0)),FALSE))</f>
        <v>0.38340857179772014</v>
      </c>
      <c r="E68" s="1">
        <f t="shared" ref="E68:E83" si="7">1-D68</f>
        <v>0.61659142820227986</v>
      </c>
      <c r="F68" s="1">
        <f t="shared" ref="F68:F83" si="8">E67</f>
        <v>0.63687817426756377</v>
      </c>
      <c r="G68" s="1">
        <f>1/(1+Summary!$O$2)^$C68</f>
        <v>3.9949032086639788E-2</v>
      </c>
      <c r="H68" s="1">
        <f>IF(B68&gt;64, Summary!$J$8, 0)*'TV 7'!G68*'TV 7'!F68</f>
        <v>417.11172233446348</v>
      </c>
      <c r="I68" s="1"/>
    </row>
    <row r="69" spans="1:9">
      <c r="A69" s="1">
        <f t="shared" si="5"/>
        <v>2086</v>
      </c>
      <c r="B69" s="1">
        <f t="shared" si="6"/>
        <v>106</v>
      </c>
      <c r="C69" s="1">
        <v>67</v>
      </c>
      <c r="D69" s="1">
        <f>IF(Summary!$G$8="M",VLOOKUP(B:B,'male g'!A:V,IF(A69&gt;2033,22,MATCH(A69,'male g'!$A$1:$V$1,0)),FALSE),VLOOKUP(B:B,'female g'!A:V,IF(A69&gt;2033,22,MATCH(A69,'female g'!$A$1:$V$1,0)),FALSE))</f>
        <v>0.4032562438470747</v>
      </c>
      <c r="E69" s="1">
        <f t="shared" si="7"/>
        <v>0.5967437561529253</v>
      </c>
      <c r="F69" s="1">
        <f t="shared" si="8"/>
        <v>0.61659142820227986</v>
      </c>
      <c r="G69" s="1">
        <f>1/(1+Summary!$O$2)^$C69</f>
        <v>3.8046697225371226E-2</v>
      </c>
      <c r="H69" s="1">
        <f>IF(B69&gt;64, Summary!$J$8, 0)*'TV 7'!G69*'TV 7'!F69</f>
        <v>384.59551305328921</v>
      </c>
      <c r="I69" s="1"/>
    </row>
    <row r="70" spans="1:9">
      <c r="A70" s="1">
        <f t="shared" si="5"/>
        <v>2087</v>
      </c>
      <c r="B70" s="1">
        <f t="shared" si="6"/>
        <v>107</v>
      </c>
      <c r="C70" s="1">
        <v>68</v>
      </c>
      <c r="D70" s="1">
        <f>IF(Summary!$G$8="M",VLOOKUP(B:B,'male g'!A:V,IF(A70&gt;2033,22,MATCH(A70,'male g'!$A$1:$V$1,0)),FALSE),VLOOKUP(B:B,'female g'!A:V,IF(A70&gt;2033,22,MATCH(A70,'female g'!$A$1:$V$1,0)),FALSE))</f>
        <v>0.42246723803499708</v>
      </c>
      <c r="E70" s="1">
        <f t="shared" si="7"/>
        <v>0.57753276196500292</v>
      </c>
      <c r="F70" s="1">
        <f t="shared" si="8"/>
        <v>0.5967437561529253</v>
      </c>
      <c r="G70" s="1">
        <f>1/(1+Summary!$O$2)^$C70</f>
        <v>3.6234949738448791E-2</v>
      </c>
      <c r="H70" s="1">
        <f>IF(B70&gt;64, Summary!$J$8, 0)*'TV 7'!G70*'TV 7'!F70</f>
        <v>354.49108261298932</v>
      </c>
      <c r="I70" s="1"/>
    </row>
    <row r="71" spans="1:9">
      <c r="A71" s="1">
        <f t="shared" si="5"/>
        <v>2088</v>
      </c>
      <c r="B71" s="1">
        <f t="shared" si="6"/>
        <v>108</v>
      </c>
      <c r="C71" s="1">
        <v>69</v>
      </c>
      <c r="D71" s="1">
        <f>IF(Summary!$G$8="M",VLOOKUP(B:B,'male g'!A:V,IF(A71&gt;2033,22,MATCH(A71,'male g'!$A$1:$V$1,0)),FALSE),VLOOKUP(B:B,'female g'!A:V,IF(A71&gt;2033,22,MATCH(A71,'female g'!$A$1:$V$1,0)),FALSE))</f>
        <v>0.44119749280646176</v>
      </c>
      <c r="E71" s="1">
        <f t="shared" si="7"/>
        <v>0.5588025071935383</v>
      </c>
      <c r="F71" s="1">
        <f t="shared" si="8"/>
        <v>0.57753276196500292</v>
      </c>
      <c r="G71" s="1">
        <f>1/(1+Summary!$O$2)^$C71</f>
        <v>3.4509475941379798E-2</v>
      </c>
      <c r="H71" s="1">
        <f>IF(B71&gt;64, Summary!$J$8, 0)*'TV 7'!G71*'TV 7'!F71</f>
        <v>326.74184557761885</v>
      </c>
      <c r="I71" s="1"/>
    </row>
    <row r="72" spans="1:9">
      <c r="A72" s="1">
        <f t="shared" si="5"/>
        <v>2089</v>
      </c>
      <c r="B72" s="1">
        <f t="shared" si="6"/>
        <v>109</v>
      </c>
      <c r="C72" s="1">
        <v>70</v>
      </c>
      <c r="D72" s="1">
        <f>IF(Summary!$G$8="M",VLOOKUP(B:B,'male g'!A:V,IF(A72&gt;2033,22,MATCH(A72,'male g'!$A$1:$V$1,0)),FALSE),VLOOKUP(B:B,'female g'!A:V,IF(A72&gt;2033,22,MATCH(A72,'female g'!$A$1:$V$1,0)),FALSE))</f>
        <v>0.45907299166148602</v>
      </c>
      <c r="E72" s="1">
        <f t="shared" si="7"/>
        <v>0.54092700833851404</v>
      </c>
      <c r="F72" s="1">
        <f t="shared" si="8"/>
        <v>0.5588025071935383</v>
      </c>
      <c r="G72" s="1">
        <f>1/(1+Summary!$O$2)^$C72</f>
        <v>3.2866167563218862E-2</v>
      </c>
      <c r="H72" s="1">
        <f>IF(B72&gt;64, Summary!$J$8, 0)*'TV 7'!G72*'TV 7'!F72</f>
        <v>301.09058747237833</v>
      </c>
      <c r="I72" s="1"/>
    </row>
    <row r="73" spans="1:9">
      <c r="A73" s="1">
        <f t="shared" si="5"/>
        <v>2090</v>
      </c>
      <c r="B73" s="1">
        <f t="shared" si="6"/>
        <v>110</v>
      </c>
      <c r="C73" s="1">
        <v>71</v>
      </c>
      <c r="D73" s="1">
        <f>IF(Summary!$G$8="M",VLOOKUP(B:B,'male g'!A:V,IF(A73&gt;2033,22,MATCH(A73,'male g'!$A$1:$V$1,0)),FALSE),VLOOKUP(B:B,'female g'!A:V,IF(A73&gt;2033,22,MATCH(A73,'female g'!$A$1:$V$1,0)),FALSE))</f>
        <v>0.47644967979565578</v>
      </c>
      <c r="E73" s="1">
        <f t="shared" si="7"/>
        <v>0.52355032020434422</v>
      </c>
      <c r="F73" s="1">
        <f t="shared" si="8"/>
        <v>0.54092700833851404</v>
      </c>
      <c r="G73" s="1">
        <f>1/(1+Summary!$O$2)^$C73</f>
        <v>3.1301111964970339E-2</v>
      </c>
      <c r="H73" s="1">
        <f>IF(B73&gt;64, Summary!$J$8, 0)*'TV 7'!G73*'TV 7'!F73</f>
        <v>277.58001836614079</v>
      </c>
      <c r="I73" s="1"/>
    </row>
    <row r="74" spans="1:9">
      <c r="A74" s="1">
        <f>$A$2+C74</f>
        <v>2091</v>
      </c>
      <c r="B74" s="1">
        <f>$B$2+C74</f>
        <v>111</v>
      </c>
      <c r="C74" s="1">
        <v>72</v>
      </c>
      <c r="D74" s="1">
        <f>IF(Summary!$G$8="M",VLOOKUP(B:B,'male g'!A:V,IF(A74&gt;2033,22,MATCH(A74,'male g'!$A$1:$V$1,0)),FALSE),VLOOKUP(B:B,'female g'!A:V,IF(A74&gt;2033,22,MATCH(A74,'female g'!$A$1:$V$1,0)),FALSE))</f>
        <v>0.48540620500607778</v>
      </c>
      <c r="E74" s="1">
        <f t="shared" si="7"/>
        <v>0.51459379499392222</v>
      </c>
      <c r="F74" s="1">
        <f t="shared" si="8"/>
        <v>0.52355032020434422</v>
      </c>
      <c r="G74" s="1">
        <f>1/(1+Summary!$O$2)^$C74</f>
        <v>2.9810582823781274E-2</v>
      </c>
      <c r="H74" s="1">
        <f>IF(B74&gt;64, Summary!$J$8, 0)*'TV 7'!G74*'TV 7'!F74</f>
        <v>255.86958482765084</v>
      </c>
      <c r="I74" s="1"/>
    </row>
    <row r="75" spans="1:9">
      <c r="A75" s="1">
        <f t="shared" ref="A75:A83" si="9">$A$2+C75</f>
        <v>2092</v>
      </c>
      <c r="B75" s="1">
        <f t="shared" ref="B75:B83" si="10">$B$2+C75</f>
        <v>112</v>
      </c>
      <c r="C75" s="1">
        <v>73</v>
      </c>
      <c r="D75" s="1">
        <f>IF(Summary!$G$8="M",VLOOKUP(B:B,'male g'!A:V,IF(A75&gt;2033,22,MATCH(A75,'male g'!$A$1:$V$1,0)),FALSE),VLOOKUP(B:B,'female g'!A:V,IF(A75&gt;2033,22,MATCH(A75,'female g'!$A$1:$V$1,0)),FALSE))</f>
        <v>0.48906519527204906</v>
      </c>
      <c r="E75" s="1">
        <f t="shared" si="7"/>
        <v>0.51093480472795094</v>
      </c>
      <c r="F75" s="1">
        <f t="shared" si="8"/>
        <v>0.51459379499392222</v>
      </c>
      <c r="G75" s="1">
        <f>1/(1+Summary!$O$2)^$C75</f>
        <v>2.8391031260744073E-2</v>
      </c>
      <c r="H75" s="1">
        <f>IF(B75&gt;64, Summary!$J$8, 0)*'TV 7'!G75*'TV 7'!F75</f>
        <v>239.51652437077817</v>
      </c>
      <c r="I75" s="1"/>
    </row>
    <row r="76" spans="1:9">
      <c r="A76" s="1">
        <f t="shared" si="9"/>
        <v>2093</v>
      </c>
      <c r="B76" s="1">
        <f t="shared" si="10"/>
        <v>113</v>
      </c>
      <c r="C76" s="1">
        <v>74</v>
      </c>
      <c r="D76" s="1">
        <f>IF(Summary!$G$8="M",VLOOKUP(B:B,'male g'!A:V,IF(A76&gt;2033,22,MATCH(A76,'male g'!$A$1:$V$1,0)),FALSE),VLOOKUP(B:B,'female g'!A:V,IF(A76&gt;2033,22,MATCH(A76,'female g'!$A$1:$V$1,0)),FALSE))</f>
        <v>0.49265177497129853</v>
      </c>
      <c r="E76" s="1">
        <f t="shared" si="7"/>
        <v>0.50734822502870147</v>
      </c>
      <c r="F76" s="1">
        <f t="shared" si="8"/>
        <v>0.51093480472795094</v>
      </c>
      <c r="G76" s="1">
        <f>1/(1+Summary!$O$2)^$C76</f>
        <v>2.7039077391184833E-2</v>
      </c>
      <c r="H76" s="1">
        <f>IF(B76&gt;64, Summary!$J$8, 0)*'TV 7'!G76*'TV 7'!F76</f>
        <v>226.48900531608152</v>
      </c>
      <c r="I76" s="1"/>
    </row>
    <row r="77" spans="1:9">
      <c r="A77" s="1">
        <f t="shared" si="9"/>
        <v>2094</v>
      </c>
      <c r="B77" s="1">
        <f t="shared" si="10"/>
        <v>114</v>
      </c>
      <c r="C77" s="1">
        <v>75</v>
      </c>
      <c r="D77" s="1">
        <f>IF(Summary!$G$8="M",VLOOKUP(B:B,'male g'!A:V,IF(A77&gt;2033,22,MATCH(A77,'male g'!$A$1:$V$1,0)),FALSE),VLOOKUP(B:B,'female g'!A:V,IF(A77&gt;2033,22,MATCH(A77,'female g'!$A$1:$V$1,0)),FALSE))</f>
        <v>0.49631296624312721</v>
      </c>
      <c r="E77" s="1">
        <f t="shared" si="7"/>
        <v>0.50368703375687285</v>
      </c>
      <c r="F77" s="1">
        <f t="shared" si="8"/>
        <v>0.50734822502870147</v>
      </c>
      <c r="G77" s="1">
        <f>1/(1+Summary!$O$2)^$C77</f>
        <v>2.5751502277318886E-2</v>
      </c>
      <c r="H77" s="1">
        <f>IF(B77&gt;64, Summary!$J$8, 0)*'TV 7'!G77*'TV 7'!F77</f>
        <v>214.18965091010961</v>
      </c>
      <c r="I77" s="1"/>
    </row>
    <row r="78" spans="1:9">
      <c r="A78" s="1">
        <f t="shared" si="9"/>
        <v>2095</v>
      </c>
      <c r="B78" s="1">
        <f t="shared" si="10"/>
        <v>115</v>
      </c>
      <c r="C78" s="1">
        <v>76</v>
      </c>
      <c r="D78" s="1">
        <f>IF(Summary!$G$8="M",VLOOKUP(B:B,'male g'!A:V,IF(A78&gt;2033,22,MATCH(A78,'male g'!$A$1:$V$1,0)),FALSE),VLOOKUP(B:B,'female g'!A:V,IF(A78&gt;2033,22,MATCH(A78,'female g'!$A$1:$V$1,0)),FALSE))</f>
        <v>0.5</v>
      </c>
      <c r="E78" s="1">
        <f t="shared" si="7"/>
        <v>0.5</v>
      </c>
      <c r="F78" s="1">
        <f t="shared" si="8"/>
        <v>0.50368703375687285</v>
      </c>
      <c r="G78" s="1">
        <f>1/(1+Summary!$O$2)^$C78</f>
        <v>2.4525240264113228E-2</v>
      </c>
      <c r="H78" s="1">
        <f>IF(B78&gt;64, Summary!$J$8, 0)*'TV 7'!G78*'TV 7'!F78</f>
        <v>202.51808390996896</v>
      </c>
      <c r="I78" s="1"/>
    </row>
    <row r="79" spans="1:9">
      <c r="A79" s="1">
        <f t="shared" si="9"/>
        <v>2096</v>
      </c>
      <c r="B79" s="1">
        <f t="shared" si="10"/>
        <v>116</v>
      </c>
      <c r="C79" s="1">
        <v>77</v>
      </c>
      <c r="D79" s="1">
        <f>IF(Summary!$G$8="M",VLOOKUP(B:B,'male g'!A:V,IF(A79&gt;2033,22,MATCH(A79,'male g'!$A$1:$V$1,0)),FALSE),VLOOKUP(B:B,'female g'!A:V,IF(A79&gt;2033,22,MATCH(A79,'female g'!$A$1:$V$1,0)),FALSE))</f>
        <v>0.5</v>
      </c>
      <c r="E79" s="1">
        <f t="shared" si="7"/>
        <v>0.5</v>
      </c>
      <c r="F79" s="1">
        <f t="shared" si="8"/>
        <v>0.5</v>
      </c>
      <c r="G79" s="1">
        <f>1/(1+Summary!$O$2)^$C79</f>
        <v>2.3357371680107829E-2</v>
      </c>
      <c r="H79" s="1">
        <f>IF(B79&gt;64, Summary!$J$8, 0)*'TV 7'!G79*'TV 7'!F79</f>
        <v>191.46250816696752</v>
      </c>
      <c r="I79" s="1"/>
    </row>
    <row r="80" spans="1:9">
      <c r="A80" s="1">
        <f t="shared" si="9"/>
        <v>2097</v>
      </c>
      <c r="B80" s="1">
        <f t="shared" si="10"/>
        <v>117</v>
      </c>
      <c r="C80" s="1">
        <v>78</v>
      </c>
      <c r="D80" s="1">
        <f>IF(Summary!$G$8="M",VLOOKUP(B:B,'male g'!A:V,IF(A80&gt;2033,22,MATCH(A80,'male g'!$A$1:$V$1,0)),FALSE),VLOOKUP(B:B,'female g'!A:V,IF(A80&gt;2033,22,MATCH(A80,'female g'!$A$1:$V$1,0)),FALSE))</f>
        <v>0.5</v>
      </c>
      <c r="E80" s="1">
        <f t="shared" si="7"/>
        <v>0.5</v>
      </c>
      <c r="F80" s="1">
        <f t="shared" si="8"/>
        <v>0.5</v>
      </c>
      <c r="G80" s="1">
        <f>1/(1+Summary!$O$2)^$C80</f>
        <v>2.2245115885816989E-2</v>
      </c>
      <c r="H80" s="1">
        <f>IF(B80&gt;64, Summary!$J$8, 0)*'TV 7'!G80*'TV 7'!F80</f>
        <v>182.34524587330247</v>
      </c>
      <c r="I80" s="1"/>
    </row>
    <row r="81" spans="1:9">
      <c r="A81" s="1">
        <f t="shared" si="9"/>
        <v>2098</v>
      </c>
      <c r="B81" s="1">
        <f t="shared" si="10"/>
        <v>118</v>
      </c>
      <c r="C81" s="1">
        <v>79</v>
      </c>
      <c r="D81" s="1">
        <f>IF(Summary!$G$8="M",VLOOKUP(B:B,'male g'!A:V,IF(A81&gt;2033,22,MATCH(A81,'male g'!$A$1:$V$1,0)),FALSE),VLOOKUP(B:B,'female g'!A:V,IF(A81&gt;2033,22,MATCH(A81,'female g'!$A$1:$V$1,0)),FALSE))</f>
        <v>0.5</v>
      </c>
      <c r="E81" s="1">
        <f t="shared" si="7"/>
        <v>0.5</v>
      </c>
      <c r="F81" s="1">
        <f t="shared" si="8"/>
        <v>0.5</v>
      </c>
      <c r="G81" s="1">
        <f>1/(1+Summary!$O$2)^$C81</f>
        <v>2.1185824653159029E-2</v>
      </c>
      <c r="H81" s="1">
        <f>IF(B81&gt;64, Summary!$J$8, 0)*'TV 7'!G81*'TV 7'!F81</f>
        <v>173.66213892695467</v>
      </c>
      <c r="I81" s="1"/>
    </row>
    <row r="82" spans="1:9">
      <c r="A82" s="1">
        <f t="shared" si="9"/>
        <v>2099</v>
      </c>
      <c r="B82" s="1">
        <f t="shared" si="10"/>
        <v>119</v>
      </c>
      <c r="C82" s="1">
        <v>80</v>
      </c>
      <c r="D82" s="1">
        <f>IF(Summary!$G$8="M",VLOOKUP(B:B,'male g'!A:V,IF(A82&gt;2033,22,MATCH(A82,'male g'!$A$1:$V$1,0)),FALSE),VLOOKUP(B:B,'female g'!A:V,IF(A82&gt;2033,22,MATCH(A82,'female g'!$A$1:$V$1,0)),FALSE))</f>
        <v>0.5</v>
      </c>
      <c r="E82" s="1">
        <f t="shared" si="7"/>
        <v>0.5</v>
      </c>
      <c r="F82" s="1">
        <f t="shared" si="8"/>
        <v>0.5</v>
      </c>
      <c r="G82" s="1">
        <f>1/(1+Summary!$O$2)^$C82</f>
        <v>2.0176975860151457E-2</v>
      </c>
      <c r="H82" s="1">
        <f>IF(B82&gt;64, Summary!$J$8, 0)*'TV 7'!G82*'TV 7'!F82</f>
        <v>165.39251326376635</v>
      </c>
      <c r="I82" s="1"/>
    </row>
    <row r="83" spans="1:9">
      <c r="A83" s="1">
        <f t="shared" si="9"/>
        <v>2100</v>
      </c>
      <c r="B83" s="1">
        <f t="shared" si="10"/>
        <v>120</v>
      </c>
      <c r="C83" s="1">
        <v>81</v>
      </c>
      <c r="D83" s="1">
        <f>IF(Summary!$G$8="M",VLOOKUP(B:B,'male g'!A:V,IF(A83&gt;2033,22,MATCH(A83,'male g'!$A$1:$V$1,0)),FALSE),VLOOKUP(B:B,'female g'!A:V,IF(A83&gt;2033,22,MATCH(A83,'female g'!$A$1:$V$1,0)),FALSE))</f>
        <v>1</v>
      </c>
      <c r="E83" s="1">
        <f t="shared" si="7"/>
        <v>0</v>
      </c>
      <c r="F83" s="1">
        <f t="shared" si="8"/>
        <v>0.5</v>
      </c>
      <c r="G83" s="1">
        <f>1/(1+Summary!$O$2)^$C83</f>
        <v>1.9216167485858526E-2</v>
      </c>
      <c r="H83" s="1">
        <f>IF(B83&gt;64, Summary!$J$8, 0)*'TV 7'!G83*'TV 7'!F83</f>
        <v>157.51667929882507</v>
      </c>
      <c r="I83" s="1"/>
    </row>
    <row r="84" spans="1:9">
      <c r="A84" s="1"/>
    </row>
    <row r="85" spans="1:9">
      <c r="A85" s="1"/>
    </row>
    <row r="86" spans="1:9">
      <c r="A86" s="1"/>
    </row>
    <row r="87" spans="1:9">
      <c r="A87" s="1"/>
    </row>
    <row r="88" spans="1:9">
      <c r="A88" s="1"/>
    </row>
    <row r="89" spans="1:9">
      <c r="A89" s="1"/>
    </row>
    <row r="90" spans="1:9">
      <c r="A90" s="1"/>
    </row>
    <row r="91" spans="1:9">
      <c r="A91" s="1"/>
    </row>
    <row r="92" spans="1:9">
      <c r="A92" s="1"/>
    </row>
    <row r="93" spans="1:9">
      <c r="A93" s="1"/>
    </row>
    <row r="94" spans="1:9">
      <c r="A94" s="1"/>
    </row>
    <row r="95" spans="1:9">
      <c r="A95" s="1"/>
    </row>
    <row r="96" spans="1:9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98"/>
  <sheetViews>
    <sheetView workbookViewId="0">
      <selection activeCell="B2" sqref="B2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Summary!H9</f>
        <v>39</v>
      </c>
      <c r="C2" s="1">
        <v>0</v>
      </c>
      <c r="D2" s="1">
        <f>IF(Summary!$G$9="M",VLOOKUP(B:B,'male g'!A:V,IF(A2&gt;2033,22,MATCH(A2,'male g'!$A$1:$V$1,0)),FALSE),VLOOKUP(B:B,'female g'!A:V,IF(A2&gt;2033,22,MATCH(A2,'female g'!$A$1:$V$1,0)),FALSE))</f>
        <v>6.8016351052409838E-4</v>
      </c>
      <c r="E2" s="1">
        <f>1-D2</f>
        <v>0.99931983648947587</v>
      </c>
      <c r="F2" s="1">
        <v>1</v>
      </c>
      <c r="G2" s="1">
        <f>1/(1+Summary!$O$2)^$C2</f>
        <v>1</v>
      </c>
      <c r="H2" s="1">
        <f>IF(B2&gt;64, Summary!$J$9, 0)*'TV 8'!G2*'TV 8'!F2</f>
        <v>0</v>
      </c>
      <c r="I2" s="1">
        <f>SUM(H2:H83)</f>
        <v>13988.078475217244</v>
      </c>
    </row>
    <row r="3" spans="1:9">
      <c r="A3" s="1">
        <f>$A$2+C3</f>
        <v>2020</v>
      </c>
      <c r="B3" s="1">
        <f>$B$2+C3</f>
        <v>40</v>
      </c>
      <c r="C3" s="1">
        <v>1</v>
      </c>
      <c r="D3" s="1">
        <f>IF(Summary!$G$9="M",VLOOKUP(B:B,'male g'!A:V,IF(A3&gt;2033,22,MATCH(A3,'male g'!$A$1:$V$1,0)),FALSE),VLOOKUP(B:B,'female g'!A:V,IF(A3&gt;2033,22,MATCH(A3,'female g'!$A$1:$V$1,0)),FALSE))</f>
        <v>7.1795332729538634E-4</v>
      </c>
      <c r="E3" s="1">
        <f>1-D3</f>
        <v>0.99928204667270459</v>
      </c>
      <c r="F3" s="1">
        <f>E2</f>
        <v>0.99931983648947587</v>
      </c>
      <c r="G3" s="1">
        <f>1/(1+Summary!$O$2)^$C3</f>
        <v>0.95238095238095233</v>
      </c>
      <c r="H3" s="1">
        <f>IF(B3&gt;64, Summary!$J$9, 0)*'TV 8'!G3*'TV 8'!F3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41</v>
      </c>
      <c r="C4" s="1">
        <v>2</v>
      </c>
      <c r="D4" s="1">
        <f>IF(Summary!$G$9="M",VLOOKUP(B:B,'male g'!A:V,IF(A4&gt;2033,22,MATCH(A4,'male g'!$A$1:$V$1,0)),FALSE),VLOOKUP(B:B,'female g'!A:V,IF(A4&gt;2033,22,MATCH(A4,'female g'!$A$1:$V$1,0)),FALSE))</f>
        <v>7.6089796722975881E-4</v>
      </c>
      <c r="E4" s="1">
        <f t="shared" ref="E4:E67" si="2">1-D4</f>
        <v>0.99923910203277022</v>
      </c>
      <c r="F4" s="1">
        <f t="shared" ref="F4:F67" si="3">E3</f>
        <v>0.99928204667270459</v>
      </c>
      <c r="G4" s="1">
        <f>1/(1+Summary!$O$2)^$C4</f>
        <v>0.90702947845804982</v>
      </c>
      <c r="H4" s="1">
        <f>IF(B4&gt;64, Summary!$J$9, 0)*'TV 8'!G4*'TV 8'!F4</f>
        <v>0</v>
      </c>
      <c r="I4" s="1"/>
    </row>
    <row r="5" spans="1:9">
      <c r="A5" s="1">
        <f t="shared" si="0"/>
        <v>2022</v>
      </c>
      <c r="B5" s="1">
        <f t="shared" si="1"/>
        <v>42</v>
      </c>
      <c r="C5" s="1">
        <v>3</v>
      </c>
      <c r="D5" s="1">
        <f>IF(Summary!$G$9="M",VLOOKUP(B:B,'male g'!A:V,IF(A5&gt;2033,22,MATCH(A5,'male g'!$A$1:$V$1,0)),FALSE),VLOOKUP(B:B,'female g'!A:V,IF(A5&gt;2033,22,MATCH(A5,'female g'!$A$1:$V$1,0)),FALSE))</f>
        <v>8.1010815635574912E-4</v>
      </c>
      <c r="E5" s="1">
        <f t="shared" si="2"/>
        <v>0.99918989184364426</v>
      </c>
      <c r="F5" s="1">
        <f t="shared" si="3"/>
        <v>0.99923910203277022</v>
      </c>
      <c r="G5" s="1">
        <f>1/(1+Summary!$O$2)^$C5</f>
        <v>0.86383759853147601</v>
      </c>
      <c r="H5" s="1">
        <f>IF(B5&gt;64, Summary!$J$9, 0)*'TV 8'!G5*'TV 8'!F5</f>
        <v>0</v>
      </c>
      <c r="I5" s="1"/>
    </row>
    <row r="6" spans="1:9">
      <c r="A6" s="1">
        <f t="shared" si="0"/>
        <v>2023</v>
      </c>
      <c r="B6" s="1">
        <f t="shared" si="1"/>
        <v>43</v>
      </c>
      <c r="C6" s="1">
        <v>4</v>
      </c>
      <c r="D6" s="1">
        <f>IF(Summary!$G$9="M",VLOOKUP(B:B,'male g'!A:V,IF(A6&gt;2033,22,MATCH(A6,'male g'!$A$1:$V$1,0)),FALSE),VLOOKUP(B:B,'female g'!A:V,IF(A6&gt;2033,22,MATCH(A6,'female g'!$A$1:$V$1,0)),FALSE))</f>
        <v>8.6873326929139247E-4</v>
      </c>
      <c r="E6" s="1">
        <f t="shared" si="2"/>
        <v>0.99913126673070862</v>
      </c>
      <c r="F6" s="1">
        <f t="shared" si="3"/>
        <v>0.99918989184364426</v>
      </c>
      <c r="G6" s="1">
        <f>1/(1+Summary!$O$2)^$C6</f>
        <v>0.82270247479188197</v>
      </c>
      <c r="H6" s="1">
        <f>IF(B6&gt;64, Summary!$J$9, 0)*'TV 8'!G6*'TV 8'!F6</f>
        <v>0</v>
      </c>
      <c r="I6" s="1"/>
    </row>
    <row r="7" spans="1:9">
      <c r="A7" s="1">
        <f t="shared" si="0"/>
        <v>2024</v>
      </c>
      <c r="B7" s="1">
        <f t="shared" si="1"/>
        <v>44</v>
      </c>
      <c r="C7" s="1">
        <v>5</v>
      </c>
      <c r="D7" s="1">
        <f>IF(Summary!$G$9="M",VLOOKUP(B:B,'male g'!A:V,IF(A7&gt;2033,22,MATCH(A7,'male g'!$A$1:$V$1,0)),FALSE),VLOOKUP(B:B,'female g'!A:V,IF(A7&gt;2033,22,MATCH(A7,'female g'!$A$1:$V$1,0)),FALSE))</f>
        <v>9.3787160457664619E-4</v>
      </c>
      <c r="E7" s="1">
        <f t="shared" si="2"/>
        <v>0.9990621283954233</v>
      </c>
      <c r="F7" s="1">
        <f t="shared" si="3"/>
        <v>0.99913126673070862</v>
      </c>
      <c r="G7" s="1">
        <f>1/(1+Summary!$O$2)^$C7</f>
        <v>0.78352616646845896</v>
      </c>
      <c r="H7" s="1">
        <f>IF(B7&gt;64, Summary!$J$9, 0)*'TV 8'!G7*'TV 8'!F7</f>
        <v>0</v>
      </c>
      <c r="I7" s="1"/>
    </row>
    <row r="8" spans="1:9">
      <c r="A8" s="1">
        <f t="shared" si="0"/>
        <v>2025</v>
      </c>
      <c r="B8" s="1">
        <f t="shared" si="1"/>
        <v>45</v>
      </c>
      <c r="C8" s="1">
        <v>6</v>
      </c>
      <c r="D8" s="1">
        <f>IF(Summary!$G$9="M",VLOOKUP(B:B,'male g'!A:V,IF(A8&gt;2033,22,MATCH(A8,'male g'!$A$1:$V$1,0)),FALSE),VLOOKUP(B:B,'female g'!A:V,IF(A8&gt;2033,22,MATCH(A8,'female g'!$A$1:$V$1,0)),FALSE))</f>
        <v>1.0165530040503626E-3</v>
      </c>
      <c r="E8" s="1">
        <f t="shared" si="2"/>
        <v>0.99898344699594965</v>
      </c>
      <c r="F8" s="1">
        <f t="shared" si="3"/>
        <v>0.9990621283954233</v>
      </c>
      <c r="G8" s="1">
        <f>1/(1+Summary!$O$2)^$C8</f>
        <v>0.74621539663662761</v>
      </c>
      <c r="H8" s="1">
        <f>IF(B8&gt;64, Summary!$J$9, 0)*'TV 8'!G8*'TV 8'!F8</f>
        <v>0</v>
      </c>
      <c r="I8" s="1"/>
    </row>
    <row r="9" spans="1:9">
      <c r="A9" s="1">
        <f t="shared" si="0"/>
        <v>2026</v>
      </c>
      <c r="B9" s="1">
        <f t="shared" si="1"/>
        <v>46</v>
      </c>
      <c r="C9" s="1">
        <v>7</v>
      </c>
      <c r="D9" s="1">
        <f>IF(Summary!$G$9="M",VLOOKUP(B:B,'male g'!A:V,IF(A9&gt;2033,22,MATCH(A9,'male g'!$A$1:$V$1,0)),FALSE),VLOOKUP(B:B,'female g'!A:V,IF(A9&gt;2033,22,MATCH(A9,'female g'!$A$1:$V$1,0)),FALSE))</f>
        <v>1.1068003315984135E-3</v>
      </c>
      <c r="E9" s="1">
        <f t="shared" si="2"/>
        <v>0.99889319966840162</v>
      </c>
      <c r="F9" s="1">
        <f t="shared" si="3"/>
        <v>0.99898344699594965</v>
      </c>
      <c r="G9" s="1">
        <f>1/(1+Summary!$O$2)^$C9</f>
        <v>0.71068133013012147</v>
      </c>
      <c r="H9" s="1">
        <f>IF(B9&gt;64, Summary!$J$9, 0)*'TV 8'!G9*'TV 8'!F9</f>
        <v>0</v>
      </c>
      <c r="I9" s="1"/>
    </row>
    <row r="10" spans="1:9">
      <c r="A10" s="1">
        <f t="shared" si="0"/>
        <v>2027</v>
      </c>
      <c r="B10" s="1">
        <f t="shared" si="1"/>
        <v>47</v>
      </c>
      <c r="C10" s="1">
        <v>8</v>
      </c>
      <c r="D10" s="1">
        <f>IF(Summary!$G$9="M",VLOOKUP(B:B,'male g'!A:V,IF(A10&gt;2033,22,MATCH(A10,'male g'!$A$1:$V$1,0)),FALSE),VLOOKUP(B:B,'female g'!A:V,IF(A10&gt;2033,22,MATCH(A10,'female g'!$A$1:$V$1,0)),FALSE))</f>
        <v>1.205862148675571E-3</v>
      </c>
      <c r="E10" s="1">
        <f t="shared" si="2"/>
        <v>0.99879413785132443</v>
      </c>
      <c r="F10" s="1">
        <f t="shared" si="3"/>
        <v>0.99889319966840162</v>
      </c>
      <c r="G10" s="1">
        <f>1/(1+Summary!$O$2)^$C10</f>
        <v>0.67683936202868722</v>
      </c>
      <c r="H10" s="1">
        <f>IF(B10&gt;64, Summary!$J$9, 0)*'TV 8'!G10*'TV 8'!F10</f>
        <v>0</v>
      </c>
      <c r="I10" s="1"/>
    </row>
    <row r="11" spans="1:9">
      <c r="A11" s="1">
        <f t="shared" si="0"/>
        <v>2028</v>
      </c>
      <c r="B11" s="1">
        <f t="shared" si="1"/>
        <v>48</v>
      </c>
      <c r="C11" s="1">
        <v>9</v>
      </c>
      <c r="D11" s="1">
        <f>IF(Summary!$G$9="M",VLOOKUP(B:B,'male g'!A:V,IF(A11&gt;2033,22,MATCH(A11,'male g'!$A$1:$V$1,0)),FALSE),VLOOKUP(B:B,'female g'!A:V,IF(A11&gt;2033,22,MATCH(A11,'female g'!$A$1:$V$1,0)),FALSE))</f>
        <v>1.314190590324809E-3</v>
      </c>
      <c r="E11" s="1">
        <f t="shared" si="2"/>
        <v>0.99868580940967522</v>
      </c>
      <c r="F11" s="1">
        <f t="shared" si="3"/>
        <v>0.99879413785132443</v>
      </c>
      <c r="G11" s="1">
        <f>1/(1+Summary!$O$2)^$C11</f>
        <v>0.64460891621779726</v>
      </c>
      <c r="H11" s="1">
        <f>IF(B11&gt;64, Summary!$J$9, 0)*'TV 8'!G11*'TV 8'!F11</f>
        <v>0</v>
      </c>
      <c r="I11" s="1"/>
    </row>
    <row r="12" spans="1:9">
      <c r="A12" s="1">
        <f t="shared" si="0"/>
        <v>2029</v>
      </c>
      <c r="B12" s="1">
        <f t="shared" si="1"/>
        <v>49</v>
      </c>
      <c r="C12" s="1">
        <v>10</v>
      </c>
      <c r="D12" s="1">
        <f>IF(Summary!$G$9="M",VLOOKUP(B:B,'male g'!A:V,IF(A12&gt;2033,22,MATCH(A12,'male g'!$A$1:$V$1,0)),FALSE),VLOOKUP(B:B,'female g'!A:V,IF(A12&gt;2033,22,MATCH(A12,'female g'!$A$1:$V$1,0)),FALSE))</f>
        <v>1.4324099330379335E-3</v>
      </c>
      <c r="E12" s="1">
        <f t="shared" si="2"/>
        <v>0.99856759006696205</v>
      </c>
      <c r="F12" s="1">
        <f t="shared" si="3"/>
        <v>0.99868580940967522</v>
      </c>
      <c r="G12" s="1">
        <f>1/(1+Summary!$O$2)^$C12</f>
        <v>0.61391325354075932</v>
      </c>
      <c r="H12" s="1">
        <f>IF(B12&gt;64, Summary!$J$9, 0)*'TV 8'!G12*'TV 8'!F12</f>
        <v>0</v>
      </c>
      <c r="I12" s="1"/>
    </row>
    <row r="13" spans="1:9">
      <c r="A13" s="1">
        <f t="shared" si="0"/>
        <v>2030</v>
      </c>
      <c r="B13" s="1">
        <f t="shared" si="1"/>
        <v>50</v>
      </c>
      <c r="C13" s="1">
        <v>11</v>
      </c>
      <c r="D13" s="1">
        <f>IF(Summary!$G$9="M",VLOOKUP(B:B,'male g'!A:V,IF(A13&gt;2033,22,MATCH(A13,'male g'!$A$1:$V$1,0)),FALSE),VLOOKUP(B:B,'female g'!A:V,IF(A13&gt;2033,22,MATCH(A13,'female g'!$A$1:$V$1,0)),FALSE))</f>
        <v>3.7589325535012396E-3</v>
      </c>
      <c r="E13" s="1">
        <f t="shared" si="2"/>
        <v>0.99624106744649876</v>
      </c>
      <c r="F13" s="1">
        <f t="shared" si="3"/>
        <v>0.99856759006696205</v>
      </c>
      <c r="G13" s="1">
        <f>1/(1+Summary!$O$2)^$C13</f>
        <v>0.5846792890864374</v>
      </c>
      <c r="H13" s="1">
        <f>IF(B13&gt;64, Summary!$J$9, 0)*'TV 8'!G13*'TV 8'!F13</f>
        <v>0</v>
      </c>
      <c r="I13" s="1"/>
    </row>
    <row r="14" spans="1:9">
      <c r="A14" s="1">
        <f t="shared" si="0"/>
        <v>2031</v>
      </c>
      <c r="B14" s="1">
        <f t="shared" si="1"/>
        <v>51</v>
      </c>
      <c r="C14" s="1">
        <v>12</v>
      </c>
      <c r="D14" s="1">
        <f>IF(Summary!$G$9="M",VLOOKUP(B:B,'male g'!A:V,IF(A14&gt;2033,22,MATCH(A14,'male g'!$A$1:$V$1,0)),FALSE),VLOOKUP(B:B,'female g'!A:V,IF(A14&gt;2033,22,MATCH(A14,'female g'!$A$1:$V$1,0)),FALSE))</f>
        <v>3.9751014675235442E-3</v>
      </c>
      <c r="E14" s="1">
        <f t="shared" si="2"/>
        <v>0.99602489853247644</v>
      </c>
      <c r="F14" s="1">
        <f t="shared" si="3"/>
        <v>0.99624106744649876</v>
      </c>
      <c r="G14" s="1">
        <f>1/(1+Summary!$O$2)^$C14</f>
        <v>0.5568374181775595</v>
      </c>
      <c r="H14" s="1">
        <f>IF(B14&gt;64, Summary!$J$9, 0)*'TV 8'!G14*'TV 8'!F14</f>
        <v>0</v>
      </c>
      <c r="I14" s="1"/>
    </row>
    <row r="15" spans="1:9">
      <c r="A15" s="1">
        <f t="shared" si="0"/>
        <v>2032</v>
      </c>
      <c r="B15" s="1">
        <f t="shared" si="1"/>
        <v>52</v>
      </c>
      <c r="C15" s="1">
        <v>13</v>
      </c>
      <c r="D15" s="1">
        <f>IF(Summary!$G$9="M",VLOOKUP(B:B,'male g'!A:V,IF(A15&gt;2033,22,MATCH(A15,'male g'!$A$1:$V$1,0)),FALSE),VLOOKUP(B:B,'female g'!A:V,IF(A15&gt;2033,22,MATCH(A15,'female g'!$A$1:$V$1,0)),FALSE))</f>
        <v>4.1962332739995155E-3</v>
      </c>
      <c r="E15" s="1">
        <f t="shared" si="2"/>
        <v>0.99580376672600046</v>
      </c>
      <c r="F15" s="1">
        <f t="shared" si="3"/>
        <v>0.99602489853247644</v>
      </c>
      <c r="G15" s="1">
        <f>1/(1+Summary!$O$2)^$C15</f>
        <v>0.53032135064529462</v>
      </c>
      <c r="H15" s="1">
        <f>IF(B15&gt;64, Summary!$J$9, 0)*'TV 8'!G15*'TV 8'!F15</f>
        <v>0</v>
      </c>
      <c r="I15" s="1"/>
    </row>
    <row r="16" spans="1:9">
      <c r="A16" s="1">
        <f t="shared" si="0"/>
        <v>2033</v>
      </c>
      <c r="B16" s="1">
        <f t="shared" si="1"/>
        <v>53</v>
      </c>
      <c r="C16" s="1">
        <v>14</v>
      </c>
      <c r="D16" s="1">
        <f>IF(Summary!$G$9="M",VLOOKUP(B:B,'male g'!A:V,IF(A16&gt;2033,22,MATCH(A16,'male g'!$A$1:$V$1,0)),FALSE),VLOOKUP(B:B,'female g'!A:V,IF(A16&gt;2033,22,MATCH(A16,'female g'!$A$1:$V$1,0)),FALSE))</f>
        <v>4.4252993003379001E-3</v>
      </c>
      <c r="E16" s="1">
        <f t="shared" si="2"/>
        <v>0.99557470069966214</v>
      </c>
      <c r="F16" s="1">
        <f t="shared" si="3"/>
        <v>0.99580376672600046</v>
      </c>
      <c r="G16" s="1">
        <f>1/(1+Summary!$O$2)^$C16</f>
        <v>0.50506795299551888</v>
      </c>
      <c r="H16" s="1">
        <f>IF(B16&gt;64, Summary!$J$9, 0)*'TV 8'!G16*'TV 8'!F16</f>
        <v>0</v>
      </c>
      <c r="I16" s="1"/>
    </row>
    <row r="17" spans="1:9">
      <c r="A17" s="1">
        <f t="shared" si="0"/>
        <v>2034</v>
      </c>
      <c r="B17" s="1">
        <f t="shared" si="1"/>
        <v>54</v>
      </c>
      <c r="C17" s="1">
        <v>15</v>
      </c>
      <c r="D17" s="1">
        <f>IF(Summary!$G$9="M",VLOOKUP(B:B,'male g'!A:V,IF(A17&gt;2033,22,MATCH(A17,'male g'!$A$1:$V$1,0)),FALSE),VLOOKUP(B:B,'female g'!A:V,IF(A17&gt;2033,22,MATCH(A17,'female g'!$A$1:$V$1,0)),FALSE))</f>
        <v>4.6687727319984478E-3</v>
      </c>
      <c r="E17" s="1">
        <f t="shared" si="2"/>
        <v>0.99533122726800161</v>
      </c>
      <c r="F17" s="1">
        <f t="shared" si="3"/>
        <v>0.99557470069966214</v>
      </c>
      <c r="G17" s="1">
        <f>1/(1+Summary!$O$2)^$C17</f>
        <v>0.48101709809097021</v>
      </c>
      <c r="H17" s="1">
        <f>IF(B17&gt;64, Summary!$J$9, 0)*'TV 8'!G17*'TV 8'!F17</f>
        <v>0</v>
      </c>
      <c r="I17" s="1"/>
    </row>
    <row r="18" spans="1:9">
      <c r="A18" s="1">
        <f t="shared" si="0"/>
        <v>2035</v>
      </c>
      <c r="B18" s="1">
        <f t="shared" si="1"/>
        <v>55</v>
      </c>
      <c r="C18" s="1">
        <v>16</v>
      </c>
      <c r="D18" s="1">
        <f>IF(Summary!$G$9="M",VLOOKUP(B:B,'male g'!A:V,IF(A18&gt;2033,22,MATCH(A18,'male g'!$A$1:$V$1,0)),FALSE),VLOOKUP(B:B,'female g'!A:V,IF(A18&gt;2033,22,MATCH(A18,'female g'!$A$1:$V$1,0)),FALSE))</f>
        <v>4.9760361404984493E-3</v>
      </c>
      <c r="E18" s="1">
        <f t="shared" si="2"/>
        <v>0.99502396385950154</v>
      </c>
      <c r="F18" s="1">
        <f t="shared" si="3"/>
        <v>0.99533122726800161</v>
      </c>
      <c r="G18" s="1">
        <f>1/(1+Summary!$O$2)^$C18</f>
        <v>0.45811152199140021</v>
      </c>
      <c r="H18" s="1">
        <f>IF(B18&gt;64, Summary!$J$9, 0)*'TV 8'!G18*'TV 8'!F18</f>
        <v>0</v>
      </c>
      <c r="I18" s="1"/>
    </row>
    <row r="19" spans="1:9">
      <c r="A19" s="1">
        <f t="shared" si="0"/>
        <v>2036</v>
      </c>
      <c r="B19" s="1">
        <f t="shared" si="1"/>
        <v>56</v>
      </c>
      <c r="C19" s="1">
        <v>17</v>
      </c>
      <c r="D19" s="1">
        <f>IF(Summary!$G$9="M",VLOOKUP(B:B,'male g'!A:V,IF(A19&gt;2033,22,MATCH(A19,'male g'!$A$1:$V$1,0)),FALSE),VLOOKUP(B:B,'female g'!A:V,IF(A19&gt;2033,22,MATCH(A19,'female g'!$A$1:$V$1,0)),FALSE))</f>
        <v>5.3066001918253454E-3</v>
      </c>
      <c r="E19" s="1">
        <f t="shared" si="2"/>
        <v>0.99469339980817462</v>
      </c>
      <c r="F19" s="1">
        <f t="shared" si="3"/>
        <v>0.99502396385950154</v>
      </c>
      <c r="G19" s="1">
        <f>1/(1+Summary!$O$2)^$C19</f>
        <v>0.43629668761085727</v>
      </c>
      <c r="H19" s="1">
        <f>IF(B19&gt;64, Summary!$J$9, 0)*'TV 8'!G19*'TV 8'!F19</f>
        <v>0</v>
      </c>
      <c r="I19" s="1"/>
    </row>
    <row r="20" spans="1:9">
      <c r="A20" s="1">
        <f t="shared" si="0"/>
        <v>2037</v>
      </c>
      <c r="B20" s="1">
        <f t="shared" si="1"/>
        <v>57</v>
      </c>
      <c r="C20" s="1">
        <v>18</v>
      </c>
      <c r="D20" s="1">
        <f>IF(Summary!$G$9="M",VLOOKUP(B:B,'male g'!A:V,IF(A20&gt;2033,22,MATCH(A20,'male g'!$A$1:$V$1,0)),FALSE),VLOOKUP(B:B,'female g'!A:V,IF(A20&gt;2033,22,MATCH(A20,'female g'!$A$1:$V$1,0)),FALSE))</f>
        <v>5.6627874947383543E-3</v>
      </c>
      <c r="E20" s="1">
        <f t="shared" si="2"/>
        <v>0.99433721250526164</v>
      </c>
      <c r="F20" s="1">
        <f t="shared" si="3"/>
        <v>0.99469339980817462</v>
      </c>
      <c r="G20" s="1">
        <f>1/(1+Summary!$O$2)^$C20</f>
        <v>0.41552065486748313</v>
      </c>
      <c r="H20" s="1">
        <f>IF(B20&gt;64, Summary!$J$9, 0)*'TV 8'!G20*'TV 8'!F20</f>
        <v>0</v>
      </c>
      <c r="I20" s="1"/>
    </row>
    <row r="21" spans="1:9">
      <c r="A21" s="1">
        <f t="shared" si="0"/>
        <v>2038</v>
      </c>
      <c r="B21" s="1">
        <f t="shared" si="1"/>
        <v>58</v>
      </c>
      <c r="C21" s="1">
        <v>19</v>
      </c>
      <c r="D21" s="1">
        <f>IF(Summary!$G$9="M",VLOOKUP(B:B,'male g'!A:V,IF(A21&gt;2033,22,MATCH(A21,'male g'!$A$1:$V$1,0)),FALSE),VLOOKUP(B:B,'female g'!A:V,IF(A21&gt;2033,22,MATCH(A21,'female g'!$A$1:$V$1,0)),FALSE))</f>
        <v>6.0512489492220572E-3</v>
      </c>
      <c r="E21" s="1">
        <f t="shared" si="2"/>
        <v>0.99394875105077796</v>
      </c>
      <c r="F21" s="1">
        <f t="shared" si="3"/>
        <v>0.99433721250526164</v>
      </c>
      <c r="G21" s="1">
        <f>1/(1+Summary!$O$2)^$C21</f>
        <v>0.39573395701665059</v>
      </c>
      <c r="H21" s="1">
        <f>IF(B21&gt;64, Summary!$J$9, 0)*'TV 8'!G21*'TV 8'!F21</f>
        <v>0</v>
      </c>
      <c r="I21" s="1"/>
    </row>
    <row r="22" spans="1:9">
      <c r="A22" s="1">
        <f t="shared" si="0"/>
        <v>2039</v>
      </c>
      <c r="B22" s="1">
        <f t="shared" si="1"/>
        <v>59</v>
      </c>
      <c r="C22" s="1">
        <v>20</v>
      </c>
      <c r="D22" s="1">
        <f>IF(Summary!$G$9="M",VLOOKUP(B:B,'male g'!A:V,IF(A22&gt;2033,22,MATCH(A22,'male g'!$A$1:$V$1,0)),FALSE),VLOOKUP(B:B,'female g'!A:V,IF(A22&gt;2033,22,MATCH(A22,'female g'!$A$1:$V$1,0)),FALSE))</f>
        <v>6.4741513414089766E-3</v>
      </c>
      <c r="E22" s="1">
        <f t="shared" si="2"/>
        <v>0.99352584865859106</v>
      </c>
      <c r="F22" s="1">
        <f t="shared" si="3"/>
        <v>0.99394875105077796</v>
      </c>
      <c r="G22" s="1">
        <f>1/(1+Summary!$O$2)^$C22</f>
        <v>0.37688948287300061</v>
      </c>
      <c r="H22" s="1">
        <f>IF(B22&gt;64, Summary!$J$9, 0)*'TV 8'!G22*'TV 8'!F22</f>
        <v>0</v>
      </c>
      <c r="I22" s="1"/>
    </row>
    <row r="23" spans="1:9">
      <c r="A23" s="1">
        <f t="shared" si="0"/>
        <v>2040</v>
      </c>
      <c r="B23" s="1">
        <f t="shared" si="1"/>
        <v>60</v>
      </c>
      <c r="C23" s="1">
        <v>21</v>
      </c>
      <c r="D23" s="1">
        <f>IF(Summary!$G$9="M",VLOOKUP(B:B,'male g'!A:V,IF(A23&gt;2033,22,MATCH(A23,'male g'!$A$1:$V$1,0)),FALSE),VLOOKUP(B:B,'female g'!A:V,IF(A23&gt;2033,22,MATCH(A23,'female g'!$A$1:$V$1,0)),FALSE))</f>
        <v>6.936066846596668E-3</v>
      </c>
      <c r="E23" s="1">
        <f t="shared" si="2"/>
        <v>0.99306393315340336</v>
      </c>
      <c r="F23" s="1">
        <f t="shared" si="3"/>
        <v>0.99352584865859106</v>
      </c>
      <c r="G23" s="1">
        <f>1/(1+Summary!$O$2)^$C23</f>
        <v>0.35894236464095297</v>
      </c>
      <c r="H23" s="1">
        <f>IF(B23&gt;64, Summary!$J$9, 0)*'TV 8'!G23*'TV 8'!F23</f>
        <v>0</v>
      </c>
      <c r="I23" s="1"/>
    </row>
    <row r="24" spans="1:9">
      <c r="A24" s="1">
        <f t="shared" si="0"/>
        <v>2041</v>
      </c>
      <c r="B24" s="1">
        <f t="shared" si="1"/>
        <v>61</v>
      </c>
      <c r="C24" s="1">
        <v>22</v>
      </c>
      <c r="D24" s="1">
        <f>IF(Summary!$G$9="M",VLOOKUP(B:B,'male g'!A:V,IF(A24&gt;2033,22,MATCH(A24,'male g'!$A$1:$V$1,0)),FALSE),VLOOKUP(B:B,'female g'!A:V,IF(A24&gt;2033,22,MATCH(A24,'female g'!$A$1:$V$1,0)),FALSE))</f>
        <v>7.4443231733826182E-3</v>
      </c>
      <c r="E24" s="1">
        <f t="shared" si="2"/>
        <v>0.99255567682661738</v>
      </c>
      <c r="F24" s="1">
        <f t="shared" si="3"/>
        <v>0.99306393315340336</v>
      </c>
      <c r="G24" s="1">
        <f>1/(1+Summary!$O$2)^$C24</f>
        <v>0.3418498710866219</v>
      </c>
      <c r="H24" s="1">
        <f>IF(B24&gt;64, Summary!$J$9, 0)*'TV 8'!G24*'TV 8'!F24</f>
        <v>0</v>
      </c>
      <c r="I24" s="1"/>
    </row>
    <row r="25" spans="1:9">
      <c r="A25" s="1">
        <f t="shared" si="0"/>
        <v>2042</v>
      </c>
      <c r="B25" s="1">
        <f t="shared" si="1"/>
        <v>62</v>
      </c>
      <c r="C25" s="1">
        <v>23</v>
      </c>
      <c r="D25" s="1">
        <f>IF(Summary!$G$9="M",VLOOKUP(B:B,'male g'!A:V,IF(A25&gt;2033,22,MATCH(A25,'male g'!$A$1:$V$1,0)),FALSE),VLOOKUP(B:B,'female g'!A:V,IF(A25&gt;2033,22,MATCH(A25,'female g'!$A$1:$V$1,0)),FALSE))</f>
        <v>7.9980591160673849E-3</v>
      </c>
      <c r="E25" s="1">
        <f t="shared" si="2"/>
        <v>0.99200194088393256</v>
      </c>
      <c r="F25" s="1">
        <f t="shared" si="3"/>
        <v>0.99255567682661738</v>
      </c>
      <c r="G25" s="1">
        <f>1/(1+Summary!$O$2)^$C25</f>
        <v>0.32557130579678267</v>
      </c>
      <c r="H25" s="1">
        <f>IF(B25&gt;64, Summary!$J$9, 0)*'TV 8'!G25*'TV 8'!F25</f>
        <v>0</v>
      </c>
      <c r="I25" s="1"/>
    </row>
    <row r="26" spans="1:9">
      <c r="A26" s="1">
        <f t="shared" si="0"/>
        <v>2043</v>
      </c>
      <c r="B26" s="1">
        <f t="shared" si="1"/>
        <v>63</v>
      </c>
      <c r="C26" s="1">
        <v>24</v>
      </c>
      <c r="D26" s="1">
        <f>IF(Summary!$G$9="M",VLOOKUP(B:B,'male g'!A:V,IF(A26&gt;2033,22,MATCH(A26,'male g'!$A$1:$V$1,0)),FALSE),VLOOKUP(B:B,'female g'!A:V,IF(A26&gt;2033,22,MATCH(A26,'female g'!$A$1:$V$1,0)),FALSE))</f>
        <v>8.6003126935298747E-3</v>
      </c>
      <c r="E26" s="1">
        <f t="shared" si="2"/>
        <v>0.9913996873064701</v>
      </c>
      <c r="F26" s="1">
        <f t="shared" si="3"/>
        <v>0.99200194088393256</v>
      </c>
      <c r="G26" s="1">
        <f>1/(1+Summary!$O$2)^$C26</f>
        <v>0.31006791028265024</v>
      </c>
      <c r="H26" s="1">
        <f>IF(B26&gt;64, Summary!$J$9, 0)*'TV 8'!G26*'TV 8'!F26</f>
        <v>0</v>
      </c>
      <c r="I26" s="1"/>
    </row>
    <row r="27" spans="1:9">
      <c r="A27" s="1">
        <f t="shared" si="0"/>
        <v>2044</v>
      </c>
      <c r="B27" s="1">
        <f t="shared" si="1"/>
        <v>64</v>
      </c>
      <c r="C27" s="1">
        <v>25</v>
      </c>
      <c r="D27" s="1">
        <f>IF(Summary!$G$9="M",VLOOKUP(B:B,'male g'!A:V,IF(A27&gt;2033,22,MATCH(A27,'male g'!$A$1:$V$1,0)),FALSE),VLOOKUP(B:B,'female g'!A:V,IF(A27&gt;2033,22,MATCH(A27,'female g'!$A$1:$V$1,0)),FALSE))</f>
        <v>9.2613902762817488E-3</v>
      </c>
      <c r="E27" s="1">
        <f t="shared" si="2"/>
        <v>0.9907386097237183</v>
      </c>
      <c r="F27" s="1">
        <f t="shared" si="3"/>
        <v>0.9913996873064701</v>
      </c>
      <c r="G27" s="1">
        <f>1/(1+Summary!$O$2)^$C27</f>
        <v>0.29530277169776209</v>
      </c>
      <c r="H27" s="1">
        <f>IF(B27&gt;64, Summary!$J$9, 0)*'TV 8'!G27*'TV 8'!F27</f>
        <v>0</v>
      </c>
      <c r="I27" s="1"/>
    </row>
    <row r="28" spans="1:9">
      <c r="A28" s="1">
        <f t="shared" si="0"/>
        <v>2045</v>
      </c>
      <c r="B28" s="1">
        <f t="shared" si="1"/>
        <v>65</v>
      </c>
      <c r="C28" s="1">
        <v>26</v>
      </c>
      <c r="D28" s="1">
        <f>IF(Summary!$G$9="M",VLOOKUP(B:B,'male g'!A:V,IF(A28&gt;2033,22,MATCH(A28,'male g'!$A$1:$V$1,0)),FALSE),VLOOKUP(B:B,'female g'!A:V,IF(A28&gt;2033,22,MATCH(A28,'female g'!$A$1:$V$1,0)),FALSE))</f>
        <v>9.9822267063302775E-3</v>
      </c>
      <c r="E28" s="1">
        <f t="shared" si="2"/>
        <v>0.99001777329366969</v>
      </c>
      <c r="F28" s="1">
        <f t="shared" si="3"/>
        <v>0.9907386097237183</v>
      </c>
      <c r="G28" s="1">
        <f>1/(1+Summary!$O$2)^$C28</f>
        <v>0.28124073495024959</v>
      </c>
      <c r="H28" s="1">
        <f>IF(B28&gt;64, Summary!$J$9, 0)*'TV 8'!G28*'TV 8'!F28</f>
        <v>775.44660713308826</v>
      </c>
      <c r="I28" s="1"/>
    </row>
    <row r="29" spans="1:9">
      <c r="A29" s="1">
        <f t="shared" si="0"/>
        <v>2046</v>
      </c>
      <c r="B29" s="1">
        <f t="shared" si="1"/>
        <v>66</v>
      </c>
      <c r="C29" s="1">
        <v>27</v>
      </c>
      <c r="D29" s="1">
        <f>IF(Summary!$G$9="M",VLOOKUP(B:B,'male g'!A:V,IF(A29&gt;2033,22,MATCH(A29,'male g'!$A$1:$V$1,0)),FALSE),VLOOKUP(B:B,'female g'!A:V,IF(A29&gt;2033,22,MATCH(A29,'female g'!$A$1:$V$1,0)),FALSE))</f>
        <v>1.0770988448590023E-2</v>
      </c>
      <c r="E29" s="1">
        <f t="shared" si="2"/>
        <v>0.98922901155140996</v>
      </c>
      <c r="F29" s="1">
        <f t="shared" si="3"/>
        <v>0.99001777329366969</v>
      </c>
      <c r="G29" s="1">
        <f>1/(1+Summary!$O$2)^$C29</f>
        <v>0.2678483190002377</v>
      </c>
      <c r="H29" s="1">
        <f>IF(B29&gt;64, Summary!$J$9, 0)*'TV 8'!G29*'TV 8'!F29</f>
        <v>737.98324927175088</v>
      </c>
      <c r="I29" s="1"/>
    </row>
    <row r="30" spans="1:9">
      <c r="A30" s="1">
        <f t="shared" si="0"/>
        <v>2047</v>
      </c>
      <c r="B30" s="1">
        <f t="shared" si="1"/>
        <v>67</v>
      </c>
      <c r="C30" s="1">
        <v>28</v>
      </c>
      <c r="D30" s="1">
        <f>IF(Summary!$G$9="M",VLOOKUP(B:B,'male g'!A:V,IF(A30&gt;2033,22,MATCH(A30,'male g'!$A$1:$V$1,0)),FALSE),VLOOKUP(B:B,'female g'!A:V,IF(A30&gt;2033,22,MATCH(A30,'female g'!$A$1:$V$1,0)),FALSE))</f>
        <v>1.1633181958479108E-2</v>
      </c>
      <c r="E30" s="1">
        <f t="shared" si="2"/>
        <v>0.98836681804152093</v>
      </c>
      <c r="F30" s="1">
        <f t="shared" si="3"/>
        <v>0.98922901155140996</v>
      </c>
      <c r="G30" s="1">
        <f>1/(1+Summary!$O$2)^$C30</f>
        <v>0.25509363714308358</v>
      </c>
      <c r="H30" s="1">
        <f>IF(B30&gt;64, Summary!$J$9, 0)*'TV 8'!G30*'TV 8'!F30</f>
        <v>702.28122585435585</v>
      </c>
      <c r="I30" s="1"/>
    </row>
    <row r="31" spans="1:9">
      <c r="A31" s="1">
        <f t="shared" si="0"/>
        <v>2048</v>
      </c>
      <c r="B31" s="1">
        <f t="shared" si="1"/>
        <v>68</v>
      </c>
      <c r="C31" s="1">
        <v>29</v>
      </c>
      <c r="D31" s="1">
        <f>IF(Summary!$G$9="M",VLOOKUP(B:B,'male g'!A:V,IF(A31&gt;2033,22,MATCH(A31,'male g'!$A$1:$V$1,0)),FALSE),VLOOKUP(B:B,'female g'!A:V,IF(A31&gt;2033,22,MATCH(A31,'female g'!$A$1:$V$1,0)),FALSE))</f>
        <v>1.2580700369048322E-2</v>
      </c>
      <c r="E31" s="1">
        <f t="shared" si="2"/>
        <v>0.98741929963095165</v>
      </c>
      <c r="F31" s="1">
        <f t="shared" si="3"/>
        <v>0.98836681804152093</v>
      </c>
      <c r="G31" s="1">
        <f>1/(1+Summary!$O$2)^$C31</f>
        <v>0.24294632108865097</v>
      </c>
      <c r="H31" s="1">
        <f>IF(B31&gt;64, Summary!$J$9, 0)*'TV 8'!G31*'TV 8'!F31</f>
        <v>668.25631492298839</v>
      </c>
      <c r="I31" s="1"/>
    </row>
    <row r="32" spans="1:9">
      <c r="A32" s="1">
        <f t="shared" si="0"/>
        <v>2049</v>
      </c>
      <c r="B32" s="1">
        <f t="shared" si="1"/>
        <v>69</v>
      </c>
      <c r="C32" s="1">
        <v>30</v>
      </c>
      <c r="D32" s="1">
        <f>IF(Summary!$G$9="M",VLOOKUP(B:B,'male g'!A:V,IF(A32&gt;2033,22,MATCH(A32,'male g'!$A$1:$V$1,0)),FALSE),VLOOKUP(B:B,'female g'!A:V,IF(A32&gt;2033,22,MATCH(A32,'female g'!$A$1:$V$1,0)),FALSE))</f>
        <v>1.3626686177724836E-2</v>
      </c>
      <c r="E32" s="1">
        <f t="shared" si="2"/>
        <v>0.98637331382227511</v>
      </c>
      <c r="F32" s="1">
        <f t="shared" si="3"/>
        <v>0.98741929963095165</v>
      </c>
      <c r="G32" s="1">
        <f>1/(1+Summary!$O$2)^$C32</f>
        <v>0.23137744865585813</v>
      </c>
      <c r="H32" s="1">
        <f>IF(B32&gt;64, Summary!$J$9, 0)*'TV 8'!G32*'TV 8'!F32</f>
        <v>635.82445438601655</v>
      </c>
      <c r="I32" s="1"/>
    </row>
    <row r="33" spans="1:9">
      <c r="A33" s="1">
        <f t="shared" si="0"/>
        <v>2050</v>
      </c>
      <c r="B33" s="1">
        <f t="shared" si="1"/>
        <v>70</v>
      </c>
      <c r="C33" s="1">
        <v>31</v>
      </c>
      <c r="D33" s="1">
        <f>IF(Summary!$G$9="M",VLOOKUP(B:B,'male g'!A:V,IF(A33&gt;2033,22,MATCH(A33,'male g'!$A$1:$V$1,0)),FALSE),VLOOKUP(B:B,'female g'!A:V,IF(A33&gt;2033,22,MATCH(A33,'female g'!$A$1:$V$1,0)),FALSE))</f>
        <v>1.4793079982031035E-2</v>
      </c>
      <c r="E33" s="1">
        <f t="shared" si="2"/>
        <v>0.98520692001796895</v>
      </c>
      <c r="F33" s="1">
        <f t="shared" si="3"/>
        <v>0.98637331382227511</v>
      </c>
      <c r="G33" s="1">
        <f>1/(1+Summary!$O$2)^$C33</f>
        <v>0.220359474910341</v>
      </c>
      <c r="H33" s="1">
        <f>IF(B33&gt;64, Summary!$J$9, 0)*'TV 8'!G33*'TV 8'!F33</f>
        <v>604.90563567972572</v>
      </c>
      <c r="I33" s="1"/>
    </row>
    <row r="34" spans="1:9">
      <c r="A34" s="1">
        <f t="shared" si="0"/>
        <v>2051</v>
      </c>
      <c r="B34" s="1">
        <f t="shared" si="1"/>
        <v>71</v>
      </c>
      <c r="C34" s="1">
        <v>32</v>
      </c>
      <c r="D34" s="1">
        <f>IF(Summary!$G$9="M",VLOOKUP(B:B,'male g'!A:V,IF(A34&gt;2033,22,MATCH(A34,'male g'!$A$1:$V$1,0)),FALSE),VLOOKUP(B:B,'female g'!A:V,IF(A34&gt;2033,22,MATCH(A34,'female g'!$A$1:$V$1,0)),FALSE))</f>
        <v>1.6081052063459764E-2</v>
      </c>
      <c r="E34" s="1">
        <f t="shared" si="2"/>
        <v>0.98391894793654022</v>
      </c>
      <c r="F34" s="1">
        <f t="shared" si="3"/>
        <v>0.98520692001796895</v>
      </c>
      <c r="G34" s="1">
        <f>1/(1+Summary!$O$2)^$C34</f>
        <v>0.20986616658127716</v>
      </c>
      <c r="H34" s="1">
        <f>IF(B34&gt;64, Summary!$J$9, 0)*'TV 8'!G34*'TV 8'!F34</f>
        <v>575.41936214427358</v>
      </c>
      <c r="I34" s="1"/>
    </row>
    <row r="35" spans="1:9">
      <c r="A35" s="1">
        <f>$A$2+C35</f>
        <v>2052</v>
      </c>
      <c r="B35" s="1">
        <f>$B$2+C35</f>
        <v>72</v>
      </c>
      <c r="C35" s="1">
        <v>33</v>
      </c>
      <c r="D35" s="1">
        <f>IF(Summary!$G$9="M",VLOOKUP(B:B,'male g'!A:V,IF(A35&gt;2033,22,MATCH(A35,'male g'!$A$1:$V$1,0)),FALSE),VLOOKUP(B:B,'female g'!A:V,IF(A35&gt;2033,22,MATCH(A35,'female g'!$A$1:$V$1,0)),FALSE))</f>
        <v>1.7512751333317752E-2</v>
      </c>
      <c r="E35" s="1">
        <f t="shared" si="2"/>
        <v>0.98248724866668224</v>
      </c>
      <c r="F35" s="1">
        <f t="shared" si="3"/>
        <v>0.98391894793654022</v>
      </c>
      <c r="G35" s="1">
        <f>1/(1+Summary!$O$2)^$C35</f>
        <v>0.19987253960121634</v>
      </c>
      <c r="H35" s="1">
        <f>IF(B35&gt;64, Summary!$J$9, 0)*'TV 8'!G35*'TV 8'!F35</f>
        <v>547.30200947023729</v>
      </c>
      <c r="I35" s="1"/>
    </row>
    <row r="36" spans="1:9">
      <c r="A36" s="1">
        <f t="shared" ref="A36:A47" si="4">$A$2+C36</f>
        <v>2053</v>
      </c>
      <c r="B36" s="1">
        <f t="shared" si="1"/>
        <v>73</v>
      </c>
      <c r="C36" s="1">
        <v>34</v>
      </c>
      <c r="D36" s="1">
        <f>IF(Summary!$G$9="M",VLOOKUP(B:B,'male g'!A:V,IF(A36&gt;2033,22,MATCH(A36,'male g'!$A$1:$V$1,0)),FALSE),VLOOKUP(B:B,'female g'!A:V,IF(A36&gt;2033,22,MATCH(A36,'female g'!$A$1:$V$1,0)),FALSE))</f>
        <v>1.9108502444741413E-2</v>
      </c>
      <c r="E36" s="1">
        <f t="shared" si="2"/>
        <v>0.98089149755525862</v>
      </c>
      <c r="F36" s="1">
        <f t="shared" si="3"/>
        <v>0.98248724866668224</v>
      </c>
      <c r="G36" s="1">
        <f>1/(1+Summary!$O$2)^$C36</f>
        <v>0.19035479962020604</v>
      </c>
      <c r="H36" s="1">
        <f>IF(B36&gt;64, Summary!$J$9, 0)*'TV 8'!G36*'TV 8'!F36</f>
        <v>520.48155331324358</v>
      </c>
      <c r="I36" s="1"/>
    </row>
    <row r="37" spans="1:9">
      <c r="A37" s="1">
        <f t="shared" si="4"/>
        <v>2054</v>
      </c>
      <c r="B37" s="1">
        <f t="shared" si="1"/>
        <v>74</v>
      </c>
      <c r="C37" s="1">
        <v>35</v>
      </c>
      <c r="D37" s="1">
        <f>IF(Summary!$G$9="M",VLOOKUP(B:B,'male g'!A:V,IF(A37&gt;2033,22,MATCH(A37,'male g'!$A$1:$V$1,0)),FALSE),VLOOKUP(B:B,'female g'!A:V,IF(A37&gt;2033,22,MATCH(A37,'female g'!$A$1:$V$1,0)),FALSE))</f>
        <v>2.0891078905760852E-2</v>
      </c>
      <c r="E37" s="1">
        <f t="shared" si="2"/>
        <v>0.97910892109423919</v>
      </c>
      <c r="F37" s="1">
        <f t="shared" si="3"/>
        <v>0.98089149755525862</v>
      </c>
      <c r="G37" s="1">
        <f>1/(1+Summary!$O$2)^$C37</f>
        <v>0.18129028535257716</v>
      </c>
      <c r="H37" s="1">
        <f>IF(B37&gt;64, Summary!$J$9, 0)*'TV 8'!G37*'TV 8'!F37</f>
        <v>494.89160919284888</v>
      </c>
      <c r="I37" s="1"/>
    </row>
    <row r="38" spans="1:9">
      <c r="A38" s="1">
        <f t="shared" si="4"/>
        <v>2055</v>
      </c>
      <c r="B38" s="1">
        <f t="shared" si="1"/>
        <v>75</v>
      </c>
      <c r="C38" s="1">
        <v>36</v>
      </c>
      <c r="D38" s="1">
        <f>IF(Summary!$G$9="M",VLOOKUP(B:B,'male g'!A:V,IF(A38&gt;2033,22,MATCH(A38,'male g'!$A$1:$V$1,0)),FALSE),VLOOKUP(B:B,'female g'!A:V,IF(A38&gt;2033,22,MATCH(A38,'female g'!$A$1:$V$1,0)),FALSE))</f>
        <v>2.289528896934603E-2</v>
      </c>
      <c r="E38" s="1">
        <f t="shared" si="2"/>
        <v>0.97710471103065399</v>
      </c>
      <c r="F38" s="1">
        <f t="shared" si="3"/>
        <v>0.97910892109423919</v>
      </c>
      <c r="G38" s="1">
        <f>1/(1+Summary!$O$2)^$C38</f>
        <v>0.17265741462150208</v>
      </c>
      <c r="H38" s="1">
        <f>IF(B38&gt;64, Summary!$J$9, 0)*'TV 8'!G38*'TV 8'!F38</f>
        <v>470.46880141865648</v>
      </c>
      <c r="I38" s="1"/>
    </row>
    <row r="39" spans="1:9">
      <c r="A39" s="1">
        <f t="shared" si="4"/>
        <v>2056</v>
      </c>
      <c r="B39" s="1">
        <f t="shared" si="1"/>
        <v>76</v>
      </c>
      <c r="C39" s="1">
        <v>37</v>
      </c>
      <c r="D39" s="1">
        <f>IF(Summary!$G$9="M",VLOOKUP(B:B,'male g'!A:V,IF(A39&gt;2033,22,MATCH(A39,'male g'!$A$1:$V$1,0)),FALSE),VLOOKUP(B:B,'female g'!A:V,IF(A39&gt;2033,22,MATCH(A39,'female g'!$A$1:$V$1,0)),FALSE))</f>
        <v>2.513765115831567E-2</v>
      </c>
      <c r="E39" s="1">
        <f t="shared" si="2"/>
        <v>0.97486234884168432</v>
      </c>
      <c r="F39" s="1">
        <f t="shared" si="3"/>
        <v>0.97710471103065399</v>
      </c>
      <c r="G39" s="1">
        <f>1/(1+Summary!$O$2)^$C39</f>
        <v>0.1644356329728591</v>
      </c>
      <c r="H39" s="1">
        <f>IF(B39&gt;64, Summary!$J$9, 0)*'TV 8'!G39*'TV 8'!F39</f>
        <v>447.14834688216672</v>
      </c>
      <c r="I39" s="1"/>
    </row>
    <row r="40" spans="1:9">
      <c r="A40" s="1">
        <f t="shared" si="4"/>
        <v>2057</v>
      </c>
      <c r="B40" s="1">
        <f t="shared" si="1"/>
        <v>77</v>
      </c>
      <c r="C40" s="1">
        <v>38</v>
      </c>
      <c r="D40" s="1">
        <f>IF(Summary!$G$9="M",VLOOKUP(B:B,'male g'!A:V,IF(A40&gt;2033,22,MATCH(A40,'male g'!$A$1:$V$1,0)),FALSE),VLOOKUP(B:B,'female g'!A:V,IF(A40&gt;2033,22,MATCH(A40,'female g'!$A$1:$V$1,0)),FALSE))</f>
        <v>2.7677948896305107E-2</v>
      </c>
      <c r="E40" s="1">
        <f t="shared" si="2"/>
        <v>0.97232205110369485</v>
      </c>
      <c r="F40" s="1">
        <f t="shared" si="3"/>
        <v>0.97486234884168432</v>
      </c>
      <c r="G40" s="1">
        <f>1/(1+Summary!$O$2)^$C40</f>
        <v>0.15660536473605632</v>
      </c>
      <c r="H40" s="1">
        <f>IF(B40&gt;64, Summary!$J$9, 0)*'TV 8'!G40*'TV 8'!F40</f>
        <v>424.87827051570582</v>
      </c>
      <c r="I40" s="1"/>
    </row>
    <row r="41" spans="1:9">
      <c r="A41" s="1">
        <f t="shared" si="4"/>
        <v>2058</v>
      </c>
      <c r="B41" s="1">
        <f t="shared" si="1"/>
        <v>78</v>
      </c>
      <c r="C41" s="1">
        <v>39</v>
      </c>
      <c r="D41" s="1">
        <f>IF(Summary!$G$9="M",VLOOKUP(B:B,'male g'!A:V,IF(A41&gt;2033,22,MATCH(A41,'male g'!$A$1:$V$1,0)),FALSE),VLOOKUP(B:B,'female g'!A:V,IF(A41&gt;2033,22,MATCH(A41,'female g'!$A$1:$V$1,0)),FALSE))</f>
        <v>3.0545666614171758E-2</v>
      </c>
      <c r="E41" s="1">
        <f t="shared" si="2"/>
        <v>0.9694543333858282</v>
      </c>
      <c r="F41" s="1">
        <f t="shared" si="3"/>
        <v>0.97232205110369485</v>
      </c>
      <c r="G41" s="1">
        <f>1/(1+Summary!$O$2)^$C41</f>
        <v>0.14914796641529171</v>
      </c>
      <c r="H41" s="1">
        <f>IF(B41&gt;64, Summary!$J$9, 0)*'TV 8'!G41*'TV 8'!F41</f>
        <v>403.59154485278503</v>
      </c>
      <c r="I41" s="1"/>
    </row>
    <row r="42" spans="1:9">
      <c r="A42" s="1">
        <f t="shared" si="4"/>
        <v>2059</v>
      </c>
      <c r="B42" s="1">
        <f t="shared" si="1"/>
        <v>79</v>
      </c>
      <c r="C42" s="1">
        <v>40</v>
      </c>
      <c r="D42" s="1">
        <f>IF(Summary!$G$9="M",VLOOKUP(B:B,'male g'!A:V,IF(A42&gt;2033,22,MATCH(A42,'male g'!$A$1:$V$1,0)),FALSE),VLOOKUP(B:B,'female g'!A:V,IF(A42&gt;2033,22,MATCH(A42,'female g'!$A$1:$V$1,0)),FALSE))</f>
        <v>3.3801426006075351E-2</v>
      </c>
      <c r="E42" s="1">
        <f t="shared" si="2"/>
        <v>0.96619857399392461</v>
      </c>
      <c r="F42" s="1">
        <f t="shared" si="3"/>
        <v>0.9694543333858282</v>
      </c>
      <c r="G42" s="1">
        <f>1/(1+Summary!$O$2)^$C42</f>
        <v>0.14204568230027784</v>
      </c>
      <c r="H42" s="1">
        <f>IF(B42&gt;64, Summary!$J$9, 0)*'TV 8'!G42*'TV 8'!F42</f>
        <v>383.23924977550018</v>
      </c>
      <c r="I42" s="1"/>
    </row>
    <row r="43" spans="1:9">
      <c r="A43" s="1">
        <f t="shared" si="4"/>
        <v>2060</v>
      </c>
      <c r="B43" s="1">
        <f t="shared" si="1"/>
        <v>80</v>
      </c>
      <c r="C43" s="1">
        <v>41</v>
      </c>
      <c r="D43" s="1">
        <f>IF(Summary!$G$9="M",VLOOKUP(B:B,'male g'!A:V,IF(A43&gt;2033,22,MATCH(A43,'male g'!$A$1:$V$1,0)),FALSE),VLOOKUP(B:B,'female g'!A:V,IF(A43&gt;2033,22,MATCH(A43,'female g'!$A$1:$V$1,0)),FALSE))</f>
        <v>3.7482908060753731E-2</v>
      </c>
      <c r="E43" s="1">
        <f t="shared" si="2"/>
        <v>0.96251709193924628</v>
      </c>
      <c r="F43" s="1">
        <f t="shared" si="3"/>
        <v>0.96619857399392461</v>
      </c>
      <c r="G43" s="1">
        <f>1/(1+Summary!$O$2)^$C43</f>
        <v>0.13528160219074079</v>
      </c>
      <c r="H43" s="1">
        <f>IF(B43&gt;64, Summary!$J$9, 0)*'TV 8'!G43*'TV 8'!F43</f>
        <v>363.76400117428773</v>
      </c>
      <c r="I43" s="1"/>
    </row>
    <row r="44" spans="1:9">
      <c r="A44" s="1">
        <f t="shared" si="4"/>
        <v>2061</v>
      </c>
      <c r="B44" s="1">
        <f t="shared" si="1"/>
        <v>81</v>
      </c>
      <c r="C44" s="1">
        <v>42</v>
      </c>
      <c r="D44" s="1">
        <f>IF(Summary!$G$9="M",VLOOKUP(B:B,'male g'!A:V,IF(A44&gt;2033,22,MATCH(A44,'male g'!$A$1:$V$1,0)),FALSE),VLOOKUP(B:B,'female g'!A:V,IF(A44&gt;2033,22,MATCH(A44,'female g'!$A$1:$V$1,0)),FALSE))</f>
        <v>4.1692652240478641E-2</v>
      </c>
      <c r="E44" s="1">
        <f t="shared" si="2"/>
        <v>0.95830734775952131</v>
      </c>
      <c r="F44" s="1">
        <f t="shared" si="3"/>
        <v>0.96251709193924628</v>
      </c>
      <c r="G44" s="1">
        <f>1/(1+Summary!$O$2)^$C44</f>
        <v>0.12883962113403885</v>
      </c>
      <c r="H44" s="1">
        <f>IF(B44&gt;64, Summary!$J$9, 0)*'TV 8'!G44*'TV 8'!F44</f>
        <v>345.12186702509888</v>
      </c>
      <c r="I44" s="1"/>
    </row>
    <row r="45" spans="1:9">
      <c r="A45" s="1">
        <f t="shared" si="4"/>
        <v>2062</v>
      </c>
      <c r="B45" s="1">
        <f t="shared" si="1"/>
        <v>82</v>
      </c>
      <c r="C45" s="1">
        <v>43</v>
      </c>
      <c r="D45" s="1">
        <f>IF(Summary!$G$9="M",VLOOKUP(B:B,'male g'!A:V,IF(A45&gt;2033,22,MATCH(A45,'male g'!$A$1:$V$1,0)),FALSE),VLOOKUP(B:B,'female g'!A:V,IF(A45&gt;2033,22,MATCH(A45,'female g'!$A$1:$V$1,0)),FALSE))</f>
        <v>4.6458269197024199E-2</v>
      </c>
      <c r="E45" s="1">
        <f t="shared" si="2"/>
        <v>0.95354173080297577</v>
      </c>
      <c r="F45" s="1">
        <f t="shared" si="3"/>
        <v>0.95830734775952131</v>
      </c>
      <c r="G45" s="1">
        <f>1/(1+Summary!$O$2)^$C45</f>
        <v>0.12270440108003698</v>
      </c>
      <c r="H45" s="1">
        <f>IF(B45&gt;64, Summary!$J$9, 0)*'TV 8'!G45*'TV 8'!F45</f>
        <v>327.24991766494998</v>
      </c>
      <c r="I45" s="1"/>
    </row>
    <row r="46" spans="1:9">
      <c r="A46" s="1">
        <f t="shared" si="4"/>
        <v>2063</v>
      </c>
      <c r="B46" s="1">
        <f t="shared" si="1"/>
        <v>83</v>
      </c>
      <c r="C46" s="1">
        <v>44</v>
      </c>
      <c r="D46" s="1">
        <f>IF(Summary!$G$9="M",VLOOKUP(B:B,'male g'!A:V,IF(A46&gt;2033,22,MATCH(A46,'male g'!$A$1:$V$1,0)),FALSE),VLOOKUP(B:B,'female g'!A:V,IF(A46&gt;2033,22,MATCH(A46,'female g'!$A$1:$V$1,0)),FALSE))</f>
        <v>5.1882087565112409E-2</v>
      </c>
      <c r="E46" s="1">
        <f t="shared" si="2"/>
        <v>0.94811791243488763</v>
      </c>
      <c r="F46" s="1">
        <f t="shared" si="3"/>
        <v>0.95354173080297577</v>
      </c>
      <c r="G46" s="1">
        <f>1/(1+Summary!$O$2)^$C46</f>
        <v>0.11686133436193999</v>
      </c>
      <c r="H46" s="1">
        <f>IF(B46&gt;64, Summary!$J$9, 0)*'TV 8'!G46*'TV 8'!F46</f>
        <v>310.11668510149497</v>
      </c>
      <c r="I46" s="1"/>
    </row>
    <row r="47" spans="1:9">
      <c r="A47" s="1">
        <f t="shared" si="4"/>
        <v>2064</v>
      </c>
      <c r="B47" s="1">
        <f t="shared" si="1"/>
        <v>84</v>
      </c>
      <c r="C47" s="1">
        <v>45</v>
      </c>
      <c r="D47" s="1">
        <f>IF(Summary!$G$9="M",VLOOKUP(B:B,'male g'!A:V,IF(A47&gt;2033,22,MATCH(A47,'male g'!$A$1:$V$1,0)),FALSE),VLOOKUP(B:B,'female g'!A:V,IF(A47&gt;2033,22,MATCH(A47,'female g'!$A$1:$V$1,0)),FALSE))</f>
        <v>5.8015339398571217E-2</v>
      </c>
      <c r="E47" s="1">
        <f t="shared" si="2"/>
        <v>0.94198466060142882</v>
      </c>
      <c r="F47" s="1">
        <f t="shared" si="3"/>
        <v>0.94811791243488763</v>
      </c>
      <c r="G47" s="1">
        <f>1/(1+Summary!$O$2)^$C47</f>
        <v>0.1112965089161333</v>
      </c>
      <c r="H47" s="1">
        <f>IF(B47&gt;64, Summary!$J$9, 0)*'TV 8'!G47*'TV 8'!F47</f>
        <v>293.66925490863167</v>
      </c>
      <c r="I47" s="1"/>
    </row>
    <row r="48" spans="1:9">
      <c r="A48" s="1">
        <f>$A$2+C48</f>
        <v>2065</v>
      </c>
      <c r="B48" s="1">
        <f>$B$2+C48</f>
        <v>85</v>
      </c>
      <c r="C48" s="1">
        <v>46</v>
      </c>
      <c r="D48" s="1">
        <f>IF(Summary!$G$9="M",VLOOKUP(B:B,'male g'!A:V,IF(A48&gt;2033,22,MATCH(A48,'male g'!$A$1:$V$1,0)),FALSE),VLOOKUP(B:B,'female g'!A:V,IF(A48&gt;2033,22,MATCH(A48,'female g'!$A$1:$V$1,0)),FALSE))</f>
        <v>6.4965454874702594E-2</v>
      </c>
      <c r="E48" s="1">
        <f t="shared" si="2"/>
        <v>0.93503454512529738</v>
      </c>
      <c r="F48" s="1">
        <f t="shared" si="3"/>
        <v>0.94198466060142882</v>
      </c>
      <c r="G48" s="1">
        <f>1/(1+Summary!$O$2)^$C48</f>
        <v>0.10599667515822221</v>
      </c>
      <c r="H48" s="1">
        <f>IF(B48&gt;64, Summary!$J$9, 0)*'TV 8'!G48*'TV 8'!F48</f>
        <v>277.87575864629173</v>
      </c>
      <c r="I48" s="1"/>
    </row>
    <row r="49" spans="1:9">
      <c r="A49" s="1">
        <f t="shared" ref="A49:A73" si="5">$A$2+C49</f>
        <v>2066</v>
      </c>
      <c r="B49" s="1">
        <f t="shared" si="1"/>
        <v>86</v>
      </c>
      <c r="C49" s="1">
        <v>47</v>
      </c>
      <c r="D49" s="1">
        <f>IF(Summary!$G$9="M",VLOOKUP(B:B,'male g'!A:V,IF(A49&gt;2033,22,MATCH(A49,'male g'!$A$1:$V$1,0)),FALSE),VLOOKUP(B:B,'female g'!A:V,IF(A49&gt;2033,22,MATCH(A49,'female g'!$A$1:$V$1,0)),FALSE))</f>
        <v>7.2903222964449149E-2</v>
      </c>
      <c r="E49" s="1">
        <f t="shared" si="2"/>
        <v>0.92709677703555082</v>
      </c>
      <c r="F49" s="1">
        <f t="shared" si="3"/>
        <v>0.93503454512529738</v>
      </c>
      <c r="G49" s="1">
        <f>1/(1+Summary!$O$2)^$C49</f>
        <v>0.10094921443640208</v>
      </c>
      <c r="H49" s="1">
        <f>IF(B49&gt;64, Summary!$J$9, 0)*'TV 8'!G49*'TV 8'!F49</f>
        <v>262.69099644643876</v>
      </c>
      <c r="I49" s="1"/>
    </row>
    <row r="50" spans="1:9">
      <c r="A50" s="1">
        <f t="shared" si="5"/>
        <v>2067</v>
      </c>
      <c r="B50" s="1">
        <f t="shared" si="1"/>
        <v>87</v>
      </c>
      <c r="C50" s="1">
        <v>48</v>
      </c>
      <c r="D50" s="1">
        <f>IF(Summary!$G$9="M",VLOOKUP(B:B,'male g'!A:V,IF(A50&gt;2033,22,MATCH(A50,'male g'!$A$1:$V$1,0)),FALSE),VLOOKUP(B:B,'female g'!A:V,IF(A50&gt;2033,22,MATCH(A50,'female g'!$A$1:$V$1,0)),FALSE))</f>
        <v>8.1848520672112443E-2</v>
      </c>
      <c r="E50" s="1">
        <f t="shared" si="2"/>
        <v>0.91815147932788754</v>
      </c>
      <c r="F50" s="1">
        <f t="shared" si="3"/>
        <v>0.92709677703555082</v>
      </c>
      <c r="G50" s="1">
        <f>1/(1+Summary!$O$2)^$C50</f>
        <v>9.6142108987049613E-2</v>
      </c>
      <c r="H50" s="1">
        <f>IF(B50&gt;64, Summary!$J$9, 0)*'TV 8'!G50*'TV 8'!F50</f>
        <v>248.05803769387109</v>
      </c>
      <c r="I50" s="1"/>
    </row>
    <row r="51" spans="1:9">
      <c r="A51" s="1">
        <f t="shared" si="5"/>
        <v>2068</v>
      </c>
      <c r="B51" s="1">
        <f t="shared" si="1"/>
        <v>88</v>
      </c>
      <c r="C51" s="1">
        <v>49</v>
      </c>
      <c r="D51" s="1">
        <f>IF(Summary!$G$9="M",VLOOKUP(B:B,'male g'!A:V,IF(A51&gt;2033,22,MATCH(A51,'male g'!$A$1:$V$1,0)),FALSE),VLOOKUP(B:B,'female g'!A:V,IF(A51&gt;2033,22,MATCH(A51,'female g'!$A$1:$V$1,0)),FALSE))</f>
        <v>9.1889133554378416E-2</v>
      </c>
      <c r="E51" s="1">
        <f t="shared" si="2"/>
        <v>0.90811086644562156</v>
      </c>
      <c r="F51" s="1">
        <f t="shared" si="3"/>
        <v>0.91815147932788754</v>
      </c>
      <c r="G51" s="1">
        <f>1/(1+Summary!$O$2)^$C51</f>
        <v>9.1563913320999626E-2</v>
      </c>
      <c r="H51" s="1">
        <f>IF(B51&gt;64, Summary!$J$9, 0)*'TV 8'!G51*'TV 8'!F51</f>
        <v>233.96628096425283</v>
      </c>
      <c r="I51" s="1"/>
    </row>
    <row r="52" spans="1:9">
      <c r="A52" s="1">
        <f t="shared" si="5"/>
        <v>2069</v>
      </c>
      <c r="B52" s="1">
        <f t="shared" si="1"/>
        <v>89</v>
      </c>
      <c r="C52" s="1">
        <v>50</v>
      </c>
      <c r="D52" s="1">
        <f>IF(Summary!$G$9="M",VLOOKUP(B:B,'male g'!A:V,IF(A52&gt;2033,22,MATCH(A52,'male g'!$A$1:$V$1,0)),FALSE),VLOOKUP(B:B,'female g'!A:V,IF(A52&gt;2033,22,MATCH(A52,'female g'!$A$1:$V$1,0)),FALSE))</f>
        <v>0.1031648969350115</v>
      </c>
      <c r="E52" s="1">
        <f t="shared" si="2"/>
        <v>0.89683510306498848</v>
      </c>
      <c r="F52" s="1">
        <f t="shared" si="3"/>
        <v>0.90811086644562156</v>
      </c>
      <c r="G52" s="1">
        <f>1/(1+Summary!$O$2)^$C52</f>
        <v>8.7203726972380588E-2</v>
      </c>
      <c r="H52" s="1">
        <f>IF(B52&gt;64, Summary!$J$9, 0)*'TV 8'!G52*'TV 8'!F52</f>
        <v>220.38828575851883</v>
      </c>
      <c r="I52" s="1"/>
    </row>
    <row r="53" spans="1:9">
      <c r="A53" s="1">
        <f t="shared" si="5"/>
        <v>2070</v>
      </c>
      <c r="B53" s="1">
        <f t="shared" si="1"/>
        <v>90</v>
      </c>
      <c r="C53" s="1">
        <v>51</v>
      </c>
      <c r="D53" s="1">
        <f>IF(Summary!$G$9="M",VLOOKUP(B:B,'male g'!A:V,IF(A53&gt;2033,22,MATCH(A53,'male g'!$A$1:$V$1,0)),FALSE),VLOOKUP(B:B,'female g'!A:V,IF(A53&gt;2033,22,MATCH(A53,'female g'!$A$1:$V$1,0)),FALSE))</f>
        <v>0.11576084940657383</v>
      </c>
      <c r="E53" s="1">
        <f t="shared" si="2"/>
        <v>0.88423915059342617</v>
      </c>
      <c r="F53" s="1">
        <f t="shared" si="3"/>
        <v>0.89683510306498848</v>
      </c>
      <c r="G53" s="1">
        <f>1/(1+Summary!$O$2)^$C53</f>
        <v>8.3051168545124371E-2</v>
      </c>
      <c r="H53" s="1">
        <f>IF(B53&gt;64, Summary!$J$9, 0)*'TV 8'!G53*'TV 8'!F53</f>
        <v>207.28741419423315</v>
      </c>
      <c r="I53" s="1"/>
    </row>
    <row r="54" spans="1:9">
      <c r="A54" s="1">
        <f t="shared" si="5"/>
        <v>2071</v>
      </c>
      <c r="B54" s="1">
        <f t="shared" si="1"/>
        <v>91</v>
      </c>
      <c r="C54" s="1">
        <v>52</v>
      </c>
      <c r="D54" s="1">
        <f>IF(Summary!$G$9="M",VLOOKUP(B:B,'male g'!A:V,IF(A54&gt;2033,22,MATCH(A54,'male g'!$A$1:$V$1,0)),FALSE),VLOOKUP(B:B,'female g'!A:V,IF(A54&gt;2033,22,MATCH(A54,'female g'!$A$1:$V$1,0)),FALSE))</f>
        <v>0.12933245912292859</v>
      </c>
      <c r="E54" s="1">
        <f t="shared" si="2"/>
        <v>0.87066754087707143</v>
      </c>
      <c r="F54" s="1">
        <f t="shared" si="3"/>
        <v>0.88423915059342617</v>
      </c>
      <c r="G54" s="1">
        <f>1/(1+Summary!$O$2)^$C54</f>
        <v>7.9096350995356543E-2</v>
      </c>
      <c r="H54" s="1">
        <f>IF(B54&gt;64, Summary!$J$9, 0)*'TV 8'!G54*'TV 8'!F54</f>
        <v>194.64389026467694</v>
      </c>
      <c r="I54" s="1"/>
    </row>
    <row r="55" spans="1:9">
      <c r="A55" s="1">
        <f t="shared" si="5"/>
        <v>2072</v>
      </c>
      <c r="B55" s="1">
        <f t="shared" si="1"/>
        <v>92</v>
      </c>
      <c r="C55" s="1">
        <v>53</v>
      </c>
      <c r="D55" s="1">
        <f>IF(Summary!$G$9="M",VLOOKUP(B:B,'male g'!A:V,IF(A55&gt;2033,22,MATCH(A55,'male g'!$A$1:$V$1,0)),FALSE),VLOOKUP(B:B,'female g'!A:V,IF(A55&gt;2033,22,MATCH(A55,'female g'!$A$1:$V$1,0)),FALSE))</f>
        <v>0.14348300858520585</v>
      </c>
      <c r="E55" s="1">
        <f t="shared" si="2"/>
        <v>0.85651699141479409</v>
      </c>
      <c r="F55" s="1">
        <f t="shared" si="3"/>
        <v>0.87066754087707143</v>
      </c>
      <c r="G55" s="1">
        <f>1/(1+Summary!$O$2)^$C55</f>
        <v>7.5329858090815757E-2</v>
      </c>
      <c r="H55" s="1">
        <f>IF(B55&gt;64, Summary!$J$9, 0)*'TV 8'!G55*'TV 8'!F55</f>
        <v>182.52993162567677</v>
      </c>
      <c r="I55" s="1"/>
    </row>
    <row r="56" spans="1:9">
      <c r="A56" s="1">
        <f t="shared" si="5"/>
        <v>2073</v>
      </c>
      <c r="B56" s="1">
        <f t="shared" si="1"/>
        <v>93</v>
      </c>
      <c r="C56" s="1">
        <v>54</v>
      </c>
      <c r="D56" s="1">
        <f>IF(Summary!$G$9="M",VLOOKUP(B:B,'male g'!A:V,IF(A56&gt;2033,22,MATCH(A56,'male g'!$A$1:$V$1,0)),FALSE),VLOOKUP(B:B,'female g'!A:V,IF(A56&gt;2033,22,MATCH(A56,'female g'!$A$1:$V$1,0)),FALSE))</f>
        <v>0.15808258232710681</v>
      </c>
      <c r="E56" s="1">
        <f t="shared" si="2"/>
        <v>0.84191741767289319</v>
      </c>
      <c r="F56" s="1">
        <f t="shared" si="3"/>
        <v>0.85651699141479409</v>
      </c>
      <c r="G56" s="1">
        <f>1/(1+Summary!$O$2)^$C56</f>
        <v>7.1742721991253117E-2</v>
      </c>
      <c r="H56" s="1">
        <f>IF(B56&gt;64, Summary!$J$9, 0)*'TV 8'!G56*'TV 8'!F56</f>
        <v>171.01272249290784</v>
      </c>
      <c r="I56" s="1"/>
    </row>
    <row r="57" spans="1:9">
      <c r="A57" s="1">
        <f t="shared" si="5"/>
        <v>2074</v>
      </c>
      <c r="B57" s="1">
        <f t="shared" si="1"/>
        <v>94</v>
      </c>
      <c r="C57" s="1">
        <v>55</v>
      </c>
      <c r="D57" s="1">
        <f>IF(Summary!$G$9="M",VLOOKUP(B:B,'male g'!A:V,IF(A57&gt;2033,22,MATCH(A57,'male g'!$A$1:$V$1,0)),FALSE),VLOOKUP(B:B,'female g'!A:V,IF(A57&gt;2033,22,MATCH(A57,'female g'!$A$1:$V$1,0)),FALSE))</f>
        <v>0.17308956870926934</v>
      </c>
      <c r="E57" s="1">
        <f t="shared" si="2"/>
        <v>0.82691043129073072</v>
      </c>
      <c r="F57" s="1">
        <f t="shared" si="3"/>
        <v>0.84191741767289319</v>
      </c>
      <c r="G57" s="1">
        <f>1/(1+Summary!$O$2)^$C57</f>
        <v>6.8326401896431521E-2</v>
      </c>
      <c r="H57" s="1">
        <f>IF(B57&gt;64, Summary!$J$9, 0)*'TV 8'!G57*'TV 8'!F57</f>
        <v>160.09310704320819</v>
      </c>
      <c r="I57" s="1"/>
    </row>
    <row r="58" spans="1:9">
      <c r="A58" s="1">
        <f t="shared" si="5"/>
        <v>2075</v>
      </c>
      <c r="B58" s="1">
        <f t="shared" si="1"/>
        <v>95</v>
      </c>
      <c r="C58" s="1">
        <v>56</v>
      </c>
      <c r="D58" s="1">
        <f>IF(Summary!$G$9="M",VLOOKUP(B:B,'male g'!A:V,IF(A58&gt;2033,22,MATCH(A58,'male g'!$A$1:$V$1,0)),FALSE),VLOOKUP(B:B,'female g'!A:V,IF(A58&gt;2033,22,MATCH(A58,'female g'!$A$1:$V$1,0)),FALSE))</f>
        <v>0.1884638420447376</v>
      </c>
      <c r="E58" s="1">
        <f t="shared" si="2"/>
        <v>0.81153615795526246</v>
      </c>
      <c r="F58" s="1">
        <f t="shared" si="3"/>
        <v>0.82691043129073072</v>
      </c>
      <c r="G58" s="1">
        <f>1/(1+Summary!$O$2)^$C58</f>
        <v>6.5072763710887174E-2</v>
      </c>
      <c r="H58" s="1">
        <f>IF(B58&gt;64, Summary!$J$9, 0)*'TV 8'!G58*'TV 8'!F58</f>
        <v>149.7518893725383</v>
      </c>
      <c r="I58" s="1"/>
    </row>
    <row r="59" spans="1:9">
      <c r="A59" s="1">
        <f t="shared" si="5"/>
        <v>2076</v>
      </c>
      <c r="B59" s="1">
        <f t="shared" si="1"/>
        <v>96</v>
      </c>
      <c r="C59" s="1">
        <v>57</v>
      </c>
      <c r="D59" s="1">
        <f>IF(Summary!$G$9="M",VLOOKUP(B:B,'male g'!A:V,IF(A59&gt;2033,22,MATCH(A59,'male g'!$A$1:$V$1,0)),FALSE),VLOOKUP(B:B,'female g'!A:V,IF(A59&gt;2033,22,MATCH(A59,'female g'!$A$1:$V$1,0)),FALSE))</f>
        <v>0.20546988897968524</v>
      </c>
      <c r="E59" s="1">
        <f t="shared" si="2"/>
        <v>0.79453011102031479</v>
      </c>
      <c r="F59" s="1">
        <f t="shared" si="3"/>
        <v>0.81153615795526246</v>
      </c>
      <c r="G59" s="1">
        <f>1/(1+Summary!$O$2)^$C59</f>
        <v>6.1974060677035397E-2</v>
      </c>
      <c r="H59" s="1">
        <f>IF(B59&gt;64, Summary!$J$9, 0)*'TV 8'!G59*'TV 8'!F59</f>
        <v>139.96917907476686</v>
      </c>
      <c r="I59" s="1"/>
    </row>
    <row r="60" spans="1:9">
      <c r="A60" s="1">
        <f t="shared" si="5"/>
        <v>2077</v>
      </c>
      <c r="B60" s="1">
        <f t="shared" si="1"/>
        <v>97</v>
      </c>
      <c r="C60" s="1">
        <v>58</v>
      </c>
      <c r="D60" s="1">
        <f>IF(Summary!$G$9="M",VLOOKUP(B:B,'male g'!A:V,IF(A60&gt;2033,22,MATCH(A60,'male g'!$A$1:$V$1,0)),FALSE),VLOOKUP(B:B,'female g'!A:V,IF(A60&gt;2033,22,MATCH(A60,'female g'!$A$1:$V$1,0)),FALSE))</f>
        <v>0.22317315569892124</v>
      </c>
      <c r="E60" s="1">
        <f t="shared" si="2"/>
        <v>0.77682684430107873</v>
      </c>
      <c r="F60" s="1">
        <f t="shared" si="3"/>
        <v>0.79453011102031479</v>
      </c>
      <c r="G60" s="1">
        <f>1/(1+Summary!$O$2)^$C60</f>
        <v>5.9022914930509894E-2</v>
      </c>
      <c r="H60" s="1">
        <f>IF(B60&gt;64, Summary!$J$9, 0)*'TV 8'!G60*'TV 8'!F60</f>
        <v>130.51054478248429</v>
      </c>
      <c r="I60" s="1"/>
    </row>
    <row r="61" spans="1:9">
      <c r="A61" s="1">
        <f t="shared" si="5"/>
        <v>2078</v>
      </c>
      <c r="B61" s="1">
        <f t="shared" si="1"/>
        <v>98</v>
      </c>
      <c r="C61" s="1">
        <v>59</v>
      </c>
      <c r="D61" s="1">
        <f>IF(Summary!$G$9="M",VLOOKUP(B:B,'male g'!A:V,IF(A61&gt;2033,22,MATCH(A61,'male g'!$A$1:$V$1,0)),FALSE),VLOOKUP(B:B,'female g'!A:V,IF(A61&gt;2033,22,MATCH(A61,'female g'!$A$1:$V$1,0)),FALSE))</f>
        <v>0.2417371960764223</v>
      </c>
      <c r="E61" s="1">
        <f t="shared" si="2"/>
        <v>0.7582628039235777</v>
      </c>
      <c r="F61" s="1">
        <f t="shared" si="3"/>
        <v>0.77682684430107873</v>
      </c>
      <c r="G61" s="1">
        <f>1/(1+Summary!$O$2)^$C61</f>
        <v>5.6212299933818946E-2</v>
      </c>
      <c r="H61" s="1">
        <f>IF(B61&gt;64, Summary!$J$9, 0)*'TV 8'!G61*'TV 8'!F61</f>
        <v>121.52626978023297</v>
      </c>
      <c r="I61" s="1"/>
    </row>
    <row r="62" spans="1:9">
      <c r="A62" s="1">
        <f t="shared" si="5"/>
        <v>2079</v>
      </c>
      <c r="B62" s="1">
        <f t="shared" si="1"/>
        <v>99</v>
      </c>
      <c r="C62" s="1">
        <v>60</v>
      </c>
      <c r="D62" s="1">
        <f>IF(Summary!$G$9="M",VLOOKUP(B:B,'male g'!A:V,IF(A62&gt;2033,22,MATCH(A62,'male g'!$A$1:$V$1,0)),FALSE),VLOOKUP(B:B,'female g'!A:V,IF(A62&gt;2033,22,MATCH(A62,'female g'!$A$1:$V$1,0)),FALSE))</f>
        <v>0.26102364427750568</v>
      </c>
      <c r="E62" s="1">
        <f t="shared" si="2"/>
        <v>0.73897635572249432</v>
      </c>
      <c r="F62" s="1">
        <f t="shared" si="3"/>
        <v>0.7582628039235777</v>
      </c>
      <c r="G62" s="1">
        <f>1/(1+Summary!$O$2)^$C62</f>
        <v>5.3535523746494243E-2</v>
      </c>
      <c r="H62" s="1">
        <f>IF(B62&gt;64, Summary!$J$9, 0)*'TV 8'!G62*'TV 8'!F62</f>
        <v>112.9734512112298</v>
      </c>
      <c r="I62" s="1"/>
    </row>
    <row r="63" spans="1:9">
      <c r="A63" s="1">
        <f t="shared" si="5"/>
        <v>2080</v>
      </c>
      <c r="B63" s="1">
        <f t="shared" si="1"/>
        <v>100</v>
      </c>
      <c r="C63" s="1">
        <v>61</v>
      </c>
      <c r="D63" s="1">
        <f>IF(Summary!$G$9="M",VLOOKUP(B:B,'male g'!A:V,IF(A63&gt;2033,22,MATCH(A63,'male g'!$A$1:$V$1,0)),FALSE),VLOOKUP(B:B,'female g'!A:V,IF(A63&gt;2033,22,MATCH(A63,'female g'!$A$1:$V$1,0)),FALSE))</f>
        <v>0.2809127683704345</v>
      </c>
      <c r="E63" s="1">
        <f t="shared" si="2"/>
        <v>0.71908723162956556</v>
      </c>
      <c r="F63" s="1">
        <f t="shared" si="3"/>
        <v>0.73897635572249432</v>
      </c>
      <c r="G63" s="1">
        <f>1/(1+Summary!$O$2)^$C63</f>
        <v>5.0986213091899268E-2</v>
      </c>
      <c r="H63" s="1">
        <f>IF(B63&gt;64, Summary!$J$9, 0)*'TV 8'!G63*'TV 8'!F63</f>
        <v>104.85711090124354</v>
      </c>
      <c r="I63" s="1"/>
    </row>
    <row r="64" spans="1:9">
      <c r="A64" s="1">
        <f t="shared" si="5"/>
        <v>2081</v>
      </c>
      <c r="B64" s="1">
        <f t="shared" si="1"/>
        <v>101</v>
      </c>
      <c r="C64" s="1">
        <v>62</v>
      </c>
      <c r="D64" s="1">
        <f>IF(Summary!$G$9="M",VLOOKUP(B:B,'male g'!A:V,IF(A64&gt;2033,22,MATCH(A64,'male g'!$A$1:$V$1,0)),FALSE),VLOOKUP(B:B,'female g'!A:V,IF(A64&gt;2033,22,MATCH(A64,'female g'!$A$1:$V$1,0)),FALSE))</f>
        <v>0.30146810411089092</v>
      </c>
      <c r="E64" s="1">
        <f t="shared" si="2"/>
        <v>0.69853189588910913</v>
      </c>
      <c r="F64" s="1">
        <f t="shared" si="3"/>
        <v>0.71908723162956556</v>
      </c>
      <c r="G64" s="1">
        <f>1/(1+Summary!$O$2)^$C64</f>
        <v>4.855829818276123E-2</v>
      </c>
      <c r="H64" s="1">
        <f>IF(B64&gt;64, Summary!$J$9, 0)*'TV 8'!G64*'TV 8'!F64</f>
        <v>97.176135236978524</v>
      </c>
      <c r="I64" s="1"/>
    </row>
    <row r="65" spans="1:9">
      <c r="A65" s="1">
        <f t="shared" si="5"/>
        <v>2082</v>
      </c>
      <c r="B65" s="1">
        <f t="shared" si="1"/>
        <v>102</v>
      </c>
      <c r="C65" s="1">
        <v>63</v>
      </c>
      <c r="D65" s="1">
        <f>IF(Summary!$G$9="M",VLOOKUP(B:B,'male g'!A:V,IF(A65&gt;2033,22,MATCH(A65,'male g'!$A$1:$V$1,0)),FALSE),VLOOKUP(B:B,'female g'!A:V,IF(A65&gt;2033,22,MATCH(A65,'female g'!$A$1:$V$1,0)),FALSE))</f>
        <v>0.32206565548145499</v>
      </c>
      <c r="E65" s="1">
        <f t="shared" si="2"/>
        <v>0.67793434451854506</v>
      </c>
      <c r="F65" s="1">
        <f t="shared" si="3"/>
        <v>0.69853189588910913</v>
      </c>
      <c r="G65" s="1">
        <f>1/(1+Summary!$O$2)^$C65</f>
        <v>4.6245998269296387E-2</v>
      </c>
      <c r="H65" s="1">
        <f>IF(B65&gt;64, Summary!$J$9, 0)*'TV 8'!G65*'TV 8'!F65</f>
        <v>89.903166385284862</v>
      </c>
      <c r="I65" s="1"/>
    </row>
    <row r="66" spans="1:9">
      <c r="A66" s="1">
        <f t="shared" si="5"/>
        <v>2083</v>
      </c>
      <c r="B66" s="1">
        <f t="shared" si="1"/>
        <v>103</v>
      </c>
      <c r="C66" s="1">
        <v>64</v>
      </c>
      <c r="D66" s="1">
        <f>IF(Summary!$G$9="M",VLOOKUP(B:B,'male g'!A:V,IF(A66&gt;2033,22,MATCH(A66,'male g'!$A$1:$V$1,0)),FALSE),VLOOKUP(B:B,'female g'!A:V,IF(A66&gt;2033,22,MATCH(A66,'female g'!$A$1:$V$1,0)),FALSE))</f>
        <v>0.3427697952313476</v>
      </c>
      <c r="E66" s="1">
        <f t="shared" si="2"/>
        <v>0.65723020476865246</v>
      </c>
      <c r="F66" s="1">
        <f t="shared" si="3"/>
        <v>0.67793434451854506</v>
      </c>
      <c r="G66" s="1">
        <f>1/(1+Summary!$O$2)^$C66</f>
        <v>4.4043807875520369E-2</v>
      </c>
      <c r="H66" s="1">
        <f>IF(B66&gt;64, Summary!$J$9, 0)*'TV 8'!G66*'TV 8'!F66</f>
        <v>83.097332633980955</v>
      </c>
      <c r="I66" s="1"/>
    </row>
    <row r="67" spans="1:9">
      <c r="A67" s="1">
        <f t="shared" si="5"/>
        <v>2084</v>
      </c>
      <c r="B67" s="1">
        <f t="shared" si="1"/>
        <v>104</v>
      </c>
      <c r="C67" s="1">
        <v>65</v>
      </c>
      <c r="D67" s="1">
        <f>IF(Summary!$G$9="M",VLOOKUP(B:B,'male g'!A:V,IF(A67&gt;2033,22,MATCH(A67,'male g'!$A$1:$V$1,0)),FALSE),VLOOKUP(B:B,'female g'!A:V,IF(A67&gt;2033,22,MATCH(A67,'female g'!$A$1:$V$1,0)),FALSE))</f>
        <v>0.36312182573243618</v>
      </c>
      <c r="E67" s="1">
        <f t="shared" si="2"/>
        <v>0.63687817426756377</v>
      </c>
      <c r="F67" s="1">
        <f t="shared" si="3"/>
        <v>0.65723020476865246</v>
      </c>
      <c r="G67" s="1">
        <f>1/(1+Summary!$O$2)^$C67</f>
        <v>4.1946483690971779E-2</v>
      </c>
      <c r="H67" s="1">
        <f>IF(B67&gt;64, Summary!$J$9, 0)*'TV 8'!G67*'TV 8'!F67</f>
        <v>76.723368616309529</v>
      </c>
      <c r="I67" s="1"/>
    </row>
    <row r="68" spans="1:9">
      <c r="A68" s="1">
        <f t="shared" si="5"/>
        <v>2085</v>
      </c>
      <c r="B68" s="1">
        <f t="shared" ref="B68:B73" si="6">$B$2+C68</f>
        <v>105</v>
      </c>
      <c r="C68" s="1">
        <v>66</v>
      </c>
      <c r="D68" s="1">
        <f>IF(Summary!$G$9="M",VLOOKUP(B:B,'male g'!A:V,IF(A68&gt;2033,22,MATCH(A68,'male g'!$A$1:$V$1,0)),FALSE),VLOOKUP(B:B,'female g'!A:V,IF(A68&gt;2033,22,MATCH(A68,'female g'!$A$1:$V$1,0)),FALSE))</f>
        <v>0.38340857179772014</v>
      </c>
      <c r="E68" s="1">
        <f t="shared" ref="E68:E83" si="7">1-D68</f>
        <v>0.61659142820227986</v>
      </c>
      <c r="F68" s="1">
        <f t="shared" ref="F68:F83" si="8">E67</f>
        <v>0.63687817426756377</v>
      </c>
      <c r="G68" s="1">
        <f>1/(1+Summary!$O$2)^$C68</f>
        <v>3.9949032086639788E-2</v>
      </c>
      <c r="H68" s="1">
        <f>IF(B68&gt;64, Summary!$J$9, 0)*'TV 8'!G68*'TV 8'!F68</f>
        <v>70.807166446724892</v>
      </c>
      <c r="I68" s="1"/>
    </row>
    <row r="69" spans="1:9">
      <c r="A69" s="1">
        <f t="shared" si="5"/>
        <v>2086</v>
      </c>
      <c r="B69" s="1">
        <f t="shared" si="6"/>
        <v>106</v>
      </c>
      <c r="C69" s="1">
        <v>67</v>
      </c>
      <c r="D69" s="1">
        <f>IF(Summary!$G$9="M",VLOOKUP(B:B,'male g'!A:V,IF(A69&gt;2033,22,MATCH(A69,'male g'!$A$1:$V$1,0)),FALSE),VLOOKUP(B:B,'female g'!A:V,IF(A69&gt;2033,22,MATCH(A69,'female g'!$A$1:$V$1,0)),FALSE))</f>
        <v>0.4032562438470747</v>
      </c>
      <c r="E69" s="1">
        <f t="shared" si="7"/>
        <v>0.5967437561529253</v>
      </c>
      <c r="F69" s="1">
        <f t="shared" si="8"/>
        <v>0.61659142820227986</v>
      </c>
      <c r="G69" s="1">
        <f>1/(1+Summary!$O$2)^$C69</f>
        <v>3.8046697225371226E-2</v>
      </c>
      <c r="H69" s="1">
        <f>IF(B69&gt;64, Summary!$J$9, 0)*'TV 8'!G69*'TV 8'!F69</f>
        <v>65.287348806734258</v>
      </c>
      <c r="I69" s="1"/>
    </row>
    <row r="70" spans="1:9">
      <c r="A70" s="1">
        <f t="shared" si="5"/>
        <v>2087</v>
      </c>
      <c r="B70" s="1">
        <f t="shared" si="6"/>
        <v>107</v>
      </c>
      <c r="C70" s="1">
        <v>68</v>
      </c>
      <c r="D70" s="1">
        <f>IF(Summary!$G$9="M",VLOOKUP(B:B,'male g'!A:V,IF(A70&gt;2033,22,MATCH(A70,'male g'!$A$1:$V$1,0)),FALSE),VLOOKUP(B:B,'female g'!A:V,IF(A70&gt;2033,22,MATCH(A70,'female g'!$A$1:$V$1,0)),FALSE))</f>
        <v>0.42246723803499708</v>
      </c>
      <c r="E70" s="1">
        <f t="shared" si="7"/>
        <v>0.57753276196500292</v>
      </c>
      <c r="F70" s="1">
        <f t="shared" si="8"/>
        <v>0.5967437561529253</v>
      </c>
      <c r="G70" s="1">
        <f>1/(1+Summary!$O$2)^$C70</f>
        <v>3.6234949738448791E-2</v>
      </c>
      <c r="H70" s="1">
        <f>IF(B70&gt;64, Summary!$J$9, 0)*'TV 8'!G70*'TV 8'!F70</f>
        <v>60.17694480024862</v>
      </c>
      <c r="I70" s="1"/>
    </row>
    <row r="71" spans="1:9">
      <c r="A71" s="1">
        <f t="shared" si="5"/>
        <v>2088</v>
      </c>
      <c r="B71" s="1">
        <f t="shared" si="6"/>
        <v>108</v>
      </c>
      <c r="C71" s="1">
        <v>69</v>
      </c>
      <c r="D71" s="1">
        <f>IF(Summary!$G$9="M",VLOOKUP(B:B,'male g'!A:V,IF(A71&gt;2033,22,MATCH(A71,'male g'!$A$1:$V$1,0)),FALSE),VLOOKUP(B:B,'female g'!A:V,IF(A71&gt;2033,22,MATCH(A71,'female g'!$A$1:$V$1,0)),FALSE))</f>
        <v>0.44119749280646176</v>
      </c>
      <c r="E71" s="1">
        <f t="shared" si="7"/>
        <v>0.5588025071935383</v>
      </c>
      <c r="F71" s="1">
        <f t="shared" si="8"/>
        <v>0.57753276196500292</v>
      </c>
      <c r="G71" s="1">
        <f>1/(1+Summary!$O$2)^$C71</f>
        <v>3.4509475941379798E-2</v>
      </c>
      <c r="H71" s="1">
        <f>IF(B71&gt;64, Summary!$J$9, 0)*'TV 8'!G71*'TV 8'!F71</f>
        <v>55.466348716934576</v>
      </c>
      <c r="I71" s="1"/>
    </row>
    <row r="72" spans="1:9">
      <c r="A72" s="1">
        <f t="shared" si="5"/>
        <v>2089</v>
      </c>
      <c r="B72" s="1">
        <f t="shared" si="6"/>
        <v>109</v>
      </c>
      <c r="C72" s="1">
        <v>70</v>
      </c>
      <c r="D72" s="1">
        <f>IF(Summary!$G$9="M",VLOOKUP(B:B,'male g'!A:V,IF(A72&gt;2033,22,MATCH(A72,'male g'!$A$1:$V$1,0)),FALSE),VLOOKUP(B:B,'female g'!A:V,IF(A72&gt;2033,22,MATCH(A72,'female g'!$A$1:$V$1,0)),FALSE))</f>
        <v>0.45907299166148602</v>
      </c>
      <c r="E72" s="1">
        <f t="shared" si="7"/>
        <v>0.54092700833851404</v>
      </c>
      <c r="F72" s="1">
        <f t="shared" si="8"/>
        <v>0.5588025071935383</v>
      </c>
      <c r="G72" s="1">
        <f>1/(1+Summary!$O$2)^$C72</f>
        <v>3.2866167563218862E-2</v>
      </c>
      <c r="H72" s="1">
        <f>IF(B72&gt;64, Summary!$J$9, 0)*'TV 8'!G72*'TV 8'!F72</f>
        <v>51.111896887912948</v>
      </c>
      <c r="I72" s="1"/>
    </row>
    <row r="73" spans="1:9">
      <c r="A73" s="1">
        <f t="shared" si="5"/>
        <v>2090</v>
      </c>
      <c r="B73" s="1">
        <f t="shared" si="6"/>
        <v>110</v>
      </c>
      <c r="C73" s="1">
        <v>71</v>
      </c>
      <c r="D73" s="1">
        <f>IF(Summary!$G$9="M",VLOOKUP(B:B,'male g'!A:V,IF(A73&gt;2033,22,MATCH(A73,'male g'!$A$1:$V$1,0)),FALSE),VLOOKUP(B:B,'female g'!A:V,IF(A73&gt;2033,22,MATCH(A73,'female g'!$A$1:$V$1,0)),FALSE))</f>
        <v>0.47644967979565578</v>
      </c>
      <c r="E73" s="1">
        <f t="shared" si="7"/>
        <v>0.52355032020434422</v>
      </c>
      <c r="F73" s="1">
        <f t="shared" si="8"/>
        <v>0.54092700833851404</v>
      </c>
      <c r="G73" s="1">
        <f>1/(1+Summary!$O$2)^$C73</f>
        <v>3.1301111964970339E-2</v>
      </c>
      <c r="H73" s="1">
        <f>IF(B73&gt;64, Summary!$J$9, 0)*'TV 8'!G73*'TV 8'!F73</f>
        <v>47.120839598404004</v>
      </c>
      <c r="I73" s="1"/>
    </row>
    <row r="74" spans="1:9">
      <c r="A74" s="1">
        <f>$A$2+C74</f>
        <v>2091</v>
      </c>
      <c r="B74" s="1">
        <f>$B$2+C74</f>
        <v>111</v>
      </c>
      <c r="C74" s="1">
        <v>72</v>
      </c>
      <c r="D74" s="1">
        <f>IF(Summary!$G$9="M",VLOOKUP(B:B,'male g'!A:V,IF(A74&gt;2033,22,MATCH(A74,'male g'!$A$1:$V$1,0)),FALSE),VLOOKUP(B:B,'female g'!A:V,IF(A74&gt;2033,22,MATCH(A74,'female g'!$A$1:$V$1,0)),FALSE))</f>
        <v>0.48540620500607778</v>
      </c>
      <c r="E74" s="1">
        <f t="shared" si="7"/>
        <v>0.51459379499392222</v>
      </c>
      <c r="F74" s="1">
        <f t="shared" si="8"/>
        <v>0.52355032020434422</v>
      </c>
      <c r="G74" s="1">
        <f>1/(1+Summary!$O$2)^$C74</f>
        <v>2.9810582823781274E-2</v>
      </c>
      <c r="H74" s="1">
        <f>IF(B74&gt;64, Summary!$J$9, 0)*'TV 8'!G74*'TV 8'!F74</f>
        <v>43.435365901844214</v>
      </c>
      <c r="I74" s="1"/>
    </row>
    <row r="75" spans="1:9">
      <c r="A75" s="1">
        <f t="shared" ref="A75:A83" si="9">$A$2+C75</f>
        <v>2092</v>
      </c>
      <c r="B75" s="1">
        <f t="shared" ref="B75:B83" si="10">$B$2+C75</f>
        <v>112</v>
      </c>
      <c r="C75" s="1">
        <v>73</v>
      </c>
      <c r="D75" s="1">
        <f>IF(Summary!$G$9="M",VLOOKUP(B:B,'male g'!A:V,IF(A75&gt;2033,22,MATCH(A75,'male g'!$A$1:$V$1,0)),FALSE),VLOOKUP(B:B,'female g'!A:V,IF(A75&gt;2033,22,MATCH(A75,'female g'!$A$1:$V$1,0)),FALSE))</f>
        <v>0.48906519527204906</v>
      </c>
      <c r="E75" s="1">
        <f t="shared" si="7"/>
        <v>0.51093480472795094</v>
      </c>
      <c r="F75" s="1">
        <f t="shared" si="8"/>
        <v>0.51459379499392222</v>
      </c>
      <c r="G75" s="1">
        <f>1/(1+Summary!$O$2)^$C75</f>
        <v>2.8391031260744073E-2</v>
      </c>
      <c r="H75" s="1">
        <f>IF(B75&gt;64, Summary!$J$9, 0)*'TV 8'!G75*'TV 8'!F75</f>
        <v>40.659337773930176</v>
      </c>
      <c r="I75" s="1"/>
    </row>
    <row r="76" spans="1:9">
      <c r="A76" s="1">
        <f t="shared" si="9"/>
        <v>2093</v>
      </c>
      <c r="B76" s="1">
        <f t="shared" si="10"/>
        <v>113</v>
      </c>
      <c r="C76" s="1">
        <v>74</v>
      </c>
      <c r="D76" s="1">
        <f>IF(Summary!$G$9="M",VLOOKUP(B:B,'male g'!A:V,IF(A76&gt;2033,22,MATCH(A76,'male g'!$A$1:$V$1,0)),FALSE),VLOOKUP(B:B,'female g'!A:V,IF(A76&gt;2033,22,MATCH(A76,'female g'!$A$1:$V$1,0)),FALSE))</f>
        <v>0.49265177497129853</v>
      </c>
      <c r="E76" s="1">
        <f t="shared" si="7"/>
        <v>0.50734822502870147</v>
      </c>
      <c r="F76" s="1">
        <f t="shared" si="8"/>
        <v>0.51093480472795094</v>
      </c>
      <c r="G76" s="1">
        <f>1/(1+Summary!$O$2)^$C76</f>
        <v>2.7039077391184833E-2</v>
      </c>
      <c r="H76" s="1">
        <f>IF(B76&gt;64, Summary!$J$9, 0)*'TV 8'!G76*'TV 8'!F76</f>
        <v>38.447839844955361</v>
      </c>
      <c r="I76" s="1"/>
    </row>
    <row r="77" spans="1:9">
      <c r="A77" s="1">
        <f t="shared" si="9"/>
        <v>2094</v>
      </c>
      <c r="B77" s="1">
        <f t="shared" si="10"/>
        <v>114</v>
      </c>
      <c r="C77" s="1">
        <v>75</v>
      </c>
      <c r="D77" s="1">
        <f>IF(Summary!$G$9="M",VLOOKUP(B:B,'male g'!A:V,IF(A77&gt;2033,22,MATCH(A77,'male g'!$A$1:$V$1,0)),FALSE),VLOOKUP(B:B,'female g'!A:V,IF(A77&gt;2033,22,MATCH(A77,'female g'!$A$1:$V$1,0)),FALSE))</f>
        <v>0.49631296624312721</v>
      </c>
      <c r="E77" s="1">
        <f t="shared" si="7"/>
        <v>0.50368703375687285</v>
      </c>
      <c r="F77" s="1">
        <f t="shared" si="8"/>
        <v>0.50734822502870147</v>
      </c>
      <c r="G77" s="1">
        <f>1/(1+Summary!$O$2)^$C77</f>
        <v>2.5751502277318886E-2</v>
      </c>
      <c r="H77" s="1">
        <f>IF(B77&gt;64, Summary!$J$9, 0)*'TV 8'!G77*'TV 8'!F77</f>
        <v>36.359952144900291</v>
      </c>
      <c r="I77" s="1"/>
    </row>
    <row r="78" spans="1:9">
      <c r="A78" s="1">
        <f t="shared" si="9"/>
        <v>2095</v>
      </c>
      <c r="B78" s="1">
        <f t="shared" si="10"/>
        <v>115</v>
      </c>
      <c r="C78" s="1">
        <v>76</v>
      </c>
      <c r="D78" s="1">
        <f>IF(Summary!$G$9="M",VLOOKUP(B:B,'male g'!A:V,IF(A78&gt;2033,22,MATCH(A78,'male g'!$A$1:$V$1,0)),FALSE),VLOOKUP(B:B,'female g'!A:V,IF(A78&gt;2033,22,MATCH(A78,'female g'!$A$1:$V$1,0)),FALSE))</f>
        <v>0.5</v>
      </c>
      <c r="E78" s="1">
        <f t="shared" si="7"/>
        <v>0.5</v>
      </c>
      <c r="F78" s="1">
        <f t="shared" si="8"/>
        <v>0.50368703375687285</v>
      </c>
      <c r="G78" s="1">
        <f>1/(1+Summary!$O$2)^$C78</f>
        <v>2.4525240264113228E-2</v>
      </c>
      <c r="H78" s="1">
        <f>IF(B78&gt;64, Summary!$J$9, 0)*'TV 8'!G78*'TV 8'!F78</f>
        <v>34.378635046815042</v>
      </c>
      <c r="I78" s="1"/>
    </row>
    <row r="79" spans="1:9">
      <c r="A79" s="1">
        <f t="shared" si="9"/>
        <v>2096</v>
      </c>
      <c r="B79" s="1">
        <f t="shared" si="10"/>
        <v>116</v>
      </c>
      <c r="C79" s="1">
        <v>77</v>
      </c>
      <c r="D79" s="1">
        <f>IF(Summary!$G$9="M",VLOOKUP(B:B,'male g'!A:V,IF(A79&gt;2033,22,MATCH(A79,'male g'!$A$1:$V$1,0)),FALSE),VLOOKUP(B:B,'female g'!A:V,IF(A79&gt;2033,22,MATCH(A79,'female g'!$A$1:$V$1,0)),FALSE))</f>
        <v>0.5</v>
      </c>
      <c r="E79" s="1">
        <f t="shared" si="7"/>
        <v>0.5</v>
      </c>
      <c r="F79" s="1">
        <f t="shared" si="8"/>
        <v>0.5</v>
      </c>
      <c r="G79" s="1">
        <f>1/(1+Summary!$O$2)^$C79</f>
        <v>2.3357371680107829E-2</v>
      </c>
      <c r="H79" s="1">
        <f>IF(B79&gt;64, Summary!$J$9, 0)*'TV 8'!G79*'TV 8'!F79</f>
        <v>32.50188608512709</v>
      </c>
      <c r="I79" s="1"/>
    </row>
    <row r="80" spans="1:9">
      <c r="A80" s="1">
        <f t="shared" si="9"/>
        <v>2097</v>
      </c>
      <c r="B80" s="1">
        <f t="shared" si="10"/>
        <v>117</v>
      </c>
      <c r="C80" s="1">
        <v>78</v>
      </c>
      <c r="D80" s="1">
        <f>IF(Summary!$G$9="M",VLOOKUP(B:B,'male g'!A:V,IF(A80&gt;2033,22,MATCH(A80,'male g'!$A$1:$V$1,0)),FALSE),VLOOKUP(B:B,'female g'!A:V,IF(A80&gt;2033,22,MATCH(A80,'female g'!$A$1:$V$1,0)),FALSE))</f>
        <v>0.5</v>
      </c>
      <c r="E80" s="1">
        <f t="shared" si="7"/>
        <v>0.5</v>
      </c>
      <c r="F80" s="1">
        <f t="shared" si="8"/>
        <v>0.5</v>
      </c>
      <c r="G80" s="1">
        <f>1/(1+Summary!$O$2)^$C80</f>
        <v>2.2245115885816989E-2</v>
      </c>
      <c r="H80" s="1">
        <f>IF(B80&gt;64, Summary!$J$9, 0)*'TV 8'!G80*'TV 8'!F80</f>
        <v>30.954177223930571</v>
      </c>
      <c r="I80" s="1"/>
    </row>
    <row r="81" spans="1:9">
      <c r="A81" s="1">
        <f t="shared" si="9"/>
        <v>2098</v>
      </c>
      <c r="B81" s="1">
        <f t="shared" si="10"/>
        <v>118</v>
      </c>
      <c r="C81" s="1">
        <v>79</v>
      </c>
      <c r="D81" s="1">
        <f>IF(Summary!$G$9="M",VLOOKUP(B:B,'male g'!A:V,IF(A81&gt;2033,22,MATCH(A81,'male g'!$A$1:$V$1,0)),FALSE),VLOOKUP(B:B,'female g'!A:V,IF(A81&gt;2033,22,MATCH(A81,'female g'!$A$1:$V$1,0)),FALSE))</f>
        <v>0.5</v>
      </c>
      <c r="E81" s="1">
        <f t="shared" si="7"/>
        <v>0.5</v>
      </c>
      <c r="F81" s="1">
        <f t="shared" si="8"/>
        <v>0.5</v>
      </c>
      <c r="G81" s="1">
        <f>1/(1+Summary!$O$2)^$C81</f>
        <v>2.1185824653159029E-2</v>
      </c>
      <c r="H81" s="1">
        <f>IF(B81&gt;64, Summary!$J$9, 0)*'TV 8'!G81*'TV 8'!F81</f>
        <v>29.480168784695771</v>
      </c>
      <c r="I81" s="1"/>
    </row>
    <row r="82" spans="1:9">
      <c r="A82" s="1">
        <f t="shared" si="9"/>
        <v>2099</v>
      </c>
      <c r="B82" s="1">
        <f t="shared" si="10"/>
        <v>119</v>
      </c>
      <c r="C82" s="1">
        <v>80</v>
      </c>
      <c r="D82" s="1">
        <f>IF(Summary!$G$9="M",VLOOKUP(B:B,'male g'!A:V,IF(A82&gt;2033,22,MATCH(A82,'male g'!$A$1:$V$1,0)),FALSE),VLOOKUP(B:B,'female g'!A:V,IF(A82&gt;2033,22,MATCH(A82,'female g'!$A$1:$V$1,0)),FALSE))</f>
        <v>0.5</v>
      </c>
      <c r="E82" s="1">
        <f t="shared" si="7"/>
        <v>0.5</v>
      </c>
      <c r="F82" s="1">
        <f t="shared" si="8"/>
        <v>0.5</v>
      </c>
      <c r="G82" s="1">
        <f>1/(1+Summary!$O$2)^$C82</f>
        <v>2.0176975860151457E-2</v>
      </c>
      <c r="H82" s="1">
        <f>IF(B82&gt;64, Summary!$J$9, 0)*'TV 8'!G82*'TV 8'!F82</f>
        <v>28.076351223519783</v>
      </c>
      <c r="I82" s="1"/>
    </row>
    <row r="83" spans="1:9">
      <c r="A83" s="1">
        <f t="shared" si="9"/>
        <v>2100</v>
      </c>
      <c r="B83" s="1">
        <f t="shared" si="10"/>
        <v>120</v>
      </c>
      <c r="C83" s="1">
        <v>81</v>
      </c>
      <c r="D83" s="1">
        <f>IF(Summary!$G$9="M",VLOOKUP(B:B,'male g'!A:V,IF(A83&gt;2033,22,MATCH(A83,'male g'!$A$1:$V$1,0)),FALSE),VLOOKUP(B:B,'female g'!A:V,IF(A83&gt;2033,22,MATCH(A83,'female g'!$A$1:$V$1,0)),FALSE))</f>
        <v>1</v>
      </c>
      <c r="E83" s="1">
        <f t="shared" si="7"/>
        <v>0</v>
      </c>
      <c r="F83" s="1">
        <f t="shared" si="8"/>
        <v>0.5</v>
      </c>
      <c r="G83" s="1">
        <f>1/(1+Summary!$O$2)^$C83</f>
        <v>1.9216167485858526E-2</v>
      </c>
      <c r="H83" s="1">
        <f>IF(B83&gt;64, Summary!$J$9, 0)*'TV 8'!G83*'TV 8'!F83</f>
        <v>26.739382117637884</v>
      </c>
      <c r="I83" s="1"/>
    </row>
    <row r="84" spans="1:9">
      <c r="A84" s="1"/>
    </row>
    <row r="85" spans="1:9">
      <c r="A85" s="1"/>
    </row>
    <row r="86" spans="1:9">
      <c r="A86" s="1"/>
    </row>
    <row r="87" spans="1:9">
      <c r="A87" s="1"/>
    </row>
    <row r="88" spans="1:9">
      <c r="A88" s="1"/>
    </row>
    <row r="89" spans="1:9">
      <c r="A89" s="1"/>
    </row>
    <row r="90" spans="1:9">
      <c r="A90" s="1"/>
    </row>
    <row r="91" spans="1:9">
      <c r="A91" s="1"/>
    </row>
    <row r="92" spans="1:9">
      <c r="A92" s="1"/>
    </row>
    <row r="93" spans="1:9">
      <c r="A93" s="1"/>
    </row>
    <row r="94" spans="1:9">
      <c r="A94" s="1"/>
    </row>
    <row r="95" spans="1:9">
      <c r="A95" s="1"/>
    </row>
    <row r="96" spans="1:9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98"/>
  <sheetViews>
    <sheetView workbookViewId="0">
      <selection activeCell="B2" sqref="B2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Summary!H10</f>
        <v>39</v>
      </c>
      <c r="C2" s="1">
        <v>0</v>
      </c>
      <c r="D2" s="1">
        <f>IF(Summary!$G$10="M",VLOOKUP(B:B,'male g'!A:V,IF(A2&gt;2033,22,MATCH(A2,'male g'!$A$1:$V$1,0)),FALSE),VLOOKUP(B:B,'female g'!A:V,IF(A2&gt;2033,22,MATCH(A2,'female g'!$A$1:$V$1,0)),FALSE))</f>
        <v>4.0397399999999998E-4</v>
      </c>
      <c r="E2" s="1">
        <f>1-D2</f>
        <v>0.99959602599999997</v>
      </c>
      <c r="F2" s="1">
        <v>1</v>
      </c>
      <c r="G2" s="1">
        <f>1/(1+Summary!$O$2)^$C2</f>
        <v>1</v>
      </c>
      <c r="H2" s="1">
        <f>IF(B2&gt;64, Summary!$J$10, 0)*'TV 9'!G2*'TV 9'!F2</f>
        <v>0</v>
      </c>
      <c r="I2" s="1">
        <f>SUM(H2:H83)</f>
        <v>41438.73636249343</v>
      </c>
    </row>
    <row r="3" spans="1:9">
      <c r="A3" s="1">
        <f>$A$2+C3</f>
        <v>2020</v>
      </c>
      <c r="B3" s="1">
        <f>$B$2+C3</f>
        <v>40</v>
      </c>
      <c r="C3" s="1">
        <v>1</v>
      </c>
      <c r="D3" s="1">
        <f>IF(Summary!$G$10="M",VLOOKUP(B:B,'male g'!A:V,IF(A3&gt;2033,22,MATCH(A3,'male g'!$A$1:$V$1,0)),FALSE),VLOOKUP(B:B,'female g'!A:V,IF(A3&gt;2033,22,MATCH(A3,'female g'!$A$1:$V$1,0)),FALSE))</f>
        <v>4.3698000000000001E-4</v>
      </c>
      <c r="E3" s="1">
        <f>1-D3</f>
        <v>0.99956301999999997</v>
      </c>
      <c r="F3" s="1">
        <f>E2</f>
        <v>0.99959602599999997</v>
      </c>
      <c r="G3" s="1">
        <f>1/(1+Summary!$O$2)^$C3</f>
        <v>0.95238095238095233</v>
      </c>
      <c r="H3" s="1">
        <f>IF(B3&gt;64, Summary!$J$2, 0)*'TV 9'!G3*'TV 9'!F3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41</v>
      </c>
      <c r="C4" s="1">
        <v>2</v>
      </c>
      <c r="D4" s="1">
        <f>IF(Summary!$G$10="M",VLOOKUP(B:B,'male g'!A:V,IF(A4&gt;2033,22,MATCH(A4,'male g'!$A$1:$V$1,0)),FALSE),VLOOKUP(B:B,'female g'!A:V,IF(A4&gt;2033,22,MATCH(A4,'female g'!$A$1:$V$1,0)),FALSE))</f>
        <v>4.7312500000000002E-4</v>
      </c>
      <c r="E4" s="1">
        <f t="shared" ref="E4:E67" si="2">1-D4</f>
        <v>0.99952687500000004</v>
      </c>
      <c r="F4" s="1">
        <f t="shared" ref="F4:F67" si="3">E3</f>
        <v>0.99956301999999997</v>
      </c>
      <c r="G4" s="1">
        <f>1/(1+Summary!$O$2)^$C4</f>
        <v>0.90702947845804982</v>
      </c>
      <c r="H4" s="1">
        <f>IF(B4&gt;64, Summary!$J$2, 0)*'TV 9'!G4*'TV 9'!F4</f>
        <v>0</v>
      </c>
      <c r="I4" s="1"/>
    </row>
    <row r="5" spans="1:9">
      <c r="A5" s="1">
        <f t="shared" si="0"/>
        <v>2022</v>
      </c>
      <c r="B5" s="1">
        <f t="shared" si="1"/>
        <v>42</v>
      </c>
      <c r="C5" s="1">
        <v>3</v>
      </c>
      <c r="D5" s="1">
        <f>IF(Summary!$G$10="M",VLOOKUP(B:B,'male g'!A:V,IF(A5&gt;2033,22,MATCH(A5,'male g'!$A$1:$V$1,0)),FALSE),VLOOKUP(B:B,'female g'!A:V,IF(A5&gt;2033,22,MATCH(A5,'female g'!$A$1:$V$1,0)),FALSE))</f>
        <v>5.1371000000000001E-4</v>
      </c>
      <c r="E5" s="1">
        <f t="shared" si="2"/>
        <v>0.99948629</v>
      </c>
      <c r="F5" s="1">
        <f t="shared" si="3"/>
        <v>0.99952687500000004</v>
      </c>
      <c r="G5" s="1">
        <f>1/(1+Summary!$O$2)^$C5</f>
        <v>0.86383759853147601</v>
      </c>
      <c r="H5" s="1">
        <f>IF(B5&gt;64, Summary!$J$2, 0)*'TV 9'!G5*'TV 9'!F5</f>
        <v>0</v>
      </c>
      <c r="I5" s="1"/>
    </row>
    <row r="6" spans="1:9">
      <c r="A6" s="1">
        <f t="shared" si="0"/>
        <v>2023</v>
      </c>
      <c r="B6" s="1">
        <f t="shared" si="1"/>
        <v>43</v>
      </c>
      <c r="C6" s="1">
        <v>4</v>
      </c>
      <c r="D6" s="1">
        <f>IF(Summary!$G$10="M",VLOOKUP(B:B,'male g'!A:V,IF(A6&gt;2033,22,MATCH(A6,'male g'!$A$1:$V$1,0)),FALSE),VLOOKUP(B:B,'female g'!A:V,IF(A6&gt;2033,22,MATCH(A6,'female g'!$A$1:$V$1,0)),FALSE))</f>
        <v>5.5958899999999998E-4</v>
      </c>
      <c r="E6" s="1">
        <f t="shared" si="2"/>
        <v>0.99944041100000003</v>
      </c>
      <c r="F6" s="1">
        <f t="shared" si="3"/>
        <v>0.99948629</v>
      </c>
      <c r="G6" s="1">
        <f>1/(1+Summary!$O$2)^$C6</f>
        <v>0.82270247479188197</v>
      </c>
      <c r="H6" s="1">
        <f>IF(B6&gt;64, Summary!$J$2, 0)*'TV 9'!G6*'TV 9'!F6</f>
        <v>0</v>
      </c>
      <c r="I6" s="1"/>
    </row>
    <row r="7" spans="1:9">
      <c r="A7" s="1">
        <f t="shared" si="0"/>
        <v>2024</v>
      </c>
      <c r="B7" s="1">
        <f t="shared" si="1"/>
        <v>44</v>
      </c>
      <c r="C7" s="1">
        <v>5</v>
      </c>
      <c r="D7" s="1">
        <f>IF(Summary!$G$10="M",VLOOKUP(B:B,'male g'!A:V,IF(A7&gt;2033,22,MATCH(A7,'male g'!$A$1:$V$1,0)),FALSE),VLOOKUP(B:B,'female g'!A:V,IF(A7&gt;2033,22,MATCH(A7,'female g'!$A$1:$V$1,0)),FALSE))</f>
        <v>6.1078800000000002E-4</v>
      </c>
      <c r="E7" s="1">
        <f t="shared" si="2"/>
        <v>0.99938921199999997</v>
      </c>
      <c r="F7" s="1">
        <f t="shared" si="3"/>
        <v>0.99944041100000003</v>
      </c>
      <c r="G7" s="1">
        <f>1/(1+Summary!$O$2)^$C7</f>
        <v>0.78352616646845896</v>
      </c>
      <c r="H7" s="1">
        <f>IF(B7&gt;64, Summary!$J$2, 0)*'TV 9'!G7*'TV 9'!F7</f>
        <v>0</v>
      </c>
      <c r="I7" s="1"/>
    </row>
    <row r="8" spans="1:9">
      <c r="A8" s="1">
        <f t="shared" si="0"/>
        <v>2025</v>
      </c>
      <c r="B8" s="1">
        <f t="shared" si="1"/>
        <v>45</v>
      </c>
      <c r="C8" s="1">
        <v>6</v>
      </c>
      <c r="D8" s="1">
        <f>IF(Summary!$G$10="M",VLOOKUP(B:B,'male g'!A:V,IF(A8&gt;2033,22,MATCH(A8,'male g'!$A$1:$V$1,0)),FALSE),VLOOKUP(B:B,'female g'!A:V,IF(A8&gt;2033,22,MATCH(A8,'female g'!$A$1:$V$1,0)),FALSE))</f>
        <v>6.67313E-4</v>
      </c>
      <c r="E8" s="1">
        <f t="shared" si="2"/>
        <v>0.999332687</v>
      </c>
      <c r="F8" s="1">
        <f t="shared" si="3"/>
        <v>0.99938921199999997</v>
      </c>
      <c r="G8" s="1">
        <f>1/(1+Summary!$O$2)^$C8</f>
        <v>0.74621539663662761</v>
      </c>
      <c r="H8" s="1">
        <f>IF(B8&gt;64, Summary!$J$2, 0)*'TV 9'!G8*'TV 9'!F8</f>
        <v>0</v>
      </c>
      <c r="I8" s="1"/>
    </row>
    <row r="9" spans="1:9">
      <c r="A9" s="1">
        <f t="shared" si="0"/>
        <v>2026</v>
      </c>
      <c r="B9" s="1">
        <f t="shared" si="1"/>
        <v>46</v>
      </c>
      <c r="C9" s="1">
        <v>7</v>
      </c>
      <c r="D9" s="1">
        <f>IF(Summary!$G$10="M",VLOOKUP(B:B,'male g'!A:V,IF(A9&gt;2033,22,MATCH(A9,'male g'!$A$1:$V$1,0)),FALSE),VLOOKUP(B:B,'female g'!A:V,IF(A9&gt;2033,22,MATCH(A9,'female g'!$A$1:$V$1,0)),FALSE))</f>
        <v>7.2918500000000003E-4</v>
      </c>
      <c r="E9" s="1">
        <f t="shared" si="2"/>
        <v>0.99927081500000003</v>
      </c>
      <c r="F9" s="1">
        <f t="shared" si="3"/>
        <v>0.999332687</v>
      </c>
      <c r="G9" s="1">
        <f>1/(1+Summary!$O$2)^$C9</f>
        <v>0.71068133013012147</v>
      </c>
      <c r="H9" s="1">
        <f>IF(B9&gt;64, Summary!$J$2, 0)*'TV 9'!G9*'TV 9'!F9</f>
        <v>0</v>
      </c>
      <c r="I9" s="1"/>
    </row>
    <row r="10" spans="1:9">
      <c r="A10" s="1">
        <f t="shared" si="0"/>
        <v>2027</v>
      </c>
      <c r="B10" s="1">
        <f t="shared" si="1"/>
        <v>47</v>
      </c>
      <c r="C10" s="1">
        <v>8</v>
      </c>
      <c r="D10" s="1">
        <f>IF(Summary!$G$10="M",VLOOKUP(B:B,'male g'!A:V,IF(A10&gt;2033,22,MATCH(A10,'male g'!$A$1:$V$1,0)),FALSE),VLOOKUP(B:B,'female g'!A:V,IF(A10&gt;2033,22,MATCH(A10,'female g'!$A$1:$V$1,0)),FALSE))</f>
        <v>7.9581900000000002E-4</v>
      </c>
      <c r="E10" s="1">
        <f t="shared" si="2"/>
        <v>0.99920418099999997</v>
      </c>
      <c r="F10" s="1">
        <f t="shared" si="3"/>
        <v>0.99927081500000003</v>
      </c>
      <c r="G10" s="1">
        <f>1/(1+Summary!$O$2)^$C10</f>
        <v>0.67683936202868722</v>
      </c>
      <c r="H10" s="1">
        <f>IF(B10&gt;64, Summary!$J$2, 0)*'TV 9'!G10*'TV 9'!F10</f>
        <v>0</v>
      </c>
      <c r="I10" s="1"/>
    </row>
    <row r="11" spans="1:9">
      <c r="A11" s="1">
        <f t="shared" si="0"/>
        <v>2028</v>
      </c>
      <c r="B11" s="1">
        <f t="shared" si="1"/>
        <v>48</v>
      </c>
      <c r="C11" s="1">
        <v>9</v>
      </c>
      <c r="D11" s="1">
        <f>IF(Summary!$G$10="M",VLOOKUP(B:B,'male g'!A:V,IF(A11&gt;2033,22,MATCH(A11,'male g'!$A$1:$V$1,0)),FALSE),VLOOKUP(B:B,'female g'!A:V,IF(A11&gt;2033,22,MATCH(A11,'female g'!$A$1:$V$1,0)),FALSE))</f>
        <v>8.6762299999999998E-4</v>
      </c>
      <c r="E11" s="1">
        <f t="shared" si="2"/>
        <v>0.99913237700000002</v>
      </c>
      <c r="F11" s="1">
        <f t="shared" si="3"/>
        <v>0.99920418099999997</v>
      </c>
      <c r="G11" s="1">
        <f>1/(1+Summary!$O$2)^$C11</f>
        <v>0.64460891621779726</v>
      </c>
      <c r="H11" s="1">
        <f>IF(B11&gt;64, Summary!$J$2, 0)*'TV 9'!G11*'TV 9'!F11</f>
        <v>0</v>
      </c>
      <c r="I11" s="1"/>
    </row>
    <row r="12" spans="1:9">
      <c r="A12" s="1">
        <f t="shared" si="0"/>
        <v>2029</v>
      </c>
      <c r="B12" s="1">
        <f t="shared" si="1"/>
        <v>49</v>
      </c>
      <c r="C12" s="1">
        <v>10</v>
      </c>
      <c r="D12" s="1">
        <f>IF(Summary!$G$10="M",VLOOKUP(B:B,'male g'!A:V,IF(A12&gt;2033,22,MATCH(A12,'male g'!$A$1:$V$1,0)),FALSE),VLOOKUP(B:B,'female g'!A:V,IF(A12&gt;2033,22,MATCH(A12,'female g'!$A$1:$V$1,0)),FALSE))</f>
        <v>9.4305699999999997E-4</v>
      </c>
      <c r="E12" s="1">
        <f t="shared" si="2"/>
        <v>0.99905694300000003</v>
      </c>
      <c r="F12" s="1">
        <f t="shared" si="3"/>
        <v>0.99913237700000002</v>
      </c>
      <c r="G12" s="1">
        <f>1/(1+Summary!$O$2)^$C12</f>
        <v>0.61391325354075932</v>
      </c>
      <c r="H12" s="1">
        <f>IF(B12&gt;64, Summary!$J$2, 0)*'TV 9'!G12*'TV 9'!F12</f>
        <v>0</v>
      </c>
      <c r="I12" s="1"/>
    </row>
    <row r="13" spans="1:9">
      <c r="A13" s="1">
        <f t="shared" si="0"/>
        <v>2030</v>
      </c>
      <c r="B13" s="1">
        <f t="shared" si="1"/>
        <v>50</v>
      </c>
      <c r="C13" s="1">
        <v>11</v>
      </c>
      <c r="D13" s="1">
        <f>IF(Summary!$G$10="M",VLOOKUP(B:B,'male g'!A:V,IF(A13&gt;2033,22,MATCH(A13,'male g'!$A$1:$V$1,0)),FALSE),VLOOKUP(B:B,'female g'!A:V,IF(A13&gt;2033,22,MATCH(A13,'female g'!$A$1:$V$1,0)),FALSE))</f>
        <v>2.5713860000000002E-3</v>
      </c>
      <c r="E13" s="1">
        <f t="shared" si="2"/>
        <v>0.99742861400000005</v>
      </c>
      <c r="F13" s="1">
        <f t="shared" si="3"/>
        <v>0.99905694300000003</v>
      </c>
      <c r="G13" s="1">
        <f>1/(1+Summary!$O$2)^$C13</f>
        <v>0.5846792890864374</v>
      </c>
      <c r="H13" s="1">
        <f>IF(B13&gt;64, Summary!$J$2, 0)*'TV 9'!G13*'TV 9'!F13</f>
        <v>0</v>
      </c>
      <c r="I13" s="1"/>
    </row>
    <row r="14" spans="1:9">
      <c r="A14" s="1">
        <f t="shared" si="0"/>
        <v>2031</v>
      </c>
      <c r="B14" s="1">
        <f t="shared" si="1"/>
        <v>51</v>
      </c>
      <c r="C14" s="1">
        <v>12</v>
      </c>
      <c r="D14" s="1">
        <f>IF(Summary!$G$10="M",VLOOKUP(B:B,'male g'!A:V,IF(A14&gt;2033,22,MATCH(A14,'male g'!$A$1:$V$1,0)),FALSE),VLOOKUP(B:B,'female g'!A:V,IF(A14&gt;2033,22,MATCH(A14,'female g'!$A$1:$V$1,0)),FALSE))</f>
        <v>2.667642E-3</v>
      </c>
      <c r="E14" s="1">
        <f t="shared" si="2"/>
        <v>0.99733235799999997</v>
      </c>
      <c r="F14" s="1">
        <f t="shared" si="3"/>
        <v>0.99742861400000005</v>
      </c>
      <c r="G14" s="1">
        <f>1/(1+Summary!$O$2)^$C14</f>
        <v>0.5568374181775595</v>
      </c>
      <c r="H14" s="1">
        <f>IF(B14&gt;64, Summary!$J$2, 0)*'TV 9'!G14*'TV 9'!F14</f>
        <v>0</v>
      </c>
      <c r="I14" s="1"/>
    </row>
    <row r="15" spans="1:9">
      <c r="A15" s="1">
        <f t="shared" si="0"/>
        <v>2032</v>
      </c>
      <c r="B15" s="1">
        <f t="shared" si="1"/>
        <v>52</v>
      </c>
      <c r="C15" s="1">
        <v>13</v>
      </c>
      <c r="D15" s="1">
        <f>IF(Summary!$G$10="M",VLOOKUP(B:B,'male g'!A:V,IF(A15&gt;2033,22,MATCH(A15,'male g'!$A$1:$V$1,0)),FALSE),VLOOKUP(B:B,'female g'!A:V,IF(A15&gt;2033,22,MATCH(A15,'female g'!$A$1:$V$1,0)),FALSE))</f>
        <v>2.7815919999999998E-3</v>
      </c>
      <c r="E15" s="1">
        <f t="shared" si="2"/>
        <v>0.99721840799999995</v>
      </c>
      <c r="F15" s="1">
        <f t="shared" si="3"/>
        <v>0.99733235799999997</v>
      </c>
      <c r="G15" s="1">
        <f>1/(1+Summary!$O$2)^$C15</f>
        <v>0.53032135064529462</v>
      </c>
      <c r="H15" s="1">
        <f>IF(B15&gt;64, Summary!$J$2, 0)*'TV 9'!G15*'TV 9'!F15</f>
        <v>0</v>
      </c>
      <c r="I15" s="1"/>
    </row>
    <row r="16" spans="1:9">
      <c r="A16" s="1">
        <f t="shared" si="0"/>
        <v>2033</v>
      </c>
      <c r="B16" s="1">
        <f t="shared" si="1"/>
        <v>53</v>
      </c>
      <c r="C16" s="1">
        <v>14</v>
      </c>
      <c r="D16" s="1">
        <f>IF(Summary!$G$10="M",VLOOKUP(B:B,'male g'!A:V,IF(A16&gt;2033,22,MATCH(A16,'male g'!$A$1:$V$1,0)),FALSE),VLOOKUP(B:B,'female g'!A:V,IF(A16&gt;2033,22,MATCH(A16,'female g'!$A$1:$V$1,0)),FALSE))</f>
        <v>2.915192E-3</v>
      </c>
      <c r="E16" s="1">
        <f t="shared" si="2"/>
        <v>0.99708480799999999</v>
      </c>
      <c r="F16" s="1">
        <f t="shared" si="3"/>
        <v>0.99721840799999995</v>
      </c>
      <c r="G16" s="1">
        <f>1/(1+Summary!$O$2)^$C16</f>
        <v>0.50506795299551888</v>
      </c>
      <c r="H16" s="1">
        <f>IF(B16&gt;64, Summary!$J$2, 0)*'TV 9'!G16*'TV 9'!F16</f>
        <v>0</v>
      </c>
      <c r="I16" s="1"/>
    </row>
    <row r="17" spans="1:9">
      <c r="A17" s="1">
        <f t="shared" si="0"/>
        <v>2034</v>
      </c>
      <c r="B17" s="1">
        <f t="shared" si="1"/>
        <v>54</v>
      </c>
      <c r="C17" s="1">
        <v>15</v>
      </c>
      <c r="D17" s="1">
        <f>IF(Summary!$G$10="M",VLOOKUP(B:B,'male g'!A:V,IF(A17&gt;2033,22,MATCH(A17,'male g'!$A$1:$V$1,0)),FALSE),VLOOKUP(B:B,'female g'!A:V,IF(A17&gt;2033,22,MATCH(A17,'female g'!$A$1:$V$1,0)),FALSE))</f>
        <v>3.0685230000000001E-3</v>
      </c>
      <c r="E17" s="1">
        <f t="shared" si="2"/>
        <v>0.99693147699999995</v>
      </c>
      <c r="F17" s="1">
        <f t="shared" si="3"/>
        <v>0.99708480799999999</v>
      </c>
      <c r="G17" s="1">
        <f>1/(1+Summary!$O$2)^$C17</f>
        <v>0.48101709809097021</v>
      </c>
      <c r="H17" s="1">
        <f>IF(B17&gt;64, Summary!$J$2, 0)*'TV 9'!G17*'TV 9'!F17</f>
        <v>0</v>
      </c>
      <c r="I17" s="1"/>
    </row>
    <row r="18" spans="1:9">
      <c r="A18" s="1">
        <f t="shared" si="0"/>
        <v>2035</v>
      </c>
      <c r="B18" s="1">
        <f t="shared" si="1"/>
        <v>55</v>
      </c>
      <c r="C18" s="1">
        <v>16</v>
      </c>
      <c r="D18" s="1">
        <f>IF(Summary!$G$10="M",VLOOKUP(B:B,'male g'!A:V,IF(A18&gt;2033,22,MATCH(A18,'male g'!$A$1:$V$1,0)),FALSE),VLOOKUP(B:B,'female g'!A:V,IF(A18&gt;2033,22,MATCH(A18,'female g'!$A$1:$V$1,0)),FALSE))</f>
        <v>3.2780830000000002E-3</v>
      </c>
      <c r="E18" s="1">
        <f t="shared" si="2"/>
        <v>0.99672191700000001</v>
      </c>
      <c r="F18" s="1">
        <f t="shared" si="3"/>
        <v>0.99693147699999995</v>
      </c>
      <c r="G18" s="1">
        <f>1/(1+Summary!$O$2)^$C18</f>
        <v>0.45811152199140021</v>
      </c>
      <c r="H18" s="1">
        <f>IF(B18&gt;64, Summary!$J$2, 0)*'TV 9'!G18*'TV 9'!F18</f>
        <v>0</v>
      </c>
      <c r="I18" s="1"/>
    </row>
    <row r="19" spans="1:9">
      <c r="A19" s="1">
        <f t="shared" si="0"/>
        <v>2036</v>
      </c>
      <c r="B19" s="1">
        <f t="shared" si="1"/>
        <v>56</v>
      </c>
      <c r="C19" s="1">
        <v>17</v>
      </c>
      <c r="D19" s="1">
        <f>IF(Summary!$G$10="M",VLOOKUP(B:B,'male g'!A:V,IF(A19&gt;2033,22,MATCH(A19,'male g'!$A$1:$V$1,0)),FALSE),VLOOKUP(B:B,'female g'!A:V,IF(A19&gt;2033,22,MATCH(A19,'female g'!$A$1:$V$1,0)),FALSE))</f>
        <v>3.5159589999999999E-3</v>
      </c>
      <c r="E19" s="1">
        <f t="shared" si="2"/>
        <v>0.99648404099999999</v>
      </c>
      <c r="F19" s="1">
        <f t="shared" si="3"/>
        <v>0.99672191700000001</v>
      </c>
      <c r="G19" s="1">
        <f>1/(1+Summary!$O$2)^$C19</f>
        <v>0.43629668761085727</v>
      </c>
      <c r="H19" s="1">
        <f>IF(B19&gt;64, Summary!$J$2, 0)*'TV 9'!G19*'TV 9'!F19</f>
        <v>0</v>
      </c>
      <c r="I19" s="1"/>
    </row>
    <row r="20" spans="1:9">
      <c r="A20" s="1">
        <f t="shared" si="0"/>
        <v>2037</v>
      </c>
      <c r="B20" s="1">
        <f t="shared" si="1"/>
        <v>57</v>
      </c>
      <c r="C20" s="1">
        <v>18</v>
      </c>
      <c r="D20" s="1">
        <f>IF(Summary!$G$10="M",VLOOKUP(B:B,'male g'!A:V,IF(A20&gt;2033,22,MATCH(A20,'male g'!$A$1:$V$1,0)),FALSE),VLOOKUP(B:B,'female g'!A:V,IF(A20&gt;2033,22,MATCH(A20,'female g'!$A$1:$V$1,0)),FALSE))</f>
        <v>3.7870999999999998E-3</v>
      </c>
      <c r="E20" s="1">
        <f t="shared" si="2"/>
        <v>0.99621289999999996</v>
      </c>
      <c r="F20" s="1">
        <f t="shared" si="3"/>
        <v>0.99648404099999999</v>
      </c>
      <c r="G20" s="1">
        <f>1/(1+Summary!$O$2)^$C20</f>
        <v>0.41552065486748313</v>
      </c>
      <c r="H20" s="1">
        <f>IF(B20&gt;64, Summary!$J$2, 0)*'TV 9'!G20*'TV 9'!F20</f>
        <v>0</v>
      </c>
      <c r="I20" s="1"/>
    </row>
    <row r="21" spans="1:9">
      <c r="A21" s="1">
        <f t="shared" si="0"/>
        <v>2038</v>
      </c>
      <c r="B21" s="1">
        <f t="shared" si="1"/>
        <v>58</v>
      </c>
      <c r="C21" s="1">
        <v>19</v>
      </c>
      <c r="D21" s="1">
        <f>IF(Summary!$G$10="M",VLOOKUP(B:B,'male g'!A:V,IF(A21&gt;2033,22,MATCH(A21,'male g'!$A$1:$V$1,0)),FALSE),VLOOKUP(B:B,'female g'!A:V,IF(A21&gt;2033,22,MATCH(A21,'female g'!$A$1:$V$1,0)),FALSE))</f>
        <v>4.0919779999999996E-3</v>
      </c>
      <c r="E21" s="1">
        <f t="shared" si="2"/>
        <v>0.99590802199999995</v>
      </c>
      <c r="F21" s="1">
        <f t="shared" si="3"/>
        <v>0.99621289999999996</v>
      </c>
      <c r="G21" s="1">
        <f>1/(1+Summary!$O$2)^$C21</f>
        <v>0.39573395701665059</v>
      </c>
      <c r="H21" s="1">
        <f>IF(B21&gt;64, Summary!$J$2, 0)*'TV 9'!G21*'TV 9'!F21</f>
        <v>0</v>
      </c>
      <c r="I21" s="1"/>
    </row>
    <row r="22" spans="1:9">
      <c r="A22" s="1">
        <f t="shared" si="0"/>
        <v>2039</v>
      </c>
      <c r="B22" s="1">
        <f t="shared" si="1"/>
        <v>59</v>
      </c>
      <c r="C22" s="1">
        <v>20</v>
      </c>
      <c r="D22" s="1">
        <f>IF(Summary!$G$10="M",VLOOKUP(B:B,'male g'!A:V,IF(A22&gt;2033,22,MATCH(A22,'male g'!$A$1:$V$1,0)),FALSE),VLOOKUP(B:B,'female g'!A:V,IF(A22&gt;2033,22,MATCH(A22,'female g'!$A$1:$V$1,0)),FALSE))</f>
        <v>4.433523E-3</v>
      </c>
      <c r="E22" s="1">
        <f t="shared" si="2"/>
        <v>0.99556647700000001</v>
      </c>
      <c r="F22" s="1">
        <f t="shared" si="3"/>
        <v>0.99590802199999995</v>
      </c>
      <c r="G22" s="1">
        <f>1/(1+Summary!$O$2)^$C22</f>
        <v>0.37688948287300061</v>
      </c>
      <c r="H22" s="1">
        <f>IF(B22&gt;64, Summary!$J$2, 0)*'TV 9'!G22*'TV 9'!F22</f>
        <v>0</v>
      </c>
      <c r="I22" s="1"/>
    </row>
    <row r="23" spans="1:9">
      <c r="A23" s="1">
        <f t="shared" si="0"/>
        <v>2040</v>
      </c>
      <c r="B23" s="1">
        <f t="shared" si="1"/>
        <v>60</v>
      </c>
      <c r="C23" s="1">
        <v>21</v>
      </c>
      <c r="D23" s="1">
        <f>IF(Summary!$G$10="M",VLOOKUP(B:B,'male g'!A:V,IF(A23&gt;2033,22,MATCH(A23,'male g'!$A$1:$V$1,0)),FALSE),VLOOKUP(B:B,'female g'!A:V,IF(A23&gt;2033,22,MATCH(A23,'female g'!$A$1:$V$1,0)),FALSE))</f>
        <v>4.8115959999999996E-3</v>
      </c>
      <c r="E23" s="1">
        <f t="shared" si="2"/>
        <v>0.99518840399999997</v>
      </c>
      <c r="F23" s="1">
        <f t="shared" si="3"/>
        <v>0.99556647700000001</v>
      </c>
      <c r="G23" s="1">
        <f>1/(1+Summary!$O$2)^$C23</f>
        <v>0.35894236464095297</v>
      </c>
      <c r="H23" s="1">
        <f>IF(B23&gt;64, Summary!$J$2, 0)*'TV 9'!G23*'TV 9'!F23</f>
        <v>0</v>
      </c>
      <c r="I23" s="1"/>
    </row>
    <row r="24" spans="1:9">
      <c r="A24" s="1">
        <f t="shared" si="0"/>
        <v>2041</v>
      </c>
      <c r="B24" s="1">
        <f t="shared" si="1"/>
        <v>61</v>
      </c>
      <c r="C24" s="1">
        <v>22</v>
      </c>
      <c r="D24" s="1">
        <f>IF(Summary!$G$10="M",VLOOKUP(B:B,'male g'!A:V,IF(A24&gt;2033,22,MATCH(A24,'male g'!$A$1:$V$1,0)),FALSE),VLOOKUP(B:B,'female g'!A:V,IF(A24&gt;2033,22,MATCH(A24,'female g'!$A$1:$V$1,0)),FALSE))</f>
        <v>5.2263159999999999E-3</v>
      </c>
      <c r="E24" s="1">
        <f t="shared" si="2"/>
        <v>0.99477368399999999</v>
      </c>
      <c r="F24" s="1">
        <f t="shared" si="3"/>
        <v>0.99518840399999997</v>
      </c>
      <c r="G24" s="1">
        <f>1/(1+Summary!$O$2)^$C24</f>
        <v>0.3418498710866219</v>
      </c>
      <c r="H24" s="1">
        <f>IF(B24&gt;64, Summary!$J$2, 0)*'TV 9'!G24*'TV 9'!F24</f>
        <v>0</v>
      </c>
      <c r="I24" s="1"/>
    </row>
    <row r="25" spans="1:9">
      <c r="A25" s="1">
        <f t="shared" si="0"/>
        <v>2042</v>
      </c>
      <c r="B25" s="1">
        <f t="shared" si="1"/>
        <v>62</v>
      </c>
      <c r="C25" s="1">
        <v>23</v>
      </c>
      <c r="D25" s="1">
        <f>IF(Summary!$G$10="M",VLOOKUP(B:B,'male g'!A:V,IF(A25&gt;2033,22,MATCH(A25,'male g'!$A$1:$V$1,0)),FALSE),VLOOKUP(B:B,'female g'!A:V,IF(A25&gt;2033,22,MATCH(A25,'female g'!$A$1:$V$1,0)),FALSE))</f>
        <v>5.6760500000000002E-3</v>
      </c>
      <c r="E25" s="1">
        <f t="shared" si="2"/>
        <v>0.99432394999999996</v>
      </c>
      <c r="F25" s="1">
        <f t="shared" si="3"/>
        <v>0.99477368399999999</v>
      </c>
      <c r="G25" s="1">
        <f>1/(1+Summary!$O$2)^$C25</f>
        <v>0.32557130579678267</v>
      </c>
      <c r="H25" s="1">
        <f>IF(B25&gt;64, Summary!$J$2, 0)*'TV 9'!G25*'TV 9'!F25</f>
        <v>0</v>
      </c>
      <c r="I25" s="1"/>
    </row>
    <row r="26" spans="1:9">
      <c r="A26" s="1">
        <f t="shared" si="0"/>
        <v>2043</v>
      </c>
      <c r="B26" s="1">
        <f t="shared" si="1"/>
        <v>63</v>
      </c>
      <c r="C26" s="1">
        <v>24</v>
      </c>
      <c r="D26" s="1">
        <f>IF(Summary!$G$10="M",VLOOKUP(B:B,'male g'!A:V,IF(A26&gt;2033,22,MATCH(A26,'male g'!$A$1:$V$1,0)),FALSE),VLOOKUP(B:B,'female g'!A:V,IF(A26&gt;2033,22,MATCH(A26,'female g'!$A$1:$V$1,0)),FALSE))</f>
        <v>6.1621799999999997E-3</v>
      </c>
      <c r="E26" s="1">
        <f t="shared" si="2"/>
        <v>0.99383781999999998</v>
      </c>
      <c r="F26" s="1">
        <f t="shared" si="3"/>
        <v>0.99432394999999996</v>
      </c>
      <c r="G26" s="1">
        <f>1/(1+Summary!$O$2)^$C26</f>
        <v>0.31006791028265024</v>
      </c>
      <c r="H26" s="1">
        <f>IF(B26&gt;64, Summary!$J$2, 0)*'TV 9'!G26*'TV 9'!F26</f>
        <v>0</v>
      </c>
      <c r="I26" s="1"/>
    </row>
    <row r="27" spans="1:9">
      <c r="A27" s="1">
        <f t="shared" si="0"/>
        <v>2044</v>
      </c>
      <c r="B27" s="1">
        <f t="shared" si="1"/>
        <v>64</v>
      </c>
      <c r="C27" s="1">
        <v>25</v>
      </c>
      <c r="D27" s="1">
        <f>IF(Summary!$G$10="M",VLOOKUP(B:B,'male g'!A:V,IF(A27&gt;2033,22,MATCH(A27,'male g'!$A$1:$V$1,0)),FALSE),VLOOKUP(B:B,'female g'!A:V,IF(A27&gt;2033,22,MATCH(A27,'female g'!$A$1:$V$1,0)),FALSE))</f>
        <v>6.6840069999999996E-3</v>
      </c>
      <c r="E27" s="1">
        <f t="shared" si="2"/>
        <v>0.99331599299999995</v>
      </c>
      <c r="F27" s="1">
        <f t="shared" si="3"/>
        <v>0.99383781999999998</v>
      </c>
      <c r="G27" s="1">
        <f>1/(1+Summary!$O$2)^$C27</f>
        <v>0.29530277169776209</v>
      </c>
      <c r="H27" s="1">
        <f>IF(B27&gt;64, Summary!$J$2, 0)*'TV 9'!G27*'TV 9'!F27</f>
        <v>0</v>
      </c>
      <c r="I27" s="1"/>
    </row>
    <row r="28" spans="1:9">
      <c r="A28" s="1">
        <f t="shared" si="0"/>
        <v>2045</v>
      </c>
      <c r="B28" s="1">
        <f t="shared" si="1"/>
        <v>65</v>
      </c>
      <c r="C28" s="1">
        <v>26</v>
      </c>
      <c r="D28" s="1">
        <f>IF(Summary!$G$10="M",VLOOKUP(B:B,'male g'!A:V,IF(A28&gt;2033,22,MATCH(A28,'male g'!$A$1:$V$1,0)),FALSE),VLOOKUP(B:B,'female g'!A:V,IF(A28&gt;2033,22,MATCH(A28,'female g'!$A$1:$V$1,0)),FALSE))</f>
        <v>7.247748E-3</v>
      </c>
      <c r="E28" s="1">
        <f t="shared" si="2"/>
        <v>0.99275225199999995</v>
      </c>
      <c r="F28" s="1">
        <f t="shared" si="3"/>
        <v>0.99331599299999995</v>
      </c>
      <c r="G28" s="1">
        <f>1/(1+Summary!$O$2)^$C28</f>
        <v>0.28124073495024959</v>
      </c>
      <c r="H28" s="1">
        <f>IF(B28&gt;64, Summary!$J$2, 0)*'TV 9'!G28*'TV 9'!F28</f>
        <v>2275.7820273548859</v>
      </c>
      <c r="I28" s="1"/>
    </row>
    <row r="29" spans="1:9">
      <c r="A29" s="1">
        <f t="shared" si="0"/>
        <v>2046</v>
      </c>
      <c r="B29" s="1">
        <f t="shared" si="1"/>
        <v>66</v>
      </c>
      <c r="C29" s="1">
        <v>27</v>
      </c>
      <c r="D29" s="1">
        <f>IF(Summary!$G$10="M",VLOOKUP(B:B,'male g'!A:V,IF(A29&gt;2033,22,MATCH(A29,'male g'!$A$1:$V$1,0)),FALSE),VLOOKUP(B:B,'female g'!A:V,IF(A29&gt;2033,22,MATCH(A29,'female g'!$A$1:$V$1,0)),FALSE))</f>
        <v>7.8640140000000008E-3</v>
      </c>
      <c r="E29" s="1">
        <f t="shared" si="2"/>
        <v>0.99213598599999997</v>
      </c>
      <c r="F29" s="1">
        <f t="shared" si="3"/>
        <v>0.99275225199999995</v>
      </c>
      <c r="G29" s="1">
        <f>1/(1+Summary!$O$2)^$C29</f>
        <v>0.2678483190002377</v>
      </c>
      <c r="H29" s="1">
        <f>IF(B29&gt;64, Summary!$J$2, 0)*'TV 9'!G29*'TV 9'!F29</f>
        <v>2166.1813740557327</v>
      </c>
      <c r="I29" s="1"/>
    </row>
    <row r="30" spans="1:9">
      <c r="A30" s="1">
        <f t="shared" si="0"/>
        <v>2047</v>
      </c>
      <c r="B30" s="1">
        <f t="shared" si="1"/>
        <v>67</v>
      </c>
      <c r="C30" s="1">
        <v>28</v>
      </c>
      <c r="D30" s="1">
        <f>IF(Summary!$G$10="M",VLOOKUP(B:B,'male g'!A:V,IF(A30&gt;2033,22,MATCH(A30,'male g'!$A$1:$V$1,0)),FALSE),VLOOKUP(B:B,'female g'!A:V,IF(A30&gt;2033,22,MATCH(A30,'female g'!$A$1:$V$1,0)),FALSE))</f>
        <v>8.5402580000000002E-3</v>
      </c>
      <c r="E30" s="1">
        <f t="shared" si="2"/>
        <v>0.99145974199999998</v>
      </c>
      <c r="F30" s="1">
        <f t="shared" si="3"/>
        <v>0.99213598599999997</v>
      </c>
      <c r="G30" s="1">
        <f>1/(1+Summary!$O$2)^$C30</f>
        <v>0.25509363714308358</v>
      </c>
      <c r="H30" s="1">
        <f>IF(B30&gt;64, Summary!$J$2, 0)*'TV 9'!G30*'TV 9'!F30</f>
        <v>2061.7492230014336</v>
      </c>
      <c r="I30" s="1"/>
    </row>
    <row r="31" spans="1:9">
      <c r="A31" s="1">
        <f t="shared" si="0"/>
        <v>2048</v>
      </c>
      <c r="B31" s="1">
        <f t="shared" si="1"/>
        <v>68</v>
      </c>
      <c r="C31" s="1">
        <v>29</v>
      </c>
      <c r="D31" s="1">
        <f>IF(Summary!$G$10="M",VLOOKUP(B:B,'male g'!A:V,IF(A31&gt;2033,22,MATCH(A31,'male g'!$A$1:$V$1,0)),FALSE),VLOOKUP(B:B,'female g'!A:V,IF(A31&gt;2033,22,MATCH(A31,'female g'!$A$1:$V$1,0)),FALSE))</f>
        <v>9.291054E-3</v>
      </c>
      <c r="E31" s="1">
        <f t="shared" si="2"/>
        <v>0.99070894600000003</v>
      </c>
      <c r="F31" s="1">
        <f t="shared" si="3"/>
        <v>0.99145974199999998</v>
      </c>
      <c r="G31" s="1">
        <f>1/(1+Summary!$O$2)^$C31</f>
        <v>0.24294632108865097</v>
      </c>
      <c r="H31" s="1">
        <f>IF(B31&gt;64, Summary!$J$2, 0)*'TV 9'!G31*'TV 9'!F31</f>
        <v>1962.2323106533747</v>
      </c>
      <c r="I31" s="1"/>
    </row>
    <row r="32" spans="1:9">
      <c r="A32" s="1">
        <f t="shared" si="0"/>
        <v>2049</v>
      </c>
      <c r="B32" s="1">
        <f t="shared" si="1"/>
        <v>69</v>
      </c>
      <c r="C32" s="1">
        <v>30</v>
      </c>
      <c r="D32" s="1">
        <f>IF(Summary!$G$10="M",VLOOKUP(B:B,'male g'!A:V,IF(A32&gt;2033,22,MATCH(A32,'male g'!$A$1:$V$1,0)),FALSE),VLOOKUP(B:B,'female g'!A:V,IF(A32&gt;2033,22,MATCH(A32,'female g'!$A$1:$V$1,0)),FALSE))</f>
        <v>1.0121299E-2</v>
      </c>
      <c r="E32" s="1">
        <f t="shared" si="2"/>
        <v>0.98987870099999997</v>
      </c>
      <c r="F32" s="1">
        <f t="shared" si="3"/>
        <v>0.99070894600000003</v>
      </c>
      <c r="G32" s="1">
        <f>1/(1+Summary!$O$2)^$C32</f>
        <v>0.23137744865585813</v>
      </c>
      <c r="H32" s="1">
        <f>IF(B32&gt;64, Summary!$J$2, 0)*'TV 9'!G32*'TV 9'!F32</f>
        <v>1867.3775088466143</v>
      </c>
      <c r="I32" s="1"/>
    </row>
    <row r="33" spans="1:9">
      <c r="A33" s="1">
        <f t="shared" si="0"/>
        <v>2050</v>
      </c>
      <c r="B33" s="1">
        <f t="shared" si="1"/>
        <v>70</v>
      </c>
      <c r="C33" s="1">
        <v>31</v>
      </c>
      <c r="D33" s="1">
        <f>IF(Summary!$G$10="M",VLOOKUP(B:B,'male g'!A:V,IF(A33&gt;2033,22,MATCH(A33,'male g'!$A$1:$V$1,0)),FALSE),VLOOKUP(B:B,'female g'!A:V,IF(A33&gt;2033,22,MATCH(A33,'female g'!$A$1:$V$1,0)),FALSE))</f>
        <v>1.1050012E-2</v>
      </c>
      <c r="E33" s="1">
        <f t="shared" si="2"/>
        <v>0.988949988</v>
      </c>
      <c r="F33" s="1">
        <f t="shared" si="3"/>
        <v>0.98987870099999997</v>
      </c>
      <c r="G33" s="1">
        <f>1/(1+Summary!$O$2)^$C33</f>
        <v>0.220359474910341</v>
      </c>
      <c r="H33" s="1">
        <f>IF(B33&gt;64, Summary!$J$2, 0)*'TV 9'!G33*'TV 9'!F33</f>
        <v>1776.96436975711</v>
      </c>
      <c r="I33" s="1"/>
    </row>
    <row r="34" spans="1:9">
      <c r="A34" s="1">
        <f t="shared" si="0"/>
        <v>2051</v>
      </c>
      <c r="B34" s="1">
        <f t="shared" si="1"/>
        <v>71</v>
      </c>
      <c r="C34" s="1">
        <v>32</v>
      </c>
      <c r="D34" s="1">
        <f>IF(Summary!$G$10="M",VLOOKUP(B:B,'male g'!A:V,IF(A34&gt;2033,22,MATCH(A34,'male g'!$A$1:$V$1,0)),FALSE),VLOOKUP(B:B,'female g'!A:V,IF(A34&gt;2033,22,MATCH(A34,'female g'!$A$1:$V$1,0)),FALSE))</f>
        <v>1.2082262999999999E-2</v>
      </c>
      <c r="E34" s="1">
        <f t="shared" si="2"/>
        <v>0.98791773699999996</v>
      </c>
      <c r="F34" s="1">
        <f t="shared" si="3"/>
        <v>0.988949988</v>
      </c>
      <c r="G34" s="1">
        <f>1/(1+Summary!$O$2)^$C34</f>
        <v>0.20986616658127716</v>
      </c>
      <c r="H34" s="1">
        <f>IF(B34&gt;64, Summary!$J$2, 0)*'TV 9'!G34*'TV 9'!F34</f>
        <v>1690.7592437936605</v>
      </c>
      <c r="I34" s="1"/>
    </row>
    <row r="35" spans="1:9">
      <c r="A35" s="1">
        <f>$A$2+C35</f>
        <v>2052</v>
      </c>
      <c r="B35" s="1">
        <f>$B$2+C35</f>
        <v>72</v>
      </c>
      <c r="C35" s="1">
        <v>33</v>
      </c>
      <c r="D35" s="1">
        <f>IF(Summary!$G$10="M",VLOOKUP(B:B,'male g'!A:V,IF(A35&gt;2033,22,MATCH(A35,'male g'!$A$1:$V$1,0)),FALSE),VLOOKUP(B:B,'female g'!A:V,IF(A35&gt;2033,22,MATCH(A35,'female g'!$A$1:$V$1,0)),FALSE))</f>
        <v>1.3232393E-2</v>
      </c>
      <c r="E35" s="1">
        <f t="shared" si="2"/>
        <v>0.98676760699999999</v>
      </c>
      <c r="F35" s="1">
        <f t="shared" si="3"/>
        <v>0.98791773699999996</v>
      </c>
      <c r="G35" s="1">
        <f>1/(1+Summary!$O$2)^$C35</f>
        <v>0.19987253960121634</v>
      </c>
      <c r="H35" s="1">
        <f>IF(B35&gt;64, Summary!$J$2, 0)*'TV 9'!G35*'TV 9'!F35</f>
        <v>1608.5661475575564</v>
      </c>
      <c r="I35" s="1"/>
    </row>
    <row r="36" spans="1:9">
      <c r="A36" s="1">
        <f t="shared" ref="A36:A47" si="4">$A$2+C36</f>
        <v>2053</v>
      </c>
      <c r="B36" s="1">
        <f t="shared" si="1"/>
        <v>73</v>
      </c>
      <c r="C36" s="1">
        <v>34</v>
      </c>
      <c r="D36" s="1">
        <f>IF(Summary!$G$10="M",VLOOKUP(B:B,'male g'!A:V,IF(A36&gt;2033,22,MATCH(A36,'male g'!$A$1:$V$1,0)),FALSE),VLOOKUP(B:B,'female g'!A:V,IF(A36&gt;2033,22,MATCH(A36,'female g'!$A$1:$V$1,0)),FALSE))</f>
        <v>1.4520474E-2</v>
      </c>
      <c r="E36" s="1">
        <f t="shared" si="2"/>
        <v>0.98547952599999999</v>
      </c>
      <c r="F36" s="1">
        <f t="shared" si="3"/>
        <v>0.98676760699999999</v>
      </c>
      <c r="G36" s="1">
        <f>1/(1+Summary!$O$2)^$C36</f>
        <v>0.19035479962020604</v>
      </c>
      <c r="H36" s="1">
        <f>IF(B36&gt;64, Summary!$J$2, 0)*'TV 9'!G36*'TV 9'!F36</f>
        <v>1530.184248651213</v>
      </c>
      <c r="I36" s="1"/>
    </row>
    <row r="37" spans="1:9">
      <c r="A37" s="1">
        <f t="shared" si="4"/>
        <v>2054</v>
      </c>
      <c r="B37" s="1">
        <f t="shared" si="1"/>
        <v>74</v>
      </c>
      <c r="C37" s="1">
        <v>35</v>
      </c>
      <c r="D37" s="1">
        <f>IF(Summary!$G$10="M",VLOOKUP(B:B,'male g'!A:V,IF(A37&gt;2033,22,MATCH(A37,'male g'!$A$1:$V$1,0)),FALSE),VLOOKUP(B:B,'female g'!A:V,IF(A37&gt;2033,22,MATCH(A37,'female g'!$A$1:$V$1,0)),FALSE))</f>
        <v>1.5945328000000002E-2</v>
      </c>
      <c r="E37" s="1">
        <f t="shared" si="2"/>
        <v>0.98405467199999996</v>
      </c>
      <c r="F37" s="1">
        <f t="shared" si="3"/>
        <v>0.98547952599999999</v>
      </c>
      <c r="G37" s="1">
        <f>1/(1+Summary!$O$2)^$C37</f>
        <v>0.18129028535257716</v>
      </c>
      <c r="H37" s="1">
        <f>IF(B37&gt;64, Summary!$J$2, 0)*'TV 9'!G37*'TV 9'!F37</f>
        <v>1455.4160157980707</v>
      </c>
      <c r="I37" s="1"/>
    </row>
    <row r="38" spans="1:9">
      <c r="A38" s="1">
        <f t="shared" si="4"/>
        <v>2055</v>
      </c>
      <c r="B38" s="1">
        <f t="shared" si="1"/>
        <v>75</v>
      </c>
      <c r="C38" s="1">
        <v>36</v>
      </c>
      <c r="D38" s="1">
        <f>IF(Summary!$G$10="M",VLOOKUP(B:B,'male g'!A:V,IF(A38&gt;2033,22,MATCH(A38,'male g'!$A$1:$V$1,0)),FALSE),VLOOKUP(B:B,'female g'!A:V,IF(A38&gt;2033,22,MATCH(A38,'female g'!$A$1:$V$1,0)),FALSE))</f>
        <v>1.7550544000000001E-2</v>
      </c>
      <c r="E38" s="1">
        <f t="shared" si="2"/>
        <v>0.982449456</v>
      </c>
      <c r="F38" s="1">
        <f t="shared" si="3"/>
        <v>0.98405467199999996</v>
      </c>
      <c r="G38" s="1">
        <f>1/(1+Summary!$O$2)^$C38</f>
        <v>0.17265741462150208</v>
      </c>
      <c r="H38" s="1">
        <f>IF(B38&gt;64, Summary!$J$2, 0)*'TV 9'!G38*'TV 9'!F38</f>
        <v>1384.1063855945138</v>
      </c>
      <c r="I38" s="1"/>
    </row>
    <row r="39" spans="1:9">
      <c r="A39" s="1">
        <f t="shared" si="4"/>
        <v>2056</v>
      </c>
      <c r="B39" s="1">
        <f t="shared" si="1"/>
        <v>76</v>
      </c>
      <c r="C39" s="1">
        <v>37</v>
      </c>
      <c r="D39" s="1">
        <f>IF(Summary!$G$10="M",VLOOKUP(B:B,'male g'!A:V,IF(A39&gt;2033,22,MATCH(A39,'male g'!$A$1:$V$1,0)),FALSE),VLOOKUP(B:B,'female g'!A:V,IF(A39&gt;2033,22,MATCH(A39,'female g'!$A$1:$V$1,0)),FALSE))</f>
        <v>1.9346596000000001E-2</v>
      </c>
      <c r="E39" s="1">
        <f t="shared" si="2"/>
        <v>0.98065340400000001</v>
      </c>
      <c r="F39" s="1">
        <f t="shared" si="3"/>
        <v>0.982449456</v>
      </c>
      <c r="G39" s="1">
        <f>1/(1+Summary!$O$2)^$C39</f>
        <v>0.1644356329728591</v>
      </c>
      <c r="H39" s="1">
        <f>IF(B39&gt;64, Summary!$J$2, 0)*'TV 9'!G39*'TV 9'!F39</f>
        <v>1316.0462806301673</v>
      </c>
      <c r="I39" s="1"/>
    </row>
    <row r="40" spans="1:9">
      <c r="A40" s="1">
        <f t="shared" si="4"/>
        <v>2057</v>
      </c>
      <c r="B40" s="1">
        <f t="shared" si="1"/>
        <v>77</v>
      </c>
      <c r="C40" s="1">
        <v>38</v>
      </c>
      <c r="D40" s="1">
        <f>IF(Summary!$G$10="M",VLOOKUP(B:B,'male g'!A:V,IF(A40&gt;2033,22,MATCH(A40,'male g'!$A$1:$V$1,0)),FALSE),VLOOKUP(B:B,'female g'!A:V,IF(A40&gt;2033,22,MATCH(A40,'female g'!$A$1:$V$1,0)),FALSE))</f>
        <v>2.1378668999999999E-2</v>
      </c>
      <c r="E40" s="1">
        <f t="shared" si="2"/>
        <v>0.97862133100000004</v>
      </c>
      <c r="F40" s="1">
        <f t="shared" si="3"/>
        <v>0.98065340400000001</v>
      </c>
      <c r="G40" s="1">
        <f>1/(1+Summary!$O$2)^$C40</f>
        <v>0.15660536473605632</v>
      </c>
      <c r="H40" s="1">
        <f>IF(B40&gt;64, Summary!$J$2, 0)*'TV 9'!G40*'TV 9'!F40</f>
        <v>1251.0860647621698</v>
      </c>
      <c r="I40" s="1"/>
    </row>
    <row r="41" spans="1:9">
      <c r="A41" s="1">
        <f t="shared" si="4"/>
        <v>2058</v>
      </c>
      <c r="B41" s="1">
        <f t="shared" si="1"/>
        <v>78</v>
      </c>
      <c r="C41" s="1">
        <v>39</v>
      </c>
      <c r="D41" s="1">
        <f>IF(Summary!$G$10="M",VLOOKUP(B:B,'male g'!A:V,IF(A41&gt;2033,22,MATCH(A41,'male g'!$A$1:$V$1,0)),FALSE),VLOOKUP(B:B,'female g'!A:V,IF(A41&gt;2033,22,MATCH(A41,'female g'!$A$1:$V$1,0)),FALSE))</f>
        <v>2.3682564E-2</v>
      </c>
      <c r="E41" s="1">
        <f t="shared" si="2"/>
        <v>0.97631743599999998</v>
      </c>
      <c r="F41" s="1">
        <f t="shared" si="3"/>
        <v>0.97862133100000004</v>
      </c>
      <c r="G41" s="1">
        <f>1/(1+Summary!$O$2)^$C41</f>
        <v>0.14914796641529171</v>
      </c>
      <c r="H41" s="1">
        <f>IF(B41&gt;64, Summary!$J$2, 0)*'TV 9'!G41*'TV 9'!F41</f>
        <v>1189.0415346680684</v>
      </c>
      <c r="I41" s="1"/>
    </row>
    <row r="42" spans="1:9">
      <c r="A42" s="1">
        <f t="shared" si="4"/>
        <v>2059</v>
      </c>
      <c r="B42" s="1">
        <f t="shared" si="1"/>
        <v>79</v>
      </c>
      <c r="C42" s="1">
        <v>40</v>
      </c>
      <c r="D42" s="1">
        <f>IF(Summary!$G$10="M",VLOOKUP(B:B,'male g'!A:V,IF(A42&gt;2033,22,MATCH(A42,'male g'!$A$1:$V$1,0)),FALSE),VLOOKUP(B:B,'female g'!A:V,IF(A42&gt;2033,22,MATCH(A42,'female g'!$A$1:$V$1,0)),FALSE))</f>
        <v>2.6301709E-2</v>
      </c>
      <c r="E42" s="1">
        <f t="shared" si="2"/>
        <v>0.97369829100000005</v>
      </c>
      <c r="F42" s="1">
        <f t="shared" si="3"/>
        <v>0.97631743599999998</v>
      </c>
      <c r="G42" s="1">
        <f>1/(1+Summary!$O$2)^$C42</f>
        <v>0.14204568230027784</v>
      </c>
      <c r="H42" s="1">
        <f>IF(B42&gt;64, Summary!$J$2, 0)*'TV 9'!G42*'TV 9'!F42</f>
        <v>1129.7545363064039</v>
      </c>
      <c r="I42" s="1"/>
    </row>
    <row r="43" spans="1:9">
      <c r="A43" s="1">
        <f t="shared" si="4"/>
        <v>2060</v>
      </c>
      <c r="B43" s="1">
        <f t="shared" si="1"/>
        <v>80</v>
      </c>
      <c r="C43" s="1">
        <v>41</v>
      </c>
      <c r="D43" s="1">
        <f>IF(Summary!$G$10="M",VLOOKUP(B:B,'male g'!A:V,IF(A43&gt;2033,22,MATCH(A43,'male g'!$A$1:$V$1,0)),FALSE),VLOOKUP(B:B,'female g'!A:V,IF(A43&gt;2033,22,MATCH(A43,'female g'!$A$1:$V$1,0)),FALSE))</f>
        <v>2.9285830999999998E-2</v>
      </c>
      <c r="E43" s="1">
        <f t="shared" si="2"/>
        <v>0.97071416899999996</v>
      </c>
      <c r="F43" s="1">
        <f t="shared" si="3"/>
        <v>0.97369829100000005</v>
      </c>
      <c r="G43" s="1">
        <f>1/(1+Summary!$O$2)^$C43</f>
        <v>0.13528160219074079</v>
      </c>
      <c r="H43" s="1">
        <f>IF(B43&gt;64, Summary!$J$2, 0)*'TV 9'!G43*'TV 9'!F43</f>
        <v>1073.0702562106749</v>
      </c>
      <c r="I43" s="1"/>
    </row>
    <row r="44" spans="1:9">
      <c r="A44" s="1">
        <f t="shared" si="4"/>
        <v>2061</v>
      </c>
      <c r="B44" s="1">
        <f t="shared" si="1"/>
        <v>81</v>
      </c>
      <c r="C44" s="1">
        <v>42</v>
      </c>
      <c r="D44" s="1">
        <f>IF(Summary!$G$10="M",VLOOKUP(B:B,'male g'!A:V,IF(A44&gt;2033,22,MATCH(A44,'male g'!$A$1:$V$1,0)),FALSE),VLOOKUP(B:B,'female g'!A:V,IF(A44&gt;2033,22,MATCH(A44,'female g'!$A$1:$V$1,0)),FALSE))</f>
        <v>3.2681842000000003E-2</v>
      </c>
      <c r="E44" s="1">
        <f t="shared" si="2"/>
        <v>0.96731815799999998</v>
      </c>
      <c r="F44" s="1">
        <f t="shared" si="3"/>
        <v>0.97071416899999996</v>
      </c>
      <c r="G44" s="1">
        <f>1/(1+Summary!$O$2)^$C44</f>
        <v>0.12883962113403885</v>
      </c>
      <c r="H44" s="1">
        <f>IF(B44&gt;64, Summary!$J$2, 0)*'TV 9'!G44*'TV 9'!F44</f>
        <v>1018.839605718876</v>
      </c>
      <c r="I44" s="1"/>
    </row>
    <row r="45" spans="1:9">
      <c r="A45" s="1">
        <f t="shared" si="4"/>
        <v>2062</v>
      </c>
      <c r="B45" s="1">
        <f t="shared" si="1"/>
        <v>82</v>
      </c>
      <c r="C45" s="1">
        <v>43</v>
      </c>
      <c r="D45" s="1">
        <f>IF(Summary!$G$10="M",VLOOKUP(B:B,'male g'!A:V,IF(A45&gt;2033,22,MATCH(A45,'male g'!$A$1:$V$1,0)),FALSE),VLOOKUP(B:B,'female g'!A:V,IF(A45&gt;2033,22,MATCH(A45,'female g'!$A$1:$V$1,0)),FALSE))</f>
        <v>3.6549238999999997E-2</v>
      </c>
      <c r="E45" s="1">
        <f t="shared" si="2"/>
        <v>0.96345076100000004</v>
      </c>
      <c r="F45" s="1">
        <f t="shared" si="3"/>
        <v>0.96731815799999998</v>
      </c>
      <c r="G45" s="1">
        <f>1/(1+Summary!$O$2)^$C45</f>
        <v>0.12270440108003698</v>
      </c>
      <c r="H45" s="1">
        <f>IF(B45&gt;64, Summary!$J$2, 0)*'TV 9'!G45*'TV 9'!F45</f>
        <v>966.92878999122138</v>
      </c>
      <c r="I45" s="1"/>
    </row>
    <row r="46" spans="1:9">
      <c r="A46" s="1">
        <f t="shared" si="4"/>
        <v>2063</v>
      </c>
      <c r="B46" s="1">
        <f t="shared" si="1"/>
        <v>83</v>
      </c>
      <c r="C46" s="1">
        <v>44</v>
      </c>
      <c r="D46" s="1">
        <f>IF(Summary!$G$10="M",VLOOKUP(B:B,'male g'!A:V,IF(A46&gt;2033,22,MATCH(A46,'male g'!$A$1:$V$1,0)),FALSE),VLOOKUP(B:B,'female g'!A:V,IF(A46&gt;2033,22,MATCH(A46,'female g'!$A$1:$V$1,0)),FALSE))</f>
        <v>4.0956563000000001E-2</v>
      </c>
      <c r="E46" s="1">
        <f t="shared" si="2"/>
        <v>0.95904343700000005</v>
      </c>
      <c r="F46" s="1">
        <f t="shared" si="3"/>
        <v>0.96345076100000004</v>
      </c>
      <c r="G46" s="1">
        <f>1/(1+Summary!$O$2)^$C46</f>
        <v>0.11686133436193999</v>
      </c>
      <c r="H46" s="1">
        <f>IF(B46&gt;64, Summary!$J$2, 0)*'TV 9'!G46*'TV 9'!F46</f>
        <v>917.20280924597262</v>
      </c>
      <c r="I46" s="1"/>
    </row>
    <row r="47" spans="1:9">
      <c r="A47" s="1">
        <f t="shared" si="4"/>
        <v>2064</v>
      </c>
      <c r="B47" s="1">
        <f t="shared" si="1"/>
        <v>84</v>
      </c>
      <c r="C47" s="1">
        <v>45</v>
      </c>
      <c r="D47" s="1">
        <f>IF(Summary!$G$10="M",VLOOKUP(B:B,'male g'!A:V,IF(A47&gt;2033,22,MATCH(A47,'male g'!$A$1:$V$1,0)),FALSE),VLOOKUP(B:B,'female g'!A:V,IF(A47&gt;2033,22,MATCH(A47,'female g'!$A$1:$V$1,0)),FALSE))</f>
        <v>4.5960176999999998E-2</v>
      </c>
      <c r="E47" s="1">
        <f t="shared" si="2"/>
        <v>0.95403982300000001</v>
      </c>
      <c r="F47" s="1">
        <f t="shared" si="3"/>
        <v>0.95904343700000005</v>
      </c>
      <c r="G47" s="1">
        <f>1/(1+Summary!$O$2)^$C47</f>
        <v>0.1112965089161333</v>
      </c>
      <c r="H47" s="1">
        <f>IF(B47&gt;64, Summary!$J$2, 0)*'TV 9'!G47*'TV 9'!F47</f>
        <v>869.53052132287451</v>
      </c>
      <c r="I47" s="1"/>
    </row>
    <row r="48" spans="1:9">
      <c r="A48" s="1">
        <f>$A$2+C48</f>
        <v>2065</v>
      </c>
      <c r="B48" s="1">
        <f>$B$2+C48</f>
        <v>85</v>
      </c>
      <c r="C48" s="1">
        <v>46</v>
      </c>
      <c r="D48" s="1">
        <f>IF(Summary!$G$10="M",VLOOKUP(B:B,'male g'!A:V,IF(A48&gt;2033,22,MATCH(A48,'male g'!$A$1:$V$1,0)),FALSE),VLOOKUP(B:B,'female g'!A:V,IF(A48&gt;2033,22,MATCH(A48,'female g'!$A$1:$V$1,0)),FALSE))</f>
        <v>5.1631459999999997E-2</v>
      </c>
      <c r="E48" s="1">
        <f t="shared" si="2"/>
        <v>0.94836854000000004</v>
      </c>
      <c r="F48" s="1">
        <f t="shared" si="3"/>
        <v>0.95403982300000001</v>
      </c>
      <c r="G48" s="1">
        <f>1/(1+Summary!$O$2)^$C48</f>
        <v>0.10599667515822221</v>
      </c>
      <c r="H48" s="1">
        <f>IF(B48&gt;64, Summary!$J$2, 0)*'TV 9'!G48*'TV 9'!F48</f>
        <v>823.80373595009758</v>
      </c>
      <c r="I48" s="1"/>
    </row>
    <row r="49" spans="1:9">
      <c r="A49" s="1">
        <f t="shared" ref="A49:A73" si="5">$A$2+C49</f>
        <v>2066</v>
      </c>
      <c r="B49" s="1">
        <f t="shared" si="1"/>
        <v>86</v>
      </c>
      <c r="C49" s="1">
        <v>47</v>
      </c>
      <c r="D49" s="1">
        <f>IF(Summary!$G$10="M",VLOOKUP(B:B,'male g'!A:V,IF(A49&gt;2033,22,MATCH(A49,'male g'!$A$1:$V$1,0)),FALSE),VLOOKUP(B:B,'female g'!A:V,IF(A49&gt;2033,22,MATCH(A49,'female g'!$A$1:$V$1,0)),FALSE))</f>
        <v>5.8086306999999997E-2</v>
      </c>
      <c r="E49" s="1">
        <f t="shared" si="2"/>
        <v>0.94191369300000005</v>
      </c>
      <c r="F49" s="1">
        <f t="shared" si="3"/>
        <v>0.94836854000000004</v>
      </c>
      <c r="G49" s="1">
        <f>1/(1+Summary!$O$2)^$C49</f>
        <v>0.10094921443640208</v>
      </c>
      <c r="H49" s="1">
        <f>IF(B49&gt;64, Summary!$J$2, 0)*'TV 9'!G49*'TV 9'!F49</f>
        <v>779.91108614395182</v>
      </c>
      <c r="I49" s="1"/>
    </row>
    <row r="50" spans="1:9">
      <c r="A50" s="1">
        <f t="shared" si="5"/>
        <v>2067</v>
      </c>
      <c r="B50" s="1">
        <f t="shared" si="1"/>
        <v>87</v>
      </c>
      <c r="C50" s="1">
        <v>48</v>
      </c>
      <c r="D50" s="1">
        <f>IF(Summary!$G$10="M",VLOOKUP(B:B,'male g'!A:V,IF(A50&gt;2033,22,MATCH(A50,'male g'!$A$1:$V$1,0)),FALSE),VLOOKUP(B:B,'female g'!A:V,IF(A50&gt;2033,22,MATCH(A50,'female g'!$A$1:$V$1,0)),FALSE))</f>
        <v>6.5370790999999998E-2</v>
      </c>
      <c r="E50" s="1">
        <f t="shared" si="2"/>
        <v>0.93462920900000002</v>
      </c>
      <c r="F50" s="1">
        <f t="shared" si="3"/>
        <v>0.94191369300000005</v>
      </c>
      <c r="G50" s="1">
        <f>1/(1+Summary!$O$2)^$C50</f>
        <v>9.6142108987049613E-2</v>
      </c>
      <c r="H50" s="1">
        <f>IF(B50&gt;64, Summary!$J$2, 0)*'TV 9'!G50*'TV 9'!F50</f>
        <v>737.71695724703227</v>
      </c>
      <c r="I50" s="1"/>
    </row>
    <row r="51" spans="1:9">
      <c r="A51" s="1">
        <f t="shared" si="5"/>
        <v>2068</v>
      </c>
      <c r="B51" s="1">
        <f t="shared" si="1"/>
        <v>88</v>
      </c>
      <c r="C51" s="1">
        <v>49</v>
      </c>
      <c r="D51" s="1">
        <f>IF(Summary!$G$10="M",VLOOKUP(B:B,'male g'!A:V,IF(A51&gt;2033,22,MATCH(A51,'male g'!$A$1:$V$1,0)),FALSE),VLOOKUP(B:B,'female g'!A:V,IF(A51&gt;2033,22,MATCH(A51,'female g'!$A$1:$V$1,0)),FALSE))</f>
        <v>7.3564853999999999E-2</v>
      </c>
      <c r="E51" s="1">
        <f t="shared" si="2"/>
        <v>0.92643514599999999</v>
      </c>
      <c r="F51" s="1">
        <f t="shared" si="3"/>
        <v>0.93462920900000002</v>
      </c>
      <c r="G51" s="1">
        <f>1/(1+Summary!$O$2)^$C51</f>
        <v>9.1563913320999626E-2</v>
      </c>
      <c r="H51" s="1">
        <f>IF(B51&gt;64, Summary!$J$2, 0)*'TV 9'!G51*'TV 9'!F51</f>
        <v>697.15397224644369</v>
      </c>
      <c r="I51" s="1"/>
    </row>
    <row r="52" spans="1:9">
      <c r="A52" s="1">
        <f t="shared" si="5"/>
        <v>2069</v>
      </c>
      <c r="B52" s="1">
        <f t="shared" si="1"/>
        <v>89</v>
      </c>
      <c r="C52" s="1">
        <v>50</v>
      </c>
      <c r="D52" s="1">
        <f>IF(Summary!$G$10="M",VLOOKUP(B:B,'male g'!A:V,IF(A52&gt;2033,22,MATCH(A52,'male g'!$A$1:$V$1,0)),FALSE),VLOOKUP(B:B,'female g'!A:V,IF(A52&gt;2033,22,MATCH(A52,'female g'!$A$1:$V$1,0)),FALSE))</f>
        <v>8.2758546000000002E-2</v>
      </c>
      <c r="E52" s="1">
        <f t="shared" si="2"/>
        <v>0.91724145400000001</v>
      </c>
      <c r="F52" s="1">
        <f t="shared" si="3"/>
        <v>0.92643514599999999</v>
      </c>
      <c r="G52" s="1">
        <f>1/(1+Summary!$O$2)^$C52</f>
        <v>8.7203726972380588E-2</v>
      </c>
      <c r="H52" s="1">
        <f>IF(B52&gt;64, Summary!$J$2, 0)*'TV 9'!G52*'TV 9'!F52</f>
        <v>658.13514049283049</v>
      </c>
      <c r="I52" s="1"/>
    </row>
    <row r="53" spans="1:9">
      <c r="A53" s="1">
        <f t="shared" si="5"/>
        <v>2070</v>
      </c>
      <c r="B53" s="1">
        <f t="shared" si="1"/>
        <v>90</v>
      </c>
      <c r="C53" s="1">
        <v>51</v>
      </c>
      <c r="D53" s="1">
        <f>IF(Summary!$G$10="M",VLOOKUP(B:B,'male g'!A:V,IF(A53&gt;2033,22,MATCH(A53,'male g'!$A$1:$V$1,0)),FALSE),VLOOKUP(B:B,'female g'!A:V,IF(A53&gt;2033,22,MATCH(A53,'female g'!$A$1:$V$1,0)),FALSE))</f>
        <v>9.3062779999999998E-2</v>
      </c>
      <c r="E53" s="1">
        <f t="shared" si="2"/>
        <v>0.90693721999999999</v>
      </c>
      <c r="F53" s="1">
        <f t="shared" si="3"/>
        <v>0.91724145400000001</v>
      </c>
      <c r="G53" s="1">
        <f>1/(1+Summary!$O$2)^$C53</f>
        <v>8.3051168545124371E-2</v>
      </c>
      <c r="H53" s="1">
        <f>IF(B53&gt;64, Summary!$J$2, 0)*'TV 9'!G53*'TV 9'!F53</f>
        <v>620.57522403206781</v>
      </c>
      <c r="I53" s="1"/>
    </row>
    <row r="54" spans="1:9">
      <c r="A54" s="1">
        <f t="shared" si="5"/>
        <v>2071</v>
      </c>
      <c r="B54" s="1">
        <f t="shared" si="1"/>
        <v>91</v>
      </c>
      <c r="C54" s="1">
        <v>52</v>
      </c>
      <c r="D54" s="1">
        <f>IF(Summary!$G$10="M",VLOOKUP(B:B,'male g'!A:V,IF(A54&gt;2033,22,MATCH(A54,'male g'!$A$1:$V$1,0)),FALSE),VLOOKUP(B:B,'female g'!A:V,IF(A54&gt;2033,22,MATCH(A54,'female g'!$A$1:$V$1,0)),FALSE))</f>
        <v>0.104297588</v>
      </c>
      <c r="E54" s="1">
        <f t="shared" si="2"/>
        <v>0.895702412</v>
      </c>
      <c r="F54" s="1">
        <f t="shared" si="3"/>
        <v>0.90693721999999999</v>
      </c>
      <c r="G54" s="1">
        <f>1/(1+Summary!$O$2)^$C54</f>
        <v>7.9096350995356543E-2</v>
      </c>
      <c r="H54" s="1">
        <f>IF(B54&gt;64, Summary!$J$2, 0)*'TV 9'!G54*'TV 9'!F54</f>
        <v>584.38449541659304</v>
      </c>
      <c r="I54" s="1"/>
    </row>
    <row r="55" spans="1:9">
      <c r="A55" s="1">
        <f t="shared" si="5"/>
        <v>2072</v>
      </c>
      <c r="B55" s="1">
        <f t="shared" si="1"/>
        <v>92</v>
      </c>
      <c r="C55" s="1">
        <v>53</v>
      </c>
      <c r="D55" s="1">
        <f>IF(Summary!$G$10="M",VLOOKUP(B:B,'male g'!A:V,IF(A55&gt;2033,22,MATCH(A55,'male g'!$A$1:$V$1,0)),FALSE),VLOOKUP(B:B,'female g'!A:V,IF(A55&gt;2033,22,MATCH(A55,'female g'!$A$1:$V$1,0)),FALSE))</f>
        <v>0.116397271</v>
      </c>
      <c r="E55" s="1">
        <f t="shared" si="2"/>
        <v>0.88360272900000003</v>
      </c>
      <c r="F55" s="1">
        <f t="shared" si="3"/>
        <v>0.895702412</v>
      </c>
      <c r="G55" s="1">
        <f>1/(1+Summary!$O$2)^$C55</f>
        <v>7.5329858090815757E-2</v>
      </c>
      <c r="H55" s="1">
        <f>IF(B55&gt;64, Summary!$J$2, 0)*'TV 9'!G55*'TV 9'!F55</f>
        <v>549.66224105141316</v>
      </c>
      <c r="I55" s="1"/>
    </row>
    <row r="56" spans="1:9">
      <c r="A56" s="1">
        <f t="shared" si="5"/>
        <v>2073</v>
      </c>
      <c r="B56" s="1">
        <f t="shared" si="1"/>
        <v>93</v>
      </c>
      <c r="C56" s="1">
        <v>54</v>
      </c>
      <c r="D56" s="1">
        <f>IF(Summary!$G$10="M",VLOOKUP(B:B,'male g'!A:V,IF(A56&gt;2033,22,MATCH(A56,'male g'!$A$1:$V$1,0)),FALSE),VLOOKUP(B:B,'female g'!A:V,IF(A56&gt;2033,22,MATCH(A56,'female g'!$A$1:$V$1,0)),FALSE))</f>
        <v>0.12927651700000001</v>
      </c>
      <c r="E56" s="1">
        <f t="shared" si="2"/>
        <v>0.87072348300000002</v>
      </c>
      <c r="F56" s="1">
        <f t="shared" si="3"/>
        <v>0.88360272900000003</v>
      </c>
      <c r="G56" s="1">
        <f>1/(1+Summary!$O$2)^$C56</f>
        <v>7.1742721991253117E-2</v>
      </c>
      <c r="H56" s="1">
        <f>IF(B56&gt;64, Summary!$J$2, 0)*'TV 9'!G56*'TV 9'!F56</f>
        <v>516.41626218967758</v>
      </c>
      <c r="I56" s="1"/>
    </row>
    <row r="57" spans="1:9">
      <c r="A57" s="1">
        <f t="shared" si="5"/>
        <v>2074</v>
      </c>
      <c r="B57" s="1">
        <f t="shared" si="1"/>
        <v>94</v>
      </c>
      <c r="C57" s="1">
        <v>55</v>
      </c>
      <c r="D57" s="1">
        <f>IF(Summary!$G$10="M",VLOOKUP(B:B,'male g'!A:V,IF(A57&gt;2033,22,MATCH(A57,'male g'!$A$1:$V$1,0)),FALSE),VLOOKUP(B:B,'female g'!A:V,IF(A57&gt;2033,22,MATCH(A57,'female g'!$A$1:$V$1,0)),FALSE))</f>
        <v>0.14283962</v>
      </c>
      <c r="E57" s="1">
        <f t="shared" si="2"/>
        <v>0.85716038000000006</v>
      </c>
      <c r="F57" s="1">
        <f t="shared" si="3"/>
        <v>0.87072348300000002</v>
      </c>
      <c r="G57" s="1">
        <f>1/(1+Summary!$O$2)^$C57</f>
        <v>6.8326401896431521E-2</v>
      </c>
      <c r="H57" s="1">
        <f>IF(B57&gt;64, Summary!$J$2, 0)*'TV 9'!G57*'TV 9'!F57</f>
        <v>484.65625227249899</v>
      </c>
      <c r="I57" s="1"/>
    </row>
    <row r="58" spans="1:9">
      <c r="A58" s="1">
        <f t="shared" si="5"/>
        <v>2075</v>
      </c>
      <c r="B58" s="1">
        <f t="shared" si="1"/>
        <v>95</v>
      </c>
      <c r="C58" s="1">
        <v>56</v>
      </c>
      <c r="D58" s="1">
        <f>IF(Summary!$G$10="M",VLOOKUP(B:B,'male g'!A:V,IF(A58&gt;2033,22,MATCH(A58,'male g'!$A$1:$V$1,0)),FALSE),VLOOKUP(B:B,'female g'!A:V,IF(A58&gt;2033,22,MATCH(A58,'female g'!$A$1:$V$1,0)),FALSE))</f>
        <v>0.15715622100000001</v>
      </c>
      <c r="E58" s="1">
        <f t="shared" si="2"/>
        <v>0.84284377899999996</v>
      </c>
      <c r="F58" s="1">
        <f t="shared" si="3"/>
        <v>0.85716038000000006</v>
      </c>
      <c r="G58" s="1">
        <f>1/(1+Summary!$O$2)^$C58</f>
        <v>6.5072763710887174E-2</v>
      </c>
      <c r="H58" s="1">
        <f>IF(B58&gt;64, Summary!$J$2, 0)*'TV 9'!G58*'TV 9'!F58</f>
        <v>454.38747528494855</v>
      </c>
      <c r="I58" s="1"/>
    </row>
    <row r="59" spans="1:9">
      <c r="A59" s="1">
        <f t="shared" si="5"/>
        <v>2076</v>
      </c>
      <c r="B59" s="1">
        <f t="shared" si="1"/>
        <v>96</v>
      </c>
      <c r="C59" s="1">
        <v>57</v>
      </c>
      <c r="D59" s="1">
        <f>IF(Summary!$G$10="M",VLOOKUP(B:B,'male g'!A:V,IF(A59&gt;2033,22,MATCH(A59,'male g'!$A$1:$V$1,0)),FALSE),VLOOKUP(B:B,'female g'!A:V,IF(A59&gt;2033,22,MATCH(A59,'female g'!$A$1:$V$1,0)),FALSE))</f>
        <v>0.173075216</v>
      </c>
      <c r="E59" s="1">
        <f t="shared" si="2"/>
        <v>0.82692478400000002</v>
      </c>
      <c r="F59" s="1">
        <f t="shared" si="3"/>
        <v>0.84284377899999996</v>
      </c>
      <c r="G59" s="1">
        <f>1/(1+Summary!$O$2)^$C59</f>
        <v>6.1974060677035397E-2</v>
      </c>
      <c r="H59" s="1">
        <f>IF(B59&gt;64, Summary!$J$2, 0)*'TV 9'!G59*'TV 9'!F59</f>
        <v>425.52203068843602</v>
      </c>
      <c r="I59" s="1"/>
    </row>
    <row r="60" spans="1:9">
      <c r="A60" s="1">
        <f t="shared" si="5"/>
        <v>2077</v>
      </c>
      <c r="B60" s="1">
        <f t="shared" si="1"/>
        <v>97</v>
      </c>
      <c r="C60" s="1">
        <v>58</v>
      </c>
      <c r="D60" s="1">
        <f>IF(Summary!$G$10="M",VLOOKUP(B:B,'male g'!A:V,IF(A60&gt;2033,22,MATCH(A60,'male g'!$A$1:$V$1,0)),FALSE),VLOOKUP(B:B,'female g'!A:V,IF(A60&gt;2033,22,MATCH(A60,'female g'!$A$1:$V$1,0)),FALSE))</f>
        <v>0.18989809799999999</v>
      </c>
      <c r="E60" s="1">
        <f t="shared" si="2"/>
        <v>0.81010190199999998</v>
      </c>
      <c r="F60" s="1">
        <f t="shared" si="3"/>
        <v>0.82692478400000002</v>
      </c>
      <c r="G60" s="1">
        <f>1/(1+Summary!$O$2)^$C60</f>
        <v>5.9022914930509894E-2</v>
      </c>
      <c r="H60" s="1">
        <f>IF(B60&gt;64, Summary!$J$2, 0)*'TV 9'!G60*'TV 9'!F60</f>
        <v>397.60485031120464</v>
      </c>
      <c r="I60" s="1"/>
    </row>
    <row r="61" spans="1:9">
      <c r="A61" s="1">
        <f t="shared" si="5"/>
        <v>2078</v>
      </c>
      <c r="B61" s="1">
        <f t="shared" si="1"/>
        <v>98</v>
      </c>
      <c r="C61" s="1">
        <v>59</v>
      </c>
      <c r="D61" s="1">
        <f>IF(Summary!$G$10="M",VLOOKUP(B:B,'male g'!A:V,IF(A61&gt;2033,22,MATCH(A61,'male g'!$A$1:$V$1,0)),FALSE),VLOOKUP(B:B,'female g'!A:V,IF(A61&gt;2033,22,MATCH(A61,'female g'!$A$1:$V$1,0)),FALSE))</f>
        <v>0.2077398</v>
      </c>
      <c r="E61" s="1">
        <f t="shared" si="2"/>
        <v>0.79226019999999997</v>
      </c>
      <c r="F61" s="1">
        <f t="shared" si="3"/>
        <v>0.81010190199999998</v>
      </c>
      <c r="G61" s="1">
        <f>1/(1+Summary!$O$2)^$C61</f>
        <v>5.6212299933818946E-2</v>
      </c>
      <c r="H61" s="1">
        <f>IF(B61&gt;64, Summary!$J$2, 0)*'TV 9'!G61*'TV 9'!F61</f>
        <v>370.96763208155414</v>
      </c>
      <c r="I61" s="1"/>
    </row>
    <row r="62" spans="1:9">
      <c r="A62" s="1">
        <f t="shared" si="5"/>
        <v>2079</v>
      </c>
      <c r="B62" s="1">
        <f t="shared" si="1"/>
        <v>99</v>
      </c>
      <c r="C62" s="1">
        <v>60</v>
      </c>
      <c r="D62" s="1">
        <f>IF(Summary!$G$10="M",VLOOKUP(B:B,'male g'!A:V,IF(A62&gt;2033,22,MATCH(A62,'male g'!$A$1:$V$1,0)),FALSE),VLOOKUP(B:B,'female g'!A:V,IF(A62&gt;2033,22,MATCH(A62,'female g'!$A$1:$V$1,0)),FALSE))</f>
        <v>0.22627810600000001</v>
      </c>
      <c r="E62" s="1">
        <f t="shared" si="2"/>
        <v>0.77372189400000002</v>
      </c>
      <c r="F62" s="1">
        <f t="shared" si="3"/>
        <v>0.79226019999999997</v>
      </c>
      <c r="G62" s="1">
        <f>1/(1+Summary!$O$2)^$C62</f>
        <v>5.3535523746494243E-2</v>
      </c>
      <c r="H62" s="1">
        <f>IF(B62&gt;64, Summary!$J$2, 0)*'TV 9'!G62*'TV 9'!F62</f>
        <v>345.52136461194243</v>
      </c>
      <c r="I62" s="1"/>
    </row>
    <row r="63" spans="1:9">
      <c r="A63" s="1">
        <f t="shared" si="5"/>
        <v>2080</v>
      </c>
      <c r="B63" s="1">
        <f t="shared" si="1"/>
        <v>100</v>
      </c>
      <c r="C63" s="1">
        <v>61</v>
      </c>
      <c r="D63" s="1">
        <f>IF(Summary!$G$10="M",VLOOKUP(B:B,'male g'!A:V,IF(A63&gt;2033,22,MATCH(A63,'male g'!$A$1:$V$1,0)),FALSE),VLOOKUP(B:B,'female g'!A:V,IF(A63&gt;2033,22,MATCH(A63,'female g'!$A$1:$V$1,0)),FALSE))</f>
        <v>0.245586414</v>
      </c>
      <c r="E63" s="1">
        <f t="shared" si="2"/>
        <v>0.75441358599999997</v>
      </c>
      <c r="F63" s="1">
        <f t="shared" si="3"/>
        <v>0.77372189400000002</v>
      </c>
      <c r="G63" s="1">
        <f>1/(1+Summary!$O$2)^$C63</f>
        <v>5.0986213091899268E-2</v>
      </c>
      <c r="H63" s="1">
        <f>IF(B63&gt;64, Summary!$J$2, 0)*'TV 9'!G63*'TV 9'!F63</f>
        <v>321.36801790385414</v>
      </c>
      <c r="I63" s="1"/>
    </row>
    <row r="64" spans="1:9">
      <c r="A64" s="1">
        <f t="shared" si="5"/>
        <v>2081</v>
      </c>
      <c r="B64" s="1">
        <f t="shared" si="1"/>
        <v>101</v>
      </c>
      <c r="C64" s="1">
        <v>62</v>
      </c>
      <c r="D64" s="1">
        <f>IF(Summary!$G$10="M",VLOOKUP(B:B,'male g'!A:V,IF(A64&gt;2033,22,MATCH(A64,'male g'!$A$1:$V$1,0)),FALSE),VLOOKUP(B:B,'female g'!A:V,IF(A64&gt;2033,22,MATCH(A64,'female g'!$A$1:$V$1,0)),FALSE))</f>
        <v>0.26569467200000002</v>
      </c>
      <c r="E64" s="1">
        <f t="shared" si="2"/>
        <v>0.73430532800000003</v>
      </c>
      <c r="F64" s="1">
        <f t="shared" si="3"/>
        <v>0.75441358599999997</v>
      </c>
      <c r="G64" s="1">
        <f>1/(1+Summary!$O$2)^$C64</f>
        <v>4.855829818276123E-2</v>
      </c>
      <c r="H64" s="1">
        <f>IF(B64&gt;64, Summary!$J$2, 0)*'TV 9'!G64*'TV 9'!F64</f>
        <v>298.42690148888596</v>
      </c>
      <c r="I64" s="1"/>
    </row>
    <row r="65" spans="1:9">
      <c r="A65" s="1">
        <f t="shared" si="5"/>
        <v>2082</v>
      </c>
      <c r="B65" s="1">
        <f t="shared" si="1"/>
        <v>102</v>
      </c>
      <c r="C65" s="1">
        <v>63</v>
      </c>
      <c r="D65" s="1">
        <f>IF(Summary!$G$10="M",VLOOKUP(B:B,'male g'!A:V,IF(A65&gt;2033,22,MATCH(A65,'male g'!$A$1:$V$1,0)),FALSE),VLOOKUP(B:B,'female g'!A:V,IF(A65&gt;2033,22,MATCH(A65,'female g'!$A$1:$V$1,0)),FALSE))</f>
        <v>0.28621307499999998</v>
      </c>
      <c r="E65" s="1">
        <f t="shared" si="2"/>
        <v>0.71378692499999996</v>
      </c>
      <c r="F65" s="1">
        <f t="shared" si="3"/>
        <v>0.73430532800000003</v>
      </c>
      <c r="G65" s="1">
        <f>1/(1+Summary!$O$2)^$C65</f>
        <v>4.6245998269296387E-2</v>
      </c>
      <c r="H65" s="1">
        <f>IF(B65&gt;64, Summary!$J$2, 0)*'TV 9'!G65*'TV 9'!F65</f>
        <v>276.64055625573508</v>
      </c>
      <c r="I65" s="1"/>
    </row>
    <row r="66" spans="1:9">
      <c r="A66" s="1">
        <f t="shared" si="5"/>
        <v>2083</v>
      </c>
      <c r="B66" s="1">
        <f t="shared" si="1"/>
        <v>103</v>
      </c>
      <c r="C66" s="1">
        <v>64</v>
      </c>
      <c r="D66" s="1">
        <f>IF(Summary!$G$10="M",VLOOKUP(B:B,'male g'!A:V,IF(A66&gt;2033,22,MATCH(A66,'male g'!$A$1:$V$1,0)),FALSE),VLOOKUP(B:B,'female g'!A:V,IF(A66&gt;2033,22,MATCH(A66,'female g'!$A$1:$V$1,0)),FALSE))</f>
        <v>0.306855239</v>
      </c>
      <c r="E66" s="1">
        <f t="shared" si="2"/>
        <v>0.693144761</v>
      </c>
      <c r="F66" s="1">
        <f t="shared" si="3"/>
        <v>0.71378692499999996</v>
      </c>
      <c r="G66" s="1">
        <f>1/(1+Summary!$O$2)^$C66</f>
        <v>4.4043807875520369E-2</v>
      </c>
      <c r="H66" s="1">
        <f>IF(B66&gt;64, Summary!$J$2, 0)*'TV 9'!G66*'TV 9'!F66</f>
        <v>256.10523689543436</v>
      </c>
      <c r="I66" s="1"/>
    </row>
    <row r="67" spans="1:9">
      <c r="A67" s="1">
        <f t="shared" si="5"/>
        <v>2084</v>
      </c>
      <c r="B67" s="1">
        <f t="shared" si="1"/>
        <v>104</v>
      </c>
      <c r="C67" s="1">
        <v>65</v>
      </c>
      <c r="D67" s="1">
        <f>IF(Summary!$G$10="M",VLOOKUP(B:B,'male g'!A:V,IF(A67&gt;2033,22,MATCH(A67,'male g'!$A$1:$V$1,0)),FALSE),VLOOKUP(B:B,'female g'!A:V,IF(A67&gt;2033,22,MATCH(A67,'female g'!$A$1:$V$1,0)),FALSE))</f>
        <v>0.32781771999999998</v>
      </c>
      <c r="E67" s="1">
        <f t="shared" si="2"/>
        <v>0.67218228000000002</v>
      </c>
      <c r="F67" s="1">
        <f t="shared" si="3"/>
        <v>0.693144761</v>
      </c>
      <c r="G67" s="1">
        <f>1/(1+Summary!$O$2)^$C67</f>
        <v>4.1946483690971779E-2</v>
      </c>
      <c r="H67" s="1">
        <f>IF(B67&gt;64, Summary!$J$2, 0)*'TV 9'!G67*'TV 9'!F67</f>
        <v>236.85606873539061</v>
      </c>
      <c r="I67" s="1"/>
    </row>
    <row r="68" spans="1:9">
      <c r="A68" s="1">
        <f t="shared" si="5"/>
        <v>2085</v>
      </c>
      <c r="B68" s="1">
        <f t="shared" ref="B68:B73" si="6">$B$2+C68</f>
        <v>105</v>
      </c>
      <c r="C68" s="1">
        <v>66</v>
      </c>
      <c r="D68" s="1">
        <f>IF(Summary!$G$10="M",VLOOKUP(B:B,'male g'!A:V,IF(A68&gt;2033,22,MATCH(A68,'male g'!$A$1:$V$1,0)),FALSE),VLOOKUP(B:B,'female g'!A:V,IF(A68&gt;2033,22,MATCH(A68,'female g'!$A$1:$V$1,0)),FALSE))</f>
        <v>0.34877203800000001</v>
      </c>
      <c r="E68" s="1">
        <f t="shared" ref="E68:E83" si="7">1-D68</f>
        <v>0.65122796199999999</v>
      </c>
      <c r="F68" s="1">
        <f t="shared" ref="F68:F83" si="8">E67</f>
        <v>0.67218228000000002</v>
      </c>
      <c r="G68" s="1">
        <f>1/(1+Summary!$O$2)^$C68</f>
        <v>3.9949032086639788E-2</v>
      </c>
      <c r="H68" s="1">
        <f>IF(B68&gt;64, Summary!$J$2, 0)*'TV 9'!G68*'TV 9'!F68</f>
        <v>218.75517314078414</v>
      </c>
      <c r="I68" s="1"/>
    </row>
    <row r="69" spans="1:9">
      <c r="A69" s="1">
        <f t="shared" si="5"/>
        <v>2086</v>
      </c>
      <c r="B69" s="1">
        <f t="shared" si="6"/>
        <v>106</v>
      </c>
      <c r="C69" s="1">
        <v>67</v>
      </c>
      <c r="D69" s="1">
        <f>IF(Summary!$G$10="M",VLOOKUP(B:B,'male g'!A:V,IF(A69&gt;2033,22,MATCH(A69,'male g'!$A$1:$V$1,0)),FALSE),VLOOKUP(B:B,'female g'!A:V,IF(A69&gt;2033,22,MATCH(A69,'female g'!$A$1:$V$1,0)),FALSE))</f>
        <v>0.36963544999999998</v>
      </c>
      <c r="E69" s="1">
        <f t="shared" si="7"/>
        <v>0.63036455000000002</v>
      </c>
      <c r="F69" s="1">
        <f t="shared" si="8"/>
        <v>0.65122796199999999</v>
      </c>
      <c r="G69" s="1">
        <f>1/(1+Summary!$O$2)^$C69</f>
        <v>3.8046697225371226E-2</v>
      </c>
      <c r="H69" s="1">
        <f>IF(B69&gt;64, Summary!$J$2, 0)*'TV 9'!G69*'TV 9'!F69</f>
        <v>201.84361383900637</v>
      </c>
      <c r="I69" s="1"/>
    </row>
    <row r="70" spans="1:9">
      <c r="A70" s="1">
        <f t="shared" si="5"/>
        <v>2087</v>
      </c>
      <c r="B70" s="1">
        <f t="shared" si="6"/>
        <v>107</v>
      </c>
      <c r="C70" s="1">
        <v>68</v>
      </c>
      <c r="D70" s="1">
        <f>IF(Summary!$G$10="M",VLOOKUP(B:B,'male g'!A:V,IF(A70&gt;2033,22,MATCH(A70,'male g'!$A$1:$V$1,0)),FALSE),VLOOKUP(B:B,'female g'!A:V,IF(A70&gt;2033,22,MATCH(A70,'female g'!$A$1:$V$1,0)),FALSE))</f>
        <v>0.39012102100000001</v>
      </c>
      <c r="E70" s="1">
        <f t="shared" si="7"/>
        <v>0.60987897899999999</v>
      </c>
      <c r="F70" s="1">
        <f t="shared" si="8"/>
        <v>0.63036455000000002</v>
      </c>
      <c r="G70" s="1">
        <f>1/(1+Summary!$O$2)^$C70</f>
        <v>3.6234949738448791E-2</v>
      </c>
      <c r="H70" s="1">
        <f>IF(B70&gt;64, Summary!$J$2, 0)*'TV 9'!G70*'TV 9'!F70</f>
        <v>186.07346974423774</v>
      </c>
      <c r="I70" s="1"/>
    </row>
    <row r="71" spans="1:9">
      <c r="A71" s="1">
        <f t="shared" si="5"/>
        <v>2088</v>
      </c>
      <c r="B71" s="1">
        <f t="shared" si="6"/>
        <v>108</v>
      </c>
      <c r="C71" s="1">
        <v>69</v>
      </c>
      <c r="D71" s="1">
        <f>IF(Summary!$G$10="M",VLOOKUP(B:B,'male g'!A:V,IF(A71&gt;2033,22,MATCH(A71,'male g'!$A$1:$V$1,0)),FALSE),VLOOKUP(B:B,'female g'!A:V,IF(A71&gt;2033,22,MATCH(A71,'female g'!$A$1:$V$1,0)),FALSE))</f>
        <v>0.40992095000000001</v>
      </c>
      <c r="E71" s="1">
        <f t="shared" si="7"/>
        <v>0.59007904999999994</v>
      </c>
      <c r="F71" s="1">
        <f t="shared" si="8"/>
        <v>0.60987897899999999</v>
      </c>
      <c r="G71" s="1">
        <f>1/(1+Summary!$O$2)^$C71</f>
        <v>3.4509475941379798E-2</v>
      </c>
      <c r="H71" s="1">
        <f>IF(B71&gt;64, Summary!$J$2, 0)*'TV 9'!G71*'TV 9'!F71</f>
        <v>171.45377037190411</v>
      </c>
      <c r="I71" s="1"/>
    </row>
    <row r="72" spans="1:9">
      <c r="A72" s="1">
        <f t="shared" si="5"/>
        <v>2089</v>
      </c>
      <c r="B72" s="1">
        <f t="shared" si="6"/>
        <v>109</v>
      </c>
      <c r="C72" s="1">
        <v>70</v>
      </c>
      <c r="D72" s="1">
        <f>IF(Summary!$G$10="M",VLOOKUP(B:B,'male g'!A:V,IF(A72&gt;2033,22,MATCH(A72,'male g'!$A$1:$V$1,0)),FALSE),VLOOKUP(B:B,'female g'!A:V,IF(A72&gt;2033,22,MATCH(A72,'female g'!$A$1:$V$1,0)),FALSE))</f>
        <v>0.42944720199999997</v>
      </c>
      <c r="E72" s="1">
        <f t="shared" si="7"/>
        <v>0.57055279800000003</v>
      </c>
      <c r="F72" s="1">
        <f t="shared" si="8"/>
        <v>0.59007904999999994</v>
      </c>
      <c r="G72" s="1">
        <f>1/(1+Summary!$O$2)^$C72</f>
        <v>3.2866167563218862E-2</v>
      </c>
      <c r="H72" s="1">
        <f>IF(B72&gt;64, Summary!$J$2, 0)*'TV 9'!G72*'TV 9'!F72</f>
        <v>157.98806214973337</v>
      </c>
      <c r="I72" s="1"/>
    </row>
    <row r="73" spans="1:9">
      <c r="A73" s="1">
        <f t="shared" si="5"/>
        <v>2090</v>
      </c>
      <c r="B73" s="1">
        <f t="shared" si="6"/>
        <v>110</v>
      </c>
      <c r="C73" s="1">
        <v>71</v>
      </c>
      <c r="D73" s="1">
        <f>IF(Summary!$G$10="M",VLOOKUP(B:B,'male g'!A:V,IF(A73&gt;2033,22,MATCH(A73,'male g'!$A$1:$V$1,0)),FALSE),VLOOKUP(B:B,'female g'!A:V,IF(A73&gt;2033,22,MATCH(A73,'female g'!$A$1:$V$1,0)),FALSE))</f>
        <v>0.44824126199999997</v>
      </c>
      <c r="E73" s="1">
        <f t="shared" si="7"/>
        <v>0.55175873799999997</v>
      </c>
      <c r="F73" s="1">
        <f t="shared" si="8"/>
        <v>0.57055279800000003</v>
      </c>
      <c r="G73" s="1">
        <f>1/(1+Summary!$O$2)^$C73</f>
        <v>3.1301111964970339E-2</v>
      </c>
      <c r="H73" s="1">
        <f>IF(B73&gt;64, Summary!$J$2, 0)*'TV 9'!G73*'TV 9'!F73</f>
        <v>145.48580342974833</v>
      </c>
      <c r="I73" s="1"/>
    </row>
    <row r="74" spans="1:9">
      <c r="A74" s="1">
        <f>$A$2+C74</f>
        <v>2091</v>
      </c>
      <c r="B74" s="1">
        <f>$B$2+C74</f>
        <v>111</v>
      </c>
      <c r="C74" s="1">
        <v>72</v>
      </c>
      <c r="D74" s="1">
        <f>IF(Summary!$G$10="M",VLOOKUP(B:B,'male g'!A:V,IF(A74&gt;2033,22,MATCH(A74,'male g'!$A$1:$V$1,0)),FALSE),VLOOKUP(B:B,'female g'!A:V,IF(A74&gt;2033,22,MATCH(A74,'female g'!$A$1:$V$1,0)),FALSE))</f>
        <v>0.46617251599999998</v>
      </c>
      <c r="E74" s="1">
        <f t="shared" si="7"/>
        <v>0.53382748400000002</v>
      </c>
      <c r="F74" s="1">
        <f t="shared" si="8"/>
        <v>0.55175873799999997</v>
      </c>
      <c r="G74" s="1">
        <f>1/(1+Summary!$O$2)^$C74</f>
        <v>2.9810582823781274E-2</v>
      </c>
      <c r="H74" s="1">
        <f>IF(B74&gt;64, Summary!$J$2, 0)*'TV 9'!G74*'TV 9'!F74</f>
        <v>133.99379819294546</v>
      </c>
      <c r="I74" s="1"/>
    </row>
    <row r="75" spans="1:9">
      <c r="A75" s="1">
        <f t="shared" ref="A75:A83" si="9">$A$2+C75</f>
        <v>2092</v>
      </c>
      <c r="B75" s="1">
        <f t="shared" ref="B75:B83" si="10">$B$2+C75</f>
        <v>112</v>
      </c>
      <c r="C75" s="1">
        <v>73</v>
      </c>
      <c r="D75" s="1">
        <f>IF(Summary!$G$10="M",VLOOKUP(B:B,'male g'!A:V,IF(A75&gt;2033,22,MATCH(A75,'male g'!$A$1:$V$1,0)),FALSE),VLOOKUP(B:B,'female g'!A:V,IF(A75&gt;2033,22,MATCH(A75,'female g'!$A$1:$V$1,0)),FALSE))</f>
        <v>0.48365765799999999</v>
      </c>
      <c r="E75" s="1">
        <f t="shared" si="7"/>
        <v>0.51634234199999995</v>
      </c>
      <c r="F75" s="1">
        <f t="shared" si="8"/>
        <v>0.53382748400000002</v>
      </c>
      <c r="G75" s="1">
        <f>1/(1+Summary!$O$2)^$C75</f>
        <v>2.8391031260744073E-2</v>
      </c>
      <c r="H75" s="1">
        <f>IF(B75&gt;64, Summary!$J$2, 0)*'TV 9'!G75*'TV 9'!F75</f>
        <v>123.46592335804884</v>
      </c>
      <c r="I75" s="1"/>
    </row>
    <row r="76" spans="1:9">
      <c r="A76" s="1">
        <f t="shared" si="9"/>
        <v>2093</v>
      </c>
      <c r="B76" s="1">
        <f t="shared" si="10"/>
        <v>113</v>
      </c>
      <c r="C76" s="1">
        <v>74</v>
      </c>
      <c r="D76" s="1">
        <f>IF(Summary!$G$10="M",VLOOKUP(B:B,'male g'!A:V,IF(A76&gt;2033,22,MATCH(A76,'male g'!$A$1:$V$1,0)),FALSE),VLOOKUP(B:B,'female g'!A:V,IF(A76&gt;2033,22,MATCH(A76,'female g'!$A$1:$V$1,0)),FALSE))</f>
        <v>0.49353991000000003</v>
      </c>
      <c r="E76" s="1">
        <f t="shared" si="7"/>
        <v>0.50646009000000003</v>
      </c>
      <c r="F76" s="1">
        <f t="shared" si="8"/>
        <v>0.51634234199999995</v>
      </c>
      <c r="G76" s="1">
        <f>1/(1+Summary!$O$2)^$C76</f>
        <v>2.7039077391184833E-2</v>
      </c>
      <c r="H76" s="1">
        <f>IF(B76&gt;64, Summary!$J$2, 0)*'TV 9'!G76*'TV 9'!F76</f>
        <v>113.73512789312863</v>
      </c>
      <c r="I76" s="1"/>
    </row>
    <row r="77" spans="1:9">
      <c r="A77" s="1">
        <f t="shared" si="9"/>
        <v>2094</v>
      </c>
      <c r="B77" s="1">
        <f t="shared" si="10"/>
        <v>114</v>
      </c>
      <c r="C77" s="1">
        <v>75</v>
      </c>
      <c r="D77" s="1">
        <f>IF(Summary!$G$10="M",VLOOKUP(B:B,'male g'!A:V,IF(A77&gt;2033,22,MATCH(A77,'male g'!$A$1:$V$1,0)),FALSE),VLOOKUP(B:B,'female g'!A:V,IF(A77&gt;2033,22,MATCH(A77,'female g'!$A$1:$V$1,0)),FALSE))</f>
        <v>0.49666062900000002</v>
      </c>
      <c r="E77" s="1">
        <f t="shared" si="7"/>
        <v>0.50333937100000004</v>
      </c>
      <c r="F77" s="1">
        <f t="shared" si="8"/>
        <v>0.50646009000000003</v>
      </c>
      <c r="G77" s="1">
        <f>1/(1+Summary!$O$2)^$C77</f>
        <v>2.5751502277318886E-2</v>
      </c>
      <c r="H77" s="1">
        <f>IF(B77&gt;64, Summary!$J$2, 0)*'TV 9'!G77*'TV 9'!F77</f>
        <v>106.24605389074442</v>
      </c>
      <c r="I77" s="1"/>
    </row>
    <row r="78" spans="1:9">
      <c r="A78" s="1">
        <f t="shared" si="9"/>
        <v>2095</v>
      </c>
      <c r="B78" s="1">
        <f t="shared" si="10"/>
        <v>115</v>
      </c>
      <c r="C78" s="1">
        <v>76</v>
      </c>
      <c r="D78" s="1">
        <f>IF(Summary!$G$10="M",VLOOKUP(B:B,'male g'!A:V,IF(A78&gt;2033,22,MATCH(A78,'male g'!$A$1:$V$1,0)),FALSE),VLOOKUP(B:B,'female g'!A:V,IF(A78&gt;2033,22,MATCH(A78,'female g'!$A$1:$V$1,0)),FALSE))</f>
        <v>0.5</v>
      </c>
      <c r="E78" s="1">
        <f t="shared" si="7"/>
        <v>0.5</v>
      </c>
      <c r="F78" s="1">
        <f t="shared" si="8"/>
        <v>0.50333937100000004</v>
      </c>
      <c r="G78" s="1">
        <f>1/(1+Summary!$O$2)^$C78</f>
        <v>2.4525240264113228E-2</v>
      </c>
      <c r="H78" s="1">
        <f>IF(B78&gt;64, Summary!$J$2, 0)*'TV 9'!G78*'TV 9'!F78</f>
        <v>100.56322303152757</v>
      </c>
      <c r="I78" s="1"/>
    </row>
    <row r="79" spans="1:9">
      <c r="A79" s="1">
        <f t="shared" si="9"/>
        <v>2096</v>
      </c>
      <c r="B79" s="1">
        <f t="shared" si="10"/>
        <v>116</v>
      </c>
      <c r="C79" s="1">
        <v>77</v>
      </c>
      <c r="D79" s="1">
        <f>IF(Summary!$G$10="M",VLOOKUP(B:B,'male g'!A:V,IF(A79&gt;2033,22,MATCH(A79,'male g'!$A$1:$V$1,0)),FALSE),VLOOKUP(B:B,'female g'!A:V,IF(A79&gt;2033,22,MATCH(A79,'female g'!$A$1:$V$1,0)),FALSE))</f>
        <v>0.5</v>
      </c>
      <c r="E79" s="1">
        <f t="shared" si="7"/>
        <v>0.5</v>
      </c>
      <c r="F79" s="1">
        <f t="shared" si="8"/>
        <v>0.5</v>
      </c>
      <c r="G79" s="1">
        <f>1/(1+Summary!$O$2)^$C79</f>
        <v>2.3357371680107829E-2</v>
      </c>
      <c r="H79" s="1">
        <f>IF(B79&gt;64, Summary!$J$2, 0)*'TV 9'!G79*'TV 9'!F79</f>
        <v>95.139088697737023</v>
      </c>
      <c r="I79" s="1"/>
    </row>
    <row r="80" spans="1:9">
      <c r="A80" s="1">
        <f t="shared" si="9"/>
        <v>2097</v>
      </c>
      <c r="B80" s="1">
        <f t="shared" si="10"/>
        <v>117</v>
      </c>
      <c r="C80" s="1">
        <v>78</v>
      </c>
      <c r="D80" s="1">
        <f>IF(Summary!$G$10="M",VLOOKUP(B:B,'male g'!A:V,IF(A80&gt;2033,22,MATCH(A80,'male g'!$A$1:$V$1,0)),FALSE),VLOOKUP(B:B,'female g'!A:V,IF(A80&gt;2033,22,MATCH(A80,'female g'!$A$1:$V$1,0)),FALSE))</f>
        <v>0.5</v>
      </c>
      <c r="E80" s="1">
        <f t="shared" si="7"/>
        <v>0.5</v>
      </c>
      <c r="F80" s="1">
        <f t="shared" si="8"/>
        <v>0.5</v>
      </c>
      <c r="G80" s="1">
        <f>1/(1+Summary!$O$2)^$C80</f>
        <v>2.2245115885816989E-2</v>
      </c>
      <c r="H80" s="1">
        <f>IF(B80&gt;64, Summary!$J$2, 0)*'TV 9'!G80*'TV 9'!F80</f>
        <v>90.608655902606728</v>
      </c>
      <c r="I80" s="1"/>
    </row>
    <row r="81" spans="1:9">
      <c r="A81" s="1">
        <f t="shared" si="9"/>
        <v>2098</v>
      </c>
      <c r="B81" s="1">
        <f t="shared" si="10"/>
        <v>118</v>
      </c>
      <c r="C81" s="1">
        <v>79</v>
      </c>
      <c r="D81" s="1">
        <f>IF(Summary!$G$10="M",VLOOKUP(B:B,'male g'!A:V,IF(A81&gt;2033,22,MATCH(A81,'male g'!$A$1:$V$1,0)),FALSE),VLOOKUP(B:B,'female g'!A:V,IF(A81&gt;2033,22,MATCH(A81,'female g'!$A$1:$V$1,0)),FALSE))</f>
        <v>0.5</v>
      </c>
      <c r="E81" s="1">
        <f t="shared" si="7"/>
        <v>0.5</v>
      </c>
      <c r="F81" s="1">
        <f t="shared" si="8"/>
        <v>0.5</v>
      </c>
      <c r="G81" s="1">
        <f>1/(1+Summary!$O$2)^$C81</f>
        <v>2.1185824653159029E-2</v>
      </c>
      <c r="H81" s="1">
        <f>IF(B81&gt;64, Summary!$J$2, 0)*'TV 9'!G81*'TV 9'!F81</f>
        <v>86.293958002482569</v>
      </c>
      <c r="I81" s="1"/>
    </row>
    <row r="82" spans="1:9">
      <c r="A82" s="1">
        <f t="shared" si="9"/>
        <v>2099</v>
      </c>
      <c r="B82" s="1">
        <f t="shared" si="10"/>
        <v>119</v>
      </c>
      <c r="C82" s="1">
        <v>80</v>
      </c>
      <c r="D82" s="1">
        <f>IF(Summary!$G$10="M",VLOOKUP(B:B,'male g'!A:V,IF(A82&gt;2033,22,MATCH(A82,'male g'!$A$1:$V$1,0)),FALSE),VLOOKUP(B:B,'female g'!A:V,IF(A82&gt;2033,22,MATCH(A82,'female g'!$A$1:$V$1,0)),FALSE))</f>
        <v>0.5</v>
      </c>
      <c r="E82" s="1">
        <f t="shared" si="7"/>
        <v>0.5</v>
      </c>
      <c r="F82" s="1">
        <f t="shared" si="8"/>
        <v>0.5</v>
      </c>
      <c r="G82" s="1">
        <f>1/(1+Summary!$O$2)^$C82</f>
        <v>2.0176975860151457E-2</v>
      </c>
      <c r="H82" s="1">
        <f>IF(B82&gt;64, Summary!$J$2, 0)*'TV 9'!G82*'TV 9'!F82</f>
        <v>82.18472190712626</v>
      </c>
      <c r="I82" s="1"/>
    </row>
    <row r="83" spans="1:9">
      <c r="A83" s="1">
        <f t="shared" si="9"/>
        <v>2100</v>
      </c>
      <c r="B83" s="1">
        <f t="shared" si="10"/>
        <v>120</v>
      </c>
      <c r="C83" s="1">
        <v>81</v>
      </c>
      <c r="D83" s="1">
        <f>IF(Summary!$G$10="M",VLOOKUP(B:B,'male g'!A:V,IF(A83&gt;2033,22,MATCH(A83,'male g'!$A$1:$V$1,0)),FALSE),VLOOKUP(B:B,'female g'!A:V,IF(A83&gt;2033,22,MATCH(A83,'female g'!$A$1:$V$1,0)),FALSE))</f>
        <v>1</v>
      </c>
      <c r="E83" s="1">
        <f t="shared" si="7"/>
        <v>0</v>
      </c>
      <c r="F83" s="1">
        <f t="shared" si="8"/>
        <v>0.5</v>
      </c>
      <c r="G83" s="1">
        <f>1/(1+Summary!$O$2)^$C83</f>
        <v>1.9216167485858526E-2</v>
      </c>
      <c r="H83" s="1">
        <f>IF(B83&gt;64, Summary!$J$2, 0)*'TV 9'!G83*'TV 9'!F83</f>
        <v>78.271163721072611</v>
      </c>
      <c r="I83" s="1"/>
    </row>
    <row r="84" spans="1:9">
      <c r="A84" s="1"/>
    </row>
    <row r="85" spans="1:9">
      <c r="A85" s="1"/>
    </row>
    <row r="86" spans="1:9">
      <c r="A86" s="1"/>
    </row>
    <row r="87" spans="1:9">
      <c r="A87" s="1"/>
    </row>
    <row r="88" spans="1:9">
      <c r="A88" s="1"/>
    </row>
    <row r="89" spans="1:9">
      <c r="A89" s="1"/>
    </row>
    <row r="90" spans="1:9">
      <c r="A90" s="1"/>
    </row>
    <row r="91" spans="1:9">
      <c r="A91" s="1"/>
    </row>
    <row r="92" spans="1:9">
      <c r="A92" s="1"/>
    </row>
    <row r="93" spans="1:9">
      <c r="A93" s="1"/>
    </row>
    <row r="94" spans="1:9">
      <c r="A94" s="1"/>
    </row>
    <row r="95" spans="1:9">
      <c r="A95" s="1"/>
    </row>
    <row r="96" spans="1:9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98"/>
  <sheetViews>
    <sheetView workbookViewId="0">
      <selection activeCell="H3" sqref="H3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Summary!H11</f>
        <v>39</v>
      </c>
      <c r="C2" s="1">
        <v>0</v>
      </c>
      <c r="D2" s="1">
        <f>IF(Summary!$G$11="M",VLOOKUP(B:B,'male g'!A:V,IF(A2&gt;2033,22,MATCH(A2,'male g'!$A$1:$V$1,0)),FALSE),VLOOKUP(B:B,'female g'!A:V,IF(A2&gt;2033,22,MATCH(A2,'female g'!$A$1:$V$1,0)),FALSE))</f>
        <v>4.0397399999999998E-4</v>
      </c>
      <c r="E2" s="1">
        <f>1-D2</f>
        <v>0.99959602599999997</v>
      </c>
      <c r="F2" s="1">
        <v>1</v>
      </c>
      <c r="G2" s="1">
        <f>1/(1+Summary!$O$2)^$C2</f>
        <v>1</v>
      </c>
      <c r="H2" s="1">
        <f>IF(B2&gt;64, Summary!$J$11, 0)*'TV 10'!G2*'TV 10'!F2</f>
        <v>0</v>
      </c>
      <c r="I2" s="1">
        <f>SUM(H2:H83)</f>
        <v>107449.80327701595</v>
      </c>
    </row>
    <row r="3" spans="1:9">
      <c r="A3" s="1">
        <f>$A$2+C3</f>
        <v>2020</v>
      </c>
      <c r="B3" s="1">
        <f>$B$2+C3</f>
        <v>40</v>
      </c>
      <c r="C3" s="1">
        <v>1</v>
      </c>
      <c r="D3" s="1">
        <f>IF(Summary!$G$11="M",VLOOKUP(B:B,'male g'!A:V,IF(A3&gt;2033,22,MATCH(A3,'male g'!$A$1:$V$1,0)),FALSE),VLOOKUP(B:B,'female g'!A:V,IF(A3&gt;2033,22,MATCH(A3,'female g'!$A$1:$V$1,0)),FALSE))</f>
        <v>4.3698000000000001E-4</v>
      </c>
      <c r="E3" s="1">
        <f>1-D3</f>
        <v>0.99956301999999997</v>
      </c>
      <c r="F3" s="1">
        <f>E2</f>
        <v>0.99959602599999997</v>
      </c>
      <c r="G3" s="1">
        <f>1/(1+Summary!$O$2)^$C3</f>
        <v>0.95238095238095233</v>
      </c>
      <c r="H3" s="1">
        <f>IF(B3&gt;64, Summary!$J$11, 0)*'TV 10'!G3*'TV 10'!F3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41</v>
      </c>
      <c r="C4" s="1">
        <v>2</v>
      </c>
      <c r="D4" s="1">
        <f>IF(Summary!$G$11="M",VLOOKUP(B:B,'male g'!A:V,IF(A4&gt;2033,22,MATCH(A4,'male g'!$A$1:$V$1,0)),FALSE),VLOOKUP(B:B,'female g'!A:V,IF(A4&gt;2033,22,MATCH(A4,'female g'!$A$1:$V$1,0)),FALSE))</f>
        <v>4.7312500000000002E-4</v>
      </c>
      <c r="E4" s="1">
        <f t="shared" ref="E4:E67" si="2">1-D4</f>
        <v>0.99952687500000004</v>
      </c>
      <c r="F4" s="1">
        <f t="shared" ref="F4:F67" si="3">E3</f>
        <v>0.99956301999999997</v>
      </c>
      <c r="G4" s="1">
        <f>1/(1+Summary!$O$2)^$C4</f>
        <v>0.90702947845804982</v>
      </c>
      <c r="H4" s="1">
        <f>IF(B4&gt;64, Summary!$J$11, 0)*'TV 10'!G4*'TV 10'!F4</f>
        <v>0</v>
      </c>
      <c r="I4" s="1"/>
    </row>
    <row r="5" spans="1:9">
      <c r="A5" s="1">
        <f t="shared" si="0"/>
        <v>2022</v>
      </c>
      <c r="B5" s="1">
        <f t="shared" si="1"/>
        <v>42</v>
      </c>
      <c r="C5" s="1">
        <v>3</v>
      </c>
      <c r="D5" s="1">
        <f>IF(Summary!$G$11="M",VLOOKUP(B:B,'male g'!A:V,IF(A5&gt;2033,22,MATCH(A5,'male g'!$A$1:$V$1,0)),FALSE),VLOOKUP(B:B,'female g'!A:V,IF(A5&gt;2033,22,MATCH(A5,'female g'!$A$1:$V$1,0)),FALSE))</f>
        <v>5.1371000000000001E-4</v>
      </c>
      <c r="E5" s="1">
        <f t="shared" si="2"/>
        <v>0.99948629</v>
      </c>
      <c r="F5" s="1">
        <f t="shared" si="3"/>
        <v>0.99952687500000004</v>
      </c>
      <c r="G5" s="1">
        <f>1/(1+Summary!$O$2)^$C5</f>
        <v>0.86383759853147601</v>
      </c>
      <c r="H5" s="1">
        <f>IF(B5&gt;64, Summary!$J$11, 0)*'TV 10'!G5*'TV 10'!F5</f>
        <v>0</v>
      </c>
      <c r="I5" s="1"/>
    </row>
    <row r="6" spans="1:9">
      <c r="A6" s="1">
        <f t="shared" si="0"/>
        <v>2023</v>
      </c>
      <c r="B6" s="1">
        <f t="shared" si="1"/>
        <v>43</v>
      </c>
      <c r="C6" s="1">
        <v>4</v>
      </c>
      <c r="D6" s="1">
        <f>IF(Summary!$G$11="M",VLOOKUP(B:B,'male g'!A:V,IF(A6&gt;2033,22,MATCH(A6,'male g'!$A$1:$V$1,0)),FALSE),VLOOKUP(B:B,'female g'!A:V,IF(A6&gt;2033,22,MATCH(A6,'female g'!$A$1:$V$1,0)),FALSE))</f>
        <v>5.5958899999999998E-4</v>
      </c>
      <c r="E6" s="1">
        <f t="shared" si="2"/>
        <v>0.99944041100000003</v>
      </c>
      <c r="F6" s="1">
        <f t="shared" si="3"/>
        <v>0.99948629</v>
      </c>
      <c r="G6" s="1">
        <f>1/(1+Summary!$O$2)^$C6</f>
        <v>0.82270247479188197</v>
      </c>
      <c r="H6" s="1">
        <f>IF(B6&gt;64, Summary!$J$11, 0)*'TV 10'!G6*'TV 10'!F6</f>
        <v>0</v>
      </c>
      <c r="I6" s="1"/>
    </row>
    <row r="7" spans="1:9">
      <c r="A7" s="1">
        <f t="shared" si="0"/>
        <v>2024</v>
      </c>
      <c r="B7" s="1">
        <f t="shared" si="1"/>
        <v>44</v>
      </c>
      <c r="C7" s="1">
        <v>5</v>
      </c>
      <c r="D7" s="1">
        <f>IF(Summary!$G$11="M",VLOOKUP(B:B,'male g'!A:V,IF(A7&gt;2033,22,MATCH(A7,'male g'!$A$1:$V$1,0)),FALSE),VLOOKUP(B:B,'female g'!A:V,IF(A7&gt;2033,22,MATCH(A7,'female g'!$A$1:$V$1,0)),FALSE))</f>
        <v>6.1078800000000002E-4</v>
      </c>
      <c r="E7" s="1">
        <f t="shared" si="2"/>
        <v>0.99938921199999997</v>
      </c>
      <c r="F7" s="1">
        <f t="shared" si="3"/>
        <v>0.99944041100000003</v>
      </c>
      <c r="G7" s="1">
        <f>1/(1+Summary!$O$2)^$C7</f>
        <v>0.78352616646845896</v>
      </c>
      <c r="H7" s="1">
        <f>IF(B7&gt;64, Summary!$J$11, 0)*'TV 10'!G7*'TV 10'!F7</f>
        <v>0</v>
      </c>
      <c r="I7" s="1"/>
    </row>
    <row r="8" spans="1:9">
      <c r="A8" s="1">
        <f t="shared" si="0"/>
        <v>2025</v>
      </c>
      <c r="B8" s="1">
        <f t="shared" si="1"/>
        <v>45</v>
      </c>
      <c r="C8" s="1">
        <v>6</v>
      </c>
      <c r="D8" s="1">
        <f>IF(Summary!$G$11="M",VLOOKUP(B:B,'male g'!A:V,IF(A8&gt;2033,22,MATCH(A8,'male g'!$A$1:$V$1,0)),FALSE),VLOOKUP(B:B,'female g'!A:V,IF(A8&gt;2033,22,MATCH(A8,'female g'!$A$1:$V$1,0)),FALSE))</f>
        <v>6.67313E-4</v>
      </c>
      <c r="E8" s="1">
        <f t="shared" si="2"/>
        <v>0.999332687</v>
      </c>
      <c r="F8" s="1">
        <f t="shared" si="3"/>
        <v>0.99938921199999997</v>
      </c>
      <c r="G8" s="1">
        <f>1/(1+Summary!$O$2)^$C8</f>
        <v>0.74621539663662761</v>
      </c>
      <c r="H8" s="1">
        <f>IF(B8&gt;64, Summary!$J$11, 0)*'TV 10'!G8*'TV 10'!F8</f>
        <v>0</v>
      </c>
      <c r="I8" s="1"/>
    </row>
    <row r="9" spans="1:9">
      <c r="A9" s="1">
        <f t="shared" si="0"/>
        <v>2026</v>
      </c>
      <c r="B9" s="1">
        <f t="shared" si="1"/>
        <v>46</v>
      </c>
      <c r="C9" s="1">
        <v>7</v>
      </c>
      <c r="D9" s="1">
        <f>IF(Summary!$G$11="M",VLOOKUP(B:B,'male g'!A:V,IF(A9&gt;2033,22,MATCH(A9,'male g'!$A$1:$V$1,0)),FALSE),VLOOKUP(B:B,'female g'!A:V,IF(A9&gt;2033,22,MATCH(A9,'female g'!$A$1:$V$1,0)),FALSE))</f>
        <v>7.2918500000000003E-4</v>
      </c>
      <c r="E9" s="1">
        <f t="shared" si="2"/>
        <v>0.99927081500000003</v>
      </c>
      <c r="F9" s="1">
        <f t="shared" si="3"/>
        <v>0.999332687</v>
      </c>
      <c r="G9" s="1">
        <f>1/(1+Summary!$O$2)^$C9</f>
        <v>0.71068133013012147</v>
      </c>
      <c r="H9" s="1">
        <f>IF(B9&gt;64, Summary!$J$11, 0)*'TV 10'!G9*'TV 10'!F9</f>
        <v>0</v>
      </c>
      <c r="I9" s="1"/>
    </row>
    <row r="10" spans="1:9">
      <c r="A10" s="1">
        <f t="shared" si="0"/>
        <v>2027</v>
      </c>
      <c r="B10" s="1">
        <f t="shared" si="1"/>
        <v>47</v>
      </c>
      <c r="C10" s="1">
        <v>8</v>
      </c>
      <c r="D10" s="1">
        <f>IF(Summary!$G$11="M",VLOOKUP(B:B,'male g'!A:V,IF(A10&gt;2033,22,MATCH(A10,'male g'!$A$1:$V$1,0)),FALSE),VLOOKUP(B:B,'female g'!A:V,IF(A10&gt;2033,22,MATCH(A10,'female g'!$A$1:$V$1,0)),FALSE))</f>
        <v>7.9581900000000002E-4</v>
      </c>
      <c r="E10" s="1">
        <f t="shared" si="2"/>
        <v>0.99920418099999997</v>
      </c>
      <c r="F10" s="1">
        <f t="shared" si="3"/>
        <v>0.99927081500000003</v>
      </c>
      <c r="G10" s="1">
        <f>1/(1+Summary!$O$2)^$C10</f>
        <v>0.67683936202868722</v>
      </c>
      <c r="H10" s="1">
        <f>IF(B10&gt;64, Summary!$J$11, 0)*'TV 10'!G10*'TV 10'!F10</f>
        <v>0</v>
      </c>
      <c r="I10" s="1"/>
    </row>
    <row r="11" spans="1:9">
      <c r="A11" s="1">
        <f t="shared" si="0"/>
        <v>2028</v>
      </c>
      <c r="B11" s="1">
        <f t="shared" si="1"/>
        <v>48</v>
      </c>
      <c r="C11" s="1">
        <v>9</v>
      </c>
      <c r="D11" s="1">
        <f>IF(Summary!$G$11="M",VLOOKUP(B:B,'male g'!A:V,IF(A11&gt;2033,22,MATCH(A11,'male g'!$A$1:$V$1,0)),FALSE),VLOOKUP(B:B,'female g'!A:V,IF(A11&gt;2033,22,MATCH(A11,'female g'!$A$1:$V$1,0)),FALSE))</f>
        <v>8.6762299999999998E-4</v>
      </c>
      <c r="E11" s="1">
        <f t="shared" si="2"/>
        <v>0.99913237700000002</v>
      </c>
      <c r="F11" s="1">
        <f t="shared" si="3"/>
        <v>0.99920418099999997</v>
      </c>
      <c r="G11" s="1">
        <f>1/(1+Summary!$O$2)^$C11</f>
        <v>0.64460891621779726</v>
      </c>
      <c r="H11" s="1">
        <f>IF(B11&gt;64, Summary!$J$11, 0)*'TV 10'!G11*'TV 10'!F11</f>
        <v>0</v>
      </c>
      <c r="I11" s="1"/>
    </row>
    <row r="12" spans="1:9">
      <c r="A12" s="1">
        <f t="shared" si="0"/>
        <v>2029</v>
      </c>
      <c r="B12" s="1">
        <f t="shared" si="1"/>
        <v>49</v>
      </c>
      <c r="C12" s="1">
        <v>10</v>
      </c>
      <c r="D12" s="1">
        <f>IF(Summary!$G$11="M",VLOOKUP(B:B,'male g'!A:V,IF(A12&gt;2033,22,MATCH(A12,'male g'!$A$1:$V$1,0)),FALSE),VLOOKUP(B:B,'female g'!A:V,IF(A12&gt;2033,22,MATCH(A12,'female g'!$A$1:$V$1,0)),FALSE))</f>
        <v>9.4305699999999997E-4</v>
      </c>
      <c r="E12" s="1">
        <f t="shared" si="2"/>
        <v>0.99905694300000003</v>
      </c>
      <c r="F12" s="1">
        <f t="shared" si="3"/>
        <v>0.99913237700000002</v>
      </c>
      <c r="G12" s="1">
        <f>1/(1+Summary!$O$2)^$C12</f>
        <v>0.61391325354075932</v>
      </c>
      <c r="H12" s="1">
        <f>IF(B12&gt;64, Summary!$J$11, 0)*'TV 10'!G12*'TV 10'!F12</f>
        <v>0</v>
      </c>
      <c r="I12" s="1"/>
    </row>
    <row r="13" spans="1:9">
      <c r="A13" s="1">
        <f t="shared" si="0"/>
        <v>2030</v>
      </c>
      <c r="B13" s="1">
        <f t="shared" si="1"/>
        <v>50</v>
      </c>
      <c r="C13" s="1">
        <v>11</v>
      </c>
      <c r="D13" s="1">
        <f>IF(Summary!$G$11="M",VLOOKUP(B:B,'male g'!A:V,IF(A13&gt;2033,22,MATCH(A13,'male g'!$A$1:$V$1,0)),FALSE),VLOOKUP(B:B,'female g'!A:V,IF(A13&gt;2033,22,MATCH(A13,'female g'!$A$1:$V$1,0)),FALSE))</f>
        <v>2.5713860000000002E-3</v>
      </c>
      <c r="E13" s="1">
        <f t="shared" si="2"/>
        <v>0.99742861400000005</v>
      </c>
      <c r="F13" s="1">
        <f t="shared" si="3"/>
        <v>0.99905694300000003</v>
      </c>
      <c r="G13" s="1">
        <f>1/(1+Summary!$O$2)^$C13</f>
        <v>0.5846792890864374</v>
      </c>
      <c r="H13" s="1">
        <f>IF(B13&gt;64, Summary!$J$11, 0)*'TV 10'!G13*'TV 10'!F13</f>
        <v>0</v>
      </c>
      <c r="I13" s="1"/>
    </row>
    <row r="14" spans="1:9">
      <c r="A14" s="1">
        <f t="shared" si="0"/>
        <v>2031</v>
      </c>
      <c r="B14" s="1">
        <f t="shared" si="1"/>
        <v>51</v>
      </c>
      <c r="C14" s="1">
        <v>12</v>
      </c>
      <c r="D14" s="1">
        <f>IF(Summary!$G$11="M",VLOOKUP(B:B,'male g'!A:V,IF(A14&gt;2033,22,MATCH(A14,'male g'!$A$1:$V$1,0)),FALSE),VLOOKUP(B:B,'female g'!A:V,IF(A14&gt;2033,22,MATCH(A14,'female g'!$A$1:$V$1,0)),FALSE))</f>
        <v>2.667642E-3</v>
      </c>
      <c r="E14" s="1">
        <f t="shared" si="2"/>
        <v>0.99733235799999997</v>
      </c>
      <c r="F14" s="1">
        <f t="shared" si="3"/>
        <v>0.99742861400000005</v>
      </c>
      <c r="G14" s="1">
        <f>1/(1+Summary!$O$2)^$C14</f>
        <v>0.5568374181775595</v>
      </c>
      <c r="H14" s="1">
        <f>IF(B14&gt;64, Summary!$J$11, 0)*'TV 10'!G14*'TV 10'!F14</f>
        <v>0</v>
      </c>
      <c r="I14" s="1"/>
    </row>
    <row r="15" spans="1:9">
      <c r="A15" s="1">
        <f t="shared" si="0"/>
        <v>2032</v>
      </c>
      <c r="B15" s="1">
        <f t="shared" si="1"/>
        <v>52</v>
      </c>
      <c r="C15" s="1">
        <v>13</v>
      </c>
      <c r="D15" s="1">
        <f>IF(Summary!$G$11="M",VLOOKUP(B:B,'male g'!A:V,IF(A15&gt;2033,22,MATCH(A15,'male g'!$A$1:$V$1,0)),FALSE),VLOOKUP(B:B,'female g'!A:V,IF(A15&gt;2033,22,MATCH(A15,'female g'!$A$1:$V$1,0)),FALSE))</f>
        <v>2.7815919999999998E-3</v>
      </c>
      <c r="E15" s="1">
        <f t="shared" si="2"/>
        <v>0.99721840799999995</v>
      </c>
      <c r="F15" s="1">
        <f t="shared" si="3"/>
        <v>0.99733235799999997</v>
      </c>
      <c r="G15" s="1">
        <f>1/(1+Summary!$O$2)^$C15</f>
        <v>0.53032135064529462</v>
      </c>
      <c r="H15" s="1">
        <f>IF(B15&gt;64, Summary!$J$11, 0)*'TV 10'!G15*'TV 10'!F15</f>
        <v>0</v>
      </c>
      <c r="I15" s="1"/>
    </row>
    <row r="16" spans="1:9">
      <c r="A16" s="1">
        <f t="shared" si="0"/>
        <v>2033</v>
      </c>
      <c r="B16" s="1">
        <f t="shared" si="1"/>
        <v>53</v>
      </c>
      <c r="C16" s="1">
        <v>14</v>
      </c>
      <c r="D16" s="1">
        <f>IF(Summary!$G$11="M",VLOOKUP(B:B,'male g'!A:V,IF(A16&gt;2033,22,MATCH(A16,'male g'!$A$1:$V$1,0)),FALSE),VLOOKUP(B:B,'female g'!A:V,IF(A16&gt;2033,22,MATCH(A16,'female g'!$A$1:$V$1,0)),FALSE))</f>
        <v>2.915192E-3</v>
      </c>
      <c r="E16" s="1">
        <f t="shared" si="2"/>
        <v>0.99708480799999999</v>
      </c>
      <c r="F16" s="1">
        <f t="shared" si="3"/>
        <v>0.99721840799999995</v>
      </c>
      <c r="G16" s="1">
        <f>1/(1+Summary!$O$2)^$C16</f>
        <v>0.50506795299551888</v>
      </c>
      <c r="H16" s="1">
        <f>IF(B16&gt;64, Summary!$J$11, 0)*'TV 10'!G16*'TV 10'!F16</f>
        <v>0</v>
      </c>
      <c r="I16" s="1"/>
    </row>
    <row r="17" spans="1:9">
      <c r="A17" s="1">
        <f t="shared" si="0"/>
        <v>2034</v>
      </c>
      <c r="B17" s="1">
        <f t="shared" si="1"/>
        <v>54</v>
      </c>
      <c r="C17" s="1">
        <v>15</v>
      </c>
      <c r="D17" s="1">
        <f>IF(Summary!$G$11="M",VLOOKUP(B:B,'male g'!A:V,IF(A17&gt;2033,22,MATCH(A17,'male g'!$A$1:$V$1,0)),FALSE),VLOOKUP(B:B,'female g'!A:V,IF(A17&gt;2033,22,MATCH(A17,'female g'!$A$1:$V$1,0)),FALSE))</f>
        <v>3.0685230000000001E-3</v>
      </c>
      <c r="E17" s="1">
        <f t="shared" si="2"/>
        <v>0.99693147699999995</v>
      </c>
      <c r="F17" s="1">
        <f t="shared" si="3"/>
        <v>0.99708480799999999</v>
      </c>
      <c r="G17" s="1">
        <f>1/(1+Summary!$O$2)^$C17</f>
        <v>0.48101709809097021</v>
      </c>
      <c r="H17" s="1">
        <f>IF(B17&gt;64, Summary!$J$11, 0)*'TV 10'!G17*'TV 10'!F17</f>
        <v>0</v>
      </c>
      <c r="I17" s="1"/>
    </row>
    <row r="18" spans="1:9">
      <c r="A18" s="1">
        <f t="shared" si="0"/>
        <v>2035</v>
      </c>
      <c r="B18" s="1">
        <f t="shared" si="1"/>
        <v>55</v>
      </c>
      <c r="C18" s="1">
        <v>16</v>
      </c>
      <c r="D18" s="1">
        <f>IF(Summary!$G$11="M",VLOOKUP(B:B,'male g'!A:V,IF(A18&gt;2033,22,MATCH(A18,'male g'!$A$1:$V$1,0)),FALSE),VLOOKUP(B:B,'female g'!A:V,IF(A18&gt;2033,22,MATCH(A18,'female g'!$A$1:$V$1,0)),FALSE))</f>
        <v>3.2780830000000002E-3</v>
      </c>
      <c r="E18" s="1">
        <f t="shared" si="2"/>
        <v>0.99672191700000001</v>
      </c>
      <c r="F18" s="1">
        <f t="shared" si="3"/>
        <v>0.99693147699999995</v>
      </c>
      <c r="G18" s="1">
        <f>1/(1+Summary!$O$2)^$C18</f>
        <v>0.45811152199140021</v>
      </c>
      <c r="H18" s="1">
        <f>IF(B18&gt;64, Summary!$J$11, 0)*'TV 10'!G18*'TV 10'!F18</f>
        <v>0</v>
      </c>
      <c r="I18" s="1"/>
    </row>
    <row r="19" spans="1:9">
      <c r="A19" s="1">
        <f t="shared" si="0"/>
        <v>2036</v>
      </c>
      <c r="B19" s="1">
        <f t="shared" si="1"/>
        <v>56</v>
      </c>
      <c r="C19" s="1">
        <v>17</v>
      </c>
      <c r="D19" s="1">
        <f>IF(Summary!$G$11="M",VLOOKUP(B:B,'male g'!A:V,IF(A19&gt;2033,22,MATCH(A19,'male g'!$A$1:$V$1,0)),FALSE),VLOOKUP(B:B,'female g'!A:V,IF(A19&gt;2033,22,MATCH(A19,'female g'!$A$1:$V$1,0)),FALSE))</f>
        <v>3.5159589999999999E-3</v>
      </c>
      <c r="E19" s="1">
        <f t="shared" si="2"/>
        <v>0.99648404099999999</v>
      </c>
      <c r="F19" s="1">
        <f t="shared" si="3"/>
        <v>0.99672191700000001</v>
      </c>
      <c r="G19" s="1">
        <f>1/(1+Summary!$O$2)^$C19</f>
        <v>0.43629668761085727</v>
      </c>
      <c r="H19" s="1">
        <f>IF(B19&gt;64, Summary!$J$11, 0)*'TV 10'!G19*'TV 10'!F19</f>
        <v>0</v>
      </c>
      <c r="I19" s="1"/>
    </row>
    <row r="20" spans="1:9">
      <c r="A20" s="1">
        <f t="shared" si="0"/>
        <v>2037</v>
      </c>
      <c r="B20" s="1">
        <f t="shared" si="1"/>
        <v>57</v>
      </c>
      <c r="C20" s="1">
        <v>18</v>
      </c>
      <c r="D20" s="1">
        <f>IF(Summary!$G$11="M",VLOOKUP(B:B,'male g'!A:V,IF(A20&gt;2033,22,MATCH(A20,'male g'!$A$1:$V$1,0)),FALSE),VLOOKUP(B:B,'female g'!A:V,IF(A20&gt;2033,22,MATCH(A20,'female g'!$A$1:$V$1,0)),FALSE))</f>
        <v>3.7870999999999998E-3</v>
      </c>
      <c r="E20" s="1">
        <f t="shared" si="2"/>
        <v>0.99621289999999996</v>
      </c>
      <c r="F20" s="1">
        <f t="shared" si="3"/>
        <v>0.99648404099999999</v>
      </c>
      <c r="G20" s="1">
        <f>1/(1+Summary!$O$2)^$C20</f>
        <v>0.41552065486748313</v>
      </c>
      <c r="H20" s="1">
        <f>IF(B20&gt;64, Summary!$J$11, 0)*'TV 10'!G20*'TV 10'!F20</f>
        <v>0</v>
      </c>
      <c r="I20" s="1"/>
    </row>
    <row r="21" spans="1:9">
      <c r="A21" s="1">
        <f t="shared" si="0"/>
        <v>2038</v>
      </c>
      <c r="B21" s="1">
        <f t="shared" si="1"/>
        <v>58</v>
      </c>
      <c r="C21" s="1">
        <v>19</v>
      </c>
      <c r="D21" s="1">
        <f>IF(Summary!$G$11="M",VLOOKUP(B:B,'male g'!A:V,IF(A21&gt;2033,22,MATCH(A21,'male g'!$A$1:$V$1,0)),FALSE),VLOOKUP(B:B,'female g'!A:V,IF(A21&gt;2033,22,MATCH(A21,'female g'!$A$1:$V$1,0)),FALSE))</f>
        <v>4.0919779999999996E-3</v>
      </c>
      <c r="E21" s="1">
        <f t="shared" si="2"/>
        <v>0.99590802199999995</v>
      </c>
      <c r="F21" s="1">
        <f t="shared" si="3"/>
        <v>0.99621289999999996</v>
      </c>
      <c r="G21" s="1">
        <f>1/(1+Summary!$O$2)^$C21</f>
        <v>0.39573395701665059</v>
      </c>
      <c r="H21" s="1">
        <f>IF(B21&gt;64, Summary!$J$11, 0)*'TV 10'!G21*'TV 10'!F21</f>
        <v>0</v>
      </c>
      <c r="I21" s="1"/>
    </row>
    <row r="22" spans="1:9">
      <c r="A22" s="1">
        <f t="shared" si="0"/>
        <v>2039</v>
      </c>
      <c r="B22" s="1">
        <f t="shared" si="1"/>
        <v>59</v>
      </c>
      <c r="C22" s="1">
        <v>20</v>
      </c>
      <c r="D22" s="1">
        <f>IF(Summary!$G$11="M",VLOOKUP(B:B,'male g'!A:V,IF(A22&gt;2033,22,MATCH(A22,'male g'!$A$1:$V$1,0)),FALSE),VLOOKUP(B:B,'female g'!A:V,IF(A22&gt;2033,22,MATCH(A22,'female g'!$A$1:$V$1,0)),FALSE))</f>
        <v>4.433523E-3</v>
      </c>
      <c r="E22" s="1">
        <f t="shared" si="2"/>
        <v>0.99556647700000001</v>
      </c>
      <c r="F22" s="1">
        <f t="shared" si="3"/>
        <v>0.99590802199999995</v>
      </c>
      <c r="G22" s="1">
        <f>1/(1+Summary!$O$2)^$C22</f>
        <v>0.37688948287300061</v>
      </c>
      <c r="H22" s="1">
        <f>IF(B22&gt;64, Summary!$J$11, 0)*'TV 10'!G22*'TV 10'!F22</f>
        <v>0</v>
      </c>
      <c r="I22" s="1"/>
    </row>
    <row r="23" spans="1:9">
      <c r="A23" s="1">
        <f t="shared" si="0"/>
        <v>2040</v>
      </c>
      <c r="B23" s="1">
        <f t="shared" si="1"/>
        <v>60</v>
      </c>
      <c r="C23" s="1">
        <v>21</v>
      </c>
      <c r="D23" s="1">
        <f>IF(Summary!$G$11="M",VLOOKUP(B:B,'male g'!A:V,IF(A23&gt;2033,22,MATCH(A23,'male g'!$A$1:$V$1,0)),FALSE),VLOOKUP(B:B,'female g'!A:V,IF(A23&gt;2033,22,MATCH(A23,'female g'!$A$1:$V$1,0)),FALSE))</f>
        <v>4.8115959999999996E-3</v>
      </c>
      <c r="E23" s="1">
        <f t="shared" si="2"/>
        <v>0.99518840399999997</v>
      </c>
      <c r="F23" s="1">
        <f t="shared" si="3"/>
        <v>0.99556647700000001</v>
      </c>
      <c r="G23" s="1">
        <f>1/(1+Summary!$O$2)^$C23</f>
        <v>0.35894236464095297</v>
      </c>
      <c r="H23" s="1">
        <f>IF(B23&gt;64, Summary!$J$11, 0)*'TV 10'!G23*'TV 10'!F23</f>
        <v>0</v>
      </c>
      <c r="I23" s="1"/>
    </row>
    <row r="24" spans="1:9">
      <c r="A24" s="1">
        <f t="shared" si="0"/>
        <v>2041</v>
      </c>
      <c r="B24" s="1">
        <f t="shared" si="1"/>
        <v>61</v>
      </c>
      <c r="C24" s="1">
        <v>22</v>
      </c>
      <c r="D24" s="1">
        <f>IF(Summary!$G$11="M",VLOOKUP(B:B,'male g'!A:V,IF(A24&gt;2033,22,MATCH(A24,'male g'!$A$1:$V$1,0)),FALSE),VLOOKUP(B:B,'female g'!A:V,IF(A24&gt;2033,22,MATCH(A24,'female g'!$A$1:$V$1,0)),FALSE))</f>
        <v>5.2263159999999999E-3</v>
      </c>
      <c r="E24" s="1">
        <f t="shared" si="2"/>
        <v>0.99477368399999999</v>
      </c>
      <c r="F24" s="1">
        <f t="shared" si="3"/>
        <v>0.99518840399999997</v>
      </c>
      <c r="G24" s="1">
        <f>1/(1+Summary!$O$2)^$C24</f>
        <v>0.3418498710866219</v>
      </c>
      <c r="H24" s="1">
        <f>IF(B24&gt;64, Summary!$J$11, 0)*'TV 10'!G24*'TV 10'!F24</f>
        <v>0</v>
      </c>
      <c r="I24" s="1"/>
    </row>
    <row r="25" spans="1:9">
      <c r="A25" s="1">
        <f t="shared" si="0"/>
        <v>2042</v>
      </c>
      <c r="B25" s="1">
        <f t="shared" si="1"/>
        <v>62</v>
      </c>
      <c r="C25" s="1">
        <v>23</v>
      </c>
      <c r="D25" s="1">
        <f>IF(Summary!$G$11="M",VLOOKUP(B:B,'male g'!A:V,IF(A25&gt;2033,22,MATCH(A25,'male g'!$A$1:$V$1,0)),FALSE),VLOOKUP(B:B,'female g'!A:V,IF(A25&gt;2033,22,MATCH(A25,'female g'!$A$1:$V$1,0)),FALSE))</f>
        <v>5.6760500000000002E-3</v>
      </c>
      <c r="E25" s="1">
        <f t="shared" si="2"/>
        <v>0.99432394999999996</v>
      </c>
      <c r="F25" s="1">
        <f t="shared" si="3"/>
        <v>0.99477368399999999</v>
      </c>
      <c r="G25" s="1">
        <f>1/(1+Summary!$O$2)^$C25</f>
        <v>0.32557130579678267</v>
      </c>
      <c r="H25" s="1">
        <f>IF(B25&gt;64, Summary!$J$11, 0)*'TV 10'!G25*'TV 10'!F25</f>
        <v>0</v>
      </c>
      <c r="I25" s="1"/>
    </row>
    <row r="26" spans="1:9">
      <c r="A26" s="1">
        <f t="shared" si="0"/>
        <v>2043</v>
      </c>
      <c r="B26" s="1">
        <f t="shared" si="1"/>
        <v>63</v>
      </c>
      <c r="C26" s="1">
        <v>24</v>
      </c>
      <c r="D26" s="1">
        <f>IF(Summary!$G$11="M",VLOOKUP(B:B,'male g'!A:V,IF(A26&gt;2033,22,MATCH(A26,'male g'!$A$1:$V$1,0)),FALSE),VLOOKUP(B:B,'female g'!A:V,IF(A26&gt;2033,22,MATCH(A26,'female g'!$A$1:$V$1,0)),FALSE))</f>
        <v>6.1621799999999997E-3</v>
      </c>
      <c r="E26" s="1">
        <f t="shared" si="2"/>
        <v>0.99383781999999998</v>
      </c>
      <c r="F26" s="1">
        <f t="shared" si="3"/>
        <v>0.99432394999999996</v>
      </c>
      <c r="G26" s="1">
        <f>1/(1+Summary!$O$2)^$C26</f>
        <v>0.31006791028265024</v>
      </c>
      <c r="H26" s="1">
        <f>IF(B26&gt;64, Summary!$J$11, 0)*'TV 10'!G26*'TV 10'!F26</f>
        <v>0</v>
      </c>
      <c r="I26" s="1"/>
    </row>
    <row r="27" spans="1:9">
      <c r="A27" s="1">
        <f t="shared" si="0"/>
        <v>2044</v>
      </c>
      <c r="B27" s="1">
        <f t="shared" si="1"/>
        <v>64</v>
      </c>
      <c r="C27" s="1">
        <v>25</v>
      </c>
      <c r="D27" s="1">
        <f>IF(Summary!$G$11="M",VLOOKUP(B:B,'male g'!A:V,IF(A27&gt;2033,22,MATCH(A27,'male g'!$A$1:$V$1,0)),FALSE),VLOOKUP(B:B,'female g'!A:V,IF(A27&gt;2033,22,MATCH(A27,'female g'!$A$1:$V$1,0)),FALSE))</f>
        <v>6.6840069999999996E-3</v>
      </c>
      <c r="E27" s="1">
        <f t="shared" si="2"/>
        <v>0.99331599299999995</v>
      </c>
      <c r="F27" s="1">
        <f t="shared" si="3"/>
        <v>0.99383781999999998</v>
      </c>
      <c r="G27" s="1">
        <f>1/(1+Summary!$O$2)^$C27</f>
        <v>0.29530277169776209</v>
      </c>
      <c r="H27" s="1">
        <f>IF(B27&gt;64, Summary!$J$11, 0)*'TV 10'!G27*'TV 10'!F27</f>
        <v>0</v>
      </c>
      <c r="I27" s="1"/>
    </row>
    <row r="28" spans="1:9">
      <c r="A28" s="1">
        <f t="shared" si="0"/>
        <v>2045</v>
      </c>
      <c r="B28" s="1">
        <f t="shared" si="1"/>
        <v>65</v>
      </c>
      <c r="C28" s="1">
        <v>26</v>
      </c>
      <c r="D28" s="1">
        <f>IF(Summary!$G$11="M",VLOOKUP(B:B,'male g'!A:V,IF(A28&gt;2033,22,MATCH(A28,'male g'!$A$1:$V$1,0)),FALSE),VLOOKUP(B:B,'female g'!A:V,IF(A28&gt;2033,22,MATCH(A28,'female g'!$A$1:$V$1,0)),FALSE))</f>
        <v>7.247748E-3</v>
      </c>
      <c r="E28" s="1">
        <f t="shared" si="2"/>
        <v>0.99275225199999995</v>
      </c>
      <c r="F28" s="1">
        <f t="shared" si="3"/>
        <v>0.99331599299999995</v>
      </c>
      <c r="G28" s="1">
        <f>1/(1+Summary!$O$2)^$C28</f>
        <v>0.28124073495024959</v>
      </c>
      <c r="H28" s="1">
        <f>IF(B28&gt;64, Summary!$J$11, 0)*'TV 10'!G28*'TV 10'!F28</f>
        <v>5901.0566587155754</v>
      </c>
      <c r="I28" s="1"/>
    </row>
    <row r="29" spans="1:9">
      <c r="A29" s="1">
        <f t="shared" si="0"/>
        <v>2046</v>
      </c>
      <c r="B29" s="1">
        <f t="shared" si="1"/>
        <v>66</v>
      </c>
      <c r="C29" s="1">
        <v>27</v>
      </c>
      <c r="D29" s="1">
        <f>IF(Summary!$G$11="M",VLOOKUP(B:B,'male g'!A:V,IF(A29&gt;2033,22,MATCH(A29,'male g'!$A$1:$V$1,0)),FALSE),VLOOKUP(B:B,'female g'!A:V,IF(A29&gt;2033,22,MATCH(A29,'female g'!$A$1:$V$1,0)),FALSE))</f>
        <v>7.8640140000000008E-3</v>
      </c>
      <c r="E29" s="1">
        <f t="shared" si="2"/>
        <v>0.99213598599999997</v>
      </c>
      <c r="F29" s="1">
        <f t="shared" si="3"/>
        <v>0.99275225199999995</v>
      </c>
      <c r="G29" s="1">
        <f>1/(1+Summary!$O$2)^$C29</f>
        <v>0.2678483190002377</v>
      </c>
      <c r="H29" s="1">
        <f>IF(B29&gt;64, Summary!$J$11, 0)*'TV 10'!G29*'TV 10'!F29</f>
        <v>5616.8643867068786</v>
      </c>
      <c r="I29" s="1"/>
    </row>
    <row r="30" spans="1:9">
      <c r="A30" s="1">
        <f t="shared" si="0"/>
        <v>2047</v>
      </c>
      <c r="B30" s="1">
        <f t="shared" si="1"/>
        <v>67</v>
      </c>
      <c r="C30" s="1">
        <v>28</v>
      </c>
      <c r="D30" s="1">
        <f>IF(Summary!$G$11="M",VLOOKUP(B:B,'male g'!A:V,IF(A30&gt;2033,22,MATCH(A30,'male g'!$A$1:$V$1,0)),FALSE),VLOOKUP(B:B,'female g'!A:V,IF(A30&gt;2033,22,MATCH(A30,'female g'!$A$1:$V$1,0)),FALSE))</f>
        <v>8.5402580000000002E-3</v>
      </c>
      <c r="E30" s="1">
        <f t="shared" si="2"/>
        <v>0.99145974199999998</v>
      </c>
      <c r="F30" s="1">
        <f t="shared" si="3"/>
        <v>0.99213598599999997</v>
      </c>
      <c r="G30" s="1">
        <f>1/(1+Summary!$O$2)^$C30</f>
        <v>0.25509363714308358</v>
      </c>
      <c r="H30" s="1">
        <f>IF(B30&gt;64, Summary!$J$11, 0)*'TV 10'!G30*'TV 10'!F30</f>
        <v>5346.0739362351205</v>
      </c>
      <c r="I30" s="1"/>
    </row>
    <row r="31" spans="1:9">
      <c r="A31" s="1">
        <f t="shared" si="0"/>
        <v>2048</v>
      </c>
      <c r="B31" s="1">
        <f t="shared" si="1"/>
        <v>68</v>
      </c>
      <c r="C31" s="1">
        <v>29</v>
      </c>
      <c r="D31" s="1">
        <f>IF(Summary!$G$11="M",VLOOKUP(B:B,'male g'!A:V,IF(A31&gt;2033,22,MATCH(A31,'male g'!$A$1:$V$1,0)),FALSE),VLOOKUP(B:B,'female g'!A:V,IF(A31&gt;2033,22,MATCH(A31,'female g'!$A$1:$V$1,0)),FALSE))</f>
        <v>9.291054E-3</v>
      </c>
      <c r="E31" s="1">
        <f t="shared" si="2"/>
        <v>0.99070894600000003</v>
      </c>
      <c r="F31" s="1">
        <f t="shared" si="3"/>
        <v>0.99145974199999998</v>
      </c>
      <c r="G31" s="1">
        <f>1/(1+Summary!$O$2)^$C31</f>
        <v>0.24294632108865097</v>
      </c>
      <c r="H31" s="1">
        <f>IF(B31&gt;64, Summary!$J$11, 0)*'TV 10'!G31*'TV 10'!F31</f>
        <v>5088.0286000792285</v>
      </c>
      <c r="I31" s="1"/>
    </row>
    <row r="32" spans="1:9">
      <c r="A32" s="1">
        <f t="shared" si="0"/>
        <v>2049</v>
      </c>
      <c r="B32" s="1">
        <f t="shared" si="1"/>
        <v>69</v>
      </c>
      <c r="C32" s="1">
        <v>30</v>
      </c>
      <c r="D32" s="1">
        <f>IF(Summary!$G$11="M",VLOOKUP(B:B,'male g'!A:V,IF(A32&gt;2033,22,MATCH(A32,'male g'!$A$1:$V$1,0)),FALSE),VLOOKUP(B:B,'female g'!A:V,IF(A32&gt;2033,22,MATCH(A32,'female g'!$A$1:$V$1,0)),FALSE))</f>
        <v>1.0121299E-2</v>
      </c>
      <c r="E32" s="1">
        <f t="shared" si="2"/>
        <v>0.98987870099999997</v>
      </c>
      <c r="F32" s="1">
        <f t="shared" si="3"/>
        <v>0.99070894600000003</v>
      </c>
      <c r="G32" s="1">
        <f>1/(1+Summary!$O$2)^$C32</f>
        <v>0.23137744865585813</v>
      </c>
      <c r="H32" s="1">
        <f>IF(B32&gt;64, Summary!$J$11, 0)*'TV 10'!G32*'TV 10'!F32</f>
        <v>4842.0720220393214</v>
      </c>
      <c r="I32" s="1"/>
    </row>
    <row r="33" spans="1:9">
      <c r="A33" s="1">
        <f t="shared" si="0"/>
        <v>2050</v>
      </c>
      <c r="B33" s="1">
        <f t="shared" si="1"/>
        <v>70</v>
      </c>
      <c r="C33" s="1">
        <v>31</v>
      </c>
      <c r="D33" s="1">
        <f>IF(Summary!$G$11="M",VLOOKUP(B:B,'male g'!A:V,IF(A33&gt;2033,22,MATCH(A33,'male g'!$A$1:$V$1,0)),FALSE),VLOOKUP(B:B,'female g'!A:V,IF(A33&gt;2033,22,MATCH(A33,'female g'!$A$1:$V$1,0)),FALSE))</f>
        <v>1.1050012E-2</v>
      </c>
      <c r="E33" s="1">
        <f t="shared" si="2"/>
        <v>0.988949988</v>
      </c>
      <c r="F33" s="1">
        <f t="shared" si="3"/>
        <v>0.98987870099999997</v>
      </c>
      <c r="G33" s="1">
        <f>1/(1+Summary!$O$2)^$C33</f>
        <v>0.220359474910341</v>
      </c>
      <c r="H33" s="1">
        <f>IF(B33&gt;64, Summary!$J$11, 0)*'TV 10'!G33*'TV 10'!F33</f>
        <v>4607.6325853769195</v>
      </c>
      <c r="I33" s="1"/>
    </row>
    <row r="34" spans="1:9">
      <c r="A34" s="1">
        <f t="shared" si="0"/>
        <v>2051</v>
      </c>
      <c r="B34" s="1">
        <f t="shared" si="1"/>
        <v>71</v>
      </c>
      <c r="C34" s="1">
        <v>32</v>
      </c>
      <c r="D34" s="1">
        <f>IF(Summary!$G$11="M",VLOOKUP(B:B,'male g'!A:V,IF(A34&gt;2033,22,MATCH(A34,'male g'!$A$1:$V$1,0)),FALSE),VLOOKUP(B:B,'female g'!A:V,IF(A34&gt;2033,22,MATCH(A34,'female g'!$A$1:$V$1,0)),FALSE))</f>
        <v>1.2082262999999999E-2</v>
      </c>
      <c r="E34" s="1">
        <f t="shared" si="2"/>
        <v>0.98791773699999996</v>
      </c>
      <c r="F34" s="1">
        <f t="shared" si="3"/>
        <v>0.988949988</v>
      </c>
      <c r="G34" s="1">
        <f>1/(1+Summary!$O$2)^$C34</f>
        <v>0.20986616658127716</v>
      </c>
      <c r="H34" s="1">
        <f>IF(B34&gt;64, Summary!$J$11, 0)*'TV 10'!G34*'TV 10'!F34</f>
        <v>4384.1044414389498</v>
      </c>
      <c r="I34" s="1"/>
    </row>
    <row r="35" spans="1:9">
      <c r="A35" s="1">
        <f>$A$2+C35</f>
        <v>2052</v>
      </c>
      <c r="B35" s="1">
        <f>$B$2+C35</f>
        <v>72</v>
      </c>
      <c r="C35" s="1">
        <v>33</v>
      </c>
      <c r="D35" s="1">
        <f>IF(Summary!$G$11="M",VLOOKUP(B:B,'male g'!A:V,IF(A35&gt;2033,22,MATCH(A35,'male g'!$A$1:$V$1,0)),FALSE),VLOOKUP(B:B,'female g'!A:V,IF(A35&gt;2033,22,MATCH(A35,'female g'!$A$1:$V$1,0)),FALSE))</f>
        <v>1.3232393E-2</v>
      </c>
      <c r="E35" s="1">
        <f t="shared" si="2"/>
        <v>0.98676760699999999</v>
      </c>
      <c r="F35" s="1">
        <f t="shared" si="3"/>
        <v>0.98791773699999996</v>
      </c>
      <c r="G35" s="1">
        <f>1/(1+Summary!$O$2)^$C35</f>
        <v>0.19987253960121634</v>
      </c>
      <c r="H35" s="1">
        <f>IF(B35&gt;64, Summary!$J$11, 0)*'TV 10'!G35*'TV 10'!F35</f>
        <v>4170.9794092458396</v>
      </c>
      <c r="I35" s="1"/>
    </row>
    <row r="36" spans="1:9">
      <c r="A36" s="1">
        <f t="shared" ref="A36:A47" si="4">$A$2+C36</f>
        <v>2053</v>
      </c>
      <c r="B36" s="1">
        <f t="shared" si="1"/>
        <v>73</v>
      </c>
      <c r="C36" s="1">
        <v>34</v>
      </c>
      <c r="D36" s="1">
        <f>IF(Summary!$G$11="M",VLOOKUP(B:B,'male g'!A:V,IF(A36&gt;2033,22,MATCH(A36,'male g'!$A$1:$V$1,0)),FALSE),VLOOKUP(B:B,'female g'!A:V,IF(A36&gt;2033,22,MATCH(A36,'female g'!$A$1:$V$1,0)),FALSE))</f>
        <v>1.4520474E-2</v>
      </c>
      <c r="E36" s="1">
        <f t="shared" si="2"/>
        <v>0.98547952599999999</v>
      </c>
      <c r="F36" s="1">
        <f t="shared" si="3"/>
        <v>0.98676760699999999</v>
      </c>
      <c r="G36" s="1">
        <f>1/(1+Summary!$O$2)^$C36</f>
        <v>0.19035479962020604</v>
      </c>
      <c r="H36" s="1">
        <f>IF(B36&gt;64, Summary!$J$11, 0)*'TV 10'!G36*'TV 10'!F36</f>
        <v>3967.7367344622398</v>
      </c>
      <c r="I36" s="1"/>
    </row>
    <row r="37" spans="1:9">
      <c r="A37" s="1">
        <f t="shared" si="4"/>
        <v>2054</v>
      </c>
      <c r="B37" s="1">
        <f t="shared" si="1"/>
        <v>74</v>
      </c>
      <c r="C37" s="1">
        <v>35</v>
      </c>
      <c r="D37" s="1">
        <f>IF(Summary!$G$11="M",VLOOKUP(B:B,'male g'!A:V,IF(A37&gt;2033,22,MATCH(A37,'male g'!$A$1:$V$1,0)),FALSE),VLOOKUP(B:B,'female g'!A:V,IF(A37&gt;2033,22,MATCH(A37,'female g'!$A$1:$V$1,0)),FALSE))</f>
        <v>1.5945328000000002E-2</v>
      </c>
      <c r="E37" s="1">
        <f t="shared" si="2"/>
        <v>0.98405467199999996</v>
      </c>
      <c r="F37" s="1">
        <f t="shared" si="3"/>
        <v>0.98547952599999999</v>
      </c>
      <c r="G37" s="1">
        <f>1/(1+Summary!$O$2)^$C37</f>
        <v>0.18129028535257716</v>
      </c>
      <c r="H37" s="1">
        <f>IF(B37&gt;64, Summary!$J$11, 0)*'TV 10'!G37*'TV 10'!F37</f>
        <v>3773.8642224926966</v>
      </c>
      <c r="I37" s="1"/>
    </row>
    <row r="38" spans="1:9">
      <c r="A38" s="1">
        <f t="shared" si="4"/>
        <v>2055</v>
      </c>
      <c r="B38" s="1">
        <f t="shared" si="1"/>
        <v>75</v>
      </c>
      <c r="C38" s="1">
        <v>36</v>
      </c>
      <c r="D38" s="1">
        <f>IF(Summary!$G$11="M",VLOOKUP(B:B,'male g'!A:V,IF(A38&gt;2033,22,MATCH(A38,'male g'!$A$1:$V$1,0)),FALSE),VLOOKUP(B:B,'female g'!A:V,IF(A38&gt;2033,22,MATCH(A38,'female g'!$A$1:$V$1,0)),FALSE))</f>
        <v>1.7550544000000001E-2</v>
      </c>
      <c r="E38" s="1">
        <f t="shared" si="2"/>
        <v>0.982449456</v>
      </c>
      <c r="F38" s="1">
        <f t="shared" si="3"/>
        <v>0.98405467199999996</v>
      </c>
      <c r="G38" s="1">
        <f>1/(1+Summary!$O$2)^$C38</f>
        <v>0.17265741462150208</v>
      </c>
      <c r="H38" s="1">
        <f>IF(B38&gt;64, Summary!$J$11, 0)*'TV 10'!G38*'TV 10'!F38</f>
        <v>3588.9597970753211</v>
      </c>
      <c r="I38" s="1"/>
    </row>
    <row r="39" spans="1:9">
      <c r="A39" s="1">
        <f t="shared" si="4"/>
        <v>2056</v>
      </c>
      <c r="B39" s="1">
        <f t="shared" si="1"/>
        <v>76</v>
      </c>
      <c r="C39" s="1">
        <v>37</v>
      </c>
      <c r="D39" s="1">
        <f>IF(Summary!$G$11="M",VLOOKUP(B:B,'male g'!A:V,IF(A39&gt;2033,22,MATCH(A39,'male g'!$A$1:$V$1,0)),FALSE),VLOOKUP(B:B,'female g'!A:V,IF(A39&gt;2033,22,MATCH(A39,'female g'!$A$1:$V$1,0)),FALSE))</f>
        <v>1.9346596000000001E-2</v>
      </c>
      <c r="E39" s="1">
        <f t="shared" si="2"/>
        <v>0.98065340400000001</v>
      </c>
      <c r="F39" s="1">
        <f t="shared" si="3"/>
        <v>0.982449456</v>
      </c>
      <c r="G39" s="1">
        <f>1/(1+Summary!$O$2)^$C39</f>
        <v>0.1644356329728591</v>
      </c>
      <c r="H39" s="1">
        <f>IF(B39&gt;64, Summary!$J$11, 0)*'TV 10'!G39*'TV 10'!F39</f>
        <v>3412.4813247237557</v>
      </c>
      <c r="I39" s="1"/>
    </row>
    <row r="40" spans="1:9">
      <c r="A40" s="1">
        <f t="shared" si="4"/>
        <v>2057</v>
      </c>
      <c r="B40" s="1">
        <f t="shared" si="1"/>
        <v>77</v>
      </c>
      <c r="C40" s="1">
        <v>38</v>
      </c>
      <c r="D40" s="1">
        <f>IF(Summary!$G$11="M",VLOOKUP(B:B,'male g'!A:V,IF(A40&gt;2033,22,MATCH(A40,'male g'!$A$1:$V$1,0)),FALSE),VLOOKUP(B:B,'female g'!A:V,IF(A40&gt;2033,22,MATCH(A40,'female g'!$A$1:$V$1,0)),FALSE))</f>
        <v>2.1378668999999999E-2</v>
      </c>
      <c r="E40" s="1">
        <f t="shared" si="2"/>
        <v>0.97862133100000004</v>
      </c>
      <c r="F40" s="1">
        <f t="shared" si="3"/>
        <v>0.98065340400000001</v>
      </c>
      <c r="G40" s="1">
        <f>1/(1+Summary!$O$2)^$C40</f>
        <v>0.15660536473605632</v>
      </c>
      <c r="H40" s="1">
        <f>IF(B40&gt;64, Summary!$J$11, 0)*'TV 10'!G40*'TV 10'!F40</f>
        <v>3244.0408019532197</v>
      </c>
      <c r="I40" s="1"/>
    </row>
    <row r="41" spans="1:9">
      <c r="A41" s="1">
        <f t="shared" si="4"/>
        <v>2058</v>
      </c>
      <c r="B41" s="1">
        <f t="shared" si="1"/>
        <v>78</v>
      </c>
      <c r="C41" s="1">
        <v>39</v>
      </c>
      <c r="D41" s="1">
        <f>IF(Summary!$G$11="M",VLOOKUP(B:B,'male g'!A:V,IF(A41&gt;2033,22,MATCH(A41,'male g'!$A$1:$V$1,0)),FALSE),VLOOKUP(B:B,'female g'!A:V,IF(A41&gt;2033,22,MATCH(A41,'female g'!$A$1:$V$1,0)),FALSE))</f>
        <v>2.3682564E-2</v>
      </c>
      <c r="E41" s="1">
        <f t="shared" si="2"/>
        <v>0.97631743599999998</v>
      </c>
      <c r="F41" s="1">
        <f t="shared" si="3"/>
        <v>0.97862133100000004</v>
      </c>
      <c r="G41" s="1">
        <f>1/(1+Summary!$O$2)^$C41</f>
        <v>0.14914796641529171</v>
      </c>
      <c r="H41" s="1">
        <f>IF(B41&gt;64, Summary!$J$11, 0)*'TV 10'!G41*'TV 10'!F41</f>
        <v>3083.1605932830498</v>
      </c>
      <c r="I41" s="1"/>
    </row>
    <row r="42" spans="1:9">
      <c r="A42" s="1">
        <f t="shared" si="4"/>
        <v>2059</v>
      </c>
      <c r="B42" s="1">
        <f t="shared" si="1"/>
        <v>79</v>
      </c>
      <c r="C42" s="1">
        <v>40</v>
      </c>
      <c r="D42" s="1">
        <f>IF(Summary!$G$11="M",VLOOKUP(B:B,'male g'!A:V,IF(A42&gt;2033,22,MATCH(A42,'male g'!$A$1:$V$1,0)),FALSE),VLOOKUP(B:B,'female g'!A:V,IF(A42&gt;2033,22,MATCH(A42,'female g'!$A$1:$V$1,0)),FALSE))</f>
        <v>2.6301709E-2</v>
      </c>
      <c r="E42" s="1">
        <f t="shared" si="2"/>
        <v>0.97369829100000005</v>
      </c>
      <c r="F42" s="1">
        <f t="shared" si="3"/>
        <v>0.97631743599999998</v>
      </c>
      <c r="G42" s="1">
        <f>1/(1+Summary!$O$2)^$C42</f>
        <v>0.14204568230027784</v>
      </c>
      <c r="H42" s="1">
        <f>IF(B42&gt;64, Summary!$J$11, 0)*'TV 10'!G42*'TV 10'!F42</f>
        <v>2929.4306084900891</v>
      </c>
      <c r="I42" s="1"/>
    </row>
    <row r="43" spans="1:9">
      <c r="A43" s="1">
        <f t="shared" si="4"/>
        <v>2060</v>
      </c>
      <c r="B43" s="1">
        <f t="shared" si="1"/>
        <v>80</v>
      </c>
      <c r="C43" s="1">
        <v>41</v>
      </c>
      <c r="D43" s="1">
        <f>IF(Summary!$G$11="M",VLOOKUP(B:B,'male g'!A:V,IF(A43&gt;2033,22,MATCH(A43,'male g'!$A$1:$V$1,0)),FALSE),VLOOKUP(B:B,'female g'!A:V,IF(A43&gt;2033,22,MATCH(A43,'female g'!$A$1:$V$1,0)),FALSE))</f>
        <v>2.9285830999999998E-2</v>
      </c>
      <c r="E43" s="1">
        <f t="shared" si="2"/>
        <v>0.97071416899999996</v>
      </c>
      <c r="F43" s="1">
        <f t="shared" si="3"/>
        <v>0.97369829100000005</v>
      </c>
      <c r="G43" s="1">
        <f>1/(1+Summary!$O$2)^$C43</f>
        <v>0.13528160219074079</v>
      </c>
      <c r="H43" s="1">
        <f>IF(B43&gt;64, Summary!$J$11, 0)*'TV 10'!G43*'TV 10'!F43</f>
        <v>2782.449419394321</v>
      </c>
      <c r="I43" s="1"/>
    </row>
    <row r="44" spans="1:9">
      <c r="A44" s="1">
        <f t="shared" si="4"/>
        <v>2061</v>
      </c>
      <c r="B44" s="1">
        <f t="shared" si="1"/>
        <v>81</v>
      </c>
      <c r="C44" s="1">
        <v>42</v>
      </c>
      <c r="D44" s="1">
        <f>IF(Summary!$G$11="M",VLOOKUP(B:B,'male g'!A:V,IF(A44&gt;2033,22,MATCH(A44,'male g'!$A$1:$V$1,0)),FALSE),VLOOKUP(B:B,'female g'!A:V,IF(A44&gt;2033,22,MATCH(A44,'female g'!$A$1:$V$1,0)),FALSE))</f>
        <v>3.2681842000000003E-2</v>
      </c>
      <c r="E44" s="1">
        <f t="shared" si="2"/>
        <v>0.96731815799999998</v>
      </c>
      <c r="F44" s="1">
        <f t="shared" si="3"/>
        <v>0.97071416899999996</v>
      </c>
      <c r="G44" s="1">
        <f>1/(1+Summary!$O$2)^$C44</f>
        <v>0.12883962113403885</v>
      </c>
      <c r="H44" s="1">
        <f>IF(B44&gt;64, Summary!$J$11, 0)*'TV 10'!G44*'TV 10'!F44</f>
        <v>2641.8304421177222</v>
      </c>
      <c r="I44" s="1"/>
    </row>
    <row r="45" spans="1:9">
      <c r="A45" s="1">
        <f t="shared" si="4"/>
        <v>2062</v>
      </c>
      <c r="B45" s="1">
        <f t="shared" si="1"/>
        <v>82</v>
      </c>
      <c r="C45" s="1">
        <v>43</v>
      </c>
      <c r="D45" s="1">
        <f>IF(Summary!$G$11="M",VLOOKUP(B:B,'male g'!A:V,IF(A45&gt;2033,22,MATCH(A45,'male g'!$A$1:$V$1,0)),FALSE),VLOOKUP(B:B,'female g'!A:V,IF(A45&gt;2033,22,MATCH(A45,'female g'!$A$1:$V$1,0)),FALSE))</f>
        <v>3.6549238999999997E-2</v>
      </c>
      <c r="E45" s="1">
        <f t="shared" si="2"/>
        <v>0.96345076100000004</v>
      </c>
      <c r="F45" s="1">
        <f t="shared" si="3"/>
        <v>0.96731815799999998</v>
      </c>
      <c r="G45" s="1">
        <f>1/(1+Summary!$O$2)^$C45</f>
        <v>0.12270440108003698</v>
      </c>
      <c r="H45" s="1">
        <f>IF(B45&gt;64, Summary!$J$11, 0)*'TV 10'!G45*'TV 10'!F45</f>
        <v>2507.226749353229</v>
      </c>
      <c r="I45" s="1"/>
    </row>
    <row r="46" spans="1:9">
      <c r="A46" s="1">
        <f t="shared" si="4"/>
        <v>2063</v>
      </c>
      <c r="B46" s="1">
        <f t="shared" si="1"/>
        <v>83</v>
      </c>
      <c r="C46" s="1">
        <v>44</v>
      </c>
      <c r="D46" s="1">
        <f>IF(Summary!$G$11="M",VLOOKUP(B:B,'male g'!A:V,IF(A46&gt;2033,22,MATCH(A46,'male g'!$A$1:$V$1,0)),FALSE),VLOOKUP(B:B,'female g'!A:V,IF(A46&gt;2033,22,MATCH(A46,'female g'!$A$1:$V$1,0)),FALSE))</f>
        <v>4.0956563000000001E-2</v>
      </c>
      <c r="E46" s="1">
        <f t="shared" si="2"/>
        <v>0.95904343700000005</v>
      </c>
      <c r="F46" s="1">
        <f t="shared" si="3"/>
        <v>0.96345076100000004</v>
      </c>
      <c r="G46" s="1">
        <f>1/(1+Summary!$O$2)^$C46</f>
        <v>0.11686133436193999</v>
      </c>
      <c r="H46" s="1">
        <f>IF(B46&gt;64, Summary!$J$11, 0)*'TV 10'!G46*'TV 10'!F46</f>
        <v>2378.2882894037184</v>
      </c>
      <c r="I46" s="1"/>
    </row>
    <row r="47" spans="1:9">
      <c r="A47" s="1">
        <f t="shared" si="4"/>
        <v>2064</v>
      </c>
      <c r="B47" s="1">
        <f t="shared" si="1"/>
        <v>84</v>
      </c>
      <c r="C47" s="1">
        <v>45</v>
      </c>
      <c r="D47" s="1">
        <f>IF(Summary!$G$11="M",VLOOKUP(B:B,'male g'!A:V,IF(A47&gt;2033,22,MATCH(A47,'male g'!$A$1:$V$1,0)),FALSE),VLOOKUP(B:B,'female g'!A:V,IF(A47&gt;2033,22,MATCH(A47,'female g'!$A$1:$V$1,0)),FALSE))</f>
        <v>4.5960176999999998E-2</v>
      </c>
      <c r="E47" s="1">
        <f t="shared" si="2"/>
        <v>0.95403982300000001</v>
      </c>
      <c r="F47" s="1">
        <f t="shared" si="3"/>
        <v>0.95904343700000005</v>
      </c>
      <c r="G47" s="1">
        <f>1/(1+Summary!$O$2)^$C47</f>
        <v>0.1112965089161333</v>
      </c>
      <c r="H47" s="1">
        <f>IF(B47&gt;64, Summary!$J$11, 0)*'TV 10'!G47*'TV 10'!F47</f>
        <v>2254.6750133063701</v>
      </c>
      <c r="I47" s="1"/>
    </row>
    <row r="48" spans="1:9">
      <c r="A48" s="1">
        <f>$A$2+C48</f>
        <v>2065</v>
      </c>
      <c r="B48" s="1">
        <f>$B$2+C48</f>
        <v>85</v>
      </c>
      <c r="C48" s="1">
        <v>46</v>
      </c>
      <c r="D48" s="1">
        <f>IF(Summary!$G$11="M",VLOOKUP(B:B,'male g'!A:V,IF(A48&gt;2033,22,MATCH(A48,'male g'!$A$1:$V$1,0)),FALSE),VLOOKUP(B:B,'female g'!A:V,IF(A48&gt;2033,22,MATCH(A48,'female g'!$A$1:$V$1,0)),FALSE))</f>
        <v>5.1631459999999997E-2</v>
      </c>
      <c r="E48" s="1">
        <f t="shared" si="2"/>
        <v>0.94836854000000004</v>
      </c>
      <c r="F48" s="1">
        <f t="shared" si="3"/>
        <v>0.95403982300000001</v>
      </c>
      <c r="G48" s="1">
        <f>1/(1+Summary!$O$2)^$C48</f>
        <v>0.10599667515822221</v>
      </c>
      <c r="H48" s="1">
        <f>IF(B48&gt;64, Summary!$J$11, 0)*'TV 10'!G48*'TV 10'!F48</f>
        <v>2136.1063858797306</v>
      </c>
      <c r="I48" s="1"/>
    </row>
    <row r="49" spans="1:9">
      <c r="A49" s="1">
        <f t="shared" ref="A49:A73" si="5">$A$2+C49</f>
        <v>2066</v>
      </c>
      <c r="B49" s="1">
        <f t="shared" si="1"/>
        <v>86</v>
      </c>
      <c r="C49" s="1">
        <v>47</v>
      </c>
      <c r="D49" s="1">
        <f>IF(Summary!$G$11="M",VLOOKUP(B:B,'male g'!A:V,IF(A49&gt;2033,22,MATCH(A49,'male g'!$A$1:$V$1,0)),FALSE),VLOOKUP(B:B,'female g'!A:V,IF(A49&gt;2033,22,MATCH(A49,'female g'!$A$1:$V$1,0)),FALSE))</f>
        <v>5.8086306999999997E-2</v>
      </c>
      <c r="E49" s="1">
        <f t="shared" si="2"/>
        <v>0.94191369300000005</v>
      </c>
      <c r="F49" s="1">
        <f t="shared" si="3"/>
        <v>0.94836854000000004</v>
      </c>
      <c r="G49" s="1">
        <f>1/(1+Summary!$O$2)^$C49</f>
        <v>0.10094921443640208</v>
      </c>
      <c r="H49" s="1">
        <f>IF(B49&gt;64, Summary!$J$11, 0)*'TV 10'!G49*'TV 10'!F49</f>
        <v>2022.2936347928987</v>
      </c>
      <c r="I49" s="1"/>
    </row>
    <row r="50" spans="1:9">
      <c r="A50" s="1">
        <f t="shared" si="5"/>
        <v>2067</v>
      </c>
      <c r="B50" s="1">
        <f t="shared" si="1"/>
        <v>87</v>
      </c>
      <c r="C50" s="1">
        <v>48</v>
      </c>
      <c r="D50" s="1">
        <f>IF(Summary!$G$11="M",VLOOKUP(B:B,'male g'!A:V,IF(A50&gt;2033,22,MATCH(A50,'male g'!$A$1:$V$1,0)),FALSE),VLOOKUP(B:B,'female g'!A:V,IF(A50&gt;2033,22,MATCH(A50,'female g'!$A$1:$V$1,0)),FALSE))</f>
        <v>6.5370790999999998E-2</v>
      </c>
      <c r="E50" s="1">
        <f t="shared" si="2"/>
        <v>0.93462920900000002</v>
      </c>
      <c r="F50" s="1">
        <f t="shared" si="3"/>
        <v>0.94191369300000005</v>
      </c>
      <c r="G50" s="1">
        <f>1/(1+Summary!$O$2)^$C50</f>
        <v>9.6142108987049613E-2</v>
      </c>
      <c r="H50" s="1">
        <f>IF(B50&gt;64, Summary!$J$11, 0)*'TV 10'!G50*'TV 10'!F50</f>
        <v>1912.8851139886158</v>
      </c>
      <c r="I50" s="1"/>
    </row>
    <row r="51" spans="1:9">
      <c r="A51" s="1">
        <f t="shared" si="5"/>
        <v>2068</v>
      </c>
      <c r="B51" s="1">
        <f t="shared" si="1"/>
        <v>88</v>
      </c>
      <c r="C51" s="1">
        <v>49</v>
      </c>
      <c r="D51" s="1">
        <f>IF(Summary!$G$11="M",VLOOKUP(B:B,'male g'!A:V,IF(A51&gt;2033,22,MATCH(A51,'male g'!$A$1:$V$1,0)),FALSE),VLOOKUP(B:B,'female g'!A:V,IF(A51&gt;2033,22,MATCH(A51,'female g'!$A$1:$V$1,0)),FALSE))</f>
        <v>7.3564853999999999E-2</v>
      </c>
      <c r="E51" s="1">
        <f t="shared" si="2"/>
        <v>0.92643514599999999</v>
      </c>
      <c r="F51" s="1">
        <f t="shared" si="3"/>
        <v>0.93462920900000002</v>
      </c>
      <c r="G51" s="1">
        <f>1/(1+Summary!$O$2)^$C51</f>
        <v>9.1563913320999626E-2</v>
      </c>
      <c r="H51" s="1">
        <f>IF(B51&gt;64, Summary!$J$11, 0)*'TV 10'!G51*'TV 10'!F51</f>
        <v>1807.7061162384164</v>
      </c>
      <c r="I51" s="1"/>
    </row>
    <row r="52" spans="1:9">
      <c r="A52" s="1">
        <f t="shared" si="5"/>
        <v>2069</v>
      </c>
      <c r="B52" s="1">
        <f t="shared" si="1"/>
        <v>89</v>
      </c>
      <c r="C52" s="1">
        <v>50</v>
      </c>
      <c r="D52" s="1">
        <f>IF(Summary!$G$11="M",VLOOKUP(B:B,'male g'!A:V,IF(A52&gt;2033,22,MATCH(A52,'male g'!$A$1:$V$1,0)),FALSE),VLOOKUP(B:B,'female g'!A:V,IF(A52&gt;2033,22,MATCH(A52,'female g'!$A$1:$V$1,0)),FALSE))</f>
        <v>8.2758546000000002E-2</v>
      </c>
      <c r="E52" s="1">
        <f t="shared" si="2"/>
        <v>0.91724145400000001</v>
      </c>
      <c r="F52" s="1">
        <f t="shared" si="3"/>
        <v>0.92643514599999999</v>
      </c>
      <c r="G52" s="1">
        <f>1/(1+Summary!$O$2)^$C52</f>
        <v>8.7203726972380588E-2</v>
      </c>
      <c r="H52" s="1">
        <f>IF(B52&gt;64, Summary!$J$11, 0)*'TV 10'!G52*'TV 10'!F52</f>
        <v>1706.5310765521326</v>
      </c>
      <c r="I52" s="1"/>
    </row>
    <row r="53" spans="1:9">
      <c r="A53" s="1">
        <f t="shared" si="5"/>
        <v>2070</v>
      </c>
      <c r="B53" s="1">
        <f t="shared" si="1"/>
        <v>90</v>
      </c>
      <c r="C53" s="1">
        <v>51</v>
      </c>
      <c r="D53" s="1">
        <f>IF(Summary!$G$11="M",VLOOKUP(B:B,'male g'!A:V,IF(A53&gt;2033,22,MATCH(A53,'male g'!$A$1:$V$1,0)),FALSE),VLOOKUP(B:B,'female g'!A:V,IF(A53&gt;2033,22,MATCH(A53,'female g'!$A$1:$V$1,0)),FALSE))</f>
        <v>9.3062779999999998E-2</v>
      </c>
      <c r="E53" s="1">
        <f t="shared" si="2"/>
        <v>0.90693721999999999</v>
      </c>
      <c r="F53" s="1">
        <f t="shared" si="3"/>
        <v>0.91724145400000001</v>
      </c>
      <c r="G53" s="1">
        <f>1/(1+Summary!$O$2)^$C53</f>
        <v>8.3051168545124371E-2</v>
      </c>
      <c r="H53" s="1">
        <f>IF(B53&gt;64, Summary!$J$11, 0)*'TV 10'!G53*'TV 10'!F53</f>
        <v>1609.1389746427958</v>
      </c>
      <c r="I53" s="1"/>
    </row>
    <row r="54" spans="1:9">
      <c r="A54" s="1">
        <f t="shared" si="5"/>
        <v>2071</v>
      </c>
      <c r="B54" s="1">
        <f t="shared" si="1"/>
        <v>91</v>
      </c>
      <c r="C54" s="1">
        <v>52</v>
      </c>
      <c r="D54" s="1">
        <f>IF(Summary!$G$11="M",VLOOKUP(B:B,'male g'!A:V,IF(A54&gt;2033,22,MATCH(A54,'male g'!$A$1:$V$1,0)),FALSE),VLOOKUP(B:B,'female g'!A:V,IF(A54&gt;2033,22,MATCH(A54,'female g'!$A$1:$V$1,0)),FALSE))</f>
        <v>0.104297588</v>
      </c>
      <c r="E54" s="1">
        <f t="shared" si="2"/>
        <v>0.895702412</v>
      </c>
      <c r="F54" s="1">
        <f t="shared" si="3"/>
        <v>0.90693721999999999</v>
      </c>
      <c r="G54" s="1">
        <f>1/(1+Summary!$O$2)^$C54</f>
        <v>7.9096350995356543E-2</v>
      </c>
      <c r="H54" s="1">
        <f>IF(B54&gt;64, Summary!$J$11, 0)*'TV 10'!G54*'TV 10'!F54</f>
        <v>1515.2971490579714</v>
      </c>
      <c r="I54" s="1"/>
    </row>
    <row r="55" spans="1:9">
      <c r="A55" s="1">
        <f t="shared" si="5"/>
        <v>2072</v>
      </c>
      <c r="B55" s="1">
        <f t="shared" si="1"/>
        <v>92</v>
      </c>
      <c r="C55" s="1">
        <v>53</v>
      </c>
      <c r="D55" s="1">
        <f>IF(Summary!$G$11="M",VLOOKUP(B:B,'male g'!A:V,IF(A55&gt;2033,22,MATCH(A55,'male g'!$A$1:$V$1,0)),FALSE),VLOOKUP(B:B,'female g'!A:V,IF(A55&gt;2033,22,MATCH(A55,'female g'!$A$1:$V$1,0)),FALSE))</f>
        <v>0.116397271</v>
      </c>
      <c r="E55" s="1">
        <f t="shared" si="2"/>
        <v>0.88360272900000003</v>
      </c>
      <c r="F55" s="1">
        <f t="shared" si="3"/>
        <v>0.895702412</v>
      </c>
      <c r="G55" s="1">
        <f>1/(1+Summary!$O$2)^$C55</f>
        <v>7.5329858090815757E-2</v>
      </c>
      <c r="H55" s="1">
        <f>IF(B55&gt;64, Summary!$J$11, 0)*'TV 10'!G55*'TV 10'!F55</f>
        <v>1425.2630474329524</v>
      </c>
      <c r="I55" s="1"/>
    </row>
    <row r="56" spans="1:9">
      <c r="A56" s="1">
        <f t="shared" si="5"/>
        <v>2073</v>
      </c>
      <c r="B56" s="1">
        <f t="shared" si="1"/>
        <v>93</v>
      </c>
      <c r="C56" s="1">
        <v>54</v>
      </c>
      <c r="D56" s="1">
        <f>IF(Summary!$G$11="M",VLOOKUP(B:B,'male g'!A:V,IF(A56&gt;2033,22,MATCH(A56,'male g'!$A$1:$V$1,0)),FALSE),VLOOKUP(B:B,'female g'!A:V,IF(A56&gt;2033,22,MATCH(A56,'female g'!$A$1:$V$1,0)),FALSE))</f>
        <v>0.12927651700000001</v>
      </c>
      <c r="E56" s="1">
        <f t="shared" si="2"/>
        <v>0.87072348300000002</v>
      </c>
      <c r="F56" s="1">
        <f t="shared" si="3"/>
        <v>0.88360272900000003</v>
      </c>
      <c r="G56" s="1">
        <f>1/(1+Summary!$O$2)^$C56</f>
        <v>7.1742721991253117E-2</v>
      </c>
      <c r="H56" s="1">
        <f>IF(B56&gt;64, Summary!$J$11, 0)*'TV 10'!G56*'TV 10'!F56</f>
        <v>1339.0568982589971</v>
      </c>
      <c r="I56" s="1"/>
    </row>
    <row r="57" spans="1:9">
      <c r="A57" s="1">
        <f t="shared" si="5"/>
        <v>2074</v>
      </c>
      <c r="B57" s="1">
        <f t="shared" si="1"/>
        <v>94</v>
      </c>
      <c r="C57" s="1">
        <v>55</v>
      </c>
      <c r="D57" s="1">
        <f>IF(Summary!$G$11="M",VLOOKUP(B:B,'male g'!A:V,IF(A57&gt;2033,22,MATCH(A57,'male g'!$A$1:$V$1,0)),FALSE),VLOOKUP(B:B,'female g'!A:V,IF(A57&gt;2033,22,MATCH(A57,'female g'!$A$1:$V$1,0)),FALSE))</f>
        <v>0.14283962</v>
      </c>
      <c r="E57" s="1">
        <f t="shared" si="2"/>
        <v>0.85716038000000006</v>
      </c>
      <c r="F57" s="1">
        <f t="shared" si="3"/>
        <v>0.87072348300000002</v>
      </c>
      <c r="G57" s="1">
        <f>1/(1+Summary!$O$2)^$C57</f>
        <v>6.8326401896431521E-2</v>
      </c>
      <c r="H57" s="1">
        <f>IF(B57&gt;64, Summary!$J$11, 0)*'TV 10'!G57*'TV 10'!F57</f>
        <v>1256.7038364323894</v>
      </c>
      <c r="I57" s="1"/>
    </row>
    <row r="58" spans="1:9">
      <c r="A58" s="1">
        <f t="shared" si="5"/>
        <v>2075</v>
      </c>
      <c r="B58" s="1">
        <f t="shared" si="1"/>
        <v>95</v>
      </c>
      <c r="C58" s="1">
        <v>56</v>
      </c>
      <c r="D58" s="1">
        <f>IF(Summary!$G$11="M",VLOOKUP(B:B,'male g'!A:V,IF(A58&gt;2033,22,MATCH(A58,'male g'!$A$1:$V$1,0)),FALSE),VLOOKUP(B:B,'female g'!A:V,IF(A58&gt;2033,22,MATCH(A58,'female g'!$A$1:$V$1,0)),FALSE))</f>
        <v>0.15715622100000001</v>
      </c>
      <c r="E58" s="1">
        <f t="shared" si="2"/>
        <v>0.84284377899999996</v>
      </c>
      <c r="F58" s="1">
        <f t="shared" si="3"/>
        <v>0.85716038000000006</v>
      </c>
      <c r="G58" s="1">
        <f>1/(1+Summary!$O$2)^$C58</f>
        <v>6.5072763710887174E-2</v>
      </c>
      <c r="H58" s="1">
        <f>IF(B58&gt;64, Summary!$J$11, 0)*'TV 10'!G58*'TV 10'!F58</f>
        <v>1178.2175113596993</v>
      </c>
      <c r="I58" s="1"/>
    </row>
    <row r="59" spans="1:9">
      <c r="A59" s="1">
        <f t="shared" si="5"/>
        <v>2076</v>
      </c>
      <c r="B59" s="1">
        <f t="shared" si="1"/>
        <v>96</v>
      </c>
      <c r="C59" s="1">
        <v>57</v>
      </c>
      <c r="D59" s="1">
        <f>IF(Summary!$G$11="M",VLOOKUP(B:B,'male g'!A:V,IF(A59&gt;2033,22,MATCH(A59,'male g'!$A$1:$V$1,0)),FALSE),VLOOKUP(B:B,'female g'!A:V,IF(A59&gt;2033,22,MATCH(A59,'female g'!$A$1:$V$1,0)),FALSE))</f>
        <v>0.173075216</v>
      </c>
      <c r="E59" s="1">
        <f t="shared" si="2"/>
        <v>0.82692478400000002</v>
      </c>
      <c r="F59" s="1">
        <f t="shared" si="3"/>
        <v>0.84284377899999996</v>
      </c>
      <c r="G59" s="1">
        <f>1/(1+Summary!$O$2)^$C59</f>
        <v>6.1974060677035397E-2</v>
      </c>
      <c r="H59" s="1">
        <f>IF(B59&gt;64, Summary!$J$11, 0)*'TV 10'!G59*'TV 10'!F59</f>
        <v>1103.3699987264197</v>
      </c>
      <c r="I59" s="1"/>
    </row>
    <row r="60" spans="1:9">
      <c r="A60" s="1">
        <f t="shared" si="5"/>
        <v>2077</v>
      </c>
      <c r="B60" s="1">
        <f t="shared" si="1"/>
        <v>97</v>
      </c>
      <c r="C60" s="1">
        <v>58</v>
      </c>
      <c r="D60" s="1">
        <f>IF(Summary!$G$11="M",VLOOKUP(B:B,'male g'!A:V,IF(A60&gt;2033,22,MATCH(A60,'male g'!$A$1:$V$1,0)),FALSE),VLOOKUP(B:B,'female g'!A:V,IF(A60&gt;2033,22,MATCH(A60,'female g'!$A$1:$V$1,0)),FALSE))</f>
        <v>0.18989809799999999</v>
      </c>
      <c r="E60" s="1">
        <f t="shared" si="2"/>
        <v>0.81010190199999998</v>
      </c>
      <c r="F60" s="1">
        <f t="shared" si="3"/>
        <v>0.82692478400000002</v>
      </c>
      <c r="G60" s="1">
        <f>1/(1+Summary!$O$2)^$C60</f>
        <v>5.9022914930509894E-2</v>
      </c>
      <c r="H60" s="1">
        <f>IF(B60&gt;64, Summary!$J$11, 0)*'TV 10'!G60*'TV 10'!F60</f>
        <v>1030.9813159890393</v>
      </c>
      <c r="I60" s="1"/>
    </row>
    <row r="61" spans="1:9">
      <c r="A61" s="1">
        <f t="shared" si="5"/>
        <v>2078</v>
      </c>
      <c r="B61" s="1">
        <f t="shared" si="1"/>
        <v>98</v>
      </c>
      <c r="C61" s="1">
        <v>59</v>
      </c>
      <c r="D61" s="1">
        <f>IF(Summary!$G$11="M",VLOOKUP(B:B,'male g'!A:V,IF(A61&gt;2033,22,MATCH(A61,'male g'!$A$1:$V$1,0)),FALSE),VLOOKUP(B:B,'female g'!A:V,IF(A61&gt;2033,22,MATCH(A61,'female g'!$A$1:$V$1,0)),FALSE))</f>
        <v>0.2077398</v>
      </c>
      <c r="E61" s="1">
        <f t="shared" si="2"/>
        <v>0.79226019999999997</v>
      </c>
      <c r="F61" s="1">
        <f t="shared" si="3"/>
        <v>0.81010190199999998</v>
      </c>
      <c r="G61" s="1">
        <f>1/(1+Summary!$O$2)^$C61</f>
        <v>5.6212299933818946E-2</v>
      </c>
      <c r="H61" s="1">
        <f>IF(B61&gt;64, Summary!$J$11, 0)*'TV 10'!G61*'TV 10'!F61</f>
        <v>961.91154915094</v>
      </c>
      <c r="I61" s="1"/>
    </row>
    <row r="62" spans="1:9">
      <c r="A62" s="1">
        <f t="shared" si="5"/>
        <v>2079</v>
      </c>
      <c r="B62" s="1">
        <f t="shared" si="1"/>
        <v>99</v>
      </c>
      <c r="C62" s="1">
        <v>60</v>
      </c>
      <c r="D62" s="1">
        <f>IF(Summary!$G$11="M",VLOOKUP(B:B,'male g'!A:V,IF(A62&gt;2033,22,MATCH(A62,'male g'!$A$1:$V$1,0)),FALSE),VLOOKUP(B:B,'female g'!A:V,IF(A62&gt;2033,22,MATCH(A62,'female g'!$A$1:$V$1,0)),FALSE))</f>
        <v>0.22627810600000001</v>
      </c>
      <c r="E62" s="1">
        <f t="shared" si="2"/>
        <v>0.77372189400000002</v>
      </c>
      <c r="F62" s="1">
        <f t="shared" si="3"/>
        <v>0.79226019999999997</v>
      </c>
      <c r="G62" s="1">
        <f>1/(1+Summary!$O$2)^$C62</f>
        <v>5.3535523746494243E-2</v>
      </c>
      <c r="H62" s="1">
        <f>IF(B62&gt;64, Summary!$J$11, 0)*'TV 10'!G62*'TV 10'!F62</f>
        <v>895.92989348880315</v>
      </c>
      <c r="I62" s="1"/>
    </row>
    <row r="63" spans="1:9">
      <c r="A63" s="1">
        <f t="shared" si="5"/>
        <v>2080</v>
      </c>
      <c r="B63" s="1">
        <f t="shared" si="1"/>
        <v>100</v>
      </c>
      <c r="C63" s="1">
        <v>61</v>
      </c>
      <c r="D63" s="1">
        <f>IF(Summary!$G$11="M",VLOOKUP(B:B,'male g'!A:V,IF(A63&gt;2033,22,MATCH(A63,'male g'!$A$1:$V$1,0)),FALSE),VLOOKUP(B:B,'female g'!A:V,IF(A63&gt;2033,22,MATCH(A63,'female g'!$A$1:$V$1,0)),FALSE))</f>
        <v>0.245586414</v>
      </c>
      <c r="E63" s="1">
        <f t="shared" si="2"/>
        <v>0.75441358599999997</v>
      </c>
      <c r="F63" s="1">
        <f t="shared" si="3"/>
        <v>0.77372189400000002</v>
      </c>
      <c r="G63" s="1">
        <f>1/(1+Summary!$O$2)^$C63</f>
        <v>5.0986213091899268E-2</v>
      </c>
      <c r="H63" s="1">
        <f>IF(B63&gt;64, Summary!$J$11, 0)*'TV 10'!G63*'TV 10'!F63</f>
        <v>833.30075514918292</v>
      </c>
      <c r="I63" s="1"/>
    </row>
    <row r="64" spans="1:9">
      <c r="A64" s="1">
        <f t="shared" si="5"/>
        <v>2081</v>
      </c>
      <c r="B64" s="1">
        <f t="shared" si="1"/>
        <v>101</v>
      </c>
      <c r="C64" s="1">
        <v>62</v>
      </c>
      <c r="D64" s="1">
        <f>IF(Summary!$G$11="M",VLOOKUP(B:B,'male g'!A:V,IF(A64&gt;2033,22,MATCH(A64,'male g'!$A$1:$V$1,0)),FALSE),VLOOKUP(B:B,'female g'!A:V,IF(A64&gt;2033,22,MATCH(A64,'female g'!$A$1:$V$1,0)),FALSE))</f>
        <v>0.26569467200000002</v>
      </c>
      <c r="E64" s="1">
        <f t="shared" si="2"/>
        <v>0.73430532800000003</v>
      </c>
      <c r="F64" s="1">
        <f t="shared" si="3"/>
        <v>0.75441358599999997</v>
      </c>
      <c r="G64" s="1">
        <f>1/(1+Summary!$O$2)^$C64</f>
        <v>4.855829818276123E-2</v>
      </c>
      <c r="H64" s="1">
        <f>IF(B64&gt;64, Summary!$J$11, 0)*'TV 10'!G64*'TV 10'!F64</f>
        <v>773.81490538339335</v>
      </c>
      <c r="I64" s="1"/>
    </row>
    <row r="65" spans="1:9">
      <c r="A65" s="1">
        <f t="shared" si="5"/>
        <v>2082</v>
      </c>
      <c r="B65" s="1">
        <f t="shared" si="1"/>
        <v>102</v>
      </c>
      <c r="C65" s="1">
        <v>63</v>
      </c>
      <c r="D65" s="1">
        <f>IF(Summary!$G$11="M",VLOOKUP(B:B,'male g'!A:V,IF(A65&gt;2033,22,MATCH(A65,'male g'!$A$1:$V$1,0)),FALSE),VLOOKUP(B:B,'female g'!A:V,IF(A65&gt;2033,22,MATCH(A65,'female g'!$A$1:$V$1,0)),FALSE))</f>
        <v>0.28621307499999998</v>
      </c>
      <c r="E65" s="1">
        <f t="shared" si="2"/>
        <v>0.71378692499999996</v>
      </c>
      <c r="F65" s="1">
        <f t="shared" si="3"/>
        <v>0.73430532800000003</v>
      </c>
      <c r="G65" s="1">
        <f>1/(1+Summary!$O$2)^$C65</f>
        <v>4.6245998269296387E-2</v>
      </c>
      <c r="H65" s="1">
        <f>IF(B65&gt;64, Summary!$J$11, 0)*'TV 10'!G65*'TV 10'!F65</f>
        <v>717.3233538807267</v>
      </c>
      <c r="I65" s="1"/>
    </row>
    <row r="66" spans="1:9">
      <c r="A66" s="1">
        <f t="shared" si="5"/>
        <v>2083</v>
      </c>
      <c r="B66" s="1">
        <f t="shared" si="1"/>
        <v>103</v>
      </c>
      <c r="C66" s="1">
        <v>64</v>
      </c>
      <c r="D66" s="1">
        <f>IF(Summary!$G$11="M",VLOOKUP(B:B,'male g'!A:V,IF(A66&gt;2033,22,MATCH(A66,'male g'!$A$1:$V$1,0)),FALSE),VLOOKUP(B:B,'female g'!A:V,IF(A66&gt;2033,22,MATCH(A66,'female g'!$A$1:$V$1,0)),FALSE))</f>
        <v>0.306855239</v>
      </c>
      <c r="E66" s="1">
        <f t="shared" si="2"/>
        <v>0.693144761</v>
      </c>
      <c r="F66" s="1">
        <f t="shared" si="3"/>
        <v>0.71378692499999996</v>
      </c>
      <c r="G66" s="1">
        <f>1/(1+Summary!$O$2)^$C66</f>
        <v>4.4043807875520369E-2</v>
      </c>
      <c r="H66" s="1">
        <f>IF(B66&gt;64, Summary!$J$11, 0)*'TV 10'!G66*'TV 10'!F66</f>
        <v>664.07568710360601</v>
      </c>
      <c r="I66" s="1"/>
    </row>
    <row r="67" spans="1:9">
      <c r="A67" s="1">
        <f t="shared" si="5"/>
        <v>2084</v>
      </c>
      <c r="B67" s="1">
        <f t="shared" si="1"/>
        <v>104</v>
      </c>
      <c r="C67" s="1">
        <v>65</v>
      </c>
      <c r="D67" s="1">
        <f>IF(Summary!$G$11="M",VLOOKUP(B:B,'male g'!A:V,IF(A67&gt;2033,22,MATCH(A67,'male g'!$A$1:$V$1,0)),FALSE),VLOOKUP(B:B,'female g'!A:V,IF(A67&gt;2033,22,MATCH(A67,'female g'!$A$1:$V$1,0)),FALSE))</f>
        <v>0.32781771999999998</v>
      </c>
      <c r="E67" s="1">
        <f t="shared" si="2"/>
        <v>0.67218228000000002</v>
      </c>
      <c r="F67" s="1">
        <f t="shared" si="3"/>
        <v>0.693144761</v>
      </c>
      <c r="G67" s="1">
        <f>1/(1+Summary!$O$2)^$C67</f>
        <v>4.1946483690971779E-2</v>
      </c>
      <c r="H67" s="1">
        <f>IF(B67&gt;64, Summary!$J$11, 0)*'TV 10'!G67*'TV 10'!F67</f>
        <v>614.162984313881</v>
      </c>
      <c r="I67" s="1"/>
    </row>
    <row r="68" spans="1:9">
      <c r="A68" s="1">
        <f t="shared" si="5"/>
        <v>2085</v>
      </c>
      <c r="B68" s="1">
        <f t="shared" ref="B68:B73" si="6">$B$2+C68</f>
        <v>105</v>
      </c>
      <c r="C68" s="1">
        <v>66</v>
      </c>
      <c r="D68" s="1">
        <f>IF(Summary!$G$11="M",VLOOKUP(B:B,'male g'!A:V,IF(A68&gt;2033,22,MATCH(A68,'male g'!$A$1:$V$1,0)),FALSE),VLOOKUP(B:B,'female g'!A:V,IF(A68&gt;2033,22,MATCH(A68,'female g'!$A$1:$V$1,0)),FALSE))</f>
        <v>0.34877203800000001</v>
      </c>
      <c r="E68" s="1">
        <f t="shared" ref="E68:E83" si="7">1-D68</f>
        <v>0.65122796199999999</v>
      </c>
      <c r="F68" s="1">
        <f t="shared" ref="F68:F83" si="8">E67</f>
        <v>0.67218228000000002</v>
      </c>
      <c r="G68" s="1">
        <f>1/(1+Summary!$O$2)^$C68</f>
        <v>3.9949032086639788E-2</v>
      </c>
      <c r="H68" s="1">
        <f>IF(B68&gt;64, Summary!$J$11, 0)*'TV 10'!G68*'TV 10'!F68</f>
        <v>567.22772900675602</v>
      </c>
      <c r="I68" s="1"/>
    </row>
    <row r="69" spans="1:9">
      <c r="A69" s="1">
        <f t="shared" si="5"/>
        <v>2086</v>
      </c>
      <c r="B69" s="1">
        <f t="shared" si="6"/>
        <v>106</v>
      </c>
      <c r="C69" s="1">
        <v>67</v>
      </c>
      <c r="D69" s="1">
        <f>IF(Summary!$G$11="M",VLOOKUP(B:B,'male g'!A:V,IF(A69&gt;2033,22,MATCH(A69,'male g'!$A$1:$V$1,0)),FALSE),VLOOKUP(B:B,'female g'!A:V,IF(A69&gt;2033,22,MATCH(A69,'female g'!$A$1:$V$1,0)),FALSE))</f>
        <v>0.36963544999999998</v>
      </c>
      <c r="E69" s="1">
        <f t="shared" si="7"/>
        <v>0.63036455000000002</v>
      </c>
      <c r="F69" s="1">
        <f t="shared" si="8"/>
        <v>0.65122796199999999</v>
      </c>
      <c r="G69" s="1">
        <f>1/(1+Summary!$O$2)^$C69</f>
        <v>3.8046697225371226E-2</v>
      </c>
      <c r="H69" s="1">
        <f>IF(B69&gt;64, Summary!$J$11, 0)*'TV 10'!G69*'TV 10'!F69</f>
        <v>523.37639859484887</v>
      </c>
      <c r="I69" s="1"/>
    </row>
    <row r="70" spans="1:9">
      <c r="A70" s="1">
        <f t="shared" si="5"/>
        <v>2087</v>
      </c>
      <c r="B70" s="1">
        <f t="shared" si="6"/>
        <v>107</v>
      </c>
      <c r="C70" s="1">
        <v>68</v>
      </c>
      <c r="D70" s="1">
        <f>IF(Summary!$G$11="M",VLOOKUP(B:B,'male g'!A:V,IF(A70&gt;2033,22,MATCH(A70,'male g'!$A$1:$V$1,0)),FALSE),VLOOKUP(B:B,'female g'!A:V,IF(A70&gt;2033,22,MATCH(A70,'female g'!$A$1:$V$1,0)),FALSE))</f>
        <v>0.39012102100000001</v>
      </c>
      <c r="E70" s="1">
        <f t="shared" si="7"/>
        <v>0.60987897899999999</v>
      </c>
      <c r="F70" s="1">
        <f t="shared" si="8"/>
        <v>0.63036455000000002</v>
      </c>
      <c r="G70" s="1">
        <f>1/(1+Summary!$O$2)^$C70</f>
        <v>3.6234949738448791E-2</v>
      </c>
      <c r="H70" s="1">
        <f>IF(B70&gt;64, Summary!$J$11, 0)*'TV 10'!G70*'TV 10'!F70</f>
        <v>482.48473467416062</v>
      </c>
      <c r="I70" s="1"/>
    </row>
    <row r="71" spans="1:9">
      <c r="A71" s="1">
        <f t="shared" si="5"/>
        <v>2088</v>
      </c>
      <c r="B71" s="1">
        <f t="shared" si="6"/>
        <v>108</v>
      </c>
      <c r="C71" s="1">
        <v>69</v>
      </c>
      <c r="D71" s="1">
        <f>IF(Summary!$G$11="M",VLOOKUP(B:B,'male g'!A:V,IF(A71&gt;2033,22,MATCH(A71,'male g'!$A$1:$V$1,0)),FALSE),VLOOKUP(B:B,'female g'!A:V,IF(A71&gt;2033,22,MATCH(A71,'female g'!$A$1:$V$1,0)),FALSE))</f>
        <v>0.40992095000000001</v>
      </c>
      <c r="E71" s="1">
        <f t="shared" si="7"/>
        <v>0.59007904999999994</v>
      </c>
      <c r="F71" s="1">
        <f t="shared" si="8"/>
        <v>0.60987897899999999</v>
      </c>
      <c r="G71" s="1">
        <f>1/(1+Summary!$O$2)^$C71</f>
        <v>3.4509475941379798E-2</v>
      </c>
      <c r="H71" s="1">
        <f>IF(B71&gt;64, Summary!$J$11, 0)*'TV 10'!G71*'TV 10'!F71</f>
        <v>444.57615059513006</v>
      </c>
      <c r="I71" s="1"/>
    </row>
    <row r="72" spans="1:9">
      <c r="A72" s="1">
        <f t="shared" si="5"/>
        <v>2089</v>
      </c>
      <c r="B72" s="1">
        <f t="shared" si="6"/>
        <v>109</v>
      </c>
      <c r="C72" s="1">
        <v>70</v>
      </c>
      <c r="D72" s="1">
        <f>IF(Summary!$G$11="M",VLOOKUP(B:B,'male g'!A:V,IF(A72&gt;2033,22,MATCH(A72,'male g'!$A$1:$V$1,0)),FALSE),VLOOKUP(B:B,'female g'!A:V,IF(A72&gt;2033,22,MATCH(A72,'female g'!$A$1:$V$1,0)),FALSE))</f>
        <v>0.42944720199999997</v>
      </c>
      <c r="E72" s="1">
        <f t="shared" si="7"/>
        <v>0.57055279800000003</v>
      </c>
      <c r="F72" s="1">
        <f t="shared" si="8"/>
        <v>0.59007904999999994</v>
      </c>
      <c r="G72" s="1">
        <f>1/(1+Summary!$O$2)^$C72</f>
        <v>3.2866167563218862E-2</v>
      </c>
      <c r="H72" s="1">
        <f>IF(B72&gt;64, Summary!$J$11, 0)*'TV 10'!G72*'TV 10'!F72</f>
        <v>409.65984217295693</v>
      </c>
      <c r="I72" s="1"/>
    </row>
    <row r="73" spans="1:9">
      <c r="A73" s="1">
        <f t="shared" si="5"/>
        <v>2090</v>
      </c>
      <c r="B73" s="1">
        <f t="shared" si="6"/>
        <v>110</v>
      </c>
      <c r="C73" s="1">
        <v>71</v>
      </c>
      <c r="D73" s="1">
        <f>IF(Summary!$G$11="M",VLOOKUP(B:B,'male g'!A:V,IF(A73&gt;2033,22,MATCH(A73,'male g'!$A$1:$V$1,0)),FALSE),VLOOKUP(B:B,'female g'!A:V,IF(A73&gt;2033,22,MATCH(A73,'female g'!$A$1:$V$1,0)),FALSE))</f>
        <v>0.44824126199999997</v>
      </c>
      <c r="E73" s="1">
        <f t="shared" si="7"/>
        <v>0.55175873799999997</v>
      </c>
      <c r="F73" s="1">
        <f t="shared" si="8"/>
        <v>0.57055279800000003</v>
      </c>
      <c r="G73" s="1">
        <f>1/(1+Summary!$O$2)^$C73</f>
        <v>3.1301111964970339E-2</v>
      </c>
      <c r="H73" s="1">
        <f>IF(B73&gt;64, Summary!$J$11, 0)*'TV 10'!G73*'TV 10'!F73</f>
        <v>377.2417387773948</v>
      </c>
      <c r="I73" s="1"/>
    </row>
    <row r="74" spans="1:9">
      <c r="A74" s="1">
        <f>$A$2+C74</f>
        <v>2091</v>
      </c>
      <c r="B74" s="1">
        <f>$B$2+C74</f>
        <v>111</v>
      </c>
      <c r="C74" s="1">
        <v>72</v>
      </c>
      <c r="D74" s="1">
        <f>IF(Summary!$G$11="M",VLOOKUP(B:B,'male g'!A:V,IF(A74&gt;2033,22,MATCH(A74,'male g'!$A$1:$V$1,0)),FALSE),VLOOKUP(B:B,'female g'!A:V,IF(A74&gt;2033,22,MATCH(A74,'female g'!$A$1:$V$1,0)),FALSE))</f>
        <v>0.46617251599999998</v>
      </c>
      <c r="E74" s="1">
        <f t="shared" si="7"/>
        <v>0.53382748400000002</v>
      </c>
      <c r="F74" s="1">
        <f t="shared" si="8"/>
        <v>0.55175873799999997</v>
      </c>
      <c r="G74" s="1">
        <f>1/(1+Summary!$O$2)^$C74</f>
        <v>2.9810582823781274E-2</v>
      </c>
      <c r="H74" s="1">
        <f>IF(B74&gt;64, Summary!$J$11, 0)*'TV 10'!G74*'TV 10'!F74</f>
        <v>347.4432021822841</v>
      </c>
      <c r="I74" s="1"/>
    </row>
    <row r="75" spans="1:9">
      <c r="A75" s="1">
        <f t="shared" ref="A75:A83" si="9">$A$2+C75</f>
        <v>2092</v>
      </c>
      <c r="B75" s="1">
        <f t="shared" ref="B75:B83" si="10">$B$2+C75</f>
        <v>112</v>
      </c>
      <c r="C75" s="1">
        <v>73</v>
      </c>
      <c r="D75" s="1">
        <f>IF(Summary!$G$11="M",VLOOKUP(B:B,'male g'!A:V,IF(A75&gt;2033,22,MATCH(A75,'male g'!$A$1:$V$1,0)),FALSE),VLOOKUP(B:B,'female g'!A:V,IF(A75&gt;2033,22,MATCH(A75,'female g'!$A$1:$V$1,0)),FALSE))</f>
        <v>0.48365765799999999</v>
      </c>
      <c r="E75" s="1">
        <f t="shared" si="7"/>
        <v>0.51634234199999995</v>
      </c>
      <c r="F75" s="1">
        <f t="shared" si="8"/>
        <v>0.53382748400000002</v>
      </c>
      <c r="G75" s="1">
        <f>1/(1+Summary!$O$2)^$C75</f>
        <v>2.8391031260744073E-2</v>
      </c>
      <c r="H75" s="1">
        <f>IF(B75&gt;64, Summary!$J$11, 0)*'TV 10'!G75*'TV 10'!F75</f>
        <v>320.14463617295553</v>
      </c>
      <c r="I75" s="1"/>
    </row>
    <row r="76" spans="1:9">
      <c r="A76" s="1">
        <f t="shared" si="9"/>
        <v>2093</v>
      </c>
      <c r="B76" s="1">
        <f t="shared" si="10"/>
        <v>113</v>
      </c>
      <c r="C76" s="1">
        <v>74</v>
      </c>
      <c r="D76" s="1">
        <f>IF(Summary!$G$11="M",VLOOKUP(B:B,'male g'!A:V,IF(A76&gt;2033,22,MATCH(A76,'male g'!$A$1:$V$1,0)),FALSE),VLOOKUP(B:B,'female g'!A:V,IF(A76&gt;2033,22,MATCH(A76,'female g'!$A$1:$V$1,0)),FALSE))</f>
        <v>0.49353991000000003</v>
      </c>
      <c r="E76" s="1">
        <f t="shared" si="7"/>
        <v>0.50646009000000003</v>
      </c>
      <c r="F76" s="1">
        <f t="shared" si="8"/>
        <v>0.51634234199999995</v>
      </c>
      <c r="G76" s="1">
        <f>1/(1+Summary!$O$2)^$C76</f>
        <v>2.7039077391184833E-2</v>
      </c>
      <c r="H76" s="1">
        <f>IF(B76&gt;64, Summary!$J$11, 0)*'TV 10'!G76*'TV 10'!F76</f>
        <v>294.9128808103352</v>
      </c>
      <c r="I76" s="1"/>
    </row>
    <row r="77" spans="1:9">
      <c r="A77" s="1">
        <f t="shared" si="9"/>
        <v>2094</v>
      </c>
      <c r="B77" s="1">
        <f t="shared" si="10"/>
        <v>114</v>
      </c>
      <c r="C77" s="1">
        <v>75</v>
      </c>
      <c r="D77" s="1">
        <f>IF(Summary!$G$11="M",VLOOKUP(B:B,'male g'!A:V,IF(A77&gt;2033,22,MATCH(A77,'male g'!$A$1:$V$1,0)),FALSE),VLOOKUP(B:B,'female g'!A:V,IF(A77&gt;2033,22,MATCH(A77,'female g'!$A$1:$V$1,0)),FALSE))</f>
        <v>0.49666062900000002</v>
      </c>
      <c r="E77" s="1">
        <f t="shared" si="7"/>
        <v>0.50333937100000004</v>
      </c>
      <c r="F77" s="1">
        <f t="shared" si="8"/>
        <v>0.50646009000000003</v>
      </c>
      <c r="G77" s="1">
        <f>1/(1+Summary!$O$2)^$C77</f>
        <v>2.5751502277318886E-2</v>
      </c>
      <c r="H77" s="1">
        <f>IF(B77&gt;64, Summary!$J$11, 0)*'TV 10'!G77*'TV 10'!F77</f>
        <v>275.49386375238407</v>
      </c>
      <c r="I77" s="1"/>
    </row>
    <row r="78" spans="1:9">
      <c r="A78" s="1">
        <f t="shared" si="9"/>
        <v>2095</v>
      </c>
      <c r="B78" s="1">
        <f t="shared" si="10"/>
        <v>115</v>
      </c>
      <c r="C78" s="1">
        <v>76</v>
      </c>
      <c r="D78" s="1">
        <f>IF(Summary!$G$11="M",VLOOKUP(B:B,'male g'!A:V,IF(A78&gt;2033,22,MATCH(A78,'male g'!$A$1:$V$1,0)),FALSE),VLOOKUP(B:B,'female g'!A:V,IF(A78&gt;2033,22,MATCH(A78,'female g'!$A$1:$V$1,0)),FALSE))</f>
        <v>0.5</v>
      </c>
      <c r="E78" s="1">
        <f t="shared" si="7"/>
        <v>0.5</v>
      </c>
      <c r="F78" s="1">
        <f t="shared" si="8"/>
        <v>0.50333937100000004</v>
      </c>
      <c r="G78" s="1">
        <f>1/(1+Summary!$O$2)^$C78</f>
        <v>2.4525240264113228E-2</v>
      </c>
      <c r="H78" s="1">
        <f>IF(B78&gt;64, Summary!$J$11, 0)*'TV 10'!G78*'TV 10'!F78</f>
        <v>260.75839854567755</v>
      </c>
      <c r="I78" s="1"/>
    </row>
    <row r="79" spans="1:9">
      <c r="A79" s="1">
        <f t="shared" si="9"/>
        <v>2096</v>
      </c>
      <c r="B79" s="1">
        <f t="shared" si="10"/>
        <v>116</v>
      </c>
      <c r="C79" s="1">
        <v>77</v>
      </c>
      <c r="D79" s="1">
        <f>IF(Summary!$G$11="M",VLOOKUP(B:B,'male g'!A:V,IF(A79&gt;2033,22,MATCH(A79,'male g'!$A$1:$V$1,0)),FALSE),VLOOKUP(B:B,'female g'!A:V,IF(A79&gt;2033,22,MATCH(A79,'female g'!$A$1:$V$1,0)),FALSE))</f>
        <v>0.5</v>
      </c>
      <c r="E79" s="1">
        <f t="shared" si="7"/>
        <v>0.5</v>
      </c>
      <c r="F79" s="1">
        <f t="shared" si="8"/>
        <v>0.5</v>
      </c>
      <c r="G79" s="1">
        <f>1/(1+Summary!$O$2)^$C79</f>
        <v>2.3357371680107829E-2</v>
      </c>
      <c r="H79" s="1">
        <f>IF(B79&gt;64, Summary!$J$11, 0)*'TV 10'!G79*'TV 10'!F79</f>
        <v>246.69372818470052</v>
      </c>
      <c r="I79" s="1"/>
    </row>
    <row r="80" spans="1:9">
      <c r="A80" s="1">
        <f t="shared" si="9"/>
        <v>2097</v>
      </c>
      <c r="B80" s="1">
        <f t="shared" si="10"/>
        <v>117</v>
      </c>
      <c r="C80" s="1">
        <v>78</v>
      </c>
      <c r="D80" s="1">
        <f>IF(Summary!$G$11="M",VLOOKUP(B:B,'male g'!A:V,IF(A80&gt;2033,22,MATCH(A80,'male g'!$A$1:$V$1,0)),FALSE),VLOOKUP(B:B,'female g'!A:V,IF(A80&gt;2033,22,MATCH(A80,'female g'!$A$1:$V$1,0)),FALSE))</f>
        <v>0.5</v>
      </c>
      <c r="E80" s="1">
        <f t="shared" si="7"/>
        <v>0.5</v>
      </c>
      <c r="F80" s="1">
        <f t="shared" si="8"/>
        <v>0.5</v>
      </c>
      <c r="G80" s="1">
        <f>1/(1+Summary!$O$2)^$C80</f>
        <v>2.2245115885816989E-2</v>
      </c>
      <c r="H80" s="1">
        <f>IF(B80&gt;64, Summary!$J$11, 0)*'TV 10'!G80*'TV 10'!F80</f>
        <v>234.94640779495296</v>
      </c>
      <c r="I80" s="1"/>
    </row>
    <row r="81" spans="1:9">
      <c r="A81" s="1">
        <f t="shared" si="9"/>
        <v>2098</v>
      </c>
      <c r="B81" s="1">
        <f t="shared" si="10"/>
        <v>118</v>
      </c>
      <c r="C81" s="1">
        <v>79</v>
      </c>
      <c r="D81" s="1">
        <f>IF(Summary!$G$11="M",VLOOKUP(B:B,'male g'!A:V,IF(A81&gt;2033,22,MATCH(A81,'male g'!$A$1:$V$1,0)),FALSE),VLOOKUP(B:B,'female g'!A:V,IF(A81&gt;2033,22,MATCH(A81,'female g'!$A$1:$V$1,0)),FALSE))</f>
        <v>0.5</v>
      </c>
      <c r="E81" s="1">
        <f t="shared" si="7"/>
        <v>0.5</v>
      </c>
      <c r="F81" s="1">
        <f t="shared" si="8"/>
        <v>0.5</v>
      </c>
      <c r="G81" s="1">
        <f>1/(1+Summary!$O$2)^$C81</f>
        <v>2.1185824653159029E-2</v>
      </c>
      <c r="H81" s="1">
        <f>IF(B81&gt;64, Summary!$J$11, 0)*'TV 10'!G81*'TV 10'!F81</f>
        <v>223.75848361424084</v>
      </c>
      <c r="I81" s="1"/>
    </row>
    <row r="82" spans="1:9">
      <c r="A82" s="1">
        <f t="shared" si="9"/>
        <v>2099</v>
      </c>
      <c r="B82" s="1">
        <f t="shared" si="10"/>
        <v>119</v>
      </c>
      <c r="C82" s="1">
        <v>80</v>
      </c>
      <c r="D82" s="1">
        <f>IF(Summary!$G$11="M",VLOOKUP(B:B,'male g'!A:V,IF(A82&gt;2033,22,MATCH(A82,'male g'!$A$1:$V$1,0)),FALSE),VLOOKUP(B:B,'female g'!A:V,IF(A82&gt;2033,22,MATCH(A82,'female g'!$A$1:$V$1,0)),FALSE))</f>
        <v>0.5</v>
      </c>
      <c r="E82" s="1">
        <f t="shared" si="7"/>
        <v>0.5</v>
      </c>
      <c r="F82" s="1">
        <f t="shared" si="8"/>
        <v>0.5</v>
      </c>
      <c r="G82" s="1">
        <f>1/(1+Summary!$O$2)^$C82</f>
        <v>2.0176975860151457E-2</v>
      </c>
      <c r="H82" s="1">
        <f>IF(B82&gt;64, Summary!$J$11, 0)*'TV 10'!G82*'TV 10'!F82</f>
        <v>213.10331772784841</v>
      </c>
      <c r="I82" s="1"/>
    </row>
    <row r="83" spans="1:9">
      <c r="A83" s="1">
        <f t="shared" si="9"/>
        <v>2100</v>
      </c>
      <c r="B83" s="1">
        <f t="shared" si="10"/>
        <v>120</v>
      </c>
      <c r="C83" s="1">
        <v>81</v>
      </c>
      <c r="D83" s="1">
        <f>IF(Summary!$G$11="M",VLOOKUP(B:B,'male g'!A:V,IF(A83&gt;2033,22,MATCH(A83,'male g'!$A$1:$V$1,0)),FALSE),VLOOKUP(B:B,'female g'!A:V,IF(A83&gt;2033,22,MATCH(A83,'female g'!$A$1:$V$1,0)),FALSE))</f>
        <v>1</v>
      </c>
      <c r="E83" s="1">
        <f t="shared" si="7"/>
        <v>0</v>
      </c>
      <c r="F83" s="1">
        <f t="shared" si="8"/>
        <v>0.5</v>
      </c>
      <c r="G83" s="1">
        <f>1/(1+Summary!$O$2)^$C83</f>
        <v>1.9216167485858526E-2</v>
      </c>
      <c r="H83" s="1">
        <f>IF(B83&gt;64, Summary!$J$11, 0)*'TV 10'!G83*'TV 10'!F83</f>
        <v>202.95554069318894</v>
      </c>
      <c r="I83" s="1"/>
    </row>
    <row r="84" spans="1:9">
      <c r="A84" s="1"/>
    </row>
    <row r="85" spans="1:9">
      <c r="A85" s="1"/>
    </row>
    <row r="86" spans="1:9">
      <c r="A86" s="1"/>
    </row>
    <row r="87" spans="1:9">
      <c r="A87" s="1"/>
    </row>
    <row r="88" spans="1:9">
      <c r="A88" s="1"/>
    </row>
    <row r="89" spans="1:9">
      <c r="A89" s="1"/>
    </row>
    <row r="90" spans="1:9">
      <c r="A90" s="1"/>
    </row>
    <row r="91" spans="1:9">
      <c r="A91" s="1"/>
    </row>
    <row r="92" spans="1:9">
      <c r="A92" s="1"/>
    </row>
    <row r="93" spans="1:9">
      <c r="A93" s="1"/>
    </row>
    <row r="94" spans="1:9">
      <c r="A94" s="1"/>
    </row>
    <row r="95" spans="1:9">
      <c r="A95" s="1"/>
    </row>
    <row r="96" spans="1:9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98"/>
  <sheetViews>
    <sheetView workbookViewId="0">
      <selection activeCell="D16" sqref="D16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Summary!H12</f>
        <v>44</v>
      </c>
      <c r="C2" s="1">
        <v>0</v>
      </c>
      <c r="D2" s="1">
        <f>IF(Summary!$G$12="M",VLOOKUP(B:B,'male g'!A:V,IF(A2&gt;2033,22,MATCH(A2,'male g'!$A$1:$V$1,0)),FALSE),VLOOKUP(B:B,'female g'!A:V,IF(A2&gt;2033,22,MATCH(A2,'female g'!$A$1:$V$1,0)),FALSE))</f>
        <v>9.0843728847883653E-4</v>
      </c>
      <c r="E2" s="1">
        <f>1-D2</f>
        <v>0.99909156271152111</v>
      </c>
      <c r="F2" s="1">
        <v>1</v>
      </c>
      <c r="G2" s="1">
        <f>1/(1+Summary!$O$2)^$C2</f>
        <v>1</v>
      </c>
      <c r="H2" s="1">
        <f>IF(B2&gt;64, Summary!$J$2, 0)*'TV 11'!G2*'TV 11'!F2</f>
        <v>0</v>
      </c>
      <c r="I2" s="1">
        <f>SUM(H2:H78)</f>
        <v>50095.213218302873</v>
      </c>
    </row>
    <row r="3" spans="1:9">
      <c r="A3" s="1">
        <f>$A$2+C3</f>
        <v>2020</v>
      </c>
      <c r="B3" s="1">
        <f>$B$2+C3</f>
        <v>45</v>
      </c>
      <c r="C3" s="1">
        <v>1</v>
      </c>
      <c r="D3" s="1">
        <f>IF(Summary!$G$12="M",VLOOKUP(B:B,'male g'!A:V,IF(A3&gt;2033,22,MATCH(A3,'male g'!$A$1:$V$1,0)),FALSE),VLOOKUP(B:B,'female g'!A:V,IF(A3&gt;2033,22,MATCH(A3,'female g'!$A$1:$V$1,0)),FALSE))</f>
        <v>9.9607517052241619E-4</v>
      </c>
      <c r="E3" s="1">
        <f>1-D3</f>
        <v>0.99900392482947753</v>
      </c>
      <c r="F3" s="1">
        <f>E2</f>
        <v>0.99909156271152111</v>
      </c>
      <c r="G3" s="1">
        <f>1/(1+Summary!$O$2)^$C3</f>
        <v>0.95238095238095233</v>
      </c>
      <c r="H3" s="1">
        <f>IF(B3&gt;64, Summary!$J$12, 0)*'TV 11'!G3*'TV 11'!F3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46</v>
      </c>
      <c r="C4" s="1">
        <v>2</v>
      </c>
      <c r="D4" s="1">
        <f>IF(Summary!$G$12="M",VLOOKUP(B:B,'male g'!A:V,IF(A4&gt;2033,22,MATCH(A4,'male g'!$A$1:$V$1,0)),FALSE),VLOOKUP(B:B,'female g'!A:V,IF(A4&gt;2033,22,MATCH(A4,'female g'!$A$1:$V$1,0)),FALSE))</f>
        <v>1.0953695499167531E-3</v>
      </c>
      <c r="E4" s="1">
        <f t="shared" ref="E4:E67" si="2">1-D4</f>
        <v>0.99890463045008326</v>
      </c>
      <c r="F4" s="1">
        <f t="shared" ref="F4:F67" si="3">E3</f>
        <v>0.99900392482947753</v>
      </c>
      <c r="G4" s="1">
        <f>1/(1+Summary!$O$2)^$C4</f>
        <v>0.90702947845804982</v>
      </c>
      <c r="H4" s="1">
        <f>IF(B4&gt;64, Summary!$J$12, 0)*'TV 11'!G4*'TV 11'!F4</f>
        <v>0</v>
      </c>
      <c r="I4" s="1"/>
    </row>
    <row r="5" spans="1:9">
      <c r="A5" s="1">
        <f t="shared" si="0"/>
        <v>2022</v>
      </c>
      <c r="B5" s="1">
        <f t="shared" si="1"/>
        <v>47</v>
      </c>
      <c r="C5" s="1">
        <v>3</v>
      </c>
      <c r="D5" s="1">
        <f>IF(Summary!$G$12="M",VLOOKUP(B:B,'male g'!A:V,IF(A5&gt;2033,22,MATCH(A5,'male g'!$A$1:$V$1,0)),FALSE),VLOOKUP(B:B,'female g'!A:V,IF(A5&gt;2033,22,MATCH(A5,'female g'!$A$1:$V$1,0)),FALSE))</f>
        <v>1.2043052219291685E-3</v>
      </c>
      <c r="E5" s="1">
        <f t="shared" si="2"/>
        <v>0.99879569477807084</v>
      </c>
      <c r="F5" s="1">
        <f t="shared" si="3"/>
        <v>0.99890463045008326</v>
      </c>
      <c r="G5" s="1">
        <f>1/(1+Summary!$O$2)^$C5</f>
        <v>0.86383759853147601</v>
      </c>
      <c r="H5" s="1">
        <f>IF(B5&gt;64, Summary!$J$12, 0)*'TV 11'!G5*'TV 11'!F5</f>
        <v>0</v>
      </c>
      <c r="I5" s="1"/>
    </row>
    <row r="6" spans="1:9">
      <c r="A6" s="1">
        <f t="shared" si="0"/>
        <v>2023</v>
      </c>
      <c r="B6" s="1">
        <f t="shared" si="1"/>
        <v>48</v>
      </c>
      <c r="C6" s="1">
        <v>4</v>
      </c>
      <c r="D6" s="1">
        <f>IF(Summary!$G$12="M",VLOOKUP(B:B,'male g'!A:V,IF(A6&gt;2033,22,MATCH(A6,'male g'!$A$1:$V$1,0)),FALSE),VLOOKUP(B:B,'female g'!A:V,IF(A6&gt;2033,22,MATCH(A6,'female g'!$A$1:$V$1,0)),FALSE))</f>
        <v>1.3243674831266408E-3</v>
      </c>
      <c r="E6" s="1">
        <f t="shared" si="2"/>
        <v>0.99867563251687341</v>
      </c>
      <c r="F6" s="1">
        <f t="shared" si="3"/>
        <v>0.99879569477807084</v>
      </c>
      <c r="G6" s="1">
        <f>1/(1+Summary!$O$2)^$C6</f>
        <v>0.82270247479188197</v>
      </c>
      <c r="H6" s="1">
        <f>IF(B6&gt;64, Summary!$J$12, 0)*'TV 11'!G6*'TV 11'!F6</f>
        <v>0</v>
      </c>
      <c r="I6" s="1"/>
    </row>
    <row r="7" spans="1:9">
      <c r="A7" s="1">
        <f t="shared" si="0"/>
        <v>2024</v>
      </c>
      <c r="B7" s="1">
        <f t="shared" si="1"/>
        <v>49</v>
      </c>
      <c r="C7" s="1">
        <v>5</v>
      </c>
      <c r="D7" s="1">
        <f>IF(Summary!$G$12="M",VLOOKUP(B:B,'male g'!A:V,IF(A7&gt;2033,22,MATCH(A7,'male g'!$A$1:$V$1,0)),FALSE),VLOOKUP(B:B,'female g'!A:V,IF(A7&gt;2033,22,MATCH(A7,'female g'!$A$1:$V$1,0)),FALSE))</f>
        <v>1.4555619007028812E-3</v>
      </c>
      <c r="E7" s="1">
        <f t="shared" si="2"/>
        <v>0.99854443809929716</v>
      </c>
      <c r="F7" s="1">
        <f t="shared" si="3"/>
        <v>0.99867563251687341</v>
      </c>
      <c r="G7" s="1">
        <f>1/(1+Summary!$O$2)^$C7</f>
        <v>0.78352616646845896</v>
      </c>
      <c r="H7" s="1">
        <f>IF(B7&gt;64, Summary!$J$12, 0)*'TV 11'!G7*'TV 11'!F7</f>
        <v>0</v>
      </c>
      <c r="I7" s="1"/>
    </row>
    <row r="8" spans="1:9">
      <c r="A8" s="1">
        <f t="shared" si="0"/>
        <v>2025</v>
      </c>
      <c r="B8" s="1">
        <f t="shared" si="1"/>
        <v>50</v>
      </c>
      <c r="C8" s="1">
        <v>6</v>
      </c>
      <c r="D8" s="1">
        <f>IF(Summary!$G$12="M",VLOOKUP(B:B,'male g'!A:V,IF(A8&gt;2033,22,MATCH(A8,'male g'!$A$1:$V$1,0)),FALSE),VLOOKUP(B:B,'female g'!A:V,IF(A8&gt;2033,22,MATCH(A8,'female g'!$A$1:$V$1,0)),FALSE))</f>
        <v>3.849328336693407E-3</v>
      </c>
      <c r="E8" s="1">
        <f t="shared" si="2"/>
        <v>0.99615067166330662</v>
      </c>
      <c r="F8" s="1">
        <f t="shared" si="3"/>
        <v>0.99854443809929716</v>
      </c>
      <c r="G8" s="1">
        <f>1/(1+Summary!$O$2)^$C8</f>
        <v>0.74621539663662761</v>
      </c>
      <c r="H8" s="1">
        <f>IF(B8&gt;64, Summary!$J$12, 0)*'TV 11'!G8*'TV 11'!F8</f>
        <v>0</v>
      </c>
      <c r="I8" s="1"/>
    </row>
    <row r="9" spans="1:9">
      <c r="A9" s="1">
        <f t="shared" si="0"/>
        <v>2026</v>
      </c>
      <c r="B9" s="1">
        <f t="shared" si="1"/>
        <v>51</v>
      </c>
      <c r="C9" s="1">
        <v>7</v>
      </c>
      <c r="D9" s="1">
        <f>IF(Summary!$G$12="M",VLOOKUP(B:B,'male g'!A:V,IF(A9&gt;2033,22,MATCH(A9,'male g'!$A$1:$V$1,0)),FALSE),VLOOKUP(B:B,'female g'!A:V,IF(A9&gt;2033,22,MATCH(A9,'female g'!$A$1:$V$1,0)),FALSE))</f>
        <v>4.0998556781452842E-3</v>
      </c>
      <c r="E9" s="1">
        <f t="shared" si="2"/>
        <v>0.9959001443218547</v>
      </c>
      <c r="F9" s="1">
        <f t="shared" si="3"/>
        <v>0.99615067166330662</v>
      </c>
      <c r="G9" s="1">
        <f>1/(1+Summary!$O$2)^$C9</f>
        <v>0.71068133013012147</v>
      </c>
      <c r="H9" s="1">
        <f>IF(B9&gt;64, Summary!$J$12, 0)*'TV 11'!G9*'TV 11'!F9</f>
        <v>0</v>
      </c>
      <c r="I9" s="1"/>
    </row>
    <row r="10" spans="1:9">
      <c r="A10" s="1">
        <f t="shared" si="0"/>
        <v>2027</v>
      </c>
      <c r="B10" s="1">
        <f t="shared" si="1"/>
        <v>52</v>
      </c>
      <c r="C10" s="1">
        <v>8</v>
      </c>
      <c r="D10" s="1">
        <f>IF(Summary!$G$12="M",VLOOKUP(B:B,'male g'!A:V,IF(A10&gt;2033,22,MATCH(A10,'male g'!$A$1:$V$1,0)),FALSE),VLOOKUP(B:B,'female g'!A:V,IF(A10&gt;2033,22,MATCH(A10,'female g'!$A$1:$V$1,0)),FALSE))</f>
        <v>4.3545836088183338E-3</v>
      </c>
      <c r="E10" s="1">
        <f t="shared" si="2"/>
        <v>0.99564541639118165</v>
      </c>
      <c r="F10" s="1">
        <f t="shared" si="3"/>
        <v>0.9959001443218547</v>
      </c>
      <c r="G10" s="1">
        <f>1/(1+Summary!$O$2)^$C10</f>
        <v>0.67683936202868722</v>
      </c>
      <c r="H10" s="1">
        <f>IF(B10&gt;64, Summary!$J$12, 0)*'TV 11'!G10*'TV 11'!F10</f>
        <v>0</v>
      </c>
      <c r="I10" s="1"/>
    </row>
    <row r="11" spans="1:9">
      <c r="A11" s="1">
        <f t="shared" si="0"/>
        <v>2028</v>
      </c>
      <c r="B11" s="1">
        <f t="shared" si="1"/>
        <v>53</v>
      </c>
      <c r="C11" s="1">
        <v>9</v>
      </c>
      <c r="D11" s="1">
        <f>IF(Summary!$G$12="M",VLOOKUP(B:B,'male g'!A:V,IF(A11&gt;2033,22,MATCH(A11,'male g'!$A$1:$V$1,0)),FALSE),VLOOKUP(B:B,'female g'!A:V,IF(A11&gt;2033,22,MATCH(A11,'female g'!$A$1:$V$1,0)),FALSE))</f>
        <v>4.615488300758302E-3</v>
      </c>
      <c r="E11" s="1">
        <f t="shared" si="2"/>
        <v>0.99538451169924169</v>
      </c>
      <c r="F11" s="1">
        <f t="shared" si="3"/>
        <v>0.99564541639118165</v>
      </c>
      <c r="G11" s="1">
        <f>1/(1+Summary!$O$2)^$C11</f>
        <v>0.64460891621779726</v>
      </c>
      <c r="H11" s="1">
        <f>IF(B11&gt;64, Summary!$J$12, 0)*'TV 11'!G11*'TV 11'!F11</f>
        <v>0</v>
      </c>
      <c r="I11" s="1"/>
    </row>
    <row r="12" spans="1:9">
      <c r="A12" s="1">
        <f t="shared" si="0"/>
        <v>2029</v>
      </c>
      <c r="B12" s="1">
        <f t="shared" si="1"/>
        <v>54</v>
      </c>
      <c r="C12" s="1">
        <v>10</v>
      </c>
      <c r="D12" s="1">
        <f>IF(Summary!$G$12="M",VLOOKUP(B:B,'male g'!A:V,IF(A12&gt;2033,22,MATCH(A12,'male g'!$A$1:$V$1,0)),FALSE),VLOOKUP(B:B,'female g'!A:V,IF(A12&gt;2033,22,MATCH(A12,'female g'!$A$1:$V$1,0)),FALSE))</f>
        <v>4.8871347852713605E-3</v>
      </c>
      <c r="E12" s="1">
        <f t="shared" si="2"/>
        <v>0.99511286521472864</v>
      </c>
      <c r="F12" s="1">
        <f t="shared" si="3"/>
        <v>0.99538451169924169</v>
      </c>
      <c r="G12" s="1">
        <f>1/(1+Summary!$O$2)^$C12</f>
        <v>0.61391325354075932</v>
      </c>
      <c r="H12" s="1">
        <f>IF(B12&gt;64, Summary!$J$12, 0)*'TV 11'!G12*'TV 11'!F12</f>
        <v>0</v>
      </c>
      <c r="I12" s="1"/>
    </row>
    <row r="13" spans="1:9">
      <c r="A13" s="1">
        <f t="shared" si="0"/>
        <v>2030</v>
      </c>
      <c r="B13" s="1">
        <f t="shared" si="1"/>
        <v>55</v>
      </c>
      <c r="C13" s="1">
        <v>11</v>
      </c>
      <c r="D13" s="1">
        <f>IF(Summary!$G$12="M",VLOOKUP(B:B,'male g'!A:V,IF(A13&gt;2033,22,MATCH(A13,'male g'!$A$1:$V$1,0)),FALSE),VLOOKUP(B:B,'female g'!A:V,IF(A13&gt;2033,22,MATCH(A13,'female g'!$A$1:$V$1,0)),FALSE))</f>
        <v>5.1686620877391745E-3</v>
      </c>
      <c r="E13" s="1">
        <f t="shared" si="2"/>
        <v>0.99483133791226086</v>
      </c>
      <c r="F13" s="1">
        <f t="shared" si="3"/>
        <v>0.99511286521472864</v>
      </c>
      <c r="G13" s="1">
        <f>1/(1+Summary!$O$2)^$C13</f>
        <v>0.5846792890864374</v>
      </c>
      <c r="H13" s="1">
        <f>IF(B13&gt;64, Summary!$J$12, 0)*'TV 11'!G13*'TV 11'!F13</f>
        <v>0</v>
      </c>
      <c r="I13" s="1"/>
    </row>
    <row r="14" spans="1:9">
      <c r="A14" s="1">
        <f t="shared" si="0"/>
        <v>2031</v>
      </c>
      <c r="B14" s="1">
        <f t="shared" si="1"/>
        <v>56</v>
      </c>
      <c r="C14" s="1">
        <v>12</v>
      </c>
      <c r="D14" s="1">
        <f>IF(Summary!$G$12="M",VLOOKUP(B:B,'male g'!A:V,IF(A14&gt;2033,22,MATCH(A14,'male g'!$A$1:$V$1,0)),FALSE),VLOOKUP(B:B,'female g'!A:V,IF(A14&gt;2033,22,MATCH(A14,'female g'!$A$1:$V$1,0)),FALSE))</f>
        <v>5.4646195077650292E-3</v>
      </c>
      <c r="E14" s="1">
        <f t="shared" si="2"/>
        <v>0.994535380492235</v>
      </c>
      <c r="F14" s="1">
        <f t="shared" si="3"/>
        <v>0.99483133791226086</v>
      </c>
      <c r="G14" s="1">
        <f>1/(1+Summary!$O$2)^$C14</f>
        <v>0.5568374181775595</v>
      </c>
      <c r="H14" s="1">
        <f>IF(B14&gt;64, Summary!$J$12, 0)*'TV 11'!G14*'TV 11'!F14</f>
        <v>0</v>
      </c>
      <c r="I14" s="1"/>
    </row>
    <row r="15" spans="1:9">
      <c r="A15" s="1">
        <f t="shared" si="0"/>
        <v>2032</v>
      </c>
      <c r="B15" s="1">
        <f t="shared" si="1"/>
        <v>57</v>
      </c>
      <c r="C15" s="1">
        <v>13</v>
      </c>
      <c r="D15" s="1">
        <f>IF(Summary!$G$12="M",VLOOKUP(B:B,'male g'!A:V,IF(A15&gt;2033,22,MATCH(A15,'male g'!$A$1:$V$1,0)),FALSE),VLOOKUP(B:B,'female g'!A:V,IF(A15&gt;2033,22,MATCH(A15,'female g'!$A$1:$V$1,0)),FALSE))</f>
        <v>5.7765980291078368E-3</v>
      </c>
      <c r="E15" s="1">
        <f t="shared" si="2"/>
        <v>0.99422340197089221</v>
      </c>
      <c r="F15" s="1">
        <f t="shared" si="3"/>
        <v>0.994535380492235</v>
      </c>
      <c r="G15" s="1">
        <f>1/(1+Summary!$O$2)^$C15</f>
        <v>0.53032135064529462</v>
      </c>
      <c r="H15" s="1">
        <f>IF(B15&gt;64, Summary!$J$12, 0)*'TV 11'!G15*'TV 11'!F15</f>
        <v>0</v>
      </c>
      <c r="I15" s="1"/>
    </row>
    <row r="16" spans="1:9">
      <c r="A16" s="1">
        <f t="shared" si="0"/>
        <v>2033</v>
      </c>
      <c r="B16" s="1">
        <f t="shared" si="1"/>
        <v>58</v>
      </c>
      <c r="C16" s="1">
        <v>14</v>
      </c>
      <c r="D16" s="1">
        <f>IF(Summary!$G$12="M",VLOOKUP(B:B,'male g'!A:V,IF(A16&gt;2033,22,MATCH(A16,'male g'!$A$1:$V$1,0)),FALSE),VLOOKUP(B:B,'female g'!A:V,IF(A16&gt;2033,22,MATCH(A16,'female g'!$A$1:$V$1,0)),FALSE))</f>
        <v>6.112372675981876E-3</v>
      </c>
      <c r="E16" s="1">
        <f t="shared" si="2"/>
        <v>0.99388762732401814</v>
      </c>
      <c r="F16" s="1">
        <f t="shared" si="3"/>
        <v>0.99422340197089221</v>
      </c>
      <c r="G16" s="1">
        <f>1/(1+Summary!$O$2)^$C16</f>
        <v>0.50506795299551888</v>
      </c>
      <c r="H16" s="1">
        <f>IF(B16&gt;64, Summary!$J$12, 0)*'TV 11'!G16*'TV 11'!F16</f>
        <v>0</v>
      </c>
      <c r="I16" s="1"/>
    </row>
    <row r="17" spans="1:9">
      <c r="A17" s="1">
        <f t="shared" si="0"/>
        <v>2034</v>
      </c>
      <c r="B17" s="1">
        <f t="shared" si="1"/>
        <v>59</v>
      </c>
      <c r="C17" s="1">
        <v>15</v>
      </c>
      <c r="D17" s="1">
        <f>IF(Summary!$G$12="M",VLOOKUP(B:B,'male g'!A:V,IF(A17&gt;2033,22,MATCH(A17,'male g'!$A$1:$V$1,0)),FALSE),VLOOKUP(B:B,'female g'!A:V,IF(A17&gt;2033,22,MATCH(A17,'female g'!$A$1:$V$1,0)),FALSE))</f>
        <v>6.4741513414089766E-3</v>
      </c>
      <c r="E17" s="1">
        <f t="shared" si="2"/>
        <v>0.99352584865859106</v>
      </c>
      <c r="F17" s="1">
        <f t="shared" si="3"/>
        <v>0.99388762732401814</v>
      </c>
      <c r="G17" s="1">
        <f>1/(1+Summary!$O$2)^$C17</f>
        <v>0.48101709809097021</v>
      </c>
      <c r="H17" s="1">
        <f>IF(B17&gt;64, Summary!$J$12, 0)*'TV 11'!G17*'TV 11'!F17</f>
        <v>0</v>
      </c>
      <c r="I17" s="1"/>
    </row>
    <row r="18" spans="1:9">
      <c r="A18" s="1">
        <f t="shared" si="0"/>
        <v>2035</v>
      </c>
      <c r="B18" s="1">
        <f t="shared" si="1"/>
        <v>60</v>
      </c>
      <c r="C18" s="1">
        <v>16</v>
      </c>
      <c r="D18" s="1">
        <f>IF(Summary!$G$12="M",VLOOKUP(B:B,'male g'!A:V,IF(A18&gt;2033,22,MATCH(A18,'male g'!$A$1:$V$1,0)),FALSE),VLOOKUP(B:B,'female g'!A:V,IF(A18&gt;2033,22,MATCH(A18,'female g'!$A$1:$V$1,0)),FALSE))</f>
        <v>6.936066846596668E-3</v>
      </c>
      <c r="E18" s="1">
        <f t="shared" si="2"/>
        <v>0.99306393315340336</v>
      </c>
      <c r="F18" s="1">
        <f t="shared" si="3"/>
        <v>0.99352584865859106</v>
      </c>
      <c r="G18" s="1">
        <f>1/(1+Summary!$O$2)^$C18</f>
        <v>0.45811152199140021</v>
      </c>
      <c r="H18" s="1">
        <f>IF(B18&gt;64, Summary!$J$12, 0)*'TV 11'!G18*'TV 11'!F18</f>
        <v>0</v>
      </c>
      <c r="I18" s="1"/>
    </row>
    <row r="19" spans="1:9">
      <c r="A19" s="1">
        <f t="shared" si="0"/>
        <v>2036</v>
      </c>
      <c r="B19" s="1">
        <f t="shared" si="1"/>
        <v>61</v>
      </c>
      <c r="C19" s="1">
        <v>17</v>
      </c>
      <c r="D19" s="1">
        <f>IF(Summary!$G$12="M",VLOOKUP(B:B,'male g'!A:V,IF(A19&gt;2033,22,MATCH(A19,'male g'!$A$1:$V$1,0)),FALSE),VLOOKUP(B:B,'female g'!A:V,IF(A19&gt;2033,22,MATCH(A19,'female g'!$A$1:$V$1,0)),FALSE))</f>
        <v>7.4443231733826182E-3</v>
      </c>
      <c r="E19" s="1">
        <f t="shared" si="2"/>
        <v>0.99255567682661738</v>
      </c>
      <c r="F19" s="1">
        <f t="shared" si="3"/>
        <v>0.99306393315340336</v>
      </c>
      <c r="G19" s="1">
        <f>1/(1+Summary!$O$2)^$C19</f>
        <v>0.43629668761085727</v>
      </c>
      <c r="H19" s="1">
        <f>IF(B19&gt;64, Summary!$J$12, 0)*'TV 11'!G19*'TV 11'!F19</f>
        <v>0</v>
      </c>
      <c r="I19" s="1"/>
    </row>
    <row r="20" spans="1:9">
      <c r="A20" s="1">
        <f t="shared" si="0"/>
        <v>2037</v>
      </c>
      <c r="B20" s="1">
        <f t="shared" si="1"/>
        <v>62</v>
      </c>
      <c r="C20" s="1">
        <v>18</v>
      </c>
      <c r="D20" s="1">
        <f>IF(Summary!$G$12="M",VLOOKUP(B:B,'male g'!A:V,IF(A20&gt;2033,22,MATCH(A20,'male g'!$A$1:$V$1,0)),FALSE),VLOOKUP(B:B,'female g'!A:V,IF(A20&gt;2033,22,MATCH(A20,'female g'!$A$1:$V$1,0)),FALSE))</f>
        <v>7.9980591160673849E-3</v>
      </c>
      <c r="E20" s="1">
        <f t="shared" si="2"/>
        <v>0.99200194088393256</v>
      </c>
      <c r="F20" s="1">
        <f t="shared" si="3"/>
        <v>0.99255567682661738</v>
      </c>
      <c r="G20" s="1">
        <f>1/(1+Summary!$O$2)^$C20</f>
        <v>0.41552065486748313</v>
      </c>
      <c r="H20" s="1">
        <f>IF(B20&gt;64, Summary!$J$12, 0)*'TV 11'!G20*'TV 11'!F20</f>
        <v>0</v>
      </c>
      <c r="I20" s="1"/>
    </row>
    <row r="21" spans="1:9">
      <c r="A21" s="1">
        <f t="shared" si="0"/>
        <v>2038</v>
      </c>
      <c r="B21" s="1">
        <f t="shared" si="1"/>
        <v>63</v>
      </c>
      <c r="C21" s="1">
        <v>19</v>
      </c>
      <c r="D21" s="1">
        <f>IF(Summary!$G$12="M",VLOOKUP(B:B,'male g'!A:V,IF(A21&gt;2033,22,MATCH(A21,'male g'!$A$1:$V$1,0)),FALSE),VLOOKUP(B:B,'female g'!A:V,IF(A21&gt;2033,22,MATCH(A21,'female g'!$A$1:$V$1,0)),FALSE))</f>
        <v>8.6003126935298747E-3</v>
      </c>
      <c r="E21" s="1">
        <f t="shared" si="2"/>
        <v>0.9913996873064701</v>
      </c>
      <c r="F21" s="1">
        <f t="shared" si="3"/>
        <v>0.99200194088393256</v>
      </c>
      <c r="G21" s="1">
        <f>1/(1+Summary!$O$2)^$C21</f>
        <v>0.39573395701665059</v>
      </c>
      <c r="H21" s="1">
        <f>IF(B21&gt;64, Summary!$J$12, 0)*'TV 11'!G21*'TV 11'!F21</f>
        <v>0</v>
      </c>
      <c r="I21" s="1"/>
    </row>
    <row r="22" spans="1:9">
      <c r="A22" s="1">
        <f t="shared" si="0"/>
        <v>2039</v>
      </c>
      <c r="B22" s="1">
        <f t="shared" si="1"/>
        <v>64</v>
      </c>
      <c r="C22" s="1">
        <v>20</v>
      </c>
      <c r="D22" s="1">
        <f>IF(Summary!$G$12="M",VLOOKUP(B:B,'male g'!A:V,IF(A22&gt;2033,22,MATCH(A22,'male g'!$A$1:$V$1,0)),FALSE),VLOOKUP(B:B,'female g'!A:V,IF(A22&gt;2033,22,MATCH(A22,'female g'!$A$1:$V$1,0)),FALSE))</f>
        <v>9.2613902762817488E-3</v>
      </c>
      <c r="E22" s="1">
        <f t="shared" si="2"/>
        <v>0.9907386097237183</v>
      </c>
      <c r="F22" s="1">
        <f t="shared" si="3"/>
        <v>0.9913996873064701</v>
      </c>
      <c r="G22" s="1">
        <f>1/(1+Summary!$O$2)^$C22</f>
        <v>0.37688948287300061</v>
      </c>
      <c r="H22" s="1">
        <f>IF(B22&gt;64, Summary!$J$12, 0)*'TV 11'!G22*'TV 11'!F22</f>
        <v>0</v>
      </c>
      <c r="I22" s="1"/>
    </row>
    <row r="23" spans="1:9">
      <c r="A23" s="1">
        <f t="shared" si="0"/>
        <v>2040</v>
      </c>
      <c r="B23" s="1">
        <f t="shared" si="1"/>
        <v>65</v>
      </c>
      <c r="C23" s="1">
        <v>21</v>
      </c>
      <c r="D23" s="1">
        <f>IF(Summary!$G$12="M",VLOOKUP(B:B,'male g'!A:V,IF(A23&gt;2033,22,MATCH(A23,'male g'!$A$1:$V$1,0)),FALSE),VLOOKUP(B:B,'female g'!A:V,IF(A23&gt;2033,22,MATCH(A23,'female g'!$A$1:$V$1,0)),FALSE))</f>
        <v>9.9822267063302775E-3</v>
      </c>
      <c r="E23" s="1">
        <f t="shared" si="2"/>
        <v>0.99001777329366969</v>
      </c>
      <c r="F23" s="1">
        <f t="shared" si="3"/>
        <v>0.9907386097237183</v>
      </c>
      <c r="G23" s="1">
        <f>1/(1+Summary!$O$2)^$C23</f>
        <v>0.35894236464095297</v>
      </c>
      <c r="H23" s="1">
        <f>IF(B23&gt;64, Summary!$J$12, 0)*'TV 11'!G23*'TV 11'!F23</f>
        <v>2777.0907342681517</v>
      </c>
      <c r="I23" s="1"/>
    </row>
    <row r="24" spans="1:9">
      <c r="A24" s="1">
        <f t="shared" si="0"/>
        <v>2041</v>
      </c>
      <c r="B24" s="1">
        <f t="shared" si="1"/>
        <v>66</v>
      </c>
      <c r="C24" s="1">
        <v>22</v>
      </c>
      <c r="D24" s="1">
        <f>IF(Summary!$G$12="M",VLOOKUP(B:B,'male g'!A:V,IF(A24&gt;2033,22,MATCH(A24,'male g'!$A$1:$V$1,0)),FALSE),VLOOKUP(B:B,'female g'!A:V,IF(A24&gt;2033,22,MATCH(A24,'female g'!$A$1:$V$1,0)),FALSE))</f>
        <v>1.0770988448590023E-2</v>
      </c>
      <c r="E24" s="1">
        <f t="shared" si="2"/>
        <v>0.98922901155140996</v>
      </c>
      <c r="F24" s="1">
        <f t="shared" si="3"/>
        <v>0.99001777329366969</v>
      </c>
      <c r="G24" s="1">
        <f>1/(1+Summary!$O$2)^$C24</f>
        <v>0.3418498710866219</v>
      </c>
      <c r="H24" s="1">
        <f>IF(B24&gt;64, Summary!$J$12, 0)*'TV 11'!G24*'TV 11'!F24</f>
        <v>2642.9239934064749</v>
      </c>
      <c r="I24" s="1"/>
    </row>
    <row r="25" spans="1:9">
      <c r="A25" s="1">
        <f t="shared" si="0"/>
        <v>2042</v>
      </c>
      <c r="B25" s="1">
        <f t="shared" si="1"/>
        <v>67</v>
      </c>
      <c r="C25" s="1">
        <v>23</v>
      </c>
      <c r="D25" s="1">
        <f>IF(Summary!$G$12="M",VLOOKUP(B:B,'male g'!A:V,IF(A25&gt;2033,22,MATCH(A25,'male g'!$A$1:$V$1,0)),FALSE),VLOOKUP(B:B,'female g'!A:V,IF(A25&gt;2033,22,MATCH(A25,'female g'!$A$1:$V$1,0)),FALSE))</f>
        <v>1.1633181958479108E-2</v>
      </c>
      <c r="E25" s="1">
        <f t="shared" si="2"/>
        <v>0.98836681804152093</v>
      </c>
      <c r="F25" s="1">
        <f t="shared" si="3"/>
        <v>0.98922901155140996</v>
      </c>
      <c r="G25" s="1">
        <f>1/(1+Summary!$O$2)^$C25</f>
        <v>0.32557130579678267</v>
      </c>
      <c r="H25" s="1">
        <f>IF(B25&gt;64, Summary!$J$12, 0)*'TV 11'!G25*'TV 11'!F25</f>
        <v>2515.0650827928439</v>
      </c>
      <c r="I25" s="1"/>
    </row>
    <row r="26" spans="1:9">
      <c r="A26" s="1">
        <f t="shared" si="0"/>
        <v>2043</v>
      </c>
      <c r="B26" s="1">
        <f t="shared" si="1"/>
        <v>68</v>
      </c>
      <c r="C26" s="1">
        <v>24</v>
      </c>
      <c r="D26" s="1">
        <f>IF(Summary!$G$12="M",VLOOKUP(B:B,'male g'!A:V,IF(A26&gt;2033,22,MATCH(A26,'male g'!$A$1:$V$1,0)),FALSE),VLOOKUP(B:B,'female g'!A:V,IF(A26&gt;2033,22,MATCH(A26,'female g'!$A$1:$V$1,0)),FALSE))</f>
        <v>1.2580700369048322E-2</v>
      </c>
      <c r="E26" s="1">
        <f t="shared" si="2"/>
        <v>0.98741929963095165</v>
      </c>
      <c r="F26" s="1">
        <f t="shared" si="3"/>
        <v>0.98836681804152093</v>
      </c>
      <c r="G26" s="1">
        <f>1/(1+Summary!$O$2)^$C26</f>
        <v>0.31006791028265024</v>
      </c>
      <c r="H26" s="1">
        <f>IF(B26&gt;64, Summary!$J$12, 0)*'TV 11'!G26*'TV 11'!F26</f>
        <v>2393.2123800888626</v>
      </c>
      <c r="I26" s="1"/>
    </row>
    <row r="27" spans="1:9">
      <c r="A27" s="1">
        <f t="shared" si="0"/>
        <v>2044</v>
      </c>
      <c r="B27" s="1">
        <f t="shared" si="1"/>
        <v>69</v>
      </c>
      <c r="C27" s="1">
        <v>25</v>
      </c>
      <c r="D27" s="1">
        <f>IF(Summary!$G$12="M",VLOOKUP(B:B,'male g'!A:V,IF(A27&gt;2033,22,MATCH(A27,'male g'!$A$1:$V$1,0)),FALSE),VLOOKUP(B:B,'female g'!A:V,IF(A27&gt;2033,22,MATCH(A27,'female g'!$A$1:$V$1,0)),FALSE))</f>
        <v>1.3626686177724836E-2</v>
      </c>
      <c r="E27" s="1">
        <f t="shared" si="2"/>
        <v>0.98637331382227511</v>
      </c>
      <c r="F27" s="1">
        <f t="shared" si="3"/>
        <v>0.98741929963095165</v>
      </c>
      <c r="G27" s="1">
        <f>1/(1+Summary!$O$2)^$C27</f>
        <v>0.29530277169776209</v>
      </c>
      <c r="H27" s="1">
        <f>IF(B27&gt;64, Summary!$J$12, 0)*'TV 11'!G27*'TV 11'!F27</f>
        <v>2277.0648354819082</v>
      </c>
      <c r="I27" s="1"/>
    </row>
    <row r="28" spans="1:9">
      <c r="A28" s="1">
        <f t="shared" si="0"/>
        <v>2045</v>
      </c>
      <c r="B28" s="1">
        <f t="shared" si="1"/>
        <v>70</v>
      </c>
      <c r="C28" s="1">
        <v>26</v>
      </c>
      <c r="D28" s="1">
        <f>IF(Summary!$G$12="M",VLOOKUP(B:B,'male g'!A:V,IF(A28&gt;2033,22,MATCH(A28,'male g'!$A$1:$V$1,0)),FALSE),VLOOKUP(B:B,'female g'!A:V,IF(A28&gt;2033,22,MATCH(A28,'female g'!$A$1:$V$1,0)),FALSE))</f>
        <v>1.4793079982031035E-2</v>
      </c>
      <c r="E28" s="1">
        <f t="shared" si="2"/>
        <v>0.98520692001796895</v>
      </c>
      <c r="F28" s="1">
        <f t="shared" si="3"/>
        <v>0.98637331382227511</v>
      </c>
      <c r="G28" s="1">
        <f>1/(1+Summary!$O$2)^$C28</f>
        <v>0.28124073495024959</v>
      </c>
      <c r="H28" s="1">
        <f>IF(B28&gt;64, Summary!$J$12, 0)*'TV 11'!G28*'TV 11'!F28</f>
        <v>2166.3359159742108</v>
      </c>
      <c r="I28" s="1"/>
    </row>
    <row r="29" spans="1:9">
      <c r="A29" s="1">
        <f t="shared" si="0"/>
        <v>2046</v>
      </c>
      <c r="B29" s="1">
        <f t="shared" si="1"/>
        <v>71</v>
      </c>
      <c r="C29" s="1">
        <v>27</v>
      </c>
      <c r="D29" s="1">
        <f>IF(Summary!$G$12="M",VLOOKUP(B:B,'male g'!A:V,IF(A29&gt;2033,22,MATCH(A29,'male g'!$A$1:$V$1,0)),FALSE),VLOOKUP(B:B,'female g'!A:V,IF(A29&gt;2033,22,MATCH(A29,'female g'!$A$1:$V$1,0)),FALSE))</f>
        <v>1.6081052063459764E-2</v>
      </c>
      <c r="E29" s="1">
        <f t="shared" si="2"/>
        <v>0.98391894793654022</v>
      </c>
      <c r="F29" s="1">
        <f t="shared" si="3"/>
        <v>0.98520692001796895</v>
      </c>
      <c r="G29" s="1">
        <f>1/(1+Summary!$O$2)^$C29</f>
        <v>0.2678483190002377</v>
      </c>
      <c r="H29" s="1">
        <f>IF(B29&gt;64, Summary!$J$12, 0)*'TV 11'!G29*'TV 11'!F29</f>
        <v>2060.7373405595317</v>
      </c>
      <c r="I29" s="1"/>
    </row>
    <row r="30" spans="1:9">
      <c r="A30" s="1">
        <f t="shared" si="0"/>
        <v>2047</v>
      </c>
      <c r="B30" s="1">
        <f t="shared" si="1"/>
        <v>72</v>
      </c>
      <c r="C30" s="1">
        <v>28</v>
      </c>
      <c r="D30" s="1">
        <f>IF(Summary!$G$12="M",VLOOKUP(B:B,'male g'!A:V,IF(A30&gt;2033,22,MATCH(A30,'male g'!$A$1:$V$1,0)),FALSE),VLOOKUP(B:B,'female g'!A:V,IF(A30&gt;2033,22,MATCH(A30,'female g'!$A$1:$V$1,0)),FALSE))</f>
        <v>1.7512751333317752E-2</v>
      </c>
      <c r="E30" s="1">
        <f t="shared" si="2"/>
        <v>0.98248724866668224</v>
      </c>
      <c r="F30" s="1">
        <f t="shared" si="3"/>
        <v>0.98391894793654022</v>
      </c>
      <c r="G30" s="1">
        <f>1/(1+Summary!$O$2)^$C30</f>
        <v>0.25509363714308358</v>
      </c>
      <c r="H30" s="1">
        <f>IF(B30&gt;64, Summary!$J$12, 0)*'TV 11'!G30*'TV 11'!F30</f>
        <v>1960.0412528277116</v>
      </c>
      <c r="I30" s="1"/>
    </row>
    <row r="31" spans="1:9">
      <c r="A31" s="1">
        <f t="shared" si="0"/>
        <v>2048</v>
      </c>
      <c r="B31" s="1">
        <f t="shared" si="1"/>
        <v>73</v>
      </c>
      <c r="C31" s="1">
        <v>29</v>
      </c>
      <c r="D31" s="1">
        <f>IF(Summary!$G$12="M",VLOOKUP(B:B,'male g'!A:V,IF(A31&gt;2033,22,MATCH(A31,'male g'!$A$1:$V$1,0)),FALSE),VLOOKUP(B:B,'female g'!A:V,IF(A31&gt;2033,22,MATCH(A31,'female g'!$A$1:$V$1,0)),FALSE))</f>
        <v>1.9108502444741413E-2</v>
      </c>
      <c r="E31" s="1">
        <f t="shared" si="2"/>
        <v>0.98089149755525862</v>
      </c>
      <c r="F31" s="1">
        <f t="shared" si="3"/>
        <v>0.98248724866668224</v>
      </c>
      <c r="G31" s="1">
        <f>1/(1+Summary!$O$2)^$C31</f>
        <v>0.24294632108865097</v>
      </c>
      <c r="H31" s="1">
        <f>IF(B31&gt;64, Summary!$J$12, 0)*'TV 11'!G31*'TV 11'!F31</f>
        <v>1863.9897134989053</v>
      </c>
      <c r="I31" s="1"/>
    </row>
    <row r="32" spans="1:9">
      <c r="A32" s="1">
        <f t="shared" si="0"/>
        <v>2049</v>
      </c>
      <c r="B32" s="1">
        <f t="shared" si="1"/>
        <v>74</v>
      </c>
      <c r="C32" s="1">
        <v>30</v>
      </c>
      <c r="D32" s="1">
        <f>IF(Summary!$G$12="M",VLOOKUP(B:B,'male g'!A:V,IF(A32&gt;2033,22,MATCH(A32,'male g'!$A$1:$V$1,0)),FALSE),VLOOKUP(B:B,'female g'!A:V,IF(A32&gt;2033,22,MATCH(A32,'female g'!$A$1:$V$1,0)),FALSE))</f>
        <v>2.0891078905760852E-2</v>
      </c>
      <c r="E32" s="1">
        <f t="shared" si="2"/>
        <v>0.97910892109423919</v>
      </c>
      <c r="F32" s="1">
        <f t="shared" si="3"/>
        <v>0.98089149755525862</v>
      </c>
      <c r="G32" s="1">
        <f>1/(1+Summary!$O$2)^$C32</f>
        <v>0.23137744865585813</v>
      </c>
      <c r="H32" s="1">
        <f>IF(B32&gt;64, Summary!$J$12, 0)*'TV 11'!G32*'TV 11'!F32</f>
        <v>1772.3449812201422</v>
      </c>
      <c r="I32" s="1"/>
    </row>
    <row r="33" spans="1:9">
      <c r="A33" s="1">
        <f t="shared" si="0"/>
        <v>2050</v>
      </c>
      <c r="B33" s="1">
        <f t="shared" si="1"/>
        <v>75</v>
      </c>
      <c r="C33" s="1">
        <v>31</v>
      </c>
      <c r="D33" s="1">
        <f>IF(Summary!$G$12="M",VLOOKUP(B:B,'male g'!A:V,IF(A33&gt;2033,22,MATCH(A33,'male g'!$A$1:$V$1,0)),FALSE),VLOOKUP(B:B,'female g'!A:V,IF(A33&gt;2033,22,MATCH(A33,'female g'!$A$1:$V$1,0)),FALSE))</f>
        <v>2.289528896934603E-2</v>
      </c>
      <c r="E33" s="1">
        <f t="shared" si="2"/>
        <v>0.97710471103065399</v>
      </c>
      <c r="F33" s="1">
        <f t="shared" si="3"/>
        <v>0.97910892109423919</v>
      </c>
      <c r="G33" s="1">
        <f>1/(1+Summary!$O$2)^$C33</f>
        <v>0.220359474910341</v>
      </c>
      <c r="H33" s="1">
        <f>IF(B33&gt;64, Summary!$J$12, 0)*'TV 11'!G33*'TV 11'!F33</f>
        <v>1684.8800899553823</v>
      </c>
      <c r="I33" s="1"/>
    </row>
    <row r="34" spans="1:9">
      <c r="A34" s="1">
        <f t="shared" si="0"/>
        <v>2051</v>
      </c>
      <c r="B34" s="1">
        <f t="shared" si="1"/>
        <v>76</v>
      </c>
      <c r="C34" s="1">
        <v>32</v>
      </c>
      <c r="D34" s="1">
        <f>IF(Summary!$G$12="M",VLOOKUP(B:B,'male g'!A:V,IF(A34&gt;2033,22,MATCH(A34,'male g'!$A$1:$V$1,0)),FALSE),VLOOKUP(B:B,'female g'!A:V,IF(A34&gt;2033,22,MATCH(A34,'female g'!$A$1:$V$1,0)),FALSE))</f>
        <v>2.513765115831567E-2</v>
      </c>
      <c r="E34" s="1">
        <f t="shared" si="2"/>
        <v>0.97486234884168432</v>
      </c>
      <c r="F34" s="1">
        <f t="shared" si="3"/>
        <v>0.97710471103065399</v>
      </c>
      <c r="G34" s="1">
        <f>1/(1+Summary!$O$2)^$C34</f>
        <v>0.20986616658127716</v>
      </c>
      <c r="H34" s="1">
        <f>IF(B34&gt;64, Summary!$J$12, 0)*'TV 11'!G34*'TV 11'!F34</f>
        <v>1601.3630333115432</v>
      </c>
      <c r="I34" s="1"/>
    </row>
    <row r="35" spans="1:9">
      <c r="A35" s="1">
        <f>$A$2+C35</f>
        <v>2052</v>
      </c>
      <c r="B35" s="1">
        <f>$B$2+C35</f>
        <v>77</v>
      </c>
      <c r="C35" s="1">
        <v>33</v>
      </c>
      <c r="D35" s="1">
        <f>IF(Summary!$G$12="M",VLOOKUP(B:B,'male g'!A:V,IF(A35&gt;2033,22,MATCH(A35,'male g'!$A$1:$V$1,0)),FALSE),VLOOKUP(B:B,'female g'!A:V,IF(A35&gt;2033,22,MATCH(A35,'female g'!$A$1:$V$1,0)),FALSE))</f>
        <v>2.7677948896305107E-2</v>
      </c>
      <c r="E35" s="1">
        <f t="shared" si="2"/>
        <v>0.97232205110369485</v>
      </c>
      <c r="F35" s="1">
        <f t="shared" si="3"/>
        <v>0.97486234884168432</v>
      </c>
      <c r="G35" s="1">
        <f>1/(1+Summary!$O$2)^$C35</f>
        <v>0.19987253960121634</v>
      </c>
      <c r="H35" s="1">
        <f>IF(B35&gt;64, Summary!$J$12, 0)*'TV 11'!G35*'TV 11'!F35</f>
        <v>1521.6076740645738</v>
      </c>
      <c r="I35" s="1"/>
    </row>
    <row r="36" spans="1:9">
      <c r="A36" s="1">
        <f t="shared" ref="A36:A47" si="4">$A$2+C36</f>
        <v>2053</v>
      </c>
      <c r="B36" s="1">
        <f t="shared" si="1"/>
        <v>78</v>
      </c>
      <c r="C36" s="1">
        <v>34</v>
      </c>
      <c r="D36" s="1">
        <f>IF(Summary!$G$12="M",VLOOKUP(B:B,'male g'!A:V,IF(A36&gt;2033,22,MATCH(A36,'male g'!$A$1:$V$1,0)),FALSE),VLOOKUP(B:B,'female g'!A:V,IF(A36&gt;2033,22,MATCH(A36,'female g'!$A$1:$V$1,0)),FALSE))</f>
        <v>3.0545666614171758E-2</v>
      </c>
      <c r="E36" s="1">
        <f t="shared" si="2"/>
        <v>0.9694543333858282</v>
      </c>
      <c r="F36" s="1">
        <f t="shared" si="3"/>
        <v>0.97232205110369485</v>
      </c>
      <c r="G36" s="1">
        <f>1/(1+Summary!$O$2)^$C36</f>
        <v>0.19035479962020604</v>
      </c>
      <c r="H36" s="1">
        <f>IF(B36&gt;64, Summary!$J$12, 0)*'TV 11'!G36*'TV 11'!F36</f>
        <v>1445.3739681490104</v>
      </c>
      <c r="I36" s="1"/>
    </row>
    <row r="37" spans="1:9">
      <c r="A37" s="1">
        <f t="shared" si="4"/>
        <v>2054</v>
      </c>
      <c r="B37" s="1">
        <f t="shared" si="1"/>
        <v>79</v>
      </c>
      <c r="C37" s="1">
        <v>35</v>
      </c>
      <c r="D37" s="1">
        <f>IF(Summary!$G$12="M",VLOOKUP(B:B,'male g'!A:V,IF(A37&gt;2033,22,MATCH(A37,'male g'!$A$1:$V$1,0)),FALSE),VLOOKUP(B:B,'female g'!A:V,IF(A37&gt;2033,22,MATCH(A37,'female g'!$A$1:$V$1,0)),FALSE))</f>
        <v>3.3801426006075351E-2</v>
      </c>
      <c r="E37" s="1">
        <f t="shared" si="2"/>
        <v>0.96619857399392461</v>
      </c>
      <c r="F37" s="1">
        <f t="shared" si="3"/>
        <v>0.9694543333858282</v>
      </c>
      <c r="G37" s="1">
        <f>1/(1+Summary!$O$2)^$C37</f>
        <v>0.18129028535257716</v>
      </c>
      <c r="H37" s="1">
        <f>IF(B37&gt;64, Summary!$J$12, 0)*'TV 11'!G37*'TV 11'!F37</f>
        <v>1372.486718968592</v>
      </c>
      <c r="I37" s="1"/>
    </row>
    <row r="38" spans="1:9">
      <c r="A38" s="1">
        <f t="shared" si="4"/>
        <v>2055</v>
      </c>
      <c r="B38" s="1">
        <f t="shared" si="1"/>
        <v>80</v>
      </c>
      <c r="C38" s="1">
        <v>36</v>
      </c>
      <c r="D38" s="1">
        <f>IF(Summary!$G$12="M",VLOOKUP(B:B,'male g'!A:V,IF(A38&gt;2033,22,MATCH(A38,'male g'!$A$1:$V$1,0)),FALSE),VLOOKUP(B:B,'female g'!A:V,IF(A38&gt;2033,22,MATCH(A38,'female g'!$A$1:$V$1,0)),FALSE))</f>
        <v>3.7482908060753731E-2</v>
      </c>
      <c r="E38" s="1">
        <f t="shared" si="2"/>
        <v>0.96251709193924628</v>
      </c>
      <c r="F38" s="1">
        <f t="shared" si="3"/>
        <v>0.96619857399392461</v>
      </c>
      <c r="G38" s="1">
        <f>1/(1+Summary!$O$2)^$C38</f>
        <v>0.17265741462150208</v>
      </c>
      <c r="H38" s="1">
        <f>IF(B38&gt;64, Summary!$J$12, 0)*'TV 11'!G38*'TV 11'!F38</f>
        <v>1302.7404180105516</v>
      </c>
      <c r="I38" s="1"/>
    </row>
    <row r="39" spans="1:9">
      <c r="A39" s="1">
        <f t="shared" si="4"/>
        <v>2056</v>
      </c>
      <c r="B39" s="1">
        <f t="shared" si="1"/>
        <v>81</v>
      </c>
      <c r="C39" s="1">
        <v>37</v>
      </c>
      <c r="D39" s="1">
        <f>IF(Summary!$G$12="M",VLOOKUP(B:B,'male g'!A:V,IF(A39&gt;2033,22,MATCH(A39,'male g'!$A$1:$V$1,0)),FALSE),VLOOKUP(B:B,'female g'!A:V,IF(A39&gt;2033,22,MATCH(A39,'female g'!$A$1:$V$1,0)),FALSE))</f>
        <v>4.1692652240478641E-2</v>
      </c>
      <c r="E39" s="1">
        <f t="shared" si="2"/>
        <v>0.95830734775952131</v>
      </c>
      <c r="F39" s="1">
        <f t="shared" si="3"/>
        <v>0.96251709193924628</v>
      </c>
      <c r="G39" s="1">
        <f>1/(1+Summary!$O$2)^$C39</f>
        <v>0.1644356329728591</v>
      </c>
      <c r="H39" s="1">
        <f>IF(B39&gt;64, Summary!$J$12, 0)*'TV 11'!G39*'TV 11'!F39</f>
        <v>1235.9777324349463</v>
      </c>
      <c r="I39" s="1"/>
    </row>
    <row r="40" spans="1:9">
      <c r="A40" s="1">
        <f t="shared" si="4"/>
        <v>2057</v>
      </c>
      <c r="B40" s="1">
        <f t="shared" si="1"/>
        <v>82</v>
      </c>
      <c r="C40" s="1">
        <v>38</v>
      </c>
      <c r="D40" s="1">
        <f>IF(Summary!$G$12="M",VLOOKUP(B:B,'male g'!A:V,IF(A40&gt;2033,22,MATCH(A40,'male g'!$A$1:$V$1,0)),FALSE),VLOOKUP(B:B,'female g'!A:V,IF(A40&gt;2033,22,MATCH(A40,'female g'!$A$1:$V$1,0)),FALSE))</f>
        <v>4.6458269197024199E-2</v>
      </c>
      <c r="E40" s="1">
        <f t="shared" si="2"/>
        <v>0.95354173080297577</v>
      </c>
      <c r="F40" s="1">
        <f t="shared" si="3"/>
        <v>0.95830734775952131</v>
      </c>
      <c r="G40" s="1">
        <f>1/(1+Summary!$O$2)^$C40</f>
        <v>0.15660536473605632</v>
      </c>
      <c r="H40" s="1">
        <f>IF(B40&gt;64, Summary!$J$12, 0)*'TV 11'!G40*'TV 11'!F40</f>
        <v>1171.9732935543973</v>
      </c>
      <c r="I40" s="1"/>
    </row>
    <row r="41" spans="1:9">
      <c r="A41" s="1">
        <f t="shared" si="4"/>
        <v>2058</v>
      </c>
      <c r="B41" s="1">
        <f t="shared" si="1"/>
        <v>83</v>
      </c>
      <c r="C41" s="1">
        <v>39</v>
      </c>
      <c r="D41" s="1">
        <f>IF(Summary!$G$12="M",VLOOKUP(B:B,'male g'!A:V,IF(A41&gt;2033,22,MATCH(A41,'male g'!$A$1:$V$1,0)),FALSE),VLOOKUP(B:B,'female g'!A:V,IF(A41&gt;2033,22,MATCH(A41,'female g'!$A$1:$V$1,0)),FALSE))</f>
        <v>5.1882087565112409E-2</v>
      </c>
      <c r="E41" s="1">
        <f t="shared" si="2"/>
        <v>0.94811791243488763</v>
      </c>
      <c r="F41" s="1">
        <f t="shared" si="3"/>
        <v>0.95354173080297577</v>
      </c>
      <c r="G41" s="1">
        <f>1/(1+Summary!$O$2)^$C41</f>
        <v>0.14914796641529171</v>
      </c>
      <c r="H41" s="1">
        <f>IF(B41&gt;64, Summary!$J$12, 0)*'TV 11'!G41*'TV 11'!F41</f>
        <v>1110.6144057053125</v>
      </c>
      <c r="I41" s="1"/>
    </row>
    <row r="42" spans="1:9">
      <c r="A42" s="1">
        <f t="shared" si="4"/>
        <v>2059</v>
      </c>
      <c r="B42" s="1">
        <f t="shared" si="1"/>
        <v>84</v>
      </c>
      <c r="C42" s="1">
        <v>40</v>
      </c>
      <c r="D42" s="1">
        <f>IF(Summary!$G$12="M",VLOOKUP(B:B,'male g'!A:V,IF(A42&gt;2033,22,MATCH(A42,'male g'!$A$1:$V$1,0)),FALSE),VLOOKUP(B:B,'female g'!A:V,IF(A42&gt;2033,22,MATCH(A42,'female g'!$A$1:$V$1,0)),FALSE))</f>
        <v>5.8015339398571217E-2</v>
      </c>
      <c r="E42" s="1">
        <f t="shared" si="2"/>
        <v>0.94198466060142882</v>
      </c>
      <c r="F42" s="1">
        <f t="shared" si="3"/>
        <v>0.94811791243488763</v>
      </c>
      <c r="G42" s="1">
        <f>1/(1+Summary!$O$2)^$C42</f>
        <v>0.14204568230027784</v>
      </c>
      <c r="H42" s="1">
        <f>IF(B42&gt;64, Summary!$J$12, 0)*'TV 11'!G42*'TV 11'!F42</f>
        <v>1051.7115675589289</v>
      </c>
      <c r="I42" s="1"/>
    </row>
    <row r="43" spans="1:9">
      <c r="A43" s="1">
        <f t="shared" si="4"/>
        <v>2060</v>
      </c>
      <c r="B43" s="1">
        <f t="shared" si="1"/>
        <v>85</v>
      </c>
      <c r="C43" s="1">
        <v>41</v>
      </c>
      <c r="D43" s="1">
        <f>IF(Summary!$G$12="M",VLOOKUP(B:B,'male g'!A:V,IF(A43&gt;2033,22,MATCH(A43,'male g'!$A$1:$V$1,0)),FALSE),VLOOKUP(B:B,'female g'!A:V,IF(A43&gt;2033,22,MATCH(A43,'female g'!$A$1:$V$1,0)),FALSE))</f>
        <v>6.4965454874702594E-2</v>
      </c>
      <c r="E43" s="1">
        <f t="shared" si="2"/>
        <v>0.93503454512529738</v>
      </c>
      <c r="F43" s="1">
        <f t="shared" si="3"/>
        <v>0.94198466060142882</v>
      </c>
      <c r="G43" s="1">
        <f>1/(1+Summary!$O$2)^$C43</f>
        <v>0.13528160219074079</v>
      </c>
      <c r="H43" s="1">
        <f>IF(B43&gt;64, Summary!$J$12, 0)*'TV 11'!G43*'TV 11'!F43</f>
        <v>995.15064933659198</v>
      </c>
      <c r="I43" s="1"/>
    </row>
    <row r="44" spans="1:9">
      <c r="A44" s="1">
        <f t="shared" si="4"/>
        <v>2061</v>
      </c>
      <c r="B44" s="1">
        <f t="shared" si="1"/>
        <v>86</v>
      </c>
      <c r="C44" s="1">
        <v>42</v>
      </c>
      <c r="D44" s="1">
        <f>IF(Summary!$G$12="M",VLOOKUP(B:B,'male g'!A:V,IF(A44&gt;2033,22,MATCH(A44,'male g'!$A$1:$V$1,0)),FALSE),VLOOKUP(B:B,'female g'!A:V,IF(A44&gt;2033,22,MATCH(A44,'female g'!$A$1:$V$1,0)),FALSE))</f>
        <v>7.2903222964449149E-2</v>
      </c>
      <c r="E44" s="1">
        <f t="shared" si="2"/>
        <v>0.92709677703555082</v>
      </c>
      <c r="F44" s="1">
        <f t="shared" si="3"/>
        <v>0.93503454512529738</v>
      </c>
      <c r="G44" s="1">
        <f>1/(1+Summary!$O$2)^$C44</f>
        <v>0.12883962113403885</v>
      </c>
      <c r="H44" s="1">
        <f>IF(B44&gt;64, Summary!$J$12, 0)*'TV 11'!G44*'TV 11'!F44</f>
        <v>940.76977769517509</v>
      </c>
      <c r="I44" s="1"/>
    </row>
    <row r="45" spans="1:9">
      <c r="A45" s="1">
        <f t="shared" si="4"/>
        <v>2062</v>
      </c>
      <c r="B45" s="1">
        <f t="shared" si="1"/>
        <v>87</v>
      </c>
      <c r="C45" s="1">
        <v>43</v>
      </c>
      <c r="D45" s="1">
        <f>IF(Summary!$G$12="M",VLOOKUP(B:B,'male g'!A:V,IF(A45&gt;2033,22,MATCH(A45,'male g'!$A$1:$V$1,0)),FALSE),VLOOKUP(B:B,'female g'!A:V,IF(A45&gt;2033,22,MATCH(A45,'female g'!$A$1:$V$1,0)),FALSE))</f>
        <v>8.1848520672112443E-2</v>
      </c>
      <c r="E45" s="1">
        <f t="shared" si="2"/>
        <v>0.91815147932788754</v>
      </c>
      <c r="F45" s="1">
        <f t="shared" si="3"/>
        <v>0.92709677703555082</v>
      </c>
      <c r="G45" s="1">
        <f>1/(1+Summary!$O$2)^$C45</f>
        <v>0.12270440108003698</v>
      </c>
      <c r="H45" s="1">
        <f>IF(B45&gt;64, Summary!$J$12, 0)*'TV 11'!G45*'TV 11'!F45</f>
        <v>888.36506821179273</v>
      </c>
      <c r="I45" s="1"/>
    </row>
    <row r="46" spans="1:9">
      <c r="A46" s="1">
        <f t="shared" si="4"/>
        <v>2063</v>
      </c>
      <c r="B46" s="1">
        <f t="shared" si="1"/>
        <v>88</v>
      </c>
      <c r="C46" s="1">
        <v>44</v>
      </c>
      <c r="D46" s="1">
        <f>IF(Summary!$G$12="M",VLOOKUP(B:B,'male g'!A:V,IF(A46&gt;2033,22,MATCH(A46,'male g'!$A$1:$V$1,0)),FALSE),VLOOKUP(B:B,'female g'!A:V,IF(A46&gt;2033,22,MATCH(A46,'female g'!$A$1:$V$1,0)),FALSE))</f>
        <v>9.1889133554378416E-2</v>
      </c>
      <c r="E46" s="1">
        <f t="shared" si="2"/>
        <v>0.90811086644562156</v>
      </c>
      <c r="F46" s="1">
        <f t="shared" si="3"/>
        <v>0.91815147932788754</v>
      </c>
      <c r="G46" s="1">
        <f>1/(1+Summary!$O$2)^$C46</f>
        <v>0.11686133436193999</v>
      </c>
      <c r="H46" s="1">
        <f>IF(B46&gt;64, Summary!$J$12, 0)*'TV 11'!G46*'TV 11'!F46</f>
        <v>837.89855422694643</v>
      </c>
      <c r="I46" s="1"/>
    </row>
    <row r="47" spans="1:9">
      <c r="A47" s="1">
        <f t="shared" si="4"/>
        <v>2064</v>
      </c>
      <c r="B47" s="1">
        <f t="shared" si="1"/>
        <v>89</v>
      </c>
      <c r="C47" s="1">
        <v>45</v>
      </c>
      <c r="D47" s="1">
        <f>IF(Summary!$G$12="M",VLOOKUP(B:B,'male g'!A:V,IF(A47&gt;2033,22,MATCH(A47,'male g'!$A$1:$V$1,0)),FALSE),VLOOKUP(B:B,'female g'!A:V,IF(A47&gt;2033,22,MATCH(A47,'female g'!$A$1:$V$1,0)),FALSE))</f>
        <v>0.1031648969350115</v>
      </c>
      <c r="E47" s="1">
        <f t="shared" si="2"/>
        <v>0.89683510306498848</v>
      </c>
      <c r="F47" s="1">
        <f t="shared" si="3"/>
        <v>0.90811086644562156</v>
      </c>
      <c r="G47" s="1">
        <f>1/(1+Summary!$O$2)^$C47</f>
        <v>0.1112965089161333</v>
      </c>
      <c r="H47" s="1">
        <f>IF(B47&gt;64, Summary!$J$12, 0)*'TV 11'!G47*'TV 11'!F47</f>
        <v>789.27196365459304</v>
      </c>
      <c r="I47" s="1"/>
    </row>
    <row r="48" spans="1:9">
      <c r="A48" s="1">
        <f>$A$2+C48</f>
        <v>2065</v>
      </c>
      <c r="B48" s="1">
        <f>$B$2+C48</f>
        <v>90</v>
      </c>
      <c r="C48" s="1">
        <v>46</v>
      </c>
      <c r="D48" s="1">
        <f>IF(Summary!$G$12="M",VLOOKUP(B:B,'male g'!A:V,IF(A48&gt;2033,22,MATCH(A48,'male g'!$A$1:$V$1,0)),FALSE),VLOOKUP(B:B,'female g'!A:V,IF(A48&gt;2033,22,MATCH(A48,'female g'!$A$1:$V$1,0)),FALSE))</f>
        <v>0.11576084940657383</v>
      </c>
      <c r="E48" s="1">
        <f t="shared" si="2"/>
        <v>0.88423915059342617</v>
      </c>
      <c r="F48" s="1">
        <f t="shared" si="3"/>
        <v>0.89683510306498848</v>
      </c>
      <c r="G48" s="1">
        <f>1/(1+Summary!$O$2)^$C48</f>
        <v>0.10599667515822221</v>
      </c>
      <c r="H48" s="1">
        <f>IF(B48&gt;64, Summary!$J$12, 0)*'TV 11'!G48*'TV 11'!F48</f>
        <v>742.35408601176709</v>
      </c>
      <c r="I48" s="1"/>
    </row>
    <row r="49" spans="1:9">
      <c r="A49" s="1">
        <f t="shared" ref="A49:A73" si="5">$A$2+C49</f>
        <v>2066</v>
      </c>
      <c r="B49" s="1">
        <f t="shared" si="1"/>
        <v>91</v>
      </c>
      <c r="C49" s="1">
        <v>47</v>
      </c>
      <c r="D49" s="1">
        <f>IF(Summary!$G$12="M",VLOOKUP(B:B,'male g'!A:V,IF(A49&gt;2033,22,MATCH(A49,'male g'!$A$1:$V$1,0)),FALSE),VLOOKUP(B:B,'female g'!A:V,IF(A49&gt;2033,22,MATCH(A49,'female g'!$A$1:$V$1,0)),FALSE))</f>
        <v>0.12933245912292859</v>
      </c>
      <c r="E49" s="1">
        <f t="shared" si="2"/>
        <v>0.87066754087707143</v>
      </c>
      <c r="F49" s="1">
        <f t="shared" si="3"/>
        <v>0.88423915059342617</v>
      </c>
      <c r="G49" s="1">
        <f>1/(1+Summary!$O$2)^$C49</f>
        <v>0.10094921443640208</v>
      </c>
      <c r="H49" s="1">
        <f>IF(B49&gt;64, Summary!$J$12, 0)*'TV 11'!G49*'TV 11'!F49</f>
        <v>697.07409789874646</v>
      </c>
      <c r="I49" s="1"/>
    </row>
    <row r="50" spans="1:9">
      <c r="A50" s="1">
        <f t="shared" si="5"/>
        <v>2067</v>
      </c>
      <c r="B50" s="1">
        <f t="shared" si="1"/>
        <v>92</v>
      </c>
      <c r="C50" s="1">
        <v>48</v>
      </c>
      <c r="D50" s="1">
        <f>IF(Summary!$G$12="M",VLOOKUP(B:B,'male g'!A:V,IF(A50&gt;2033,22,MATCH(A50,'male g'!$A$1:$V$1,0)),FALSE),VLOOKUP(B:B,'female g'!A:V,IF(A50&gt;2033,22,MATCH(A50,'female g'!$A$1:$V$1,0)),FALSE))</f>
        <v>0.14348300858520585</v>
      </c>
      <c r="E50" s="1">
        <f t="shared" si="2"/>
        <v>0.85651699141479409</v>
      </c>
      <c r="F50" s="1">
        <f t="shared" si="3"/>
        <v>0.87066754087707143</v>
      </c>
      <c r="G50" s="1">
        <f>1/(1+Summary!$O$2)^$C50</f>
        <v>9.6142108987049613E-2</v>
      </c>
      <c r="H50" s="1">
        <f>IF(B50&gt;64, Summary!$J$12, 0)*'TV 11'!G50*'TV 11'!F50</f>
        <v>653.69063089764438</v>
      </c>
      <c r="I50" s="1"/>
    </row>
    <row r="51" spans="1:9">
      <c r="A51" s="1">
        <f t="shared" si="5"/>
        <v>2068</v>
      </c>
      <c r="B51" s="1">
        <f t="shared" si="1"/>
        <v>93</v>
      </c>
      <c r="C51" s="1">
        <v>49</v>
      </c>
      <c r="D51" s="1">
        <f>IF(Summary!$G$12="M",VLOOKUP(B:B,'male g'!A:V,IF(A51&gt;2033,22,MATCH(A51,'male g'!$A$1:$V$1,0)),FALSE),VLOOKUP(B:B,'female g'!A:V,IF(A51&gt;2033,22,MATCH(A51,'female g'!$A$1:$V$1,0)),FALSE))</f>
        <v>0.15808258232710681</v>
      </c>
      <c r="E51" s="1">
        <f t="shared" si="2"/>
        <v>0.84191741767289319</v>
      </c>
      <c r="F51" s="1">
        <f t="shared" si="3"/>
        <v>0.85651699141479409</v>
      </c>
      <c r="G51" s="1">
        <f>1/(1+Summary!$O$2)^$C51</f>
        <v>9.1563913320999626E-2</v>
      </c>
      <c r="H51" s="1">
        <f>IF(B51&gt;64, Summary!$J$12, 0)*'TV 11'!G51*'TV 11'!F51</f>
        <v>612.44429043651212</v>
      </c>
      <c r="I51" s="1"/>
    </row>
    <row r="52" spans="1:9">
      <c r="A52" s="1">
        <f t="shared" si="5"/>
        <v>2069</v>
      </c>
      <c r="B52" s="1">
        <f t="shared" si="1"/>
        <v>94</v>
      </c>
      <c r="C52" s="1">
        <v>50</v>
      </c>
      <c r="D52" s="1">
        <f>IF(Summary!$G$12="M",VLOOKUP(B:B,'male g'!A:V,IF(A52&gt;2033,22,MATCH(A52,'male g'!$A$1:$V$1,0)),FALSE),VLOOKUP(B:B,'female g'!A:V,IF(A52&gt;2033,22,MATCH(A52,'female g'!$A$1:$V$1,0)),FALSE))</f>
        <v>0.17308956870926934</v>
      </c>
      <c r="E52" s="1">
        <f t="shared" si="2"/>
        <v>0.82691043129073072</v>
      </c>
      <c r="F52" s="1">
        <f t="shared" si="3"/>
        <v>0.84191741767289319</v>
      </c>
      <c r="G52" s="1">
        <f>1/(1+Summary!$O$2)^$C52</f>
        <v>8.7203726972380588E-2</v>
      </c>
      <c r="H52" s="1">
        <f>IF(B52&gt;64, Summary!$J$12, 0)*'TV 11'!G52*'TV 11'!F52</f>
        <v>573.33809974822452</v>
      </c>
      <c r="I52" s="1"/>
    </row>
    <row r="53" spans="1:9">
      <c r="A53" s="1">
        <f t="shared" si="5"/>
        <v>2070</v>
      </c>
      <c r="B53" s="1">
        <f t="shared" si="1"/>
        <v>95</v>
      </c>
      <c r="C53" s="1">
        <v>51</v>
      </c>
      <c r="D53" s="1">
        <f>IF(Summary!$G$12="M",VLOOKUP(B:B,'male g'!A:V,IF(A53&gt;2033,22,MATCH(A53,'male g'!$A$1:$V$1,0)),FALSE),VLOOKUP(B:B,'female g'!A:V,IF(A53&gt;2033,22,MATCH(A53,'female g'!$A$1:$V$1,0)),FALSE))</f>
        <v>0.1884638420447376</v>
      </c>
      <c r="E53" s="1">
        <f t="shared" si="2"/>
        <v>0.81153615795526246</v>
      </c>
      <c r="F53" s="1">
        <f t="shared" si="3"/>
        <v>0.82691043129073072</v>
      </c>
      <c r="G53" s="1">
        <f>1/(1+Summary!$O$2)^$C53</f>
        <v>8.3051168545124371E-2</v>
      </c>
      <c r="H53" s="1">
        <f>IF(B53&gt;64, Summary!$J$12, 0)*'TV 11'!G53*'TV 11'!F53</f>
        <v>536.30331294266614</v>
      </c>
      <c r="I53" s="1"/>
    </row>
    <row r="54" spans="1:9">
      <c r="A54" s="1">
        <f t="shared" si="5"/>
        <v>2071</v>
      </c>
      <c r="B54" s="1">
        <f t="shared" si="1"/>
        <v>96</v>
      </c>
      <c r="C54" s="1">
        <v>52</v>
      </c>
      <c r="D54" s="1">
        <f>IF(Summary!$G$12="M",VLOOKUP(B:B,'male g'!A:V,IF(A54&gt;2033,22,MATCH(A54,'male g'!$A$1:$V$1,0)),FALSE),VLOOKUP(B:B,'female g'!A:V,IF(A54&gt;2033,22,MATCH(A54,'female g'!$A$1:$V$1,0)),FALSE))</f>
        <v>0.20546988897968524</v>
      </c>
      <c r="E54" s="1">
        <f t="shared" si="2"/>
        <v>0.79453011102031479</v>
      </c>
      <c r="F54" s="1">
        <f t="shared" si="3"/>
        <v>0.81153615795526246</v>
      </c>
      <c r="G54" s="1">
        <f>1/(1+Summary!$O$2)^$C54</f>
        <v>7.9096350995356543E-2</v>
      </c>
      <c r="H54" s="1">
        <f>IF(B54&gt;64, Summary!$J$12, 0)*'TV 11'!G54*'TV 11'!F54</f>
        <v>501.26869692388971</v>
      </c>
      <c r="I54" s="1"/>
    </row>
    <row r="55" spans="1:9">
      <c r="A55" s="1">
        <f t="shared" si="5"/>
        <v>2072</v>
      </c>
      <c r="B55" s="1">
        <f t="shared" si="1"/>
        <v>97</v>
      </c>
      <c r="C55" s="1">
        <v>53</v>
      </c>
      <c r="D55" s="1">
        <f>IF(Summary!$G$12="M",VLOOKUP(B:B,'male g'!A:V,IF(A55&gt;2033,22,MATCH(A55,'male g'!$A$1:$V$1,0)),FALSE),VLOOKUP(B:B,'female g'!A:V,IF(A55&gt;2033,22,MATCH(A55,'female g'!$A$1:$V$1,0)),FALSE))</f>
        <v>0.22317315569892124</v>
      </c>
      <c r="E55" s="1">
        <f t="shared" si="2"/>
        <v>0.77682684430107873</v>
      </c>
      <c r="F55" s="1">
        <f t="shared" si="3"/>
        <v>0.79453011102031479</v>
      </c>
      <c r="G55" s="1">
        <f>1/(1+Summary!$O$2)^$C55</f>
        <v>7.5329858090815757E-2</v>
      </c>
      <c r="H55" s="1">
        <f>IF(B55&gt;64, Summary!$J$12, 0)*'TV 11'!G55*'TV 11'!F55</f>
        <v>467.39468753329794</v>
      </c>
      <c r="I55" s="1"/>
    </row>
    <row r="56" spans="1:9">
      <c r="A56" s="1">
        <f t="shared" si="5"/>
        <v>2073</v>
      </c>
      <c r="B56" s="1">
        <f t="shared" si="1"/>
        <v>98</v>
      </c>
      <c r="C56" s="1">
        <v>54</v>
      </c>
      <c r="D56" s="1">
        <f>IF(Summary!$G$12="M",VLOOKUP(B:B,'male g'!A:V,IF(A56&gt;2033,22,MATCH(A56,'male g'!$A$1:$V$1,0)),FALSE),VLOOKUP(B:B,'female g'!A:V,IF(A56&gt;2033,22,MATCH(A56,'female g'!$A$1:$V$1,0)),FALSE))</f>
        <v>0.2417371960764223</v>
      </c>
      <c r="E56" s="1">
        <f t="shared" si="2"/>
        <v>0.7582628039235777</v>
      </c>
      <c r="F56" s="1">
        <f t="shared" si="3"/>
        <v>0.77682684430107873</v>
      </c>
      <c r="G56" s="1">
        <f>1/(1+Summary!$O$2)^$C56</f>
        <v>7.1742721991253117E-2</v>
      </c>
      <c r="H56" s="1">
        <f>IF(B56&gt;64, Summary!$J$12, 0)*'TV 11'!G56*'TV 11'!F56</f>
        <v>435.2194911582535</v>
      </c>
      <c r="I56" s="1"/>
    </row>
    <row r="57" spans="1:9">
      <c r="A57" s="1">
        <f t="shared" si="5"/>
        <v>2074</v>
      </c>
      <c r="B57" s="1">
        <f t="shared" si="1"/>
        <v>99</v>
      </c>
      <c r="C57" s="1">
        <v>55</v>
      </c>
      <c r="D57" s="1">
        <f>IF(Summary!$G$12="M",VLOOKUP(B:B,'male g'!A:V,IF(A57&gt;2033,22,MATCH(A57,'male g'!$A$1:$V$1,0)),FALSE),VLOOKUP(B:B,'female g'!A:V,IF(A57&gt;2033,22,MATCH(A57,'female g'!$A$1:$V$1,0)),FALSE))</f>
        <v>0.26102364427750568</v>
      </c>
      <c r="E57" s="1">
        <f t="shared" si="2"/>
        <v>0.73897635572249432</v>
      </c>
      <c r="F57" s="1">
        <f t="shared" si="3"/>
        <v>0.7582628039235777</v>
      </c>
      <c r="G57" s="1">
        <f>1/(1+Summary!$O$2)^$C57</f>
        <v>6.8326401896431521E-2</v>
      </c>
      <c r="H57" s="1">
        <f>IF(B57&gt;64, Summary!$J$12, 0)*'TV 11'!G57*'TV 11'!F57</f>
        <v>404.58946069404271</v>
      </c>
      <c r="I57" s="1"/>
    </row>
    <row r="58" spans="1:9">
      <c r="A58" s="1">
        <f t="shared" si="5"/>
        <v>2075</v>
      </c>
      <c r="B58" s="1">
        <f t="shared" si="1"/>
        <v>100</v>
      </c>
      <c r="C58" s="1">
        <v>56</v>
      </c>
      <c r="D58" s="1">
        <f>IF(Summary!$G$12="M",VLOOKUP(B:B,'male g'!A:V,IF(A58&gt;2033,22,MATCH(A58,'male g'!$A$1:$V$1,0)),FALSE),VLOOKUP(B:B,'female g'!A:V,IF(A58&gt;2033,22,MATCH(A58,'female g'!$A$1:$V$1,0)),FALSE))</f>
        <v>0.2809127683704345</v>
      </c>
      <c r="E58" s="1">
        <f t="shared" si="2"/>
        <v>0.71908723162956556</v>
      </c>
      <c r="F58" s="1">
        <f t="shared" si="3"/>
        <v>0.73897635572249432</v>
      </c>
      <c r="G58" s="1">
        <f>1/(1+Summary!$O$2)^$C58</f>
        <v>6.5072763710887174E-2</v>
      </c>
      <c r="H58" s="1">
        <f>IF(B58&gt;64, Summary!$J$12, 0)*'TV 11'!G58*'TV 11'!F58</f>
        <v>375.52258070038067</v>
      </c>
      <c r="I58" s="1"/>
    </row>
    <row r="59" spans="1:9">
      <c r="A59" s="1">
        <f t="shared" si="5"/>
        <v>2076</v>
      </c>
      <c r="B59" s="1">
        <f t="shared" si="1"/>
        <v>101</v>
      </c>
      <c r="C59" s="1">
        <v>57</v>
      </c>
      <c r="D59" s="1">
        <f>IF(Summary!$G$12="M",VLOOKUP(B:B,'male g'!A:V,IF(A59&gt;2033,22,MATCH(A59,'male g'!$A$1:$V$1,0)),FALSE),VLOOKUP(B:B,'female g'!A:V,IF(A59&gt;2033,22,MATCH(A59,'female g'!$A$1:$V$1,0)),FALSE))</f>
        <v>0.30146810411089092</v>
      </c>
      <c r="E59" s="1">
        <f t="shared" si="2"/>
        <v>0.69853189588910913</v>
      </c>
      <c r="F59" s="1">
        <f t="shared" si="3"/>
        <v>0.71908723162956556</v>
      </c>
      <c r="G59" s="1">
        <f>1/(1+Summary!$O$2)^$C59</f>
        <v>6.1974060677035397E-2</v>
      </c>
      <c r="H59" s="1">
        <f>IF(B59&gt;64, Summary!$J$12, 0)*'TV 11'!G59*'TV 11'!F59</f>
        <v>348.0148630172356</v>
      </c>
      <c r="I59" s="1"/>
    </row>
    <row r="60" spans="1:9">
      <c r="A60" s="1">
        <f t="shared" si="5"/>
        <v>2077</v>
      </c>
      <c r="B60" s="1">
        <f t="shared" si="1"/>
        <v>102</v>
      </c>
      <c r="C60" s="1">
        <v>58</v>
      </c>
      <c r="D60" s="1">
        <f>IF(Summary!$G$12="M",VLOOKUP(B:B,'male g'!A:V,IF(A60&gt;2033,22,MATCH(A60,'male g'!$A$1:$V$1,0)),FALSE),VLOOKUP(B:B,'female g'!A:V,IF(A60&gt;2033,22,MATCH(A60,'female g'!$A$1:$V$1,0)),FALSE))</f>
        <v>0.32206565548145499</v>
      </c>
      <c r="E60" s="1">
        <f t="shared" si="2"/>
        <v>0.67793434451854506</v>
      </c>
      <c r="F60" s="1">
        <f t="shared" si="3"/>
        <v>0.69853189588910913</v>
      </c>
      <c r="G60" s="1">
        <f>1/(1+Summary!$O$2)^$C60</f>
        <v>5.9022914930509894E-2</v>
      </c>
      <c r="H60" s="1">
        <f>IF(B60&gt;64, Summary!$J$12, 0)*'TV 11'!G60*'TV 11'!F60</f>
        <v>321.96833160828101</v>
      </c>
      <c r="I60" s="1"/>
    </row>
    <row r="61" spans="1:9">
      <c r="A61" s="1">
        <f t="shared" si="5"/>
        <v>2078</v>
      </c>
      <c r="B61" s="1">
        <f t="shared" si="1"/>
        <v>103</v>
      </c>
      <c r="C61" s="1">
        <v>59</v>
      </c>
      <c r="D61" s="1">
        <f>IF(Summary!$G$12="M",VLOOKUP(B:B,'male g'!A:V,IF(A61&gt;2033,22,MATCH(A61,'male g'!$A$1:$V$1,0)),FALSE),VLOOKUP(B:B,'female g'!A:V,IF(A61&gt;2033,22,MATCH(A61,'female g'!$A$1:$V$1,0)),FALSE))</f>
        <v>0.3427697952313476</v>
      </c>
      <c r="E61" s="1">
        <f t="shared" si="2"/>
        <v>0.65723020476865246</v>
      </c>
      <c r="F61" s="1">
        <f t="shared" si="3"/>
        <v>0.67793434451854506</v>
      </c>
      <c r="G61" s="1">
        <f>1/(1+Summary!$O$2)^$C61</f>
        <v>5.6212299933818946E-2</v>
      </c>
      <c r="H61" s="1">
        <f>IF(B61&gt;64, Summary!$J$12, 0)*'TV 11'!G61*'TV 11'!F61</f>
        <v>297.59474137543123</v>
      </c>
      <c r="I61" s="1"/>
    </row>
    <row r="62" spans="1:9">
      <c r="A62" s="1">
        <f t="shared" si="5"/>
        <v>2079</v>
      </c>
      <c r="B62" s="1">
        <f t="shared" si="1"/>
        <v>104</v>
      </c>
      <c r="C62" s="1">
        <v>60</v>
      </c>
      <c r="D62" s="1">
        <f>IF(Summary!$G$12="M",VLOOKUP(B:B,'male g'!A:V,IF(A62&gt;2033,22,MATCH(A62,'male g'!$A$1:$V$1,0)),FALSE),VLOOKUP(B:B,'female g'!A:V,IF(A62&gt;2033,22,MATCH(A62,'female g'!$A$1:$V$1,0)),FALSE))</f>
        <v>0.36312182573243618</v>
      </c>
      <c r="E62" s="1">
        <f t="shared" si="2"/>
        <v>0.63687817426756377</v>
      </c>
      <c r="F62" s="1">
        <f t="shared" si="3"/>
        <v>0.65723020476865246</v>
      </c>
      <c r="G62" s="1">
        <f>1/(1+Summary!$O$2)^$C62</f>
        <v>5.3535523746494243E-2</v>
      </c>
      <c r="H62" s="1">
        <f>IF(B62&gt;64, Summary!$J$12, 0)*'TV 11'!G62*'TV 11'!F62</f>
        <v>274.76779719744746</v>
      </c>
      <c r="I62" s="1"/>
    </row>
    <row r="63" spans="1:9">
      <c r="A63" s="1">
        <f t="shared" si="5"/>
        <v>2080</v>
      </c>
      <c r="B63" s="1">
        <f t="shared" si="1"/>
        <v>105</v>
      </c>
      <c r="C63" s="1">
        <v>61</v>
      </c>
      <c r="D63" s="1">
        <f>IF(Summary!$G$12="M",VLOOKUP(B:B,'male g'!A:V,IF(A63&gt;2033,22,MATCH(A63,'male g'!$A$1:$V$1,0)),FALSE),VLOOKUP(B:B,'female g'!A:V,IF(A63&gt;2033,22,MATCH(A63,'female g'!$A$1:$V$1,0)),FALSE))</f>
        <v>0.38340857179772014</v>
      </c>
      <c r="E63" s="1">
        <f t="shared" si="2"/>
        <v>0.61659142820227986</v>
      </c>
      <c r="F63" s="1">
        <f t="shared" si="3"/>
        <v>0.63687817426756377</v>
      </c>
      <c r="G63" s="1">
        <f>1/(1+Summary!$O$2)^$C63</f>
        <v>5.0986213091899268E-2</v>
      </c>
      <c r="H63" s="1">
        <f>IF(B63&gt;64, Summary!$J$12, 0)*'TV 11'!G63*'TV 11'!F63</f>
        <v>253.58022596291258</v>
      </c>
      <c r="I63" s="1"/>
    </row>
    <row r="64" spans="1:9">
      <c r="A64" s="1">
        <f t="shared" si="5"/>
        <v>2081</v>
      </c>
      <c r="B64" s="1">
        <f t="shared" si="1"/>
        <v>106</v>
      </c>
      <c r="C64" s="1">
        <v>62</v>
      </c>
      <c r="D64" s="1">
        <f>IF(Summary!$G$12="M",VLOOKUP(B:B,'male g'!A:V,IF(A64&gt;2033,22,MATCH(A64,'male g'!$A$1:$V$1,0)),FALSE),VLOOKUP(B:B,'female g'!A:V,IF(A64&gt;2033,22,MATCH(A64,'female g'!$A$1:$V$1,0)),FALSE))</f>
        <v>0.4032562438470747</v>
      </c>
      <c r="E64" s="1">
        <f t="shared" si="2"/>
        <v>0.5967437561529253</v>
      </c>
      <c r="F64" s="1">
        <f t="shared" si="3"/>
        <v>0.61659142820227986</v>
      </c>
      <c r="G64" s="1">
        <f>1/(1+Summary!$O$2)^$C64</f>
        <v>4.855829818276123E-2</v>
      </c>
      <c r="H64" s="1">
        <f>IF(B64&gt;64, Summary!$J$12, 0)*'TV 11'!G64*'TV 11'!F64</f>
        <v>233.81221836334242</v>
      </c>
      <c r="I64" s="1"/>
    </row>
    <row r="65" spans="1:9">
      <c r="A65" s="1">
        <f t="shared" si="5"/>
        <v>2082</v>
      </c>
      <c r="B65" s="1">
        <f t="shared" si="1"/>
        <v>107</v>
      </c>
      <c r="C65" s="1">
        <v>63</v>
      </c>
      <c r="D65" s="1">
        <f>IF(Summary!$G$12="M",VLOOKUP(B:B,'male g'!A:V,IF(A65&gt;2033,22,MATCH(A65,'male g'!$A$1:$V$1,0)),FALSE),VLOOKUP(B:B,'female g'!A:V,IF(A65&gt;2033,22,MATCH(A65,'female g'!$A$1:$V$1,0)),FALSE))</f>
        <v>0.42246723803499708</v>
      </c>
      <c r="E65" s="1">
        <f t="shared" si="2"/>
        <v>0.57753276196500292</v>
      </c>
      <c r="F65" s="1">
        <f t="shared" si="3"/>
        <v>0.5967437561529253</v>
      </c>
      <c r="G65" s="1">
        <f>1/(1+Summary!$O$2)^$C65</f>
        <v>4.6245998269296387E-2</v>
      </c>
      <c r="H65" s="1">
        <f>IF(B65&gt;64, Summary!$J$12, 0)*'TV 11'!G65*'TV 11'!F65</f>
        <v>215.51043525638195</v>
      </c>
      <c r="I65" s="1"/>
    </row>
    <row r="66" spans="1:9">
      <c r="A66" s="1">
        <f t="shared" si="5"/>
        <v>2083</v>
      </c>
      <c r="B66" s="1">
        <f t="shared" si="1"/>
        <v>108</v>
      </c>
      <c r="C66" s="1">
        <v>64</v>
      </c>
      <c r="D66" s="1">
        <f>IF(Summary!$G$12="M",VLOOKUP(B:B,'male g'!A:V,IF(A66&gt;2033,22,MATCH(A66,'male g'!$A$1:$V$1,0)),FALSE),VLOOKUP(B:B,'female g'!A:V,IF(A66&gt;2033,22,MATCH(A66,'female g'!$A$1:$V$1,0)),FALSE))</f>
        <v>0.44119749280646176</v>
      </c>
      <c r="E66" s="1">
        <f t="shared" si="2"/>
        <v>0.5588025071935383</v>
      </c>
      <c r="F66" s="1">
        <f t="shared" si="3"/>
        <v>0.57753276196500292</v>
      </c>
      <c r="G66" s="1">
        <f>1/(1+Summary!$O$2)^$C66</f>
        <v>4.4043807875520369E-2</v>
      </c>
      <c r="H66" s="1">
        <f>IF(B66&gt;64, Summary!$J$12, 0)*'TV 11'!G66*'TV 11'!F66</f>
        <v>198.64047591228737</v>
      </c>
      <c r="I66" s="1"/>
    </row>
    <row r="67" spans="1:9">
      <c r="A67" s="1">
        <f t="shared" si="5"/>
        <v>2084</v>
      </c>
      <c r="B67" s="1">
        <f t="shared" si="1"/>
        <v>109</v>
      </c>
      <c r="C67" s="1">
        <v>65</v>
      </c>
      <c r="D67" s="1">
        <f>IF(Summary!$G$12="M",VLOOKUP(B:B,'male g'!A:V,IF(A67&gt;2033,22,MATCH(A67,'male g'!$A$1:$V$1,0)),FALSE),VLOOKUP(B:B,'female g'!A:V,IF(A67&gt;2033,22,MATCH(A67,'female g'!$A$1:$V$1,0)),FALSE))</f>
        <v>0.45907299166148602</v>
      </c>
      <c r="E67" s="1">
        <f t="shared" si="2"/>
        <v>0.54092700833851404</v>
      </c>
      <c r="F67" s="1">
        <f t="shared" si="3"/>
        <v>0.5588025071935383</v>
      </c>
      <c r="G67" s="1">
        <f>1/(1+Summary!$O$2)^$C67</f>
        <v>4.1946483690971779E-2</v>
      </c>
      <c r="H67" s="1">
        <f>IF(B67&gt;64, Summary!$J$12, 0)*'TV 11'!G67*'TV 11'!F67</f>
        <v>183.04596854587942</v>
      </c>
      <c r="I67" s="1"/>
    </row>
    <row r="68" spans="1:9">
      <c r="A68" s="1">
        <f t="shared" si="5"/>
        <v>2085</v>
      </c>
      <c r="B68" s="1">
        <f t="shared" ref="B68:B73" si="6">$B$2+C68</f>
        <v>110</v>
      </c>
      <c r="C68" s="1">
        <v>66</v>
      </c>
      <c r="D68" s="1">
        <f>IF(Summary!$G$12="M",VLOOKUP(B:B,'male g'!A:V,IF(A68&gt;2033,22,MATCH(A68,'male g'!$A$1:$V$1,0)),FALSE),VLOOKUP(B:B,'female g'!A:V,IF(A68&gt;2033,22,MATCH(A68,'female g'!$A$1:$V$1,0)),FALSE))</f>
        <v>0.47644967979565578</v>
      </c>
      <c r="E68" s="1">
        <f t="shared" ref="E68:E78" si="7">1-D68</f>
        <v>0.52355032020434422</v>
      </c>
      <c r="F68" s="1">
        <f t="shared" ref="F68:F78" si="8">E67</f>
        <v>0.54092700833851404</v>
      </c>
      <c r="G68" s="1">
        <f>1/(1+Summary!$O$2)^$C68</f>
        <v>3.9949032086639788E-2</v>
      </c>
      <c r="H68" s="1">
        <f>IF(B68&gt;64, Summary!$J$12, 0)*'TV 11'!G68*'TV 11'!F68</f>
        <v>168.7528784521518</v>
      </c>
      <c r="I68" s="1"/>
    </row>
    <row r="69" spans="1:9">
      <c r="A69" s="1">
        <f t="shared" si="5"/>
        <v>2086</v>
      </c>
      <c r="B69" s="1">
        <f t="shared" si="6"/>
        <v>111</v>
      </c>
      <c r="C69" s="1">
        <v>67</v>
      </c>
      <c r="D69" s="1">
        <f>IF(Summary!$G$12="M",VLOOKUP(B:B,'male g'!A:V,IF(A69&gt;2033,22,MATCH(A69,'male g'!$A$1:$V$1,0)),FALSE),VLOOKUP(B:B,'female g'!A:V,IF(A69&gt;2033,22,MATCH(A69,'female g'!$A$1:$V$1,0)),FALSE))</f>
        <v>0.48540620500607778</v>
      </c>
      <c r="E69" s="1">
        <f t="shared" si="7"/>
        <v>0.51459379499392222</v>
      </c>
      <c r="F69" s="1">
        <f t="shared" si="8"/>
        <v>0.52355032020434422</v>
      </c>
      <c r="G69" s="1">
        <f>1/(1+Summary!$O$2)^$C69</f>
        <v>3.8046697225371226E-2</v>
      </c>
      <c r="H69" s="1">
        <f>IF(B69&gt;64, Summary!$J$12, 0)*'TV 11'!G69*'TV 11'!F69</f>
        <v>155.55416849590515</v>
      </c>
      <c r="I69" s="1"/>
    </row>
    <row r="70" spans="1:9">
      <c r="A70" s="1">
        <f t="shared" si="5"/>
        <v>2087</v>
      </c>
      <c r="B70" s="1">
        <f t="shared" si="6"/>
        <v>112</v>
      </c>
      <c r="C70" s="1">
        <v>68</v>
      </c>
      <c r="D70" s="1">
        <f>IF(Summary!$G$12="M",VLOOKUP(B:B,'male g'!A:V,IF(A70&gt;2033,22,MATCH(A70,'male g'!$A$1:$V$1,0)),FALSE),VLOOKUP(B:B,'female g'!A:V,IF(A70&gt;2033,22,MATCH(A70,'female g'!$A$1:$V$1,0)),FALSE))</f>
        <v>0.48906519527204906</v>
      </c>
      <c r="E70" s="1">
        <f t="shared" si="7"/>
        <v>0.51093480472795094</v>
      </c>
      <c r="F70" s="1">
        <f t="shared" si="8"/>
        <v>0.51459379499392222</v>
      </c>
      <c r="G70" s="1">
        <f>1/(1+Summary!$O$2)^$C70</f>
        <v>3.6234949738448791E-2</v>
      </c>
      <c r="H70" s="1">
        <f>IF(B70&gt;64, Summary!$J$12, 0)*'TV 11'!G70*'TV 11'!F70</f>
        <v>145.61243695541924</v>
      </c>
      <c r="I70" s="1"/>
    </row>
    <row r="71" spans="1:9">
      <c r="A71" s="1">
        <f t="shared" si="5"/>
        <v>2088</v>
      </c>
      <c r="B71" s="1">
        <f t="shared" si="6"/>
        <v>113</v>
      </c>
      <c r="C71" s="1">
        <v>69</v>
      </c>
      <c r="D71" s="1">
        <f>IF(Summary!$G$12="M",VLOOKUP(B:B,'male g'!A:V,IF(A71&gt;2033,22,MATCH(A71,'male g'!$A$1:$V$1,0)),FALSE),VLOOKUP(B:B,'female g'!A:V,IF(A71&gt;2033,22,MATCH(A71,'female g'!$A$1:$V$1,0)),FALSE))</f>
        <v>0.49265177497129853</v>
      </c>
      <c r="E71" s="1">
        <f t="shared" si="7"/>
        <v>0.50734822502870147</v>
      </c>
      <c r="F71" s="1">
        <f t="shared" si="8"/>
        <v>0.51093480472795094</v>
      </c>
      <c r="G71" s="1">
        <f>1/(1+Summary!$O$2)^$C71</f>
        <v>3.4509475941379798E-2</v>
      </c>
      <c r="H71" s="1">
        <f>IF(B71&gt;64, Summary!$J$12, 0)*'TV 11'!G71*'TV 11'!F71</f>
        <v>137.69244562279206</v>
      </c>
      <c r="I71" s="1"/>
    </row>
    <row r="72" spans="1:9">
      <c r="A72" s="1">
        <f t="shared" si="5"/>
        <v>2089</v>
      </c>
      <c r="B72" s="1">
        <f t="shared" si="6"/>
        <v>114</v>
      </c>
      <c r="C72" s="1">
        <v>70</v>
      </c>
      <c r="D72" s="1">
        <f>IF(Summary!$G$12="M",VLOOKUP(B:B,'male g'!A:V,IF(A72&gt;2033,22,MATCH(A72,'male g'!$A$1:$V$1,0)),FALSE),VLOOKUP(B:B,'female g'!A:V,IF(A72&gt;2033,22,MATCH(A72,'female g'!$A$1:$V$1,0)),FALSE))</f>
        <v>0.49631296624312721</v>
      </c>
      <c r="E72" s="1">
        <f t="shared" si="7"/>
        <v>0.50368703375687285</v>
      </c>
      <c r="F72" s="1">
        <f t="shared" si="8"/>
        <v>0.50734822502870147</v>
      </c>
      <c r="G72" s="1">
        <f>1/(1+Summary!$O$2)^$C72</f>
        <v>3.2866167563218862E-2</v>
      </c>
      <c r="H72" s="1">
        <f>IF(B72&gt;64, Summary!$J$12, 0)*'TV 11'!G72*'TV 11'!F72</f>
        <v>130.21513702065357</v>
      </c>
      <c r="I72" s="1"/>
    </row>
    <row r="73" spans="1:9">
      <c r="A73" s="1">
        <f t="shared" si="5"/>
        <v>2090</v>
      </c>
      <c r="B73" s="1">
        <f t="shared" si="6"/>
        <v>115</v>
      </c>
      <c r="C73" s="1">
        <v>71</v>
      </c>
      <c r="D73" s="1">
        <f>IF(Summary!$G$12="M",VLOOKUP(B:B,'male g'!A:V,IF(A73&gt;2033,22,MATCH(A73,'male g'!$A$1:$V$1,0)),FALSE),VLOOKUP(B:B,'female g'!A:V,IF(A73&gt;2033,22,MATCH(A73,'female g'!$A$1:$V$1,0)),FALSE))</f>
        <v>0.5</v>
      </c>
      <c r="E73" s="1">
        <f t="shared" si="7"/>
        <v>0.5</v>
      </c>
      <c r="F73" s="1">
        <f t="shared" si="8"/>
        <v>0.50368703375687285</v>
      </c>
      <c r="G73" s="1">
        <f>1/(1+Summary!$O$2)^$C73</f>
        <v>3.1301111964970339E-2</v>
      </c>
      <c r="H73" s="1">
        <f>IF(B73&gt;64, Summary!$J$12, 0)*'TV 11'!G73*'TV 11'!F73</f>
        <v>123.11948748898274</v>
      </c>
      <c r="I73" s="1"/>
    </row>
    <row r="74" spans="1:9">
      <c r="A74" s="1">
        <f>$A$2+C74</f>
        <v>2091</v>
      </c>
      <c r="B74" s="1">
        <f>$B$2+C74</f>
        <v>116</v>
      </c>
      <c r="C74" s="1">
        <v>72</v>
      </c>
      <c r="D74" s="1">
        <f>IF(Summary!$G$12="M",VLOOKUP(B:B,'male g'!A:V,IF(A74&gt;2033,22,MATCH(A74,'male g'!$A$1:$V$1,0)),FALSE),VLOOKUP(B:B,'female g'!A:V,IF(A74&gt;2033,22,MATCH(A74,'female g'!$A$1:$V$1,0)),FALSE))</f>
        <v>0.5</v>
      </c>
      <c r="E74" s="1">
        <f t="shared" si="7"/>
        <v>0.5</v>
      </c>
      <c r="F74" s="1">
        <f t="shared" si="8"/>
        <v>0.5</v>
      </c>
      <c r="G74" s="1">
        <f>1/(1+Summary!$O$2)^$C74</f>
        <v>2.9810582823781274E-2</v>
      </c>
      <c r="H74" s="1">
        <f>IF(B74&gt;64, Summary!$J$12, 0)*'TV 11'!G74*'TV 11'!F74</f>
        <v>116.39832563965834</v>
      </c>
      <c r="I74" s="1"/>
    </row>
    <row r="75" spans="1:9">
      <c r="A75" s="1">
        <f>$A$2+C75</f>
        <v>2092</v>
      </c>
      <c r="B75" s="1">
        <f>$B$2+C75</f>
        <v>117</v>
      </c>
      <c r="C75" s="1">
        <v>73</v>
      </c>
      <c r="D75" s="1">
        <f>IF(Summary!$G$12="M",VLOOKUP(B:B,'male g'!A:V,IF(A75&gt;2033,22,MATCH(A75,'male g'!$A$1:$V$1,0)),FALSE),VLOOKUP(B:B,'female g'!A:V,IF(A75&gt;2033,22,MATCH(A75,'female g'!$A$1:$V$1,0)),FALSE))</f>
        <v>0.5</v>
      </c>
      <c r="E75" s="1">
        <f t="shared" si="7"/>
        <v>0.5</v>
      </c>
      <c r="F75" s="1">
        <f t="shared" si="8"/>
        <v>0.5</v>
      </c>
      <c r="G75" s="1">
        <f>1/(1+Summary!$O$2)^$C75</f>
        <v>2.8391031260744073E-2</v>
      </c>
      <c r="H75" s="1">
        <f>IF(B75&gt;64, Summary!$J$12, 0)*'TV 11'!G75*'TV 11'!F75</f>
        <v>110.85554822824604</v>
      </c>
      <c r="I75" s="1"/>
    </row>
    <row r="76" spans="1:9">
      <c r="A76" s="1">
        <f>$A$2+C76</f>
        <v>2093</v>
      </c>
      <c r="B76" s="1">
        <f>$B$2+C76</f>
        <v>118</v>
      </c>
      <c r="C76" s="1">
        <v>74</v>
      </c>
      <c r="D76" s="1">
        <f>IF(Summary!$G$12="M",VLOOKUP(B:B,'male g'!A:V,IF(A76&gt;2033,22,MATCH(A76,'male g'!$A$1:$V$1,0)),FALSE),VLOOKUP(B:B,'female g'!A:V,IF(A76&gt;2033,22,MATCH(A76,'female g'!$A$1:$V$1,0)),FALSE))</f>
        <v>0.5</v>
      </c>
      <c r="E76" s="1">
        <f t="shared" si="7"/>
        <v>0.5</v>
      </c>
      <c r="F76" s="1">
        <f t="shared" si="8"/>
        <v>0.5</v>
      </c>
      <c r="G76" s="1">
        <f>1/(1+Summary!$O$2)^$C76</f>
        <v>2.7039077391184833E-2</v>
      </c>
      <c r="H76" s="1">
        <f>IF(B76&gt;64, Summary!$J$12, 0)*'TV 11'!G76*'TV 11'!F76</f>
        <v>105.57671259832956</v>
      </c>
      <c r="I76" s="1"/>
    </row>
    <row r="77" spans="1:9">
      <c r="A77" s="1">
        <f>$A$2+C77</f>
        <v>2094</v>
      </c>
      <c r="B77" s="1">
        <f>$B$2+C77</f>
        <v>119</v>
      </c>
      <c r="C77" s="1">
        <v>75</v>
      </c>
      <c r="D77" s="1">
        <f>IF(Summary!$G$12="M",VLOOKUP(B:B,'male g'!A:V,IF(A77&gt;2033,22,MATCH(A77,'male g'!$A$1:$V$1,0)),FALSE),VLOOKUP(B:B,'female g'!A:V,IF(A77&gt;2033,22,MATCH(A77,'female g'!$A$1:$V$1,0)),FALSE))</f>
        <v>0.5</v>
      </c>
      <c r="E77" s="1">
        <f t="shared" si="7"/>
        <v>0.5</v>
      </c>
      <c r="F77" s="1">
        <f t="shared" si="8"/>
        <v>0.5</v>
      </c>
      <c r="G77" s="1">
        <f>1/(1+Summary!$O$2)^$C77</f>
        <v>2.5751502277318886E-2</v>
      </c>
      <c r="H77" s="1">
        <f>IF(B77&gt;64, Summary!$J$12, 0)*'TV 11'!G77*'TV 11'!F77</f>
        <v>100.5492500936472</v>
      </c>
      <c r="I77" s="1"/>
    </row>
    <row r="78" spans="1:9">
      <c r="A78" s="1">
        <f>$A$2+C78</f>
        <v>2095</v>
      </c>
      <c r="B78" s="1">
        <f>$B$2+C78</f>
        <v>120</v>
      </c>
      <c r="C78" s="1">
        <v>76</v>
      </c>
      <c r="D78" s="1">
        <f>IF(Summary!$G$12="M",VLOOKUP(B:B,'male g'!A:V,IF(A78&gt;2033,22,MATCH(A78,'male g'!$A$1:$V$1,0)),FALSE),VLOOKUP(B:B,'female g'!A:V,IF(A78&gt;2033,22,MATCH(A78,'female g'!$A$1:$V$1,0)),FALSE))</f>
        <v>1</v>
      </c>
      <c r="E78" s="1">
        <f t="shared" si="7"/>
        <v>0</v>
      </c>
      <c r="F78" s="1">
        <f t="shared" si="8"/>
        <v>0.5</v>
      </c>
      <c r="G78" s="1">
        <f>1/(1+Summary!$O$2)^$C78</f>
        <v>2.4525240264113228E-2</v>
      </c>
      <c r="H78" s="1">
        <f>IF(B78&gt;64, Summary!$J$12, 0)*'TV 11'!G78*'TV 11'!F78</f>
        <v>95.7611905653783</v>
      </c>
      <c r="I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98"/>
  <sheetViews>
    <sheetView workbookViewId="0">
      <selection activeCell="H12" sqref="H12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Summary!H13</f>
        <v>44</v>
      </c>
      <c r="C2" s="1">
        <v>0</v>
      </c>
      <c r="D2" s="1">
        <f>IF(Summary!$G$13="M",VLOOKUP(B:B,'male g'!A:V,IF(A2&gt;2033,22,MATCH(A2,'male g'!$A$1:$V$1,0)),FALSE),VLOOKUP(B:B,'female g'!A:V,IF(A2&gt;2033,22,MATCH(A2,'female g'!$A$1:$V$1,0)),FALSE))</f>
        <v>9.0843728847883653E-4</v>
      </c>
      <c r="E2" s="1">
        <f>1-D2</f>
        <v>0.99909156271152111</v>
      </c>
      <c r="F2" s="1">
        <v>1</v>
      </c>
      <c r="G2" s="1">
        <f>1/(1+Summary!$O$2)^$C2</f>
        <v>1</v>
      </c>
      <c r="H2" s="1">
        <f>IF(B2&gt;64, Summary!$J$13, 0)*'TV 12'!G2*'TV 12'!F2</f>
        <v>0</v>
      </c>
      <c r="I2" s="1">
        <f>SUM(H2:H78)</f>
        <v>100190.42643660575</v>
      </c>
    </row>
    <row r="3" spans="1:9">
      <c r="A3" s="1">
        <f>$A$2+C3</f>
        <v>2020</v>
      </c>
      <c r="B3" s="1">
        <f>$B$2+C3</f>
        <v>45</v>
      </c>
      <c r="C3" s="1">
        <v>1</v>
      </c>
      <c r="D3" s="1">
        <f>IF(Summary!$G$13="M",VLOOKUP(B:B,'male g'!A:V,IF(A3&gt;2033,22,MATCH(A3,'male g'!$A$1:$V$1,0)),FALSE),VLOOKUP(B:B,'female g'!A:V,IF(A3&gt;2033,22,MATCH(A3,'female g'!$A$1:$V$1,0)),FALSE))</f>
        <v>9.9607517052241619E-4</v>
      </c>
      <c r="E3" s="1">
        <f>1-D3</f>
        <v>0.99900392482947753</v>
      </c>
      <c r="F3" s="1">
        <f>E2</f>
        <v>0.99909156271152111</v>
      </c>
      <c r="G3" s="1">
        <f>1/(1+Summary!$O$2)^$C3</f>
        <v>0.95238095238095233</v>
      </c>
      <c r="H3" s="1">
        <f>IF(B3&gt;64, Summary!$J$13, 0)*'TV 12'!G3*'TV 12'!F3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46</v>
      </c>
      <c r="C4" s="1">
        <v>2</v>
      </c>
      <c r="D4" s="1">
        <f>IF(Summary!$G$13="M",VLOOKUP(B:B,'male g'!A:V,IF(A4&gt;2033,22,MATCH(A4,'male g'!$A$1:$V$1,0)),FALSE),VLOOKUP(B:B,'female g'!A:V,IF(A4&gt;2033,22,MATCH(A4,'female g'!$A$1:$V$1,0)),FALSE))</f>
        <v>1.0953695499167531E-3</v>
      </c>
      <c r="E4" s="1">
        <f t="shared" ref="E4:E67" si="2">1-D4</f>
        <v>0.99890463045008326</v>
      </c>
      <c r="F4" s="1">
        <f t="shared" ref="F4:F67" si="3">E3</f>
        <v>0.99900392482947753</v>
      </c>
      <c r="G4" s="1">
        <f>1/(1+Summary!$O$2)^$C4</f>
        <v>0.90702947845804982</v>
      </c>
      <c r="H4" s="1">
        <f>IF(B4&gt;64, Summary!$J$13, 0)*'TV 12'!G4*'TV 12'!F4</f>
        <v>0</v>
      </c>
      <c r="I4" s="1"/>
    </row>
    <row r="5" spans="1:9">
      <c r="A5" s="1">
        <f t="shared" si="0"/>
        <v>2022</v>
      </c>
      <c r="B5" s="1">
        <f t="shared" si="1"/>
        <v>47</v>
      </c>
      <c r="C5" s="1">
        <v>3</v>
      </c>
      <c r="D5" s="1">
        <f>IF(Summary!$G$13="M",VLOOKUP(B:B,'male g'!A:V,IF(A5&gt;2033,22,MATCH(A5,'male g'!$A$1:$V$1,0)),FALSE),VLOOKUP(B:B,'female g'!A:V,IF(A5&gt;2033,22,MATCH(A5,'female g'!$A$1:$V$1,0)),FALSE))</f>
        <v>1.2043052219291685E-3</v>
      </c>
      <c r="E5" s="1">
        <f t="shared" si="2"/>
        <v>0.99879569477807084</v>
      </c>
      <c r="F5" s="1">
        <f t="shared" si="3"/>
        <v>0.99890463045008326</v>
      </c>
      <c r="G5" s="1">
        <f>1/(1+Summary!$O$2)^$C5</f>
        <v>0.86383759853147601</v>
      </c>
      <c r="H5" s="1">
        <f>IF(B5&gt;64, Summary!$J$13, 0)*'TV 12'!G5*'TV 12'!F5</f>
        <v>0</v>
      </c>
      <c r="I5" s="1"/>
    </row>
    <row r="6" spans="1:9">
      <c r="A6" s="1">
        <f t="shared" si="0"/>
        <v>2023</v>
      </c>
      <c r="B6" s="1">
        <f t="shared" si="1"/>
        <v>48</v>
      </c>
      <c r="C6" s="1">
        <v>4</v>
      </c>
      <c r="D6" s="1">
        <f>IF(Summary!$G$13="M",VLOOKUP(B:B,'male g'!A:V,IF(A6&gt;2033,22,MATCH(A6,'male g'!$A$1:$V$1,0)),FALSE),VLOOKUP(B:B,'female g'!A:V,IF(A6&gt;2033,22,MATCH(A6,'female g'!$A$1:$V$1,0)),FALSE))</f>
        <v>1.3243674831266408E-3</v>
      </c>
      <c r="E6" s="1">
        <f t="shared" si="2"/>
        <v>0.99867563251687341</v>
      </c>
      <c r="F6" s="1">
        <f t="shared" si="3"/>
        <v>0.99879569477807084</v>
      </c>
      <c r="G6" s="1">
        <f>1/(1+Summary!$O$2)^$C6</f>
        <v>0.82270247479188197</v>
      </c>
      <c r="H6" s="1">
        <f>IF(B6&gt;64, Summary!$J$13, 0)*'TV 12'!G6*'TV 12'!F6</f>
        <v>0</v>
      </c>
      <c r="I6" s="1"/>
    </row>
    <row r="7" spans="1:9">
      <c r="A7" s="1">
        <f t="shared" si="0"/>
        <v>2024</v>
      </c>
      <c r="B7" s="1">
        <f t="shared" si="1"/>
        <v>49</v>
      </c>
      <c r="C7" s="1">
        <v>5</v>
      </c>
      <c r="D7" s="1">
        <f>IF(Summary!$G$13="M",VLOOKUP(B:B,'male g'!A:V,IF(A7&gt;2033,22,MATCH(A7,'male g'!$A$1:$V$1,0)),FALSE),VLOOKUP(B:B,'female g'!A:V,IF(A7&gt;2033,22,MATCH(A7,'female g'!$A$1:$V$1,0)),FALSE))</f>
        <v>1.4555619007028812E-3</v>
      </c>
      <c r="E7" s="1">
        <f t="shared" si="2"/>
        <v>0.99854443809929716</v>
      </c>
      <c r="F7" s="1">
        <f t="shared" si="3"/>
        <v>0.99867563251687341</v>
      </c>
      <c r="G7" s="1">
        <f>1/(1+Summary!$O$2)^$C7</f>
        <v>0.78352616646845896</v>
      </c>
      <c r="H7" s="1">
        <f>IF(B7&gt;64, Summary!$J$13, 0)*'TV 12'!G7*'TV 12'!F7</f>
        <v>0</v>
      </c>
      <c r="I7" s="1"/>
    </row>
    <row r="8" spans="1:9">
      <c r="A8" s="1">
        <f t="shared" si="0"/>
        <v>2025</v>
      </c>
      <c r="B8" s="1">
        <f t="shared" si="1"/>
        <v>50</v>
      </c>
      <c r="C8" s="1">
        <v>6</v>
      </c>
      <c r="D8" s="1">
        <f>IF(Summary!$G$13="M",VLOOKUP(B:B,'male g'!A:V,IF(A8&gt;2033,22,MATCH(A8,'male g'!$A$1:$V$1,0)),FALSE),VLOOKUP(B:B,'female g'!A:V,IF(A8&gt;2033,22,MATCH(A8,'female g'!$A$1:$V$1,0)),FALSE))</f>
        <v>3.849328336693407E-3</v>
      </c>
      <c r="E8" s="1">
        <f t="shared" si="2"/>
        <v>0.99615067166330662</v>
      </c>
      <c r="F8" s="1">
        <f t="shared" si="3"/>
        <v>0.99854443809929716</v>
      </c>
      <c r="G8" s="1">
        <f>1/(1+Summary!$O$2)^$C8</f>
        <v>0.74621539663662761</v>
      </c>
      <c r="H8" s="1">
        <f>IF(B8&gt;64, Summary!$J$13, 0)*'TV 12'!G8*'TV 12'!F8</f>
        <v>0</v>
      </c>
      <c r="I8" s="1"/>
    </row>
    <row r="9" spans="1:9">
      <c r="A9" s="1">
        <f t="shared" si="0"/>
        <v>2026</v>
      </c>
      <c r="B9" s="1">
        <f t="shared" si="1"/>
        <v>51</v>
      </c>
      <c r="C9" s="1">
        <v>7</v>
      </c>
      <c r="D9" s="1">
        <f>IF(Summary!$G$13="M",VLOOKUP(B:B,'male g'!A:V,IF(A9&gt;2033,22,MATCH(A9,'male g'!$A$1:$V$1,0)),FALSE),VLOOKUP(B:B,'female g'!A:V,IF(A9&gt;2033,22,MATCH(A9,'female g'!$A$1:$V$1,0)),FALSE))</f>
        <v>4.0998556781452842E-3</v>
      </c>
      <c r="E9" s="1">
        <f t="shared" si="2"/>
        <v>0.9959001443218547</v>
      </c>
      <c r="F9" s="1">
        <f t="shared" si="3"/>
        <v>0.99615067166330662</v>
      </c>
      <c r="G9" s="1">
        <f>1/(1+Summary!$O$2)^$C9</f>
        <v>0.71068133013012147</v>
      </c>
      <c r="H9" s="1">
        <f>IF(B9&gt;64, Summary!$J$13, 0)*'TV 12'!G9*'TV 12'!F9</f>
        <v>0</v>
      </c>
      <c r="I9" s="1"/>
    </row>
    <row r="10" spans="1:9">
      <c r="A10" s="1">
        <f t="shared" si="0"/>
        <v>2027</v>
      </c>
      <c r="B10" s="1">
        <f t="shared" si="1"/>
        <v>52</v>
      </c>
      <c r="C10" s="1">
        <v>8</v>
      </c>
      <c r="D10" s="1">
        <f>IF(Summary!$G$13="M",VLOOKUP(B:B,'male g'!A:V,IF(A10&gt;2033,22,MATCH(A10,'male g'!$A$1:$V$1,0)),FALSE),VLOOKUP(B:B,'female g'!A:V,IF(A10&gt;2033,22,MATCH(A10,'female g'!$A$1:$V$1,0)),FALSE))</f>
        <v>4.3545836088183338E-3</v>
      </c>
      <c r="E10" s="1">
        <f t="shared" si="2"/>
        <v>0.99564541639118165</v>
      </c>
      <c r="F10" s="1">
        <f t="shared" si="3"/>
        <v>0.9959001443218547</v>
      </c>
      <c r="G10" s="1">
        <f>1/(1+Summary!$O$2)^$C10</f>
        <v>0.67683936202868722</v>
      </c>
      <c r="H10" s="1">
        <f>IF(B10&gt;64, Summary!$J$13, 0)*'TV 12'!G10*'TV 12'!F10</f>
        <v>0</v>
      </c>
      <c r="I10" s="1"/>
    </row>
    <row r="11" spans="1:9">
      <c r="A11" s="1">
        <f t="shared" si="0"/>
        <v>2028</v>
      </c>
      <c r="B11" s="1">
        <f t="shared" si="1"/>
        <v>53</v>
      </c>
      <c r="C11" s="1">
        <v>9</v>
      </c>
      <c r="D11" s="1">
        <f>IF(Summary!$G$13="M",VLOOKUP(B:B,'male g'!A:V,IF(A11&gt;2033,22,MATCH(A11,'male g'!$A$1:$V$1,0)),FALSE),VLOOKUP(B:B,'female g'!A:V,IF(A11&gt;2033,22,MATCH(A11,'female g'!$A$1:$V$1,0)),FALSE))</f>
        <v>4.615488300758302E-3</v>
      </c>
      <c r="E11" s="1">
        <f t="shared" si="2"/>
        <v>0.99538451169924169</v>
      </c>
      <c r="F11" s="1">
        <f t="shared" si="3"/>
        <v>0.99564541639118165</v>
      </c>
      <c r="G11" s="1">
        <f>1/(1+Summary!$O$2)^$C11</f>
        <v>0.64460891621779726</v>
      </c>
      <c r="H11" s="1">
        <f>IF(B11&gt;64, Summary!$J$13, 0)*'TV 12'!G11*'TV 12'!F11</f>
        <v>0</v>
      </c>
      <c r="I11" s="1"/>
    </row>
    <row r="12" spans="1:9">
      <c r="A12" s="1">
        <f t="shared" si="0"/>
        <v>2029</v>
      </c>
      <c r="B12" s="1">
        <f t="shared" si="1"/>
        <v>54</v>
      </c>
      <c r="C12" s="1">
        <v>10</v>
      </c>
      <c r="D12" s="1">
        <f>IF(Summary!$G$13="M",VLOOKUP(B:B,'male g'!A:V,IF(A12&gt;2033,22,MATCH(A12,'male g'!$A$1:$V$1,0)),FALSE),VLOOKUP(B:B,'female g'!A:V,IF(A12&gt;2033,22,MATCH(A12,'female g'!$A$1:$V$1,0)),FALSE))</f>
        <v>4.8871347852713605E-3</v>
      </c>
      <c r="E12" s="1">
        <f t="shared" si="2"/>
        <v>0.99511286521472864</v>
      </c>
      <c r="F12" s="1">
        <f t="shared" si="3"/>
        <v>0.99538451169924169</v>
      </c>
      <c r="G12" s="1">
        <f>1/(1+Summary!$O$2)^$C12</f>
        <v>0.61391325354075932</v>
      </c>
      <c r="H12" s="1">
        <f>IF(B12&gt;64, Summary!$J$13, 0)*'TV 12'!G12*'TV 12'!F12</f>
        <v>0</v>
      </c>
      <c r="I12" s="1"/>
    </row>
    <row r="13" spans="1:9">
      <c r="A13" s="1">
        <f t="shared" si="0"/>
        <v>2030</v>
      </c>
      <c r="B13" s="1">
        <f t="shared" si="1"/>
        <v>55</v>
      </c>
      <c r="C13" s="1">
        <v>11</v>
      </c>
      <c r="D13" s="1">
        <f>IF(Summary!$G$13="M",VLOOKUP(B:B,'male g'!A:V,IF(A13&gt;2033,22,MATCH(A13,'male g'!$A$1:$V$1,0)),FALSE),VLOOKUP(B:B,'female g'!A:V,IF(A13&gt;2033,22,MATCH(A13,'female g'!$A$1:$V$1,0)),FALSE))</f>
        <v>5.1686620877391745E-3</v>
      </c>
      <c r="E13" s="1">
        <f t="shared" si="2"/>
        <v>0.99483133791226086</v>
      </c>
      <c r="F13" s="1">
        <f t="shared" si="3"/>
        <v>0.99511286521472864</v>
      </c>
      <c r="G13" s="1">
        <f>1/(1+Summary!$O$2)^$C13</f>
        <v>0.5846792890864374</v>
      </c>
      <c r="H13" s="1">
        <f>IF(B13&gt;64, Summary!$J$13, 0)*'TV 12'!G13*'TV 12'!F13</f>
        <v>0</v>
      </c>
      <c r="I13" s="1"/>
    </row>
    <row r="14" spans="1:9">
      <c r="A14" s="1">
        <f t="shared" si="0"/>
        <v>2031</v>
      </c>
      <c r="B14" s="1">
        <f t="shared" si="1"/>
        <v>56</v>
      </c>
      <c r="C14" s="1">
        <v>12</v>
      </c>
      <c r="D14" s="1">
        <f>IF(Summary!$G$13="M",VLOOKUP(B:B,'male g'!A:V,IF(A14&gt;2033,22,MATCH(A14,'male g'!$A$1:$V$1,0)),FALSE),VLOOKUP(B:B,'female g'!A:V,IF(A14&gt;2033,22,MATCH(A14,'female g'!$A$1:$V$1,0)),FALSE))</f>
        <v>5.4646195077650292E-3</v>
      </c>
      <c r="E14" s="1">
        <f t="shared" si="2"/>
        <v>0.994535380492235</v>
      </c>
      <c r="F14" s="1">
        <f t="shared" si="3"/>
        <v>0.99483133791226086</v>
      </c>
      <c r="G14" s="1">
        <f>1/(1+Summary!$O$2)^$C14</f>
        <v>0.5568374181775595</v>
      </c>
      <c r="H14" s="1">
        <f>IF(B14&gt;64, Summary!$J$13, 0)*'TV 12'!G14*'TV 12'!F14</f>
        <v>0</v>
      </c>
      <c r="I14" s="1"/>
    </row>
    <row r="15" spans="1:9">
      <c r="A15" s="1">
        <f t="shared" si="0"/>
        <v>2032</v>
      </c>
      <c r="B15" s="1">
        <f t="shared" si="1"/>
        <v>57</v>
      </c>
      <c r="C15" s="1">
        <v>13</v>
      </c>
      <c r="D15" s="1">
        <f>IF(Summary!$G$13="M",VLOOKUP(B:B,'male g'!A:V,IF(A15&gt;2033,22,MATCH(A15,'male g'!$A$1:$V$1,0)),FALSE),VLOOKUP(B:B,'female g'!A:V,IF(A15&gt;2033,22,MATCH(A15,'female g'!$A$1:$V$1,0)),FALSE))</f>
        <v>5.7765980291078368E-3</v>
      </c>
      <c r="E15" s="1">
        <f t="shared" si="2"/>
        <v>0.99422340197089221</v>
      </c>
      <c r="F15" s="1">
        <f t="shared" si="3"/>
        <v>0.994535380492235</v>
      </c>
      <c r="G15" s="1">
        <f>1/(1+Summary!$O$2)^$C15</f>
        <v>0.53032135064529462</v>
      </c>
      <c r="H15" s="1">
        <f>IF(B15&gt;64, Summary!$J$13, 0)*'TV 12'!G15*'TV 12'!F15</f>
        <v>0</v>
      </c>
      <c r="I15" s="1"/>
    </row>
    <row r="16" spans="1:9">
      <c r="A16" s="1">
        <f t="shared" si="0"/>
        <v>2033</v>
      </c>
      <c r="B16" s="1">
        <f t="shared" si="1"/>
        <v>58</v>
      </c>
      <c r="C16" s="1">
        <v>14</v>
      </c>
      <c r="D16" s="1">
        <f>IF(Summary!$G$13="M",VLOOKUP(B:B,'male g'!A:V,IF(A16&gt;2033,22,MATCH(A16,'male g'!$A$1:$V$1,0)),FALSE),VLOOKUP(B:B,'female g'!A:V,IF(A16&gt;2033,22,MATCH(A16,'female g'!$A$1:$V$1,0)),FALSE))</f>
        <v>6.112372675981876E-3</v>
      </c>
      <c r="E16" s="1">
        <f t="shared" si="2"/>
        <v>0.99388762732401814</v>
      </c>
      <c r="F16" s="1">
        <f t="shared" si="3"/>
        <v>0.99422340197089221</v>
      </c>
      <c r="G16" s="1">
        <f>1/(1+Summary!$O$2)^$C16</f>
        <v>0.50506795299551888</v>
      </c>
      <c r="H16" s="1">
        <f>IF(B16&gt;64, Summary!$J$13, 0)*'TV 12'!G16*'TV 12'!F16</f>
        <v>0</v>
      </c>
      <c r="I16" s="1"/>
    </row>
    <row r="17" spans="1:9">
      <c r="A17" s="1">
        <f t="shared" si="0"/>
        <v>2034</v>
      </c>
      <c r="B17" s="1">
        <f t="shared" si="1"/>
        <v>59</v>
      </c>
      <c r="C17" s="1">
        <v>15</v>
      </c>
      <c r="D17" s="1">
        <f>IF(Summary!$G$13="M",VLOOKUP(B:B,'male g'!A:V,IF(A17&gt;2033,22,MATCH(A17,'male g'!$A$1:$V$1,0)),FALSE),VLOOKUP(B:B,'female g'!A:V,IF(A17&gt;2033,22,MATCH(A17,'female g'!$A$1:$V$1,0)),FALSE))</f>
        <v>6.4741513414089766E-3</v>
      </c>
      <c r="E17" s="1">
        <f t="shared" si="2"/>
        <v>0.99352584865859106</v>
      </c>
      <c r="F17" s="1">
        <f t="shared" si="3"/>
        <v>0.99388762732401814</v>
      </c>
      <c r="G17" s="1">
        <f>1/(1+Summary!$O$2)^$C17</f>
        <v>0.48101709809097021</v>
      </c>
      <c r="H17" s="1">
        <f>IF(B17&gt;64, Summary!$J$13, 0)*'TV 12'!G17*'TV 12'!F17</f>
        <v>0</v>
      </c>
      <c r="I17" s="1"/>
    </row>
    <row r="18" spans="1:9">
      <c r="A18" s="1">
        <f t="shared" si="0"/>
        <v>2035</v>
      </c>
      <c r="B18" s="1">
        <f t="shared" si="1"/>
        <v>60</v>
      </c>
      <c r="C18" s="1">
        <v>16</v>
      </c>
      <c r="D18" s="1">
        <f>IF(Summary!$G$13="M",VLOOKUP(B:B,'male g'!A:V,IF(A18&gt;2033,22,MATCH(A18,'male g'!$A$1:$V$1,0)),FALSE),VLOOKUP(B:B,'female g'!A:V,IF(A18&gt;2033,22,MATCH(A18,'female g'!$A$1:$V$1,0)),FALSE))</f>
        <v>6.936066846596668E-3</v>
      </c>
      <c r="E18" s="1">
        <f t="shared" si="2"/>
        <v>0.99306393315340336</v>
      </c>
      <c r="F18" s="1">
        <f t="shared" si="3"/>
        <v>0.99352584865859106</v>
      </c>
      <c r="G18" s="1">
        <f>1/(1+Summary!$O$2)^$C18</f>
        <v>0.45811152199140021</v>
      </c>
      <c r="H18" s="1">
        <f>IF(B18&gt;64, Summary!$J$13, 0)*'TV 12'!G18*'TV 12'!F18</f>
        <v>0</v>
      </c>
      <c r="I18" s="1"/>
    </row>
    <row r="19" spans="1:9">
      <c r="A19" s="1">
        <f t="shared" si="0"/>
        <v>2036</v>
      </c>
      <c r="B19" s="1">
        <f t="shared" si="1"/>
        <v>61</v>
      </c>
      <c r="C19" s="1">
        <v>17</v>
      </c>
      <c r="D19" s="1">
        <f>IF(Summary!$G$13="M",VLOOKUP(B:B,'male g'!A:V,IF(A19&gt;2033,22,MATCH(A19,'male g'!$A$1:$V$1,0)),FALSE),VLOOKUP(B:B,'female g'!A:V,IF(A19&gt;2033,22,MATCH(A19,'female g'!$A$1:$V$1,0)),FALSE))</f>
        <v>7.4443231733826182E-3</v>
      </c>
      <c r="E19" s="1">
        <f t="shared" si="2"/>
        <v>0.99255567682661738</v>
      </c>
      <c r="F19" s="1">
        <f t="shared" si="3"/>
        <v>0.99306393315340336</v>
      </c>
      <c r="G19" s="1">
        <f>1/(1+Summary!$O$2)^$C19</f>
        <v>0.43629668761085727</v>
      </c>
      <c r="H19" s="1">
        <f>IF(B19&gt;64, Summary!$J$13, 0)*'TV 12'!G19*'TV 12'!F19</f>
        <v>0</v>
      </c>
      <c r="I19" s="1"/>
    </row>
    <row r="20" spans="1:9">
      <c r="A20" s="1">
        <f t="shared" si="0"/>
        <v>2037</v>
      </c>
      <c r="B20" s="1">
        <f t="shared" si="1"/>
        <v>62</v>
      </c>
      <c r="C20" s="1">
        <v>18</v>
      </c>
      <c r="D20" s="1">
        <f>IF(Summary!$G$13="M",VLOOKUP(B:B,'male g'!A:V,IF(A20&gt;2033,22,MATCH(A20,'male g'!$A$1:$V$1,0)),FALSE),VLOOKUP(B:B,'female g'!A:V,IF(A20&gt;2033,22,MATCH(A20,'female g'!$A$1:$V$1,0)),FALSE))</f>
        <v>7.9980591160673849E-3</v>
      </c>
      <c r="E20" s="1">
        <f t="shared" si="2"/>
        <v>0.99200194088393256</v>
      </c>
      <c r="F20" s="1">
        <f t="shared" si="3"/>
        <v>0.99255567682661738</v>
      </c>
      <c r="G20" s="1">
        <f>1/(1+Summary!$O$2)^$C20</f>
        <v>0.41552065486748313</v>
      </c>
      <c r="H20" s="1">
        <f>IF(B20&gt;64, Summary!$J$13, 0)*'TV 12'!G20*'TV 12'!F20</f>
        <v>0</v>
      </c>
      <c r="I20" s="1"/>
    </row>
    <row r="21" spans="1:9">
      <c r="A21" s="1">
        <f t="shared" si="0"/>
        <v>2038</v>
      </c>
      <c r="B21" s="1">
        <f t="shared" si="1"/>
        <v>63</v>
      </c>
      <c r="C21" s="1">
        <v>19</v>
      </c>
      <c r="D21" s="1">
        <f>IF(Summary!$G$13="M",VLOOKUP(B:B,'male g'!A:V,IF(A21&gt;2033,22,MATCH(A21,'male g'!$A$1:$V$1,0)),FALSE),VLOOKUP(B:B,'female g'!A:V,IF(A21&gt;2033,22,MATCH(A21,'female g'!$A$1:$V$1,0)),FALSE))</f>
        <v>8.6003126935298747E-3</v>
      </c>
      <c r="E21" s="1">
        <f t="shared" si="2"/>
        <v>0.9913996873064701</v>
      </c>
      <c r="F21" s="1">
        <f t="shared" si="3"/>
        <v>0.99200194088393256</v>
      </c>
      <c r="G21" s="1">
        <f>1/(1+Summary!$O$2)^$C21</f>
        <v>0.39573395701665059</v>
      </c>
      <c r="H21" s="1">
        <f>IF(B21&gt;64, Summary!$J$13, 0)*'TV 12'!G21*'TV 12'!F21</f>
        <v>0</v>
      </c>
      <c r="I21" s="1"/>
    </row>
    <row r="22" spans="1:9">
      <c r="A22" s="1">
        <f t="shared" si="0"/>
        <v>2039</v>
      </c>
      <c r="B22" s="1">
        <f t="shared" si="1"/>
        <v>64</v>
      </c>
      <c r="C22" s="1">
        <v>20</v>
      </c>
      <c r="D22" s="1">
        <f>IF(Summary!$G$13="M",VLOOKUP(B:B,'male g'!A:V,IF(A22&gt;2033,22,MATCH(A22,'male g'!$A$1:$V$1,0)),FALSE),VLOOKUP(B:B,'female g'!A:V,IF(A22&gt;2033,22,MATCH(A22,'female g'!$A$1:$V$1,0)),FALSE))</f>
        <v>9.2613902762817488E-3</v>
      </c>
      <c r="E22" s="1">
        <f t="shared" si="2"/>
        <v>0.9907386097237183</v>
      </c>
      <c r="F22" s="1">
        <f t="shared" si="3"/>
        <v>0.9913996873064701</v>
      </c>
      <c r="G22" s="1">
        <f>1/(1+Summary!$O$2)^$C22</f>
        <v>0.37688948287300061</v>
      </c>
      <c r="H22" s="1">
        <f>IF(B22&gt;64, Summary!$J$13, 0)*'TV 12'!G22*'TV 12'!F22</f>
        <v>0</v>
      </c>
      <c r="I22" s="1"/>
    </row>
    <row r="23" spans="1:9">
      <c r="A23" s="1">
        <f t="shared" si="0"/>
        <v>2040</v>
      </c>
      <c r="B23" s="1">
        <f t="shared" si="1"/>
        <v>65</v>
      </c>
      <c r="C23" s="1">
        <v>21</v>
      </c>
      <c r="D23" s="1">
        <f>IF(Summary!$G$13="M",VLOOKUP(B:B,'male g'!A:V,IF(A23&gt;2033,22,MATCH(A23,'male g'!$A$1:$V$1,0)),FALSE),VLOOKUP(B:B,'female g'!A:V,IF(A23&gt;2033,22,MATCH(A23,'female g'!$A$1:$V$1,0)),FALSE))</f>
        <v>9.9822267063302775E-3</v>
      </c>
      <c r="E23" s="1">
        <f t="shared" si="2"/>
        <v>0.99001777329366969</v>
      </c>
      <c r="F23" s="1">
        <f t="shared" si="3"/>
        <v>0.9907386097237183</v>
      </c>
      <c r="G23" s="1">
        <f>1/(1+Summary!$O$2)^$C23</f>
        <v>0.35894236464095297</v>
      </c>
      <c r="H23" s="1">
        <f>IF(B23&gt;64, Summary!$J$13, 0)*'TV 12'!G23*'TV 12'!F23</f>
        <v>5554.1814685363033</v>
      </c>
      <c r="I23" s="1"/>
    </row>
    <row r="24" spans="1:9">
      <c r="A24" s="1">
        <f t="shared" si="0"/>
        <v>2041</v>
      </c>
      <c r="B24" s="1">
        <f t="shared" si="1"/>
        <v>66</v>
      </c>
      <c r="C24" s="1">
        <v>22</v>
      </c>
      <c r="D24" s="1">
        <f>IF(Summary!$G$13="M",VLOOKUP(B:B,'male g'!A:V,IF(A24&gt;2033,22,MATCH(A24,'male g'!$A$1:$V$1,0)),FALSE),VLOOKUP(B:B,'female g'!A:V,IF(A24&gt;2033,22,MATCH(A24,'female g'!$A$1:$V$1,0)),FALSE))</f>
        <v>1.0770988448590023E-2</v>
      </c>
      <c r="E24" s="1">
        <f t="shared" si="2"/>
        <v>0.98922901155140996</v>
      </c>
      <c r="F24" s="1">
        <f t="shared" si="3"/>
        <v>0.99001777329366969</v>
      </c>
      <c r="G24" s="1">
        <f>1/(1+Summary!$O$2)^$C24</f>
        <v>0.3418498710866219</v>
      </c>
      <c r="H24" s="1">
        <f>IF(B24&gt;64, Summary!$J$13, 0)*'TV 12'!G24*'TV 12'!F24</f>
        <v>5285.8479868129498</v>
      </c>
      <c r="I24" s="1"/>
    </row>
    <row r="25" spans="1:9">
      <c r="A25" s="1">
        <f t="shared" si="0"/>
        <v>2042</v>
      </c>
      <c r="B25" s="1">
        <f t="shared" si="1"/>
        <v>67</v>
      </c>
      <c r="C25" s="1">
        <v>23</v>
      </c>
      <c r="D25" s="1">
        <f>IF(Summary!$G$13="M",VLOOKUP(B:B,'male g'!A:V,IF(A25&gt;2033,22,MATCH(A25,'male g'!$A$1:$V$1,0)),FALSE),VLOOKUP(B:B,'female g'!A:V,IF(A25&gt;2033,22,MATCH(A25,'female g'!$A$1:$V$1,0)),FALSE))</f>
        <v>1.1633181958479108E-2</v>
      </c>
      <c r="E25" s="1">
        <f t="shared" si="2"/>
        <v>0.98836681804152093</v>
      </c>
      <c r="F25" s="1">
        <f t="shared" si="3"/>
        <v>0.98922901155140996</v>
      </c>
      <c r="G25" s="1">
        <f>1/(1+Summary!$O$2)^$C25</f>
        <v>0.32557130579678267</v>
      </c>
      <c r="H25" s="1">
        <f>IF(B25&gt;64, Summary!$J$13, 0)*'TV 12'!G25*'TV 12'!F25</f>
        <v>5030.1301655856878</v>
      </c>
      <c r="I25" s="1"/>
    </row>
    <row r="26" spans="1:9">
      <c r="A26" s="1">
        <f t="shared" si="0"/>
        <v>2043</v>
      </c>
      <c r="B26" s="1">
        <f t="shared" si="1"/>
        <v>68</v>
      </c>
      <c r="C26" s="1">
        <v>24</v>
      </c>
      <c r="D26" s="1">
        <f>IF(Summary!$G$13="M",VLOOKUP(B:B,'male g'!A:V,IF(A26&gt;2033,22,MATCH(A26,'male g'!$A$1:$V$1,0)),FALSE),VLOOKUP(B:B,'female g'!A:V,IF(A26&gt;2033,22,MATCH(A26,'female g'!$A$1:$V$1,0)),FALSE))</f>
        <v>1.2580700369048322E-2</v>
      </c>
      <c r="E26" s="1">
        <f t="shared" si="2"/>
        <v>0.98741929963095165</v>
      </c>
      <c r="F26" s="1">
        <f t="shared" si="3"/>
        <v>0.98836681804152093</v>
      </c>
      <c r="G26" s="1">
        <f>1/(1+Summary!$O$2)^$C26</f>
        <v>0.31006791028265024</v>
      </c>
      <c r="H26" s="1">
        <f>IF(B26&gt;64, Summary!$J$13, 0)*'TV 12'!G26*'TV 12'!F26</f>
        <v>4786.4247601777251</v>
      </c>
      <c r="I26" s="1"/>
    </row>
    <row r="27" spans="1:9">
      <c r="A27" s="1">
        <f t="shared" si="0"/>
        <v>2044</v>
      </c>
      <c r="B27" s="1">
        <f t="shared" si="1"/>
        <v>69</v>
      </c>
      <c r="C27" s="1">
        <v>25</v>
      </c>
      <c r="D27" s="1">
        <f>IF(Summary!$G$13="M",VLOOKUP(B:B,'male g'!A:V,IF(A27&gt;2033,22,MATCH(A27,'male g'!$A$1:$V$1,0)),FALSE),VLOOKUP(B:B,'female g'!A:V,IF(A27&gt;2033,22,MATCH(A27,'female g'!$A$1:$V$1,0)),FALSE))</f>
        <v>1.3626686177724836E-2</v>
      </c>
      <c r="E27" s="1">
        <f t="shared" si="2"/>
        <v>0.98637331382227511</v>
      </c>
      <c r="F27" s="1">
        <f t="shared" si="3"/>
        <v>0.98741929963095165</v>
      </c>
      <c r="G27" s="1">
        <f>1/(1+Summary!$O$2)^$C27</f>
        <v>0.29530277169776209</v>
      </c>
      <c r="H27" s="1">
        <f>IF(B27&gt;64, Summary!$J$13, 0)*'TV 12'!G27*'TV 12'!F27</f>
        <v>4554.1296709638164</v>
      </c>
      <c r="I27" s="1"/>
    </row>
    <row r="28" spans="1:9">
      <c r="A28" s="1">
        <f t="shared" si="0"/>
        <v>2045</v>
      </c>
      <c r="B28" s="1">
        <f t="shared" si="1"/>
        <v>70</v>
      </c>
      <c r="C28" s="1">
        <v>26</v>
      </c>
      <c r="D28" s="1">
        <f>IF(Summary!$G$13="M",VLOOKUP(B:B,'male g'!A:V,IF(A28&gt;2033,22,MATCH(A28,'male g'!$A$1:$V$1,0)),FALSE),VLOOKUP(B:B,'female g'!A:V,IF(A28&gt;2033,22,MATCH(A28,'female g'!$A$1:$V$1,0)),FALSE))</f>
        <v>1.4793079982031035E-2</v>
      </c>
      <c r="E28" s="1">
        <f t="shared" si="2"/>
        <v>0.98520692001796895</v>
      </c>
      <c r="F28" s="1">
        <f t="shared" si="3"/>
        <v>0.98637331382227511</v>
      </c>
      <c r="G28" s="1">
        <f>1/(1+Summary!$O$2)^$C28</f>
        <v>0.28124073495024959</v>
      </c>
      <c r="H28" s="1">
        <f>IF(B28&gt;64, Summary!$J$13, 0)*'TV 12'!G28*'TV 12'!F28</f>
        <v>4332.6718319484216</v>
      </c>
      <c r="I28" s="1"/>
    </row>
    <row r="29" spans="1:9">
      <c r="A29" s="1">
        <f t="shared" si="0"/>
        <v>2046</v>
      </c>
      <c r="B29" s="1">
        <f t="shared" si="1"/>
        <v>71</v>
      </c>
      <c r="C29" s="1">
        <v>27</v>
      </c>
      <c r="D29" s="1">
        <f>IF(Summary!$G$13="M",VLOOKUP(B:B,'male g'!A:V,IF(A29&gt;2033,22,MATCH(A29,'male g'!$A$1:$V$1,0)),FALSE),VLOOKUP(B:B,'female g'!A:V,IF(A29&gt;2033,22,MATCH(A29,'female g'!$A$1:$V$1,0)),FALSE))</f>
        <v>1.6081052063459764E-2</v>
      </c>
      <c r="E29" s="1">
        <f t="shared" si="2"/>
        <v>0.98391894793654022</v>
      </c>
      <c r="F29" s="1">
        <f t="shared" si="3"/>
        <v>0.98520692001796895</v>
      </c>
      <c r="G29" s="1">
        <f>1/(1+Summary!$O$2)^$C29</f>
        <v>0.2678483190002377</v>
      </c>
      <c r="H29" s="1">
        <f>IF(B29&gt;64, Summary!$J$13, 0)*'TV 12'!G29*'TV 12'!F29</f>
        <v>4121.4746811190635</v>
      </c>
      <c r="I29" s="1"/>
    </row>
    <row r="30" spans="1:9">
      <c r="A30" s="1">
        <f t="shared" si="0"/>
        <v>2047</v>
      </c>
      <c r="B30" s="1">
        <f t="shared" si="1"/>
        <v>72</v>
      </c>
      <c r="C30" s="1">
        <v>28</v>
      </c>
      <c r="D30" s="1">
        <f>IF(Summary!$G$13="M",VLOOKUP(B:B,'male g'!A:V,IF(A30&gt;2033,22,MATCH(A30,'male g'!$A$1:$V$1,0)),FALSE),VLOOKUP(B:B,'female g'!A:V,IF(A30&gt;2033,22,MATCH(A30,'female g'!$A$1:$V$1,0)),FALSE))</f>
        <v>1.7512751333317752E-2</v>
      </c>
      <c r="E30" s="1">
        <f t="shared" si="2"/>
        <v>0.98248724866668224</v>
      </c>
      <c r="F30" s="1">
        <f t="shared" si="3"/>
        <v>0.98391894793654022</v>
      </c>
      <c r="G30" s="1">
        <f>1/(1+Summary!$O$2)^$C30</f>
        <v>0.25509363714308358</v>
      </c>
      <c r="H30" s="1">
        <f>IF(B30&gt;64, Summary!$J$13, 0)*'TV 12'!G30*'TV 12'!F30</f>
        <v>3920.0825056554231</v>
      </c>
      <c r="I30" s="1"/>
    </row>
    <row r="31" spans="1:9">
      <c r="A31" s="1">
        <f t="shared" si="0"/>
        <v>2048</v>
      </c>
      <c r="B31" s="1">
        <f t="shared" si="1"/>
        <v>73</v>
      </c>
      <c r="C31" s="1">
        <v>29</v>
      </c>
      <c r="D31" s="1">
        <f>IF(Summary!$G$13="M",VLOOKUP(B:B,'male g'!A:V,IF(A31&gt;2033,22,MATCH(A31,'male g'!$A$1:$V$1,0)),FALSE),VLOOKUP(B:B,'female g'!A:V,IF(A31&gt;2033,22,MATCH(A31,'female g'!$A$1:$V$1,0)),FALSE))</f>
        <v>1.9108502444741413E-2</v>
      </c>
      <c r="E31" s="1">
        <f t="shared" si="2"/>
        <v>0.98089149755525862</v>
      </c>
      <c r="F31" s="1">
        <f t="shared" si="3"/>
        <v>0.98248724866668224</v>
      </c>
      <c r="G31" s="1">
        <f>1/(1+Summary!$O$2)^$C31</f>
        <v>0.24294632108865097</v>
      </c>
      <c r="H31" s="1">
        <f>IF(B31&gt;64, Summary!$J$13, 0)*'TV 12'!G31*'TV 12'!F31</f>
        <v>3727.9794269978106</v>
      </c>
      <c r="I31" s="1"/>
    </row>
    <row r="32" spans="1:9">
      <c r="A32" s="1">
        <f t="shared" si="0"/>
        <v>2049</v>
      </c>
      <c r="B32" s="1">
        <f t="shared" si="1"/>
        <v>74</v>
      </c>
      <c r="C32" s="1">
        <v>30</v>
      </c>
      <c r="D32" s="1">
        <f>IF(Summary!$G$13="M",VLOOKUP(B:B,'male g'!A:V,IF(A32&gt;2033,22,MATCH(A32,'male g'!$A$1:$V$1,0)),FALSE),VLOOKUP(B:B,'female g'!A:V,IF(A32&gt;2033,22,MATCH(A32,'female g'!$A$1:$V$1,0)),FALSE))</f>
        <v>2.0891078905760852E-2</v>
      </c>
      <c r="E32" s="1">
        <f t="shared" si="2"/>
        <v>0.97910892109423919</v>
      </c>
      <c r="F32" s="1">
        <f t="shared" si="3"/>
        <v>0.98089149755525862</v>
      </c>
      <c r="G32" s="1">
        <f>1/(1+Summary!$O$2)^$C32</f>
        <v>0.23137744865585813</v>
      </c>
      <c r="H32" s="1">
        <f>IF(B32&gt;64, Summary!$J$13, 0)*'TV 12'!G32*'TV 12'!F32</f>
        <v>3544.6899624402845</v>
      </c>
      <c r="I32" s="1"/>
    </row>
    <row r="33" spans="1:9">
      <c r="A33" s="1">
        <f t="shared" si="0"/>
        <v>2050</v>
      </c>
      <c r="B33" s="1">
        <f t="shared" si="1"/>
        <v>75</v>
      </c>
      <c r="C33" s="1">
        <v>31</v>
      </c>
      <c r="D33" s="1">
        <f>IF(Summary!$G$13="M",VLOOKUP(B:B,'male g'!A:V,IF(A33&gt;2033,22,MATCH(A33,'male g'!$A$1:$V$1,0)),FALSE),VLOOKUP(B:B,'female g'!A:V,IF(A33&gt;2033,22,MATCH(A33,'female g'!$A$1:$V$1,0)),FALSE))</f>
        <v>2.289528896934603E-2</v>
      </c>
      <c r="E33" s="1">
        <f t="shared" si="2"/>
        <v>0.97710471103065399</v>
      </c>
      <c r="F33" s="1">
        <f t="shared" si="3"/>
        <v>0.97910892109423919</v>
      </c>
      <c r="G33" s="1">
        <f>1/(1+Summary!$O$2)^$C33</f>
        <v>0.220359474910341</v>
      </c>
      <c r="H33" s="1">
        <f>IF(B33&gt;64, Summary!$J$13, 0)*'TV 12'!G33*'TV 12'!F33</f>
        <v>3369.7601799107647</v>
      </c>
      <c r="I33" s="1"/>
    </row>
    <row r="34" spans="1:9">
      <c r="A34" s="1">
        <f t="shared" si="0"/>
        <v>2051</v>
      </c>
      <c r="B34" s="1">
        <f t="shared" si="1"/>
        <v>76</v>
      </c>
      <c r="C34" s="1">
        <v>32</v>
      </c>
      <c r="D34" s="1">
        <f>IF(Summary!$G$13="M",VLOOKUP(B:B,'male g'!A:V,IF(A34&gt;2033,22,MATCH(A34,'male g'!$A$1:$V$1,0)),FALSE),VLOOKUP(B:B,'female g'!A:V,IF(A34&gt;2033,22,MATCH(A34,'female g'!$A$1:$V$1,0)),FALSE))</f>
        <v>2.513765115831567E-2</v>
      </c>
      <c r="E34" s="1">
        <f t="shared" si="2"/>
        <v>0.97486234884168432</v>
      </c>
      <c r="F34" s="1">
        <f t="shared" si="3"/>
        <v>0.97710471103065399</v>
      </c>
      <c r="G34" s="1">
        <f>1/(1+Summary!$O$2)^$C34</f>
        <v>0.20986616658127716</v>
      </c>
      <c r="H34" s="1">
        <f>IF(B34&gt;64, Summary!$J$13, 0)*'TV 12'!G34*'TV 12'!F34</f>
        <v>3202.7260666230864</v>
      </c>
      <c r="I34" s="1"/>
    </row>
    <row r="35" spans="1:9">
      <c r="A35" s="1">
        <f>$A$2+C35</f>
        <v>2052</v>
      </c>
      <c r="B35" s="1">
        <f>$B$2+C35</f>
        <v>77</v>
      </c>
      <c r="C35" s="1">
        <v>33</v>
      </c>
      <c r="D35" s="1">
        <f>IF(Summary!$G$13="M",VLOOKUP(B:B,'male g'!A:V,IF(A35&gt;2033,22,MATCH(A35,'male g'!$A$1:$V$1,0)),FALSE),VLOOKUP(B:B,'female g'!A:V,IF(A35&gt;2033,22,MATCH(A35,'female g'!$A$1:$V$1,0)),FALSE))</f>
        <v>2.7677948896305107E-2</v>
      </c>
      <c r="E35" s="1">
        <f t="shared" si="2"/>
        <v>0.97232205110369485</v>
      </c>
      <c r="F35" s="1">
        <f t="shared" si="3"/>
        <v>0.97486234884168432</v>
      </c>
      <c r="G35" s="1">
        <f>1/(1+Summary!$O$2)^$C35</f>
        <v>0.19987253960121634</v>
      </c>
      <c r="H35" s="1">
        <f>IF(B35&gt;64, Summary!$J$13, 0)*'TV 12'!G35*'TV 12'!F35</f>
        <v>3043.2153481291475</v>
      </c>
      <c r="I35" s="1"/>
    </row>
    <row r="36" spans="1:9">
      <c r="A36" s="1">
        <f t="shared" ref="A36:A47" si="4">$A$2+C36</f>
        <v>2053</v>
      </c>
      <c r="B36" s="1">
        <f t="shared" si="1"/>
        <v>78</v>
      </c>
      <c r="C36" s="1">
        <v>34</v>
      </c>
      <c r="D36" s="1">
        <f>IF(Summary!$G$13="M",VLOOKUP(B:B,'male g'!A:V,IF(A36&gt;2033,22,MATCH(A36,'male g'!$A$1:$V$1,0)),FALSE),VLOOKUP(B:B,'female g'!A:V,IF(A36&gt;2033,22,MATCH(A36,'female g'!$A$1:$V$1,0)),FALSE))</f>
        <v>3.0545666614171758E-2</v>
      </c>
      <c r="E36" s="1">
        <f t="shared" si="2"/>
        <v>0.9694543333858282</v>
      </c>
      <c r="F36" s="1">
        <f t="shared" si="3"/>
        <v>0.97232205110369485</v>
      </c>
      <c r="G36" s="1">
        <f>1/(1+Summary!$O$2)^$C36</f>
        <v>0.19035479962020604</v>
      </c>
      <c r="H36" s="1">
        <f>IF(B36&gt;64, Summary!$J$13, 0)*'TV 12'!G36*'TV 12'!F36</f>
        <v>2890.7479362980207</v>
      </c>
      <c r="I36" s="1"/>
    </row>
    <row r="37" spans="1:9">
      <c r="A37" s="1">
        <f t="shared" si="4"/>
        <v>2054</v>
      </c>
      <c r="B37" s="1">
        <f t="shared" si="1"/>
        <v>79</v>
      </c>
      <c r="C37" s="1">
        <v>35</v>
      </c>
      <c r="D37" s="1">
        <f>IF(Summary!$G$13="M",VLOOKUP(B:B,'male g'!A:V,IF(A37&gt;2033,22,MATCH(A37,'male g'!$A$1:$V$1,0)),FALSE),VLOOKUP(B:B,'female g'!A:V,IF(A37&gt;2033,22,MATCH(A37,'female g'!$A$1:$V$1,0)),FALSE))</f>
        <v>3.3801426006075351E-2</v>
      </c>
      <c r="E37" s="1">
        <f t="shared" si="2"/>
        <v>0.96619857399392461</v>
      </c>
      <c r="F37" s="1">
        <f t="shared" si="3"/>
        <v>0.9694543333858282</v>
      </c>
      <c r="G37" s="1">
        <f>1/(1+Summary!$O$2)^$C37</f>
        <v>0.18129028535257716</v>
      </c>
      <c r="H37" s="1">
        <f>IF(B37&gt;64, Summary!$J$13, 0)*'TV 12'!G37*'TV 12'!F37</f>
        <v>2744.9734379371839</v>
      </c>
      <c r="I37" s="1"/>
    </row>
    <row r="38" spans="1:9">
      <c r="A38" s="1">
        <f t="shared" si="4"/>
        <v>2055</v>
      </c>
      <c r="B38" s="1">
        <f t="shared" si="1"/>
        <v>80</v>
      </c>
      <c r="C38" s="1">
        <v>36</v>
      </c>
      <c r="D38" s="1">
        <f>IF(Summary!$G$13="M",VLOOKUP(B:B,'male g'!A:V,IF(A38&gt;2033,22,MATCH(A38,'male g'!$A$1:$V$1,0)),FALSE),VLOOKUP(B:B,'female g'!A:V,IF(A38&gt;2033,22,MATCH(A38,'female g'!$A$1:$V$1,0)),FALSE))</f>
        <v>3.7482908060753731E-2</v>
      </c>
      <c r="E38" s="1">
        <f t="shared" si="2"/>
        <v>0.96251709193924628</v>
      </c>
      <c r="F38" s="1">
        <f t="shared" si="3"/>
        <v>0.96619857399392461</v>
      </c>
      <c r="G38" s="1">
        <f>1/(1+Summary!$O$2)^$C38</f>
        <v>0.17265741462150208</v>
      </c>
      <c r="H38" s="1">
        <f>IF(B38&gt;64, Summary!$J$13, 0)*'TV 12'!G38*'TV 12'!F38</f>
        <v>2605.4808360211032</v>
      </c>
      <c r="I38" s="1"/>
    </row>
    <row r="39" spans="1:9">
      <c r="A39" s="1">
        <f t="shared" si="4"/>
        <v>2056</v>
      </c>
      <c r="B39" s="1">
        <f t="shared" si="1"/>
        <v>81</v>
      </c>
      <c r="C39" s="1">
        <v>37</v>
      </c>
      <c r="D39" s="1">
        <f>IF(Summary!$G$13="M",VLOOKUP(B:B,'male g'!A:V,IF(A39&gt;2033,22,MATCH(A39,'male g'!$A$1:$V$1,0)),FALSE),VLOOKUP(B:B,'female g'!A:V,IF(A39&gt;2033,22,MATCH(A39,'female g'!$A$1:$V$1,0)),FALSE))</f>
        <v>4.1692652240478641E-2</v>
      </c>
      <c r="E39" s="1">
        <f t="shared" si="2"/>
        <v>0.95830734775952131</v>
      </c>
      <c r="F39" s="1">
        <f t="shared" si="3"/>
        <v>0.96251709193924628</v>
      </c>
      <c r="G39" s="1">
        <f>1/(1+Summary!$O$2)^$C39</f>
        <v>0.1644356329728591</v>
      </c>
      <c r="H39" s="1">
        <f>IF(B39&gt;64, Summary!$J$13, 0)*'TV 12'!G39*'TV 12'!F39</f>
        <v>2471.9554648698927</v>
      </c>
      <c r="I39" s="1"/>
    </row>
    <row r="40" spans="1:9">
      <c r="A40" s="1">
        <f t="shared" si="4"/>
        <v>2057</v>
      </c>
      <c r="B40" s="1">
        <f t="shared" si="1"/>
        <v>82</v>
      </c>
      <c r="C40" s="1">
        <v>38</v>
      </c>
      <c r="D40" s="1">
        <f>IF(Summary!$G$13="M",VLOOKUP(B:B,'male g'!A:V,IF(A40&gt;2033,22,MATCH(A40,'male g'!$A$1:$V$1,0)),FALSE),VLOOKUP(B:B,'female g'!A:V,IF(A40&gt;2033,22,MATCH(A40,'female g'!$A$1:$V$1,0)),FALSE))</f>
        <v>4.6458269197024199E-2</v>
      </c>
      <c r="E40" s="1">
        <f t="shared" si="2"/>
        <v>0.95354173080297577</v>
      </c>
      <c r="F40" s="1">
        <f t="shared" si="3"/>
        <v>0.95830734775952131</v>
      </c>
      <c r="G40" s="1">
        <f>1/(1+Summary!$O$2)^$C40</f>
        <v>0.15660536473605632</v>
      </c>
      <c r="H40" s="1">
        <f>IF(B40&gt;64, Summary!$J$13, 0)*'TV 12'!G40*'TV 12'!F40</f>
        <v>2343.9465871087946</v>
      </c>
      <c r="I40" s="1"/>
    </row>
    <row r="41" spans="1:9">
      <c r="A41" s="1">
        <f t="shared" si="4"/>
        <v>2058</v>
      </c>
      <c r="B41" s="1">
        <f t="shared" si="1"/>
        <v>83</v>
      </c>
      <c r="C41" s="1">
        <v>39</v>
      </c>
      <c r="D41" s="1">
        <f>IF(Summary!$G$13="M",VLOOKUP(B:B,'male g'!A:V,IF(A41&gt;2033,22,MATCH(A41,'male g'!$A$1:$V$1,0)),FALSE),VLOOKUP(B:B,'female g'!A:V,IF(A41&gt;2033,22,MATCH(A41,'female g'!$A$1:$V$1,0)),FALSE))</f>
        <v>5.1882087565112409E-2</v>
      </c>
      <c r="E41" s="1">
        <f t="shared" si="2"/>
        <v>0.94811791243488763</v>
      </c>
      <c r="F41" s="1">
        <f t="shared" si="3"/>
        <v>0.95354173080297577</v>
      </c>
      <c r="G41" s="1">
        <f>1/(1+Summary!$O$2)^$C41</f>
        <v>0.14914796641529171</v>
      </c>
      <c r="H41" s="1">
        <f>IF(B41&gt;64, Summary!$J$13, 0)*'TV 12'!G41*'TV 12'!F41</f>
        <v>2221.228811410625</v>
      </c>
      <c r="I41" s="1"/>
    </row>
    <row r="42" spans="1:9">
      <c r="A42" s="1">
        <f t="shared" si="4"/>
        <v>2059</v>
      </c>
      <c r="B42" s="1">
        <f t="shared" si="1"/>
        <v>84</v>
      </c>
      <c r="C42" s="1">
        <v>40</v>
      </c>
      <c r="D42" s="1">
        <f>IF(Summary!$G$13="M",VLOOKUP(B:B,'male g'!A:V,IF(A42&gt;2033,22,MATCH(A42,'male g'!$A$1:$V$1,0)),FALSE),VLOOKUP(B:B,'female g'!A:V,IF(A42&gt;2033,22,MATCH(A42,'female g'!$A$1:$V$1,0)),FALSE))</f>
        <v>5.8015339398571217E-2</v>
      </c>
      <c r="E42" s="1">
        <f t="shared" si="2"/>
        <v>0.94198466060142882</v>
      </c>
      <c r="F42" s="1">
        <f t="shared" si="3"/>
        <v>0.94811791243488763</v>
      </c>
      <c r="G42" s="1">
        <f>1/(1+Summary!$O$2)^$C42</f>
        <v>0.14204568230027784</v>
      </c>
      <c r="H42" s="1">
        <f>IF(B42&gt;64, Summary!$J$13, 0)*'TV 12'!G42*'TV 12'!F42</f>
        <v>2103.4231351178578</v>
      </c>
      <c r="I42" s="1"/>
    </row>
    <row r="43" spans="1:9">
      <c r="A43" s="1">
        <f t="shared" si="4"/>
        <v>2060</v>
      </c>
      <c r="B43" s="1">
        <f t="shared" si="1"/>
        <v>85</v>
      </c>
      <c r="C43" s="1">
        <v>41</v>
      </c>
      <c r="D43" s="1">
        <f>IF(Summary!$G$13="M",VLOOKUP(B:B,'male g'!A:V,IF(A43&gt;2033,22,MATCH(A43,'male g'!$A$1:$V$1,0)),FALSE),VLOOKUP(B:B,'female g'!A:V,IF(A43&gt;2033,22,MATCH(A43,'female g'!$A$1:$V$1,0)),FALSE))</f>
        <v>6.4965454874702594E-2</v>
      </c>
      <c r="E43" s="1">
        <f t="shared" si="2"/>
        <v>0.93503454512529738</v>
      </c>
      <c r="F43" s="1">
        <f t="shared" si="3"/>
        <v>0.94198466060142882</v>
      </c>
      <c r="G43" s="1">
        <f>1/(1+Summary!$O$2)^$C43</f>
        <v>0.13528160219074079</v>
      </c>
      <c r="H43" s="1">
        <f>IF(B43&gt;64, Summary!$J$13, 0)*'TV 12'!G43*'TV 12'!F43</f>
        <v>1990.301298673184</v>
      </c>
      <c r="I43" s="1"/>
    </row>
    <row r="44" spans="1:9">
      <c r="A44" s="1">
        <f t="shared" si="4"/>
        <v>2061</v>
      </c>
      <c r="B44" s="1">
        <f t="shared" si="1"/>
        <v>86</v>
      </c>
      <c r="C44" s="1">
        <v>42</v>
      </c>
      <c r="D44" s="1">
        <f>IF(Summary!$G$13="M",VLOOKUP(B:B,'male g'!A:V,IF(A44&gt;2033,22,MATCH(A44,'male g'!$A$1:$V$1,0)),FALSE),VLOOKUP(B:B,'female g'!A:V,IF(A44&gt;2033,22,MATCH(A44,'female g'!$A$1:$V$1,0)),FALSE))</f>
        <v>7.2903222964449149E-2</v>
      </c>
      <c r="E44" s="1">
        <f t="shared" si="2"/>
        <v>0.92709677703555082</v>
      </c>
      <c r="F44" s="1">
        <f t="shared" si="3"/>
        <v>0.93503454512529738</v>
      </c>
      <c r="G44" s="1">
        <f>1/(1+Summary!$O$2)^$C44</f>
        <v>0.12883962113403885</v>
      </c>
      <c r="H44" s="1">
        <f>IF(B44&gt;64, Summary!$J$13, 0)*'TV 12'!G44*'TV 12'!F44</f>
        <v>1881.5395553903502</v>
      </c>
      <c r="I44" s="1"/>
    </row>
    <row r="45" spans="1:9">
      <c r="A45" s="1">
        <f t="shared" si="4"/>
        <v>2062</v>
      </c>
      <c r="B45" s="1">
        <f t="shared" si="1"/>
        <v>87</v>
      </c>
      <c r="C45" s="1">
        <v>43</v>
      </c>
      <c r="D45" s="1">
        <f>IF(Summary!$G$13="M",VLOOKUP(B:B,'male g'!A:V,IF(A45&gt;2033,22,MATCH(A45,'male g'!$A$1:$V$1,0)),FALSE),VLOOKUP(B:B,'female g'!A:V,IF(A45&gt;2033,22,MATCH(A45,'female g'!$A$1:$V$1,0)),FALSE))</f>
        <v>8.1848520672112443E-2</v>
      </c>
      <c r="E45" s="1">
        <f t="shared" si="2"/>
        <v>0.91815147932788754</v>
      </c>
      <c r="F45" s="1">
        <f t="shared" si="3"/>
        <v>0.92709677703555082</v>
      </c>
      <c r="G45" s="1">
        <f>1/(1+Summary!$O$2)^$C45</f>
        <v>0.12270440108003698</v>
      </c>
      <c r="H45" s="1">
        <f>IF(B45&gt;64, Summary!$J$13, 0)*'TV 12'!G45*'TV 12'!F45</f>
        <v>1776.7301364235855</v>
      </c>
      <c r="I45" s="1"/>
    </row>
    <row r="46" spans="1:9">
      <c r="A46" s="1">
        <f t="shared" si="4"/>
        <v>2063</v>
      </c>
      <c r="B46" s="1">
        <f t="shared" si="1"/>
        <v>88</v>
      </c>
      <c r="C46" s="1">
        <v>44</v>
      </c>
      <c r="D46" s="1">
        <f>IF(Summary!$G$13="M",VLOOKUP(B:B,'male g'!A:V,IF(A46&gt;2033,22,MATCH(A46,'male g'!$A$1:$V$1,0)),FALSE),VLOOKUP(B:B,'female g'!A:V,IF(A46&gt;2033,22,MATCH(A46,'female g'!$A$1:$V$1,0)),FALSE))</f>
        <v>9.1889133554378416E-2</v>
      </c>
      <c r="E46" s="1">
        <f t="shared" si="2"/>
        <v>0.90811086644562156</v>
      </c>
      <c r="F46" s="1">
        <f t="shared" si="3"/>
        <v>0.91815147932788754</v>
      </c>
      <c r="G46" s="1">
        <f>1/(1+Summary!$O$2)^$C46</f>
        <v>0.11686133436193999</v>
      </c>
      <c r="H46" s="1">
        <f>IF(B46&gt;64, Summary!$J$13, 0)*'TV 12'!G46*'TV 12'!F46</f>
        <v>1675.7971084538929</v>
      </c>
      <c r="I46" s="1"/>
    </row>
    <row r="47" spans="1:9">
      <c r="A47" s="1">
        <f t="shared" si="4"/>
        <v>2064</v>
      </c>
      <c r="B47" s="1">
        <f t="shared" si="1"/>
        <v>89</v>
      </c>
      <c r="C47" s="1">
        <v>45</v>
      </c>
      <c r="D47" s="1">
        <f>IF(Summary!$G$13="M",VLOOKUP(B:B,'male g'!A:V,IF(A47&gt;2033,22,MATCH(A47,'male g'!$A$1:$V$1,0)),FALSE),VLOOKUP(B:B,'female g'!A:V,IF(A47&gt;2033,22,MATCH(A47,'female g'!$A$1:$V$1,0)),FALSE))</f>
        <v>0.1031648969350115</v>
      </c>
      <c r="E47" s="1">
        <f t="shared" si="2"/>
        <v>0.89683510306498848</v>
      </c>
      <c r="F47" s="1">
        <f t="shared" si="3"/>
        <v>0.90811086644562156</v>
      </c>
      <c r="G47" s="1">
        <f>1/(1+Summary!$O$2)^$C47</f>
        <v>0.1112965089161333</v>
      </c>
      <c r="H47" s="1">
        <f>IF(B47&gt;64, Summary!$J$13, 0)*'TV 12'!G47*'TV 12'!F47</f>
        <v>1578.5439273091861</v>
      </c>
      <c r="I47" s="1"/>
    </row>
    <row r="48" spans="1:9">
      <c r="A48" s="1">
        <f>$A$2+C48</f>
        <v>2065</v>
      </c>
      <c r="B48" s="1">
        <f>$B$2+C48</f>
        <v>90</v>
      </c>
      <c r="C48" s="1">
        <v>46</v>
      </c>
      <c r="D48" s="1">
        <f>IF(Summary!$G$13="M",VLOOKUP(B:B,'male g'!A:V,IF(A48&gt;2033,22,MATCH(A48,'male g'!$A$1:$V$1,0)),FALSE),VLOOKUP(B:B,'female g'!A:V,IF(A48&gt;2033,22,MATCH(A48,'female g'!$A$1:$V$1,0)),FALSE))</f>
        <v>0.11576084940657383</v>
      </c>
      <c r="E48" s="1">
        <f t="shared" si="2"/>
        <v>0.88423915059342617</v>
      </c>
      <c r="F48" s="1">
        <f t="shared" si="3"/>
        <v>0.89683510306498848</v>
      </c>
      <c r="G48" s="1">
        <f>1/(1+Summary!$O$2)^$C48</f>
        <v>0.10599667515822221</v>
      </c>
      <c r="H48" s="1">
        <f>IF(B48&gt;64, Summary!$J$13, 0)*'TV 12'!G48*'TV 12'!F48</f>
        <v>1484.7081720235342</v>
      </c>
      <c r="I48" s="1"/>
    </row>
    <row r="49" spans="1:9">
      <c r="A49" s="1">
        <f t="shared" ref="A49:A73" si="5">$A$2+C49</f>
        <v>2066</v>
      </c>
      <c r="B49" s="1">
        <f t="shared" si="1"/>
        <v>91</v>
      </c>
      <c r="C49" s="1">
        <v>47</v>
      </c>
      <c r="D49" s="1">
        <f>IF(Summary!$G$13="M",VLOOKUP(B:B,'male g'!A:V,IF(A49&gt;2033,22,MATCH(A49,'male g'!$A$1:$V$1,0)),FALSE),VLOOKUP(B:B,'female g'!A:V,IF(A49&gt;2033,22,MATCH(A49,'female g'!$A$1:$V$1,0)),FALSE))</f>
        <v>0.12933245912292859</v>
      </c>
      <c r="E49" s="1">
        <f t="shared" si="2"/>
        <v>0.87066754087707143</v>
      </c>
      <c r="F49" s="1">
        <f t="shared" si="3"/>
        <v>0.88423915059342617</v>
      </c>
      <c r="G49" s="1">
        <f>1/(1+Summary!$O$2)^$C49</f>
        <v>0.10094921443640208</v>
      </c>
      <c r="H49" s="1">
        <f>IF(B49&gt;64, Summary!$J$13, 0)*'TV 12'!G49*'TV 12'!F49</f>
        <v>1394.1481957974929</v>
      </c>
      <c r="I49" s="1"/>
    </row>
    <row r="50" spans="1:9">
      <c r="A50" s="1">
        <f t="shared" si="5"/>
        <v>2067</v>
      </c>
      <c r="B50" s="1">
        <f t="shared" si="1"/>
        <v>92</v>
      </c>
      <c r="C50" s="1">
        <v>48</v>
      </c>
      <c r="D50" s="1">
        <f>IF(Summary!$G$13="M",VLOOKUP(B:B,'male g'!A:V,IF(A50&gt;2033,22,MATCH(A50,'male g'!$A$1:$V$1,0)),FALSE),VLOOKUP(B:B,'female g'!A:V,IF(A50&gt;2033,22,MATCH(A50,'female g'!$A$1:$V$1,0)),FALSE))</f>
        <v>0.14348300858520585</v>
      </c>
      <c r="E50" s="1">
        <f t="shared" si="2"/>
        <v>0.85651699141479409</v>
      </c>
      <c r="F50" s="1">
        <f t="shared" si="3"/>
        <v>0.87066754087707143</v>
      </c>
      <c r="G50" s="1">
        <f>1/(1+Summary!$O$2)^$C50</f>
        <v>9.6142108987049613E-2</v>
      </c>
      <c r="H50" s="1">
        <f>IF(B50&gt;64, Summary!$J$13, 0)*'TV 12'!G50*'TV 12'!F50</f>
        <v>1307.3812617952888</v>
      </c>
      <c r="I50" s="1"/>
    </row>
    <row r="51" spans="1:9">
      <c r="A51" s="1">
        <f t="shared" si="5"/>
        <v>2068</v>
      </c>
      <c r="B51" s="1">
        <f t="shared" si="1"/>
        <v>93</v>
      </c>
      <c r="C51" s="1">
        <v>49</v>
      </c>
      <c r="D51" s="1">
        <f>IF(Summary!$G$13="M",VLOOKUP(B:B,'male g'!A:V,IF(A51&gt;2033,22,MATCH(A51,'male g'!$A$1:$V$1,0)),FALSE),VLOOKUP(B:B,'female g'!A:V,IF(A51&gt;2033,22,MATCH(A51,'female g'!$A$1:$V$1,0)),FALSE))</f>
        <v>0.15808258232710681</v>
      </c>
      <c r="E51" s="1">
        <f t="shared" si="2"/>
        <v>0.84191741767289319</v>
      </c>
      <c r="F51" s="1">
        <f t="shared" si="3"/>
        <v>0.85651699141479409</v>
      </c>
      <c r="G51" s="1">
        <f>1/(1+Summary!$O$2)^$C51</f>
        <v>9.1563913320999626E-2</v>
      </c>
      <c r="H51" s="1">
        <f>IF(B51&gt;64, Summary!$J$13, 0)*'TV 12'!G51*'TV 12'!F51</f>
        <v>1224.8885808730242</v>
      </c>
      <c r="I51" s="1"/>
    </row>
    <row r="52" spans="1:9">
      <c r="A52" s="1">
        <f t="shared" si="5"/>
        <v>2069</v>
      </c>
      <c r="B52" s="1">
        <f t="shared" si="1"/>
        <v>94</v>
      </c>
      <c r="C52" s="1">
        <v>50</v>
      </c>
      <c r="D52" s="1">
        <f>IF(Summary!$G$13="M",VLOOKUP(B:B,'male g'!A:V,IF(A52&gt;2033,22,MATCH(A52,'male g'!$A$1:$V$1,0)),FALSE),VLOOKUP(B:B,'female g'!A:V,IF(A52&gt;2033,22,MATCH(A52,'female g'!$A$1:$V$1,0)),FALSE))</f>
        <v>0.17308956870926934</v>
      </c>
      <c r="E52" s="1">
        <f t="shared" si="2"/>
        <v>0.82691043129073072</v>
      </c>
      <c r="F52" s="1">
        <f t="shared" si="3"/>
        <v>0.84191741767289319</v>
      </c>
      <c r="G52" s="1">
        <f>1/(1+Summary!$O$2)^$C52</f>
        <v>8.7203726972380588E-2</v>
      </c>
      <c r="H52" s="1">
        <f>IF(B52&gt;64, Summary!$J$13, 0)*'TV 12'!G52*'TV 12'!F52</f>
        <v>1146.676199496449</v>
      </c>
      <c r="I52" s="1"/>
    </row>
    <row r="53" spans="1:9">
      <c r="A53" s="1">
        <f t="shared" si="5"/>
        <v>2070</v>
      </c>
      <c r="B53" s="1">
        <f t="shared" si="1"/>
        <v>95</v>
      </c>
      <c r="C53" s="1">
        <v>51</v>
      </c>
      <c r="D53" s="1">
        <f>IF(Summary!$G$13="M",VLOOKUP(B:B,'male g'!A:V,IF(A53&gt;2033,22,MATCH(A53,'male g'!$A$1:$V$1,0)),FALSE),VLOOKUP(B:B,'female g'!A:V,IF(A53&gt;2033,22,MATCH(A53,'female g'!$A$1:$V$1,0)),FALSE))</f>
        <v>0.1884638420447376</v>
      </c>
      <c r="E53" s="1">
        <f t="shared" si="2"/>
        <v>0.81153615795526246</v>
      </c>
      <c r="F53" s="1">
        <f t="shared" si="3"/>
        <v>0.82691043129073072</v>
      </c>
      <c r="G53" s="1">
        <f>1/(1+Summary!$O$2)^$C53</f>
        <v>8.3051168545124371E-2</v>
      </c>
      <c r="H53" s="1">
        <f>IF(B53&gt;64, Summary!$J$13, 0)*'TV 12'!G53*'TV 12'!F53</f>
        <v>1072.6066258853323</v>
      </c>
      <c r="I53" s="1"/>
    </row>
    <row r="54" spans="1:9">
      <c r="A54" s="1">
        <f t="shared" si="5"/>
        <v>2071</v>
      </c>
      <c r="B54" s="1">
        <f t="shared" si="1"/>
        <v>96</v>
      </c>
      <c r="C54" s="1">
        <v>52</v>
      </c>
      <c r="D54" s="1">
        <f>IF(Summary!$G$13="M",VLOOKUP(B:B,'male g'!A:V,IF(A54&gt;2033,22,MATCH(A54,'male g'!$A$1:$V$1,0)),FALSE),VLOOKUP(B:B,'female g'!A:V,IF(A54&gt;2033,22,MATCH(A54,'female g'!$A$1:$V$1,0)),FALSE))</f>
        <v>0.20546988897968524</v>
      </c>
      <c r="E54" s="1">
        <f t="shared" si="2"/>
        <v>0.79453011102031479</v>
      </c>
      <c r="F54" s="1">
        <f t="shared" si="3"/>
        <v>0.81153615795526246</v>
      </c>
      <c r="G54" s="1">
        <f>1/(1+Summary!$O$2)^$C54</f>
        <v>7.9096350995356543E-2</v>
      </c>
      <c r="H54" s="1">
        <f>IF(B54&gt;64, Summary!$J$13, 0)*'TV 12'!G54*'TV 12'!F54</f>
        <v>1002.5373938477794</v>
      </c>
      <c r="I54" s="1"/>
    </row>
    <row r="55" spans="1:9">
      <c r="A55" s="1">
        <f t="shared" si="5"/>
        <v>2072</v>
      </c>
      <c r="B55" s="1">
        <f t="shared" si="1"/>
        <v>97</v>
      </c>
      <c r="C55" s="1">
        <v>53</v>
      </c>
      <c r="D55" s="1">
        <f>IF(Summary!$G$13="M",VLOOKUP(B:B,'male g'!A:V,IF(A55&gt;2033,22,MATCH(A55,'male g'!$A$1:$V$1,0)),FALSE),VLOOKUP(B:B,'female g'!A:V,IF(A55&gt;2033,22,MATCH(A55,'female g'!$A$1:$V$1,0)),FALSE))</f>
        <v>0.22317315569892124</v>
      </c>
      <c r="E55" s="1">
        <f t="shared" si="2"/>
        <v>0.77682684430107873</v>
      </c>
      <c r="F55" s="1">
        <f t="shared" si="3"/>
        <v>0.79453011102031479</v>
      </c>
      <c r="G55" s="1">
        <f>1/(1+Summary!$O$2)^$C55</f>
        <v>7.5329858090815757E-2</v>
      </c>
      <c r="H55" s="1">
        <f>IF(B55&gt;64, Summary!$J$13, 0)*'TV 12'!G55*'TV 12'!F55</f>
        <v>934.78937506659588</v>
      </c>
      <c r="I55" s="1"/>
    </row>
    <row r="56" spans="1:9">
      <c r="A56" s="1">
        <f t="shared" si="5"/>
        <v>2073</v>
      </c>
      <c r="B56" s="1">
        <f t="shared" si="1"/>
        <v>98</v>
      </c>
      <c r="C56" s="1">
        <v>54</v>
      </c>
      <c r="D56" s="1">
        <f>IF(Summary!$G$13="M",VLOOKUP(B:B,'male g'!A:V,IF(A56&gt;2033,22,MATCH(A56,'male g'!$A$1:$V$1,0)),FALSE),VLOOKUP(B:B,'female g'!A:V,IF(A56&gt;2033,22,MATCH(A56,'female g'!$A$1:$V$1,0)),FALSE))</f>
        <v>0.2417371960764223</v>
      </c>
      <c r="E56" s="1">
        <f t="shared" si="2"/>
        <v>0.7582628039235777</v>
      </c>
      <c r="F56" s="1">
        <f t="shared" si="3"/>
        <v>0.77682684430107873</v>
      </c>
      <c r="G56" s="1">
        <f>1/(1+Summary!$O$2)^$C56</f>
        <v>7.1742721991253117E-2</v>
      </c>
      <c r="H56" s="1">
        <f>IF(B56&gt;64, Summary!$J$13, 0)*'TV 12'!G56*'TV 12'!F56</f>
        <v>870.43898231650701</v>
      </c>
      <c r="I56" s="1"/>
    </row>
    <row r="57" spans="1:9">
      <c r="A57" s="1">
        <f t="shared" si="5"/>
        <v>2074</v>
      </c>
      <c r="B57" s="1">
        <f t="shared" si="1"/>
        <v>99</v>
      </c>
      <c r="C57" s="1">
        <v>55</v>
      </c>
      <c r="D57" s="1">
        <f>IF(Summary!$G$13="M",VLOOKUP(B:B,'male g'!A:V,IF(A57&gt;2033,22,MATCH(A57,'male g'!$A$1:$V$1,0)),FALSE),VLOOKUP(B:B,'female g'!A:V,IF(A57&gt;2033,22,MATCH(A57,'female g'!$A$1:$V$1,0)),FALSE))</f>
        <v>0.26102364427750568</v>
      </c>
      <c r="E57" s="1">
        <f t="shared" si="2"/>
        <v>0.73897635572249432</v>
      </c>
      <c r="F57" s="1">
        <f t="shared" si="3"/>
        <v>0.7582628039235777</v>
      </c>
      <c r="G57" s="1">
        <f>1/(1+Summary!$O$2)^$C57</f>
        <v>6.8326401896431521E-2</v>
      </c>
      <c r="H57" s="1">
        <f>IF(B57&gt;64, Summary!$J$13, 0)*'TV 12'!G57*'TV 12'!F57</f>
        <v>809.17892138808543</v>
      </c>
      <c r="I57" s="1"/>
    </row>
    <row r="58" spans="1:9">
      <c r="A58" s="1">
        <f t="shared" si="5"/>
        <v>2075</v>
      </c>
      <c r="B58" s="1">
        <f t="shared" si="1"/>
        <v>100</v>
      </c>
      <c r="C58" s="1">
        <v>56</v>
      </c>
      <c r="D58" s="1">
        <f>IF(Summary!$G$13="M",VLOOKUP(B:B,'male g'!A:V,IF(A58&gt;2033,22,MATCH(A58,'male g'!$A$1:$V$1,0)),FALSE),VLOOKUP(B:B,'female g'!A:V,IF(A58&gt;2033,22,MATCH(A58,'female g'!$A$1:$V$1,0)),FALSE))</f>
        <v>0.2809127683704345</v>
      </c>
      <c r="E58" s="1">
        <f t="shared" si="2"/>
        <v>0.71908723162956556</v>
      </c>
      <c r="F58" s="1">
        <f t="shared" si="3"/>
        <v>0.73897635572249432</v>
      </c>
      <c r="G58" s="1">
        <f>1/(1+Summary!$O$2)^$C58</f>
        <v>6.5072763710887174E-2</v>
      </c>
      <c r="H58" s="1">
        <f>IF(B58&gt;64, Summary!$J$13, 0)*'TV 12'!G58*'TV 12'!F58</f>
        <v>751.04516140076134</v>
      </c>
      <c r="I58" s="1"/>
    </row>
    <row r="59" spans="1:9">
      <c r="A59" s="1">
        <f t="shared" si="5"/>
        <v>2076</v>
      </c>
      <c r="B59" s="1">
        <f t="shared" si="1"/>
        <v>101</v>
      </c>
      <c r="C59" s="1">
        <v>57</v>
      </c>
      <c r="D59" s="1">
        <f>IF(Summary!$G$13="M",VLOOKUP(B:B,'male g'!A:V,IF(A59&gt;2033,22,MATCH(A59,'male g'!$A$1:$V$1,0)),FALSE),VLOOKUP(B:B,'female g'!A:V,IF(A59&gt;2033,22,MATCH(A59,'female g'!$A$1:$V$1,0)),FALSE))</f>
        <v>0.30146810411089092</v>
      </c>
      <c r="E59" s="1">
        <f t="shared" si="2"/>
        <v>0.69853189588910913</v>
      </c>
      <c r="F59" s="1">
        <f t="shared" si="3"/>
        <v>0.71908723162956556</v>
      </c>
      <c r="G59" s="1">
        <f>1/(1+Summary!$O$2)^$C59</f>
        <v>6.1974060677035397E-2</v>
      </c>
      <c r="H59" s="1">
        <f>IF(B59&gt;64, Summary!$J$13, 0)*'TV 12'!G59*'TV 12'!F59</f>
        <v>696.0297260344712</v>
      </c>
      <c r="I59" s="1"/>
    </row>
    <row r="60" spans="1:9">
      <c r="A60" s="1">
        <f t="shared" si="5"/>
        <v>2077</v>
      </c>
      <c r="B60" s="1">
        <f t="shared" si="1"/>
        <v>102</v>
      </c>
      <c r="C60" s="1">
        <v>58</v>
      </c>
      <c r="D60" s="1">
        <f>IF(Summary!$G$13="M",VLOOKUP(B:B,'male g'!A:V,IF(A60&gt;2033,22,MATCH(A60,'male g'!$A$1:$V$1,0)),FALSE),VLOOKUP(B:B,'female g'!A:V,IF(A60&gt;2033,22,MATCH(A60,'female g'!$A$1:$V$1,0)),FALSE))</f>
        <v>0.32206565548145499</v>
      </c>
      <c r="E60" s="1">
        <f t="shared" si="2"/>
        <v>0.67793434451854506</v>
      </c>
      <c r="F60" s="1">
        <f t="shared" si="3"/>
        <v>0.69853189588910913</v>
      </c>
      <c r="G60" s="1">
        <f>1/(1+Summary!$O$2)^$C60</f>
        <v>5.9022914930509894E-2</v>
      </c>
      <c r="H60" s="1">
        <f>IF(B60&gt;64, Summary!$J$13, 0)*'TV 12'!G60*'TV 12'!F60</f>
        <v>643.93666321656201</v>
      </c>
      <c r="I60" s="1"/>
    </row>
    <row r="61" spans="1:9">
      <c r="A61" s="1">
        <f t="shared" si="5"/>
        <v>2078</v>
      </c>
      <c r="B61" s="1">
        <f t="shared" si="1"/>
        <v>103</v>
      </c>
      <c r="C61" s="1">
        <v>59</v>
      </c>
      <c r="D61" s="1">
        <f>IF(Summary!$G$13="M",VLOOKUP(B:B,'male g'!A:V,IF(A61&gt;2033,22,MATCH(A61,'male g'!$A$1:$V$1,0)),FALSE),VLOOKUP(B:B,'female g'!A:V,IF(A61&gt;2033,22,MATCH(A61,'female g'!$A$1:$V$1,0)),FALSE))</f>
        <v>0.3427697952313476</v>
      </c>
      <c r="E61" s="1">
        <f t="shared" si="2"/>
        <v>0.65723020476865246</v>
      </c>
      <c r="F61" s="1">
        <f t="shared" si="3"/>
        <v>0.67793434451854506</v>
      </c>
      <c r="G61" s="1">
        <f>1/(1+Summary!$O$2)^$C61</f>
        <v>5.6212299933818946E-2</v>
      </c>
      <c r="H61" s="1">
        <f>IF(B61&gt;64, Summary!$J$13, 0)*'TV 12'!G61*'TV 12'!F61</f>
        <v>595.18948275086245</v>
      </c>
      <c r="I61" s="1"/>
    </row>
    <row r="62" spans="1:9">
      <c r="A62" s="1">
        <f t="shared" si="5"/>
        <v>2079</v>
      </c>
      <c r="B62" s="1">
        <f t="shared" si="1"/>
        <v>104</v>
      </c>
      <c r="C62" s="1">
        <v>60</v>
      </c>
      <c r="D62" s="1">
        <f>IF(Summary!$G$13="M",VLOOKUP(B:B,'male g'!A:V,IF(A62&gt;2033,22,MATCH(A62,'male g'!$A$1:$V$1,0)),FALSE),VLOOKUP(B:B,'female g'!A:V,IF(A62&gt;2033,22,MATCH(A62,'female g'!$A$1:$V$1,0)),FALSE))</f>
        <v>0.36312182573243618</v>
      </c>
      <c r="E62" s="1">
        <f t="shared" si="2"/>
        <v>0.63687817426756377</v>
      </c>
      <c r="F62" s="1">
        <f t="shared" si="3"/>
        <v>0.65723020476865246</v>
      </c>
      <c r="G62" s="1">
        <f>1/(1+Summary!$O$2)^$C62</f>
        <v>5.3535523746494243E-2</v>
      </c>
      <c r="H62" s="1">
        <f>IF(B62&gt;64, Summary!$J$13, 0)*'TV 12'!G62*'TV 12'!F62</f>
        <v>549.53559439489493</v>
      </c>
      <c r="I62" s="1"/>
    </row>
    <row r="63" spans="1:9">
      <c r="A63" s="1">
        <f t="shared" si="5"/>
        <v>2080</v>
      </c>
      <c r="B63" s="1">
        <f t="shared" si="1"/>
        <v>105</v>
      </c>
      <c r="C63" s="1">
        <v>61</v>
      </c>
      <c r="D63" s="1">
        <f>IF(Summary!$G$13="M",VLOOKUP(B:B,'male g'!A:V,IF(A63&gt;2033,22,MATCH(A63,'male g'!$A$1:$V$1,0)),FALSE),VLOOKUP(B:B,'female g'!A:V,IF(A63&gt;2033,22,MATCH(A63,'female g'!$A$1:$V$1,0)),FALSE))</f>
        <v>0.38340857179772014</v>
      </c>
      <c r="E63" s="1">
        <f t="shared" si="2"/>
        <v>0.61659142820227986</v>
      </c>
      <c r="F63" s="1">
        <f t="shared" si="3"/>
        <v>0.63687817426756377</v>
      </c>
      <c r="G63" s="1">
        <f>1/(1+Summary!$O$2)^$C63</f>
        <v>5.0986213091899268E-2</v>
      </c>
      <c r="H63" s="1">
        <f>IF(B63&gt;64, Summary!$J$13, 0)*'TV 12'!G63*'TV 12'!F63</f>
        <v>507.16045192582516</v>
      </c>
      <c r="I63" s="1"/>
    </row>
    <row r="64" spans="1:9">
      <c r="A64" s="1">
        <f t="shared" si="5"/>
        <v>2081</v>
      </c>
      <c r="B64" s="1">
        <f t="shared" si="1"/>
        <v>106</v>
      </c>
      <c r="C64" s="1">
        <v>62</v>
      </c>
      <c r="D64" s="1">
        <f>IF(Summary!$G$13="M",VLOOKUP(B:B,'male g'!A:V,IF(A64&gt;2033,22,MATCH(A64,'male g'!$A$1:$V$1,0)),FALSE),VLOOKUP(B:B,'female g'!A:V,IF(A64&gt;2033,22,MATCH(A64,'female g'!$A$1:$V$1,0)),FALSE))</f>
        <v>0.4032562438470747</v>
      </c>
      <c r="E64" s="1">
        <f t="shared" si="2"/>
        <v>0.5967437561529253</v>
      </c>
      <c r="F64" s="1">
        <f t="shared" si="3"/>
        <v>0.61659142820227986</v>
      </c>
      <c r="G64" s="1">
        <f>1/(1+Summary!$O$2)^$C64</f>
        <v>4.855829818276123E-2</v>
      </c>
      <c r="H64" s="1">
        <f>IF(B64&gt;64, Summary!$J$13, 0)*'TV 12'!G64*'TV 12'!F64</f>
        <v>467.62443672668485</v>
      </c>
      <c r="I64" s="1"/>
    </row>
    <row r="65" spans="1:9">
      <c r="A65" s="1">
        <f t="shared" si="5"/>
        <v>2082</v>
      </c>
      <c r="B65" s="1">
        <f t="shared" si="1"/>
        <v>107</v>
      </c>
      <c r="C65" s="1">
        <v>63</v>
      </c>
      <c r="D65" s="1">
        <f>IF(Summary!$G$13="M",VLOOKUP(B:B,'male g'!A:V,IF(A65&gt;2033,22,MATCH(A65,'male g'!$A$1:$V$1,0)),FALSE),VLOOKUP(B:B,'female g'!A:V,IF(A65&gt;2033,22,MATCH(A65,'female g'!$A$1:$V$1,0)),FALSE))</f>
        <v>0.42246723803499708</v>
      </c>
      <c r="E65" s="1">
        <f t="shared" si="2"/>
        <v>0.57753276196500292</v>
      </c>
      <c r="F65" s="1">
        <f t="shared" si="3"/>
        <v>0.5967437561529253</v>
      </c>
      <c r="G65" s="1">
        <f>1/(1+Summary!$O$2)^$C65</f>
        <v>4.6245998269296387E-2</v>
      </c>
      <c r="H65" s="1">
        <f>IF(B65&gt;64, Summary!$J$13, 0)*'TV 12'!G65*'TV 12'!F65</f>
        <v>431.02087051276391</v>
      </c>
      <c r="I65" s="1"/>
    </row>
    <row r="66" spans="1:9">
      <c r="A66" s="1">
        <f t="shared" si="5"/>
        <v>2083</v>
      </c>
      <c r="B66" s="1">
        <f t="shared" si="1"/>
        <v>108</v>
      </c>
      <c r="C66" s="1">
        <v>64</v>
      </c>
      <c r="D66" s="1">
        <f>IF(Summary!$G$13="M",VLOOKUP(B:B,'male g'!A:V,IF(A66&gt;2033,22,MATCH(A66,'male g'!$A$1:$V$1,0)),FALSE),VLOOKUP(B:B,'female g'!A:V,IF(A66&gt;2033,22,MATCH(A66,'female g'!$A$1:$V$1,0)),FALSE))</f>
        <v>0.44119749280646176</v>
      </c>
      <c r="E66" s="1">
        <f t="shared" si="2"/>
        <v>0.5588025071935383</v>
      </c>
      <c r="F66" s="1">
        <f t="shared" si="3"/>
        <v>0.57753276196500292</v>
      </c>
      <c r="G66" s="1">
        <f>1/(1+Summary!$O$2)^$C66</f>
        <v>4.4043807875520369E-2</v>
      </c>
      <c r="H66" s="1">
        <f>IF(B66&gt;64, Summary!$J$13, 0)*'TV 12'!G66*'TV 12'!F66</f>
        <v>397.28095182457474</v>
      </c>
      <c r="I66" s="1"/>
    </row>
    <row r="67" spans="1:9">
      <c r="A67" s="1">
        <f t="shared" si="5"/>
        <v>2084</v>
      </c>
      <c r="B67" s="1">
        <f t="shared" si="1"/>
        <v>109</v>
      </c>
      <c r="C67" s="1">
        <v>65</v>
      </c>
      <c r="D67" s="1">
        <f>IF(Summary!$G$13="M",VLOOKUP(B:B,'male g'!A:V,IF(A67&gt;2033,22,MATCH(A67,'male g'!$A$1:$V$1,0)),FALSE),VLOOKUP(B:B,'female g'!A:V,IF(A67&gt;2033,22,MATCH(A67,'female g'!$A$1:$V$1,0)),FALSE))</f>
        <v>0.45907299166148602</v>
      </c>
      <c r="E67" s="1">
        <f t="shared" si="2"/>
        <v>0.54092700833851404</v>
      </c>
      <c r="F67" s="1">
        <f t="shared" si="3"/>
        <v>0.5588025071935383</v>
      </c>
      <c r="G67" s="1">
        <f>1/(1+Summary!$O$2)^$C67</f>
        <v>4.1946483690971779E-2</v>
      </c>
      <c r="H67" s="1">
        <f>IF(B67&gt;64, Summary!$J$13, 0)*'TV 12'!G67*'TV 12'!F67</f>
        <v>366.09193709175884</v>
      </c>
      <c r="I67" s="1"/>
    </row>
    <row r="68" spans="1:9">
      <c r="A68" s="1">
        <f t="shared" si="5"/>
        <v>2085</v>
      </c>
      <c r="B68" s="1">
        <f t="shared" ref="B68:B73" si="6">$B$2+C68</f>
        <v>110</v>
      </c>
      <c r="C68" s="1">
        <v>66</v>
      </c>
      <c r="D68" s="1">
        <f>IF(Summary!$G$13="M",VLOOKUP(B:B,'male g'!A:V,IF(A68&gt;2033,22,MATCH(A68,'male g'!$A$1:$V$1,0)),FALSE),VLOOKUP(B:B,'female g'!A:V,IF(A68&gt;2033,22,MATCH(A68,'female g'!$A$1:$V$1,0)),FALSE))</f>
        <v>0.47644967979565578</v>
      </c>
      <c r="E68" s="1">
        <f t="shared" ref="E68:E78" si="7">1-D68</f>
        <v>0.52355032020434422</v>
      </c>
      <c r="F68" s="1">
        <f t="shared" ref="F68:F78" si="8">E67</f>
        <v>0.54092700833851404</v>
      </c>
      <c r="G68" s="1">
        <f>1/(1+Summary!$O$2)^$C68</f>
        <v>3.9949032086639788E-2</v>
      </c>
      <c r="H68" s="1">
        <f>IF(B68&gt;64, Summary!$J$13, 0)*'TV 12'!G68*'TV 12'!F68</f>
        <v>337.50575690430361</v>
      </c>
      <c r="I68" s="1"/>
    </row>
    <row r="69" spans="1:9">
      <c r="A69" s="1">
        <f t="shared" si="5"/>
        <v>2086</v>
      </c>
      <c r="B69" s="1">
        <f t="shared" si="6"/>
        <v>111</v>
      </c>
      <c r="C69" s="1">
        <v>67</v>
      </c>
      <c r="D69" s="1">
        <f>IF(Summary!$G$13="M",VLOOKUP(B:B,'male g'!A:V,IF(A69&gt;2033,22,MATCH(A69,'male g'!$A$1:$V$1,0)),FALSE),VLOOKUP(B:B,'female g'!A:V,IF(A69&gt;2033,22,MATCH(A69,'female g'!$A$1:$V$1,0)),FALSE))</f>
        <v>0.48540620500607778</v>
      </c>
      <c r="E69" s="1">
        <f t="shared" si="7"/>
        <v>0.51459379499392222</v>
      </c>
      <c r="F69" s="1">
        <f t="shared" si="8"/>
        <v>0.52355032020434422</v>
      </c>
      <c r="G69" s="1">
        <f>1/(1+Summary!$O$2)^$C69</f>
        <v>3.8046697225371226E-2</v>
      </c>
      <c r="H69" s="1">
        <f>IF(B69&gt;64, Summary!$J$13, 0)*'TV 12'!G69*'TV 12'!F69</f>
        <v>311.10833699181029</v>
      </c>
      <c r="I69" s="1"/>
    </row>
    <row r="70" spans="1:9">
      <c r="A70" s="1">
        <f t="shared" si="5"/>
        <v>2087</v>
      </c>
      <c r="B70" s="1">
        <f t="shared" si="6"/>
        <v>112</v>
      </c>
      <c r="C70" s="1">
        <v>68</v>
      </c>
      <c r="D70" s="1">
        <f>IF(Summary!$G$13="M",VLOOKUP(B:B,'male g'!A:V,IF(A70&gt;2033,22,MATCH(A70,'male g'!$A$1:$V$1,0)),FALSE),VLOOKUP(B:B,'female g'!A:V,IF(A70&gt;2033,22,MATCH(A70,'female g'!$A$1:$V$1,0)),FALSE))</f>
        <v>0.48906519527204906</v>
      </c>
      <c r="E70" s="1">
        <f t="shared" si="7"/>
        <v>0.51093480472795094</v>
      </c>
      <c r="F70" s="1">
        <f t="shared" si="8"/>
        <v>0.51459379499392222</v>
      </c>
      <c r="G70" s="1">
        <f>1/(1+Summary!$O$2)^$C70</f>
        <v>3.6234949738448791E-2</v>
      </c>
      <c r="H70" s="1">
        <f>IF(B70&gt;64, Summary!$J$13, 0)*'TV 12'!G70*'TV 12'!F70</f>
        <v>291.22487391083848</v>
      </c>
      <c r="I70" s="1"/>
    </row>
    <row r="71" spans="1:9">
      <c r="A71" s="1">
        <f t="shared" si="5"/>
        <v>2088</v>
      </c>
      <c r="B71" s="1">
        <f t="shared" si="6"/>
        <v>113</v>
      </c>
      <c r="C71" s="1">
        <v>69</v>
      </c>
      <c r="D71" s="1">
        <f>IF(Summary!$G$13="M",VLOOKUP(B:B,'male g'!A:V,IF(A71&gt;2033,22,MATCH(A71,'male g'!$A$1:$V$1,0)),FALSE),VLOOKUP(B:B,'female g'!A:V,IF(A71&gt;2033,22,MATCH(A71,'female g'!$A$1:$V$1,0)),FALSE))</f>
        <v>0.49265177497129853</v>
      </c>
      <c r="E71" s="1">
        <f t="shared" si="7"/>
        <v>0.50734822502870147</v>
      </c>
      <c r="F71" s="1">
        <f t="shared" si="8"/>
        <v>0.51093480472795094</v>
      </c>
      <c r="G71" s="1">
        <f>1/(1+Summary!$O$2)^$C71</f>
        <v>3.4509475941379798E-2</v>
      </c>
      <c r="H71" s="1">
        <f>IF(B71&gt;64, Summary!$J$13, 0)*'TV 12'!G71*'TV 12'!F71</f>
        <v>275.38489124558413</v>
      </c>
      <c r="I71" s="1"/>
    </row>
    <row r="72" spans="1:9">
      <c r="A72" s="1">
        <f t="shared" si="5"/>
        <v>2089</v>
      </c>
      <c r="B72" s="1">
        <f t="shared" si="6"/>
        <v>114</v>
      </c>
      <c r="C72" s="1">
        <v>70</v>
      </c>
      <c r="D72" s="1">
        <f>IF(Summary!$G$13="M",VLOOKUP(B:B,'male g'!A:V,IF(A72&gt;2033,22,MATCH(A72,'male g'!$A$1:$V$1,0)),FALSE),VLOOKUP(B:B,'female g'!A:V,IF(A72&gt;2033,22,MATCH(A72,'female g'!$A$1:$V$1,0)),FALSE))</f>
        <v>0.49631296624312721</v>
      </c>
      <c r="E72" s="1">
        <f t="shared" si="7"/>
        <v>0.50368703375687285</v>
      </c>
      <c r="F72" s="1">
        <f t="shared" si="8"/>
        <v>0.50734822502870147</v>
      </c>
      <c r="G72" s="1">
        <f>1/(1+Summary!$O$2)^$C72</f>
        <v>3.2866167563218862E-2</v>
      </c>
      <c r="H72" s="1">
        <f>IF(B72&gt;64, Summary!$J$13, 0)*'TV 12'!G72*'TV 12'!F72</f>
        <v>260.43027404130714</v>
      </c>
      <c r="I72" s="1"/>
    </row>
    <row r="73" spans="1:9">
      <c r="A73" s="1">
        <f t="shared" si="5"/>
        <v>2090</v>
      </c>
      <c r="B73" s="1">
        <f t="shared" si="6"/>
        <v>115</v>
      </c>
      <c r="C73" s="1">
        <v>71</v>
      </c>
      <c r="D73" s="1">
        <f>IF(Summary!$G$13="M",VLOOKUP(B:B,'male g'!A:V,IF(A73&gt;2033,22,MATCH(A73,'male g'!$A$1:$V$1,0)),FALSE),VLOOKUP(B:B,'female g'!A:V,IF(A73&gt;2033,22,MATCH(A73,'female g'!$A$1:$V$1,0)),FALSE))</f>
        <v>0.5</v>
      </c>
      <c r="E73" s="1">
        <f t="shared" si="7"/>
        <v>0.5</v>
      </c>
      <c r="F73" s="1">
        <f t="shared" si="8"/>
        <v>0.50368703375687285</v>
      </c>
      <c r="G73" s="1">
        <f>1/(1+Summary!$O$2)^$C73</f>
        <v>3.1301111964970339E-2</v>
      </c>
      <c r="H73" s="1">
        <f>IF(B73&gt;64, Summary!$J$13, 0)*'TV 12'!G73*'TV 12'!F73</f>
        <v>246.23897497796548</v>
      </c>
      <c r="I73" s="1"/>
    </row>
    <row r="74" spans="1:9">
      <c r="A74" s="1">
        <f>$A$2+C74</f>
        <v>2091</v>
      </c>
      <c r="B74" s="1">
        <f>$B$2+C74</f>
        <v>116</v>
      </c>
      <c r="C74" s="1">
        <v>72</v>
      </c>
      <c r="D74" s="1">
        <f>IF(Summary!$G$13="M",VLOOKUP(B:B,'male g'!A:V,IF(A74&gt;2033,22,MATCH(A74,'male g'!$A$1:$V$1,0)),FALSE),VLOOKUP(B:B,'female g'!A:V,IF(A74&gt;2033,22,MATCH(A74,'female g'!$A$1:$V$1,0)),FALSE))</f>
        <v>0.5</v>
      </c>
      <c r="E74" s="1">
        <f t="shared" si="7"/>
        <v>0.5</v>
      </c>
      <c r="F74" s="1">
        <f t="shared" si="8"/>
        <v>0.5</v>
      </c>
      <c r="G74" s="1">
        <f>1/(1+Summary!$O$2)^$C74</f>
        <v>2.9810582823781274E-2</v>
      </c>
      <c r="H74" s="1">
        <f>IF(B74&gt;64, Summary!$J$13, 0)*'TV 12'!G74*'TV 12'!F74</f>
        <v>232.79665127931668</v>
      </c>
      <c r="I74" s="1"/>
    </row>
    <row r="75" spans="1:9">
      <c r="A75" s="1">
        <f>$A$2+C75</f>
        <v>2092</v>
      </c>
      <c r="B75" s="1">
        <f>$B$2+C75</f>
        <v>117</v>
      </c>
      <c r="C75" s="1">
        <v>73</v>
      </c>
      <c r="D75" s="1">
        <f>IF(Summary!$G$13="M",VLOOKUP(B:B,'male g'!A:V,IF(A75&gt;2033,22,MATCH(A75,'male g'!$A$1:$V$1,0)),FALSE),VLOOKUP(B:B,'female g'!A:V,IF(A75&gt;2033,22,MATCH(A75,'female g'!$A$1:$V$1,0)),FALSE))</f>
        <v>0.5</v>
      </c>
      <c r="E75" s="1">
        <f t="shared" si="7"/>
        <v>0.5</v>
      </c>
      <c r="F75" s="1">
        <f t="shared" si="8"/>
        <v>0.5</v>
      </c>
      <c r="G75" s="1">
        <f>1/(1+Summary!$O$2)^$C75</f>
        <v>2.8391031260744073E-2</v>
      </c>
      <c r="H75" s="1">
        <f>IF(B75&gt;64, Summary!$J$13, 0)*'TV 12'!G75*'TV 12'!F75</f>
        <v>221.71109645649207</v>
      </c>
      <c r="I75" s="1"/>
    </row>
    <row r="76" spans="1:9">
      <c r="A76" s="1">
        <f>$A$2+C76</f>
        <v>2093</v>
      </c>
      <c r="B76" s="1">
        <f>$B$2+C76</f>
        <v>118</v>
      </c>
      <c r="C76" s="1">
        <v>74</v>
      </c>
      <c r="D76" s="1">
        <f>IF(Summary!$G$13="M",VLOOKUP(B:B,'male g'!A:V,IF(A76&gt;2033,22,MATCH(A76,'male g'!$A$1:$V$1,0)),FALSE),VLOOKUP(B:B,'female g'!A:V,IF(A76&gt;2033,22,MATCH(A76,'female g'!$A$1:$V$1,0)),FALSE))</f>
        <v>0.5</v>
      </c>
      <c r="E76" s="1">
        <f t="shared" si="7"/>
        <v>0.5</v>
      </c>
      <c r="F76" s="1">
        <f t="shared" si="8"/>
        <v>0.5</v>
      </c>
      <c r="G76" s="1">
        <f>1/(1+Summary!$O$2)^$C76</f>
        <v>2.7039077391184833E-2</v>
      </c>
      <c r="H76" s="1">
        <f>IF(B76&gt;64, Summary!$J$13, 0)*'TV 12'!G76*'TV 12'!F76</f>
        <v>211.15342519665913</v>
      </c>
      <c r="I76" s="1"/>
    </row>
    <row r="77" spans="1:9">
      <c r="A77" s="1">
        <f>$A$2+C77</f>
        <v>2094</v>
      </c>
      <c r="B77" s="1">
        <f>$B$2+C77</f>
        <v>119</v>
      </c>
      <c r="C77" s="1">
        <v>75</v>
      </c>
      <c r="D77" s="1">
        <f>IF(Summary!$G$13="M",VLOOKUP(B:B,'male g'!A:V,IF(A77&gt;2033,22,MATCH(A77,'male g'!$A$1:$V$1,0)),FALSE),VLOOKUP(B:B,'female g'!A:V,IF(A77&gt;2033,22,MATCH(A77,'female g'!$A$1:$V$1,0)),FALSE))</f>
        <v>0.5</v>
      </c>
      <c r="E77" s="1">
        <f t="shared" si="7"/>
        <v>0.5</v>
      </c>
      <c r="F77" s="1">
        <f t="shared" si="8"/>
        <v>0.5</v>
      </c>
      <c r="G77" s="1">
        <f>1/(1+Summary!$O$2)^$C77</f>
        <v>2.5751502277318886E-2</v>
      </c>
      <c r="H77" s="1">
        <f>IF(B77&gt;64, Summary!$J$13, 0)*'TV 12'!G77*'TV 12'!F77</f>
        <v>201.09850018729441</v>
      </c>
      <c r="I77" s="1"/>
    </row>
    <row r="78" spans="1:9">
      <c r="A78" s="1">
        <f>$A$2+C78</f>
        <v>2095</v>
      </c>
      <c r="B78" s="1">
        <f>$B$2+C78</f>
        <v>120</v>
      </c>
      <c r="C78" s="1">
        <v>76</v>
      </c>
      <c r="D78" s="1">
        <f>IF(Summary!$G$13="M",VLOOKUP(B:B,'male g'!A:V,IF(A78&gt;2033,22,MATCH(A78,'male g'!$A$1:$V$1,0)),FALSE),VLOOKUP(B:B,'female g'!A:V,IF(A78&gt;2033,22,MATCH(A78,'female g'!$A$1:$V$1,0)),FALSE))</f>
        <v>1</v>
      </c>
      <c r="E78" s="1">
        <f t="shared" si="7"/>
        <v>0</v>
      </c>
      <c r="F78" s="1">
        <f t="shared" si="8"/>
        <v>0.5</v>
      </c>
      <c r="G78" s="1">
        <f>1/(1+Summary!$O$2)^$C78</f>
        <v>2.4525240264113228E-2</v>
      </c>
      <c r="H78" s="1">
        <f>IF(B78&gt;64, Summary!$J$13, 0)*'TV 12'!G78*'TV 12'!F78</f>
        <v>191.5223811307566</v>
      </c>
      <c r="I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98"/>
  <sheetViews>
    <sheetView workbookViewId="0">
      <selection activeCell="I2" sqref="I2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Summary!H14</f>
        <v>44</v>
      </c>
      <c r="C2" s="1">
        <v>0</v>
      </c>
      <c r="D2" s="1">
        <f>IF(Summary!$G$14="M",VLOOKUP(B:B,'male g'!A:V,IF(A2&gt;2033,22,MATCH(A2,'male g'!$A$1:$V$1,0)),FALSE),VLOOKUP(B:B,'female g'!A:V,IF(A2&gt;2033,22,MATCH(A2,'female g'!$A$1:$V$1,0)),FALSE))</f>
        <v>9.0843728847883653E-4</v>
      </c>
      <c r="E2" s="1">
        <f>1-D2</f>
        <v>0.99909156271152111</v>
      </c>
      <c r="F2" s="1">
        <v>1</v>
      </c>
      <c r="G2" s="1">
        <f>1/(1+Summary!$O$2)^$C2</f>
        <v>1</v>
      </c>
      <c r="H2" s="1">
        <f>IF(B2&gt;64, Summary!$J$14, 0)*'TV 13'!G2*'TV 13'!F2</f>
        <v>0</v>
      </c>
      <c r="I2" s="1">
        <f>SUM(H2:H78)</f>
        <v>47917.963801975748</v>
      </c>
    </row>
    <row r="3" spans="1:9">
      <c r="A3" s="1">
        <f>$A$2+C3</f>
        <v>2020</v>
      </c>
      <c r="B3" s="1">
        <f>$B$2+C3</f>
        <v>45</v>
      </c>
      <c r="C3" s="1">
        <v>1</v>
      </c>
      <c r="D3" s="1">
        <f>IF(Summary!$G$14="M",VLOOKUP(B:B,'male g'!A:V,IF(A3&gt;2033,22,MATCH(A3,'male g'!$A$1:$V$1,0)),FALSE),VLOOKUP(B:B,'female g'!A:V,IF(A3&gt;2033,22,MATCH(A3,'female g'!$A$1:$V$1,0)),FALSE))</f>
        <v>9.9607517052241619E-4</v>
      </c>
      <c r="E3" s="1">
        <f>1-D3</f>
        <v>0.99900392482947753</v>
      </c>
      <c r="F3" s="1">
        <f>E2</f>
        <v>0.99909156271152111</v>
      </c>
      <c r="G3" s="1">
        <f>1/(1+Summary!$O$2)^$C3</f>
        <v>0.95238095238095233</v>
      </c>
      <c r="H3" s="1">
        <f>IF(B3&gt;64, Summary!$J$14, 0)*'TV 13'!G3*'TV 13'!F3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46</v>
      </c>
      <c r="C4" s="1">
        <v>2</v>
      </c>
      <c r="D4" s="1">
        <f>IF(Summary!$G$14="M",VLOOKUP(B:B,'male g'!A:V,IF(A4&gt;2033,22,MATCH(A4,'male g'!$A$1:$V$1,0)),FALSE),VLOOKUP(B:B,'female g'!A:V,IF(A4&gt;2033,22,MATCH(A4,'female g'!$A$1:$V$1,0)),FALSE))</f>
        <v>1.0953695499167531E-3</v>
      </c>
      <c r="E4" s="1">
        <f t="shared" ref="E4:E67" si="2">1-D4</f>
        <v>0.99890463045008326</v>
      </c>
      <c r="F4" s="1">
        <f t="shared" ref="F4:F67" si="3">E3</f>
        <v>0.99900392482947753</v>
      </c>
      <c r="G4" s="1">
        <f>1/(1+Summary!$O$2)^$C4</f>
        <v>0.90702947845804982</v>
      </c>
      <c r="H4" s="1">
        <f>IF(B4&gt;64, Summary!$J$14, 0)*'TV 13'!G4*'TV 13'!F4</f>
        <v>0</v>
      </c>
      <c r="I4" s="1"/>
    </row>
    <row r="5" spans="1:9">
      <c r="A5" s="1">
        <f t="shared" si="0"/>
        <v>2022</v>
      </c>
      <c r="B5" s="1">
        <f t="shared" si="1"/>
        <v>47</v>
      </c>
      <c r="C5" s="1">
        <v>3</v>
      </c>
      <c r="D5" s="1">
        <f>IF(Summary!$G$14="M",VLOOKUP(B:B,'male g'!A:V,IF(A5&gt;2033,22,MATCH(A5,'male g'!$A$1:$V$1,0)),FALSE),VLOOKUP(B:B,'female g'!A:V,IF(A5&gt;2033,22,MATCH(A5,'female g'!$A$1:$V$1,0)),FALSE))</f>
        <v>1.2043052219291685E-3</v>
      </c>
      <c r="E5" s="1">
        <f t="shared" si="2"/>
        <v>0.99879569477807084</v>
      </c>
      <c r="F5" s="1">
        <f t="shared" si="3"/>
        <v>0.99890463045008326</v>
      </c>
      <c r="G5" s="1">
        <f>1/(1+Summary!$O$2)^$C5</f>
        <v>0.86383759853147601</v>
      </c>
      <c r="H5" s="1">
        <f>IF(B5&gt;64, Summary!$J$14, 0)*'TV 13'!G5*'TV 13'!F5</f>
        <v>0</v>
      </c>
      <c r="I5" s="1"/>
    </row>
    <row r="6" spans="1:9">
      <c r="A6" s="1">
        <f t="shared" si="0"/>
        <v>2023</v>
      </c>
      <c r="B6" s="1">
        <f t="shared" si="1"/>
        <v>48</v>
      </c>
      <c r="C6" s="1">
        <v>4</v>
      </c>
      <c r="D6" s="1">
        <f>IF(Summary!$G$14="M",VLOOKUP(B:B,'male g'!A:V,IF(A6&gt;2033,22,MATCH(A6,'male g'!$A$1:$V$1,0)),FALSE),VLOOKUP(B:B,'female g'!A:V,IF(A6&gt;2033,22,MATCH(A6,'female g'!$A$1:$V$1,0)),FALSE))</f>
        <v>1.3243674831266408E-3</v>
      </c>
      <c r="E6" s="1">
        <f t="shared" si="2"/>
        <v>0.99867563251687341</v>
      </c>
      <c r="F6" s="1">
        <f t="shared" si="3"/>
        <v>0.99879569477807084</v>
      </c>
      <c r="G6" s="1">
        <f>1/(1+Summary!$O$2)^$C6</f>
        <v>0.82270247479188197</v>
      </c>
      <c r="H6" s="1">
        <f>IF(B6&gt;64, Summary!$J$14, 0)*'TV 13'!G6*'TV 13'!F6</f>
        <v>0</v>
      </c>
      <c r="I6" s="1"/>
    </row>
    <row r="7" spans="1:9">
      <c r="A7" s="1">
        <f t="shared" si="0"/>
        <v>2024</v>
      </c>
      <c r="B7" s="1">
        <f t="shared" si="1"/>
        <v>49</v>
      </c>
      <c r="C7" s="1">
        <v>5</v>
      </c>
      <c r="D7" s="1">
        <f>IF(Summary!$G$14="M",VLOOKUP(B:B,'male g'!A:V,IF(A7&gt;2033,22,MATCH(A7,'male g'!$A$1:$V$1,0)),FALSE),VLOOKUP(B:B,'female g'!A:V,IF(A7&gt;2033,22,MATCH(A7,'female g'!$A$1:$V$1,0)),FALSE))</f>
        <v>1.4555619007028812E-3</v>
      </c>
      <c r="E7" s="1">
        <f t="shared" si="2"/>
        <v>0.99854443809929716</v>
      </c>
      <c r="F7" s="1">
        <f t="shared" si="3"/>
        <v>0.99867563251687341</v>
      </c>
      <c r="G7" s="1">
        <f>1/(1+Summary!$O$2)^$C7</f>
        <v>0.78352616646845896</v>
      </c>
      <c r="H7" s="1">
        <f>IF(B7&gt;64, Summary!$J$14, 0)*'TV 13'!G7*'TV 13'!F7</f>
        <v>0</v>
      </c>
      <c r="I7" s="1"/>
    </row>
    <row r="8" spans="1:9">
      <c r="A8" s="1">
        <f t="shared" si="0"/>
        <v>2025</v>
      </c>
      <c r="B8" s="1">
        <f t="shared" si="1"/>
        <v>50</v>
      </c>
      <c r="C8" s="1">
        <v>6</v>
      </c>
      <c r="D8" s="1">
        <f>IF(Summary!$G$14="M",VLOOKUP(B:B,'male g'!A:V,IF(A8&gt;2033,22,MATCH(A8,'male g'!$A$1:$V$1,0)),FALSE),VLOOKUP(B:B,'female g'!A:V,IF(A8&gt;2033,22,MATCH(A8,'female g'!$A$1:$V$1,0)),FALSE))</f>
        <v>3.849328336693407E-3</v>
      </c>
      <c r="E8" s="1">
        <f t="shared" si="2"/>
        <v>0.99615067166330662</v>
      </c>
      <c r="F8" s="1">
        <f t="shared" si="3"/>
        <v>0.99854443809929716</v>
      </c>
      <c r="G8" s="1">
        <f>1/(1+Summary!$O$2)^$C8</f>
        <v>0.74621539663662761</v>
      </c>
      <c r="H8" s="1">
        <f>IF(B8&gt;64, Summary!$J$14, 0)*'TV 13'!G8*'TV 13'!F8</f>
        <v>0</v>
      </c>
      <c r="I8" s="1"/>
    </row>
    <row r="9" spans="1:9">
      <c r="A9" s="1">
        <f t="shared" si="0"/>
        <v>2026</v>
      </c>
      <c r="B9" s="1">
        <f t="shared" si="1"/>
        <v>51</v>
      </c>
      <c r="C9" s="1">
        <v>7</v>
      </c>
      <c r="D9" s="1">
        <f>IF(Summary!$G$14="M",VLOOKUP(B:B,'male g'!A:V,IF(A9&gt;2033,22,MATCH(A9,'male g'!$A$1:$V$1,0)),FALSE),VLOOKUP(B:B,'female g'!A:V,IF(A9&gt;2033,22,MATCH(A9,'female g'!$A$1:$V$1,0)),FALSE))</f>
        <v>4.0998556781452842E-3</v>
      </c>
      <c r="E9" s="1">
        <f t="shared" si="2"/>
        <v>0.9959001443218547</v>
      </c>
      <c r="F9" s="1">
        <f t="shared" si="3"/>
        <v>0.99615067166330662</v>
      </c>
      <c r="G9" s="1">
        <f>1/(1+Summary!$O$2)^$C9</f>
        <v>0.71068133013012147</v>
      </c>
      <c r="H9" s="1">
        <f>IF(B9&gt;64, Summary!$J$14, 0)*'TV 13'!G9*'TV 13'!F9</f>
        <v>0</v>
      </c>
      <c r="I9" s="1"/>
    </row>
    <row r="10" spans="1:9">
      <c r="A10" s="1">
        <f t="shared" si="0"/>
        <v>2027</v>
      </c>
      <c r="B10" s="1">
        <f t="shared" si="1"/>
        <v>52</v>
      </c>
      <c r="C10" s="1">
        <v>8</v>
      </c>
      <c r="D10" s="1">
        <f>IF(Summary!$G$14="M",VLOOKUP(B:B,'male g'!A:V,IF(A10&gt;2033,22,MATCH(A10,'male g'!$A$1:$V$1,0)),FALSE),VLOOKUP(B:B,'female g'!A:V,IF(A10&gt;2033,22,MATCH(A10,'female g'!$A$1:$V$1,0)),FALSE))</f>
        <v>4.3545836088183338E-3</v>
      </c>
      <c r="E10" s="1">
        <f t="shared" si="2"/>
        <v>0.99564541639118165</v>
      </c>
      <c r="F10" s="1">
        <f t="shared" si="3"/>
        <v>0.9959001443218547</v>
      </c>
      <c r="G10" s="1">
        <f>1/(1+Summary!$O$2)^$C10</f>
        <v>0.67683936202868722</v>
      </c>
      <c r="H10" s="1">
        <f>IF(B10&gt;64, Summary!$J$14, 0)*'TV 13'!G10*'TV 13'!F10</f>
        <v>0</v>
      </c>
      <c r="I10" s="1"/>
    </row>
    <row r="11" spans="1:9">
      <c r="A11" s="1">
        <f t="shared" si="0"/>
        <v>2028</v>
      </c>
      <c r="B11" s="1">
        <f t="shared" si="1"/>
        <v>53</v>
      </c>
      <c r="C11" s="1">
        <v>9</v>
      </c>
      <c r="D11" s="1">
        <f>IF(Summary!$G$14="M",VLOOKUP(B:B,'male g'!A:V,IF(A11&gt;2033,22,MATCH(A11,'male g'!$A$1:$V$1,0)),FALSE),VLOOKUP(B:B,'female g'!A:V,IF(A11&gt;2033,22,MATCH(A11,'female g'!$A$1:$V$1,0)),FALSE))</f>
        <v>4.615488300758302E-3</v>
      </c>
      <c r="E11" s="1">
        <f t="shared" si="2"/>
        <v>0.99538451169924169</v>
      </c>
      <c r="F11" s="1">
        <f t="shared" si="3"/>
        <v>0.99564541639118165</v>
      </c>
      <c r="G11" s="1">
        <f>1/(1+Summary!$O$2)^$C11</f>
        <v>0.64460891621779726</v>
      </c>
      <c r="H11" s="1">
        <f>IF(B11&gt;64, Summary!$J$14, 0)*'TV 13'!G11*'TV 13'!F11</f>
        <v>0</v>
      </c>
      <c r="I11" s="1"/>
    </row>
    <row r="12" spans="1:9">
      <c r="A12" s="1">
        <f t="shared" si="0"/>
        <v>2029</v>
      </c>
      <c r="B12" s="1">
        <f t="shared" si="1"/>
        <v>54</v>
      </c>
      <c r="C12" s="1">
        <v>10</v>
      </c>
      <c r="D12" s="1">
        <f>IF(Summary!$G$14="M",VLOOKUP(B:B,'male g'!A:V,IF(A12&gt;2033,22,MATCH(A12,'male g'!$A$1:$V$1,0)),FALSE),VLOOKUP(B:B,'female g'!A:V,IF(A12&gt;2033,22,MATCH(A12,'female g'!$A$1:$V$1,0)),FALSE))</f>
        <v>4.8871347852713605E-3</v>
      </c>
      <c r="E12" s="1">
        <f t="shared" si="2"/>
        <v>0.99511286521472864</v>
      </c>
      <c r="F12" s="1">
        <f t="shared" si="3"/>
        <v>0.99538451169924169</v>
      </c>
      <c r="G12" s="1">
        <f>1/(1+Summary!$O$2)^$C12</f>
        <v>0.61391325354075932</v>
      </c>
      <c r="H12" s="1">
        <f>IF(B12&gt;64, Summary!$J$14, 0)*'TV 13'!G12*'TV 13'!F12</f>
        <v>0</v>
      </c>
      <c r="I12" s="1"/>
    </row>
    <row r="13" spans="1:9">
      <c r="A13" s="1">
        <f t="shared" si="0"/>
        <v>2030</v>
      </c>
      <c r="B13" s="1">
        <f t="shared" si="1"/>
        <v>55</v>
      </c>
      <c r="C13" s="1">
        <v>11</v>
      </c>
      <c r="D13" s="1">
        <f>IF(Summary!$G$14="M",VLOOKUP(B:B,'male g'!A:V,IF(A13&gt;2033,22,MATCH(A13,'male g'!$A$1:$V$1,0)),FALSE),VLOOKUP(B:B,'female g'!A:V,IF(A13&gt;2033,22,MATCH(A13,'female g'!$A$1:$V$1,0)),FALSE))</f>
        <v>5.1686620877391745E-3</v>
      </c>
      <c r="E13" s="1">
        <f t="shared" si="2"/>
        <v>0.99483133791226086</v>
      </c>
      <c r="F13" s="1">
        <f t="shared" si="3"/>
        <v>0.99511286521472864</v>
      </c>
      <c r="G13" s="1">
        <f>1/(1+Summary!$O$2)^$C13</f>
        <v>0.5846792890864374</v>
      </c>
      <c r="H13" s="1">
        <f>IF(B13&gt;64, Summary!$J$14, 0)*'TV 13'!G13*'TV 13'!F13</f>
        <v>0</v>
      </c>
      <c r="I13" s="1"/>
    </row>
    <row r="14" spans="1:9">
      <c r="A14" s="1">
        <f t="shared" si="0"/>
        <v>2031</v>
      </c>
      <c r="B14" s="1">
        <f t="shared" si="1"/>
        <v>56</v>
      </c>
      <c r="C14" s="1">
        <v>12</v>
      </c>
      <c r="D14" s="1">
        <f>IF(Summary!$G$14="M",VLOOKUP(B:B,'male g'!A:V,IF(A14&gt;2033,22,MATCH(A14,'male g'!$A$1:$V$1,0)),FALSE),VLOOKUP(B:B,'female g'!A:V,IF(A14&gt;2033,22,MATCH(A14,'female g'!$A$1:$V$1,0)),FALSE))</f>
        <v>5.4646195077650292E-3</v>
      </c>
      <c r="E14" s="1">
        <f t="shared" si="2"/>
        <v>0.994535380492235</v>
      </c>
      <c r="F14" s="1">
        <f t="shared" si="3"/>
        <v>0.99483133791226086</v>
      </c>
      <c r="G14" s="1">
        <f>1/(1+Summary!$O$2)^$C14</f>
        <v>0.5568374181775595</v>
      </c>
      <c r="H14" s="1">
        <f>IF(B14&gt;64, Summary!$J$14, 0)*'TV 13'!G14*'TV 13'!F14</f>
        <v>0</v>
      </c>
      <c r="I14" s="1"/>
    </row>
    <row r="15" spans="1:9">
      <c r="A15" s="1">
        <f t="shared" si="0"/>
        <v>2032</v>
      </c>
      <c r="B15" s="1">
        <f t="shared" si="1"/>
        <v>57</v>
      </c>
      <c r="C15" s="1">
        <v>13</v>
      </c>
      <c r="D15" s="1">
        <f>IF(Summary!$G$14="M",VLOOKUP(B:B,'male g'!A:V,IF(A15&gt;2033,22,MATCH(A15,'male g'!$A$1:$V$1,0)),FALSE),VLOOKUP(B:B,'female g'!A:V,IF(A15&gt;2033,22,MATCH(A15,'female g'!$A$1:$V$1,0)),FALSE))</f>
        <v>5.7765980291078368E-3</v>
      </c>
      <c r="E15" s="1">
        <f t="shared" si="2"/>
        <v>0.99422340197089221</v>
      </c>
      <c r="F15" s="1">
        <f t="shared" si="3"/>
        <v>0.994535380492235</v>
      </c>
      <c r="G15" s="1">
        <f>1/(1+Summary!$O$2)^$C15</f>
        <v>0.53032135064529462</v>
      </c>
      <c r="H15" s="1">
        <f>IF(B15&gt;64, Summary!$J$14, 0)*'TV 13'!G15*'TV 13'!F15</f>
        <v>0</v>
      </c>
      <c r="I15" s="1"/>
    </row>
    <row r="16" spans="1:9">
      <c r="A16" s="1">
        <f t="shared" si="0"/>
        <v>2033</v>
      </c>
      <c r="B16" s="1">
        <f t="shared" si="1"/>
        <v>58</v>
      </c>
      <c r="C16" s="1">
        <v>14</v>
      </c>
      <c r="D16" s="1">
        <f>IF(Summary!$G$14="M",VLOOKUP(B:B,'male g'!A:V,IF(A16&gt;2033,22,MATCH(A16,'male g'!$A$1:$V$1,0)),FALSE),VLOOKUP(B:B,'female g'!A:V,IF(A16&gt;2033,22,MATCH(A16,'female g'!$A$1:$V$1,0)),FALSE))</f>
        <v>6.112372675981876E-3</v>
      </c>
      <c r="E16" s="1">
        <f t="shared" si="2"/>
        <v>0.99388762732401814</v>
      </c>
      <c r="F16" s="1">
        <f t="shared" si="3"/>
        <v>0.99422340197089221</v>
      </c>
      <c r="G16" s="1">
        <f>1/(1+Summary!$O$2)^$C16</f>
        <v>0.50506795299551888</v>
      </c>
      <c r="H16" s="1">
        <f>IF(B16&gt;64, Summary!$J$14, 0)*'TV 13'!G16*'TV 13'!F16</f>
        <v>0</v>
      </c>
      <c r="I16" s="1"/>
    </row>
    <row r="17" spans="1:9">
      <c r="A17" s="1">
        <f t="shared" si="0"/>
        <v>2034</v>
      </c>
      <c r="B17" s="1">
        <f t="shared" si="1"/>
        <v>59</v>
      </c>
      <c r="C17" s="1">
        <v>15</v>
      </c>
      <c r="D17" s="1">
        <f>IF(Summary!$G$14="M",VLOOKUP(B:B,'male g'!A:V,IF(A17&gt;2033,22,MATCH(A17,'male g'!$A$1:$V$1,0)),FALSE),VLOOKUP(B:B,'female g'!A:V,IF(A17&gt;2033,22,MATCH(A17,'female g'!$A$1:$V$1,0)),FALSE))</f>
        <v>6.4741513414089766E-3</v>
      </c>
      <c r="E17" s="1">
        <f t="shared" si="2"/>
        <v>0.99352584865859106</v>
      </c>
      <c r="F17" s="1">
        <f t="shared" si="3"/>
        <v>0.99388762732401814</v>
      </c>
      <c r="G17" s="1">
        <f>1/(1+Summary!$O$2)^$C17</f>
        <v>0.48101709809097021</v>
      </c>
      <c r="H17" s="1">
        <f>IF(B17&gt;64, Summary!$J$14, 0)*'TV 13'!G17*'TV 13'!F17</f>
        <v>0</v>
      </c>
      <c r="I17" s="1"/>
    </row>
    <row r="18" spans="1:9">
      <c r="A18" s="1">
        <f t="shared" si="0"/>
        <v>2035</v>
      </c>
      <c r="B18" s="1">
        <f t="shared" si="1"/>
        <v>60</v>
      </c>
      <c r="C18" s="1">
        <v>16</v>
      </c>
      <c r="D18" s="1">
        <f>IF(Summary!$G$14="M",VLOOKUP(B:B,'male g'!A:V,IF(A18&gt;2033,22,MATCH(A18,'male g'!$A$1:$V$1,0)),FALSE),VLOOKUP(B:B,'female g'!A:V,IF(A18&gt;2033,22,MATCH(A18,'female g'!$A$1:$V$1,0)),FALSE))</f>
        <v>6.936066846596668E-3</v>
      </c>
      <c r="E18" s="1">
        <f t="shared" si="2"/>
        <v>0.99306393315340336</v>
      </c>
      <c r="F18" s="1">
        <f t="shared" si="3"/>
        <v>0.99352584865859106</v>
      </c>
      <c r="G18" s="1">
        <f>1/(1+Summary!$O$2)^$C18</f>
        <v>0.45811152199140021</v>
      </c>
      <c r="H18" s="1">
        <f>IF(B18&gt;64, Summary!$J$14, 0)*'TV 13'!G18*'TV 13'!F18</f>
        <v>0</v>
      </c>
      <c r="I18" s="1"/>
    </row>
    <row r="19" spans="1:9">
      <c r="A19" s="1">
        <f t="shared" si="0"/>
        <v>2036</v>
      </c>
      <c r="B19" s="1">
        <f t="shared" si="1"/>
        <v>61</v>
      </c>
      <c r="C19" s="1">
        <v>17</v>
      </c>
      <c r="D19" s="1">
        <f>IF(Summary!$G$14="M",VLOOKUP(B:B,'male g'!A:V,IF(A19&gt;2033,22,MATCH(A19,'male g'!$A$1:$V$1,0)),FALSE),VLOOKUP(B:B,'female g'!A:V,IF(A19&gt;2033,22,MATCH(A19,'female g'!$A$1:$V$1,0)),FALSE))</f>
        <v>7.4443231733826182E-3</v>
      </c>
      <c r="E19" s="1">
        <f t="shared" si="2"/>
        <v>0.99255567682661738</v>
      </c>
      <c r="F19" s="1">
        <f t="shared" si="3"/>
        <v>0.99306393315340336</v>
      </c>
      <c r="G19" s="1">
        <f>1/(1+Summary!$O$2)^$C19</f>
        <v>0.43629668761085727</v>
      </c>
      <c r="H19" s="1">
        <f>IF(B19&gt;64, Summary!$J$14, 0)*'TV 13'!G19*'TV 13'!F19</f>
        <v>0</v>
      </c>
      <c r="I19" s="1"/>
    </row>
    <row r="20" spans="1:9">
      <c r="A20" s="1">
        <f t="shared" si="0"/>
        <v>2037</v>
      </c>
      <c r="B20" s="1">
        <f t="shared" si="1"/>
        <v>62</v>
      </c>
      <c r="C20" s="1">
        <v>18</v>
      </c>
      <c r="D20" s="1">
        <f>IF(Summary!$G$14="M",VLOOKUP(B:B,'male g'!A:V,IF(A20&gt;2033,22,MATCH(A20,'male g'!$A$1:$V$1,0)),FALSE),VLOOKUP(B:B,'female g'!A:V,IF(A20&gt;2033,22,MATCH(A20,'female g'!$A$1:$V$1,0)),FALSE))</f>
        <v>7.9980591160673849E-3</v>
      </c>
      <c r="E20" s="1">
        <f t="shared" si="2"/>
        <v>0.99200194088393256</v>
      </c>
      <c r="F20" s="1">
        <f t="shared" si="3"/>
        <v>0.99255567682661738</v>
      </c>
      <c r="G20" s="1">
        <f>1/(1+Summary!$O$2)^$C20</f>
        <v>0.41552065486748313</v>
      </c>
      <c r="H20" s="1">
        <f>IF(B20&gt;64, Summary!$J$14, 0)*'TV 13'!G20*'TV 13'!F20</f>
        <v>0</v>
      </c>
      <c r="I20" s="1"/>
    </row>
    <row r="21" spans="1:9">
      <c r="A21" s="1">
        <f t="shared" si="0"/>
        <v>2038</v>
      </c>
      <c r="B21" s="1">
        <f t="shared" si="1"/>
        <v>63</v>
      </c>
      <c r="C21" s="1">
        <v>19</v>
      </c>
      <c r="D21" s="1">
        <f>IF(Summary!$G$14="M",VLOOKUP(B:B,'male g'!A:V,IF(A21&gt;2033,22,MATCH(A21,'male g'!$A$1:$V$1,0)),FALSE),VLOOKUP(B:B,'female g'!A:V,IF(A21&gt;2033,22,MATCH(A21,'female g'!$A$1:$V$1,0)),FALSE))</f>
        <v>8.6003126935298747E-3</v>
      </c>
      <c r="E21" s="1">
        <f t="shared" si="2"/>
        <v>0.9913996873064701</v>
      </c>
      <c r="F21" s="1">
        <f t="shared" si="3"/>
        <v>0.99200194088393256</v>
      </c>
      <c r="G21" s="1">
        <f>1/(1+Summary!$O$2)^$C21</f>
        <v>0.39573395701665059</v>
      </c>
      <c r="H21" s="1">
        <f>IF(B21&gt;64, Summary!$J$14, 0)*'TV 13'!G21*'TV 13'!F21</f>
        <v>0</v>
      </c>
      <c r="I21" s="1"/>
    </row>
    <row r="22" spans="1:9">
      <c r="A22" s="1">
        <f t="shared" si="0"/>
        <v>2039</v>
      </c>
      <c r="B22" s="1">
        <f t="shared" si="1"/>
        <v>64</v>
      </c>
      <c r="C22" s="1">
        <v>20</v>
      </c>
      <c r="D22" s="1">
        <f>IF(Summary!$G$14="M",VLOOKUP(B:B,'male g'!A:V,IF(A22&gt;2033,22,MATCH(A22,'male g'!$A$1:$V$1,0)),FALSE),VLOOKUP(B:B,'female g'!A:V,IF(A22&gt;2033,22,MATCH(A22,'female g'!$A$1:$V$1,0)),FALSE))</f>
        <v>9.2613902762817488E-3</v>
      </c>
      <c r="E22" s="1">
        <f t="shared" si="2"/>
        <v>0.9907386097237183</v>
      </c>
      <c r="F22" s="1">
        <f t="shared" si="3"/>
        <v>0.9913996873064701</v>
      </c>
      <c r="G22" s="1">
        <f>1/(1+Summary!$O$2)^$C22</f>
        <v>0.37688948287300061</v>
      </c>
      <c r="H22" s="1">
        <f>IF(B22&gt;64, Summary!$J$14, 0)*'TV 13'!G22*'TV 13'!F22</f>
        <v>0</v>
      </c>
      <c r="I22" s="1"/>
    </row>
    <row r="23" spans="1:9">
      <c r="A23" s="1">
        <f t="shared" si="0"/>
        <v>2040</v>
      </c>
      <c r="B23" s="1">
        <f t="shared" si="1"/>
        <v>65</v>
      </c>
      <c r="C23" s="1">
        <v>21</v>
      </c>
      <c r="D23" s="1">
        <f>IF(Summary!$G$14="M",VLOOKUP(B:B,'male g'!A:V,IF(A23&gt;2033,22,MATCH(A23,'male g'!$A$1:$V$1,0)),FALSE),VLOOKUP(B:B,'female g'!A:V,IF(A23&gt;2033,22,MATCH(A23,'female g'!$A$1:$V$1,0)),FALSE))</f>
        <v>9.9822267063302775E-3</v>
      </c>
      <c r="E23" s="1">
        <f t="shared" si="2"/>
        <v>0.99001777329366969</v>
      </c>
      <c r="F23" s="1">
        <f t="shared" si="3"/>
        <v>0.9907386097237183</v>
      </c>
      <c r="G23" s="1">
        <f>1/(1+Summary!$O$2)^$C23</f>
        <v>0.35894236464095297</v>
      </c>
      <c r="H23" s="1">
        <f>IF(B23&gt;64, Summary!$J$14, 0)*'TV 13'!G23*'TV 13'!F23</f>
        <v>2656.3921925946402</v>
      </c>
      <c r="I23" s="1"/>
    </row>
    <row r="24" spans="1:9">
      <c r="A24" s="1">
        <f t="shared" si="0"/>
        <v>2041</v>
      </c>
      <c r="B24" s="1">
        <f t="shared" si="1"/>
        <v>66</v>
      </c>
      <c r="C24" s="1">
        <v>22</v>
      </c>
      <c r="D24" s="1">
        <f>IF(Summary!$G$14="M",VLOOKUP(B:B,'male g'!A:V,IF(A24&gt;2033,22,MATCH(A24,'male g'!$A$1:$V$1,0)),FALSE),VLOOKUP(B:B,'female g'!A:V,IF(A24&gt;2033,22,MATCH(A24,'female g'!$A$1:$V$1,0)),FALSE))</f>
        <v>1.0770988448590023E-2</v>
      </c>
      <c r="E24" s="1">
        <f t="shared" si="2"/>
        <v>0.98922901155140996</v>
      </c>
      <c r="F24" s="1">
        <f t="shared" si="3"/>
        <v>0.99001777329366969</v>
      </c>
      <c r="G24" s="1">
        <f>1/(1+Summary!$O$2)^$C24</f>
        <v>0.3418498710866219</v>
      </c>
      <c r="H24" s="1">
        <f>IF(B24&gt;64, Summary!$J$14, 0)*'TV 13'!G24*'TV 13'!F24</f>
        <v>2528.0566367796987</v>
      </c>
      <c r="I24" s="1"/>
    </row>
    <row r="25" spans="1:9">
      <c r="A25" s="1">
        <f t="shared" si="0"/>
        <v>2042</v>
      </c>
      <c r="B25" s="1">
        <f t="shared" si="1"/>
        <v>67</v>
      </c>
      <c r="C25" s="1">
        <v>23</v>
      </c>
      <c r="D25" s="1">
        <f>IF(Summary!$G$14="M",VLOOKUP(B:B,'male g'!A:V,IF(A25&gt;2033,22,MATCH(A25,'male g'!$A$1:$V$1,0)),FALSE),VLOOKUP(B:B,'female g'!A:V,IF(A25&gt;2033,22,MATCH(A25,'female g'!$A$1:$V$1,0)),FALSE))</f>
        <v>1.1633181958479108E-2</v>
      </c>
      <c r="E25" s="1">
        <f t="shared" si="2"/>
        <v>0.98836681804152093</v>
      </c>
      <c r="F25" s="1">
        <f t="shared" si="3"/>
        <v>0.98922901155140996</v>
      </c>
      <c r="G25" s="1">
        <f>1/(1+Summary!$O$2)^$C25</f>
        <v>0.32557130579678267</v>
      </c>
      <c r="H25" s="1">
        <f>IF(B25&gt;64, Summary!$J$14, 0)*'TV 13'!G25*'TV 13'!F25</f>
        <v>2405.7547588768107</v>
      </c>
      <c r="I25" s="1"/>
    </row>
    <row r="26" spans="1:9">
      <c r="A26" s="1">
        <f t="shared" si="0"/>
        <v>2043</v>
      </c>
      <c r="B26" s="1">
        <f t="shared" si="1"/>
        <v>68</v>
      </c>
      <c r="C26" s="1">
        <v>24</v>
      </c>
      <c r="D26" s="1">
        <f>IF(Summary!$G$14="M",VLOOKUP(B:B,'male g'!A:V,IF(A26&gt;2033,22,MATCH(A26,'male g'!$A$1:$V$1,0)),FALSE),VLOOKUP(B:B,'female g'!A:V,IF(A26&gt;2033,22,MATCH(A26,'female g'!$A$1:$V$1,0)),FALSE))</f>
        <v>1.2580700369048322E-2</v>
      </c>
      <c r="E26" s="1">
        <f t="shared" si="2"/>
        <v>0.98741929963095165</v>
      </c>
      <c r="F26" s="1">
        <f t="shared" si="3"/>
        <v>0.98836681804152093</v>
      </c>
      <c r="G26" s="1">
        <f>1/(1+Summary!$O$2)^$C26</f>
        <v>0.31006791028265024</v>
      </c>
      <c r="H26" s="1">
        <f>IF(B26&gt;64, Summary!$J$14, 0)*'TV 13'!G26*'TV 13'!F26</f>
        <v>2289.198045725444</v>
      </c>
      <c r="I26" s="1"/>
    </row>
    <row r="27" spans="1:9">
      <c r="A27" s="1">
        <f t="shared" si="0"/>
        <v>2044</v>
      </c>
      <c r="B27" s="1">
        <f t="shared" si="1"/>
        <v>69</v>
      </c>
      <c r="C27" s="1">
        <v>25</v>
      </c>
      <c r="D27" s="1">
        <f>IF(Summary!$G$14="M",VLOOKUP(B:B,'male g'!A:V,IF(A27&gt;2033,22,MATCH(A27,'male g'!$A$1:$V$1,0)),FALSE),VLOOKUP(B:B,'female g'!A:V,IF(A27&gt;2033,22,MATCH(A27,'female g'!$A$1:$V$1,0)),FALSE))</f>
        <v>1.3626686177724836E-2</v>
      </c>
      <c r="E27" s="1">
        <f t="shared" si="2"/>
        <v>0.98637331382227511</v>
      </c>
      <c r="F27" s="1">
        <f t="shared" si="3"/>
        <v>0.98741929963095165</v>
      </c>
      <c r="G27" s="1">
        <f>1/(1+Summary!$O$2)^$C27</f>
        <v>0.29530277169776209</v>
      </c>
      <c r="H27" s="1">
        <f>IF(B27&gt;64, Summary!$J$14, 0)*'TV 13'!G27*'TV 13'!F27</f>
        <v>2178.0985318075955</v>
      </c>
      <c r="I27" s="1"/>
    </row>
    <row r="28" spans="1:9">
      <c r="A28" s="1">
        <f t="shared" si="0"/>
        <v>2045</v>
      </c>
      <c r="B28" s="1">
        <f t="shared" si="1"/>
        <v>70</v>
      </c>
      <c r="C28" s="1">
        <v>26</v>
      </c>
      <c r="D28" s="1">
        <f>IF(Summary!$G$14="M",VLOOKUP(B:B,'male g'!A:V,IF(A28&gt;2033,22,MATCH(A28,'male g'!$A$1:$V$1,0)),FALSE),VLOOKUP(B:B,'female g'!A:V,IF(A28&gt;2033,22,MATCH(A28,'female g'!$A$1:$V$1,0)),FALSE))</f>
        <v>1.4793079982031035E-2</v>
      </c>
      <c r="E28" s="1">
        <f t="shared" si="2"/>
        <v>0.98520692001796895</v>
      </c>
      <c r="F28" s="1">
        <f t="shared" si="3"/>
        <v>0.98637331382227511</v>
      </c>
      <c r="G28" s="1">
        <f>1/(1+Summary!$O$2)^$C28</f>
        <v>0.28124073495024959</v>
      </c>
      <c r="H28" s="1">
        <f>IF(B28&gt;64, Summary!$J$14, 0)*'TV 13'!G28*'TV 13'!F28</f>
        <v>2072.1821374870474</v>
      </c>
      <c r="I28" s="1"/>
    </row>
    <row r="29" spans="1:9">
      <c r="A29" s="1">
        <f t="shared" si="0"/>
        <v>2046</v>
      </c>
      <c r="B29" s="1">
        <f t="shared" si="1"/>
        <v>71</v>
      </c>
      <c r="C29" s="1">
        <v>27</v>
      </c>
      <c r="D29" s="1">
        <f>IF(Summary!$G$14="M",VLOOKUP(B:B,'male g'!A:V,IF(A29&gt;2033,22,MATCH(A29,'male g'!$A$1:$V$1,0)),FALSE),VLOOKUP(B:B,'female g'!A:V,IF(A29&gt;2033,22,MATCH(A29,'female g'!$A$1:$V$1,0)),FALSE))</f>
        <v>1.6081052063459764E-2</v>
      </c>
      <c r="E29" s="1">
        <f t="shared" si="2"/>
        <v>0.98391894793654022</v>
      </c>
      <c r="F29" s="1">
        <f t="shared" si="3"/>
        <v>0.98520692001796895</v>
      </c>
      <c r="G29" s="1">
        <f>1/(1+Summary!$O$2)^$C29</f>
        <v>0.2678483190002377</v>
      </c>
      <c r="H29" s="1">
        <f>IF(B29&gt;64, Summary!$J$14, 0)*'TV 13'!G29*'TV 13'!F29</f>
        <v>1971.1731110914461</v>
      </c>
      <c r="I29" s="1"/>
    </row>
    <row r="30" spans="1:9">
      <c r="A30" s="1">
        <f t="shared" si="0"/>
        <v>2047</v>
      </c>
      <c r="B30" s="1">
        <f t="shared" si="1"/>
        <v>72</v>
      </c>
      <c r="C30" s="1">
        <v>28</v>
      </c>
      <c r="D30" s="1">
        <f>IF(Summary!$G$14="M",VLOOKUP(B:B,'male g'!A:V,IF(A30&gt;2033,22,MATCH(A30,'male g'!$A$1:$V$1,0)),FALSE),VLOOKUP(B:B,'female g'!A:V,IF(A30&gt;2033,22,MATCH(A30,'female g'!$A$1:$V$1,0)),FALSE))</f>
        <v>1.7512751333317752E-2</v>
      </c>
      <c r="E30" s="1">
        <f t="shared" si="2"/>
        <v>0.98248724866668224</v>
      </c>
      <c r="F30" s="1">
        <f t="shared" si="3"/>
        <v>0.98391894793654022</v>
      </c>
      <c r="G30" s="1">
        <f>1/(1+Summary!$O$2)^$C30</f>
        <v>0.25509363714308358</v>
      </c>
      <c r="H30" s="1">
        <f>IF(B30&gt;64, Summary!$J$14, 0)*'TV 13'!G30*'TV 13'!F30</f>
        <v>1874.8534993571459</v>
      </c>
      <c r="I30" s="1"/>
    </row>
    <row r="31" spans="1:9">
      <c r="A31" s="1">
        <f t="shared" si="0"/>
        <v>2048</v>
      </c>
      <c r="B31" s="1">
        <f t="shared" si="1"/>
        <v>73</v>
      </c>
      <c r="C31" s="1">
        <v>29</v>
      </c>
      <c r="D31" s="1">
        <f>IF(Summary!$G$14="M",VLOOKUP(B:B,'male g'!A:V,IF(A31&gt;2033,22,MATCH(A31,'male g'!$A$1:$V$1,0)),FALSE),VLOOKUP(B:B,'female g'!A:V,IF(A31&gt;2033,22,MATCH(A31,'female g'!$A$1:$V$1,0)),FALSE))</f>
        <v>1.9108502444741413E-2</v>
      </c>
      <c r="E31" s="1">
        <f t="shared" si="2"/>
        <v>0.98089149755525862</v>
      </c>
      <c r="F31" s="1">
        <f t="shared" si="3"/>
        <v>0.98248724866668224</v>
      </c>
      <c r="G31" s="1">
        <f>1/(1+Summary!$O$2)^$C31</f>
        <v>0.24294632108865097</v>
      </c>
      <c r="H31" s="1">
        <f>IF(B31&gt;64, Summary!$J$14, 0)*'TV 13'!G31*'TV 13'!F31</f>
        <v>1782.9765736192558</v>
      </c>
      <c r="I31" s="1"/>
    </row>
    <row r="32" spans="1:9">
      <c r="A32" s="1">
        <f t="shared" si="0"/>
        <v>2049</v>
      </c>
      <c r="B32" s="1">
        <f t="shared" si="1"/>
        <v>74</v>
      </c>
      <c r="C32" s="1">
        <v>30</v>
      </c>
      <c r="D32" s="1">
        <f>IF(Summary!$G$14="M",VLOOKUP(B:B,'male g'!A:V,IF(A32&gt;2033,22,MATCH(A32,'male g'!$A$1:$V$1,0)),FALSE),VLOOKUP(B:B,'female g'!A:V,IF(A32&gt;2033,22,MATCH(A32,'female g'!$A$1:$V$1,0)),FALSE))</f>
        <v>2.0891078905760852E-2</v>
      </c>
      <c r="E32" s="1">
        <f t="shared" si="2"/>
        <v>0.97910892109423919</v>
      </c>
      <c r="F32" s="1">
        <f t="shared" si="3"/>
        <v>0.98089149755525862</v>
      </c>
      <c r="G32" s="1">
        <f>1/(1+Summary!$O$2)^$C32</f>
        <v>0.23137744865585813</v>
      </c>
      <c r="H32" s="1">
        <f>IF(B32&gt;64, Summary!$J$14, 0)*'TV 13'!G32*'TV 13'!F32</f>
        <v>1695.3149252929229</v>
      </c>
      <c r="I32" s="1"/>
    </row>
    <row r="33" spans="1:9">
      <c r="A33" s="1">
        <f t="shared" si="0"/>
        <v>2050</v>
      </c>
      <c r="B33" s="1">
        <f t="shared" si="1"/>
        <v>75</v>
      </c>
      <c r="C33" s="1">
        <v>31</v>
      </c>
      <c r="D33" s="1">
        <f>IF(Summary!$G$14="M",VLOOKUP(B:B,'male g'!A:V,IF(A33&gt;2033,22,MATCH(A33,'male g'!$A$1:$V$1,0)),FALSE),VLOOKUP(B:B,'female g'!A:V,IF(A33&gt;2033,22,MATCH(A33,'female g'!$A$1:$V$1,0)),FALSE))</f>
        <v>2.289528896934603E-2</v>
      </c>
      <c r="E33" s="1">
        <f t="shared" si="2"/>
        <v>0.97710471103065399</v>
      </c>
      <c r="F33" s="1">
        <f t="shared" si="3"/>
        <v>0.97910892109423919</v>
      </c>
      <c r="G33" s="1">
        <f>1/(1+Summary!$O$2)^$C33</f>
        <v>0.220359474910341</v>
      </c>
      <c r="H33" s="1">
        <f>IF(B33&gt;64, Summary!$J$14, 0)*'TV 13'!G33*'TV 13'!F33</f>
        <v>1611.6514527909787</v>
      </c>
      <c r="I33" s="1"/>
    </row>
    <row r="34" spans="1:9">
      <c r="A34" s="1">
        <f t="shared" si="0"/>
        <v>2051</v>
      </c>
      <c r="B34" s="1">
        <f t="shared" si="1"/>
        <v>76</v>
      </c>
      <c r="C34" s="1">
        <v>32</v>
      </c>
      <c r="D34" s="1">
        <f>IF(Summary!$G$14="M",VLOOKUP(B:B,'male g'!A:V,IF(A34&gt;2033,22,MATCH(A34,'male g'!$A$1:$V$1,0)),FALSE),VLOOKUP(B:B,'female g'!A:V,IF(A34&gt;2033,22,MATCH(A34,'female g'!$A$1:$V$1,0)),FALSE))</f>
        <v>2.513765115831567E-2</v>
      </c>
      <c r="E34" s="1">
        <f t="shared" si="2"/>
        <v>0.97486234884168432</v>
      </c>
      <c r="F34" s="1">
        <f t="shared" si="3"/>
        <v>0.97710471103065399</v>
      </c>
      <c r="G34" s="1">
        <f>1/(1+Summary!$O$2)^$C34</f>
        <v>0.20986616658127716</v>
      </c>
      <c r="H34" s="1">
        <f>IF(B34&gt;64, Summary!$J$14, 0)*'TV 13'!G34*'TV 13'!F34</f>
        <v>1531.7642332343428</v>
      </c>
      <c r="I34" s="1"/>
    </row>
    <row r="35" spans="1:9">
      <c r="A35" s="1">
        <f>$A$2+C35</f>
        <v>2052</v>
      </c>
      <c r="B35" s="1">
        <f>$B$2+C35</f>
        <v>77</v>
      </c>
      <c r="C35" s="1">
        <v>33</v>
      </c>
      <c r="D35" s="1">
        <f>IF(Summary!$G$14="M",VLOOKUP(B:B,'male g'!A:V,IF(A35&gt;2033,22,MATCH(A35,'male g'!$A$1:$V$1,0)),FALSE),VLOOKUP(B:B,'female g'!A:V,IF(A35&gt;2033,22,MATCH(A35,'female g'!$A$1:$V$1,0)),FALSE))</f>
        <v>2.7677948896305107E-2</v>
      </c>
      <c r="E35" s="1">
        <f t="shared" si="2"/>
        <v>0.97232205110369485</v>
      </c>
      <c r="F35" s="1">
        <f t="shared" si="3"/>
        <v>0.97486234884168432</v>
      </c>
      <c r="G35" s="1">
        <f>1/(1+Summary!$O$2)^$C35</f>
        <v>0.19987253960121634</v>
      </c>
      <c r="H35" s="1">
        <f>IF(B35&gt;64, Summary!$J$14, 0)*'TV 13'!G35*'TV 13'!F35</f>
        <v>1455.4752193368324</v>
      </c>
      <c r="I35" s="1"/>
    </row>
    <row r="36" spans="1:9">
      <c r="A36" s="1">
        <f t="shared" ref="A36:A47" si="4">$A$2+C36</f>
        <v>2053</v>
      </c>
      <c r="B36" s="1">
        <f t="shared" si="1"/>
        <v>78</v>
      </c>
      <c r="C36" s="1">
        <v>34</v>
      </c>
      <c r="D36" s="1">
        <f>IF(Summary!$G$14="M",VLOOKUP(B:B,'male g'!A:V,IF(A36&gt;2033,22,MATCH(A36,'male g'!$A$1:$V$1,0)),FALSE),VLOOKUP(B:B,'female g'!A:V,IF(A36&gt;2033,22,MATCH(A36,'female g'!$A$1:$V$1,0)),FALSE))</f>
        <v>3.0545666614171758E-2</v>
      </c>
      <c r="E36" s="1">
        <f t="shared" si="2"/>
        <v>0.9694543333858282</v>
      </c>
      <c r="F36" s="1">
        <f t="shared" si="3"/>
        <v>0.97232205110369485</v>
      </c>
      <c r="G36" s="1">
        <f>1/(1+Summary!$O$2)^$C36</f>
        <v>0.19035479962020604</v>
      </c>
      <c r="H36" s="1">
        <f>IF(B36&gt;64, Summary!$J$14, 0)*'TV 13'!G36*'TV 13'!F36</f>
        <v>1382.5547998821096</v>
      </c>
      <c r="I36" s="1"/>
    </row>
    <row r="37" spans="1:9">
      <c r="A37" s="1">
        <f t="shared" si="4"/>
        <v>2054</v>
      </c>
      <c r="B37" s="1">
        <f t="shared" si="1"/>
        <v>79</v>
      </c>
      <c r="C37" s="1">
        <v>35</v>
      </c>
      <c r="D37" s="1">
        <f>IF(Summary!$G$14="M",VLOOKUP(B:B,'male g'!A:V,IF(A37&gt;2033,22,MATCH(A37,'male g'!$A$1:$V$1,0)),FALSE),VLOOKUP(B:B,'female g'!A:V,IF(A37&gt;2033,22,MATCH(A37,'female g'!$A$1:$V$1,0)),FALSE))</f>
        <v>3.3801426006075351E-2</v>
      </c>
      <c r="E37" s="1">
        <f t="shared" si="2"/>
        <v>0.96619857399392461</v>
      </c>
      <c r="F37" s="1">
        <f t="shared" si="3"/>
        <v>0.9694543333858282</v>
      </c>
      <c r="G37" s="1">
        <f>1/(1+Summary!$O$2)^$C37</f>
        <v>0.18129028535257716</v>
      </c>
      <c r="H37" s="1">
        <f>IF(B37&gt;64, Summary!$J$14, 0)*'TV 13'!G37*'TV 13'!F37</f>
        <v>1312.8353927077569</v>
      </c>
      <c r="I37" s="1"/>
    </row>
    <row r="38" spans="1:9">
      <c r="A38" s="1">
        <f t="shared" si="4"/>
        <v>2055</v>
      </c>
      <c r="B38" s="1">
        <f t="shared" si="1"/>
        <v>80</v>
      </c>
      <c r="C38" s="1">
        <v>36</v>
      </c>
      <c r="D38" s="1">
        <f>IF(Summary!$G$14="M",VLOOKUP(B:B,'male g'!A:V,IF(A38&gt;2033,22,MATCH(A38,'male g'!$A$1:$V$1,0)),FALSE),VLOOKUP(B:B,'female g'!A:V,IF(A38&gt;2033,22,MATCH(A38,'female g'!$A$1:$V$1,0)),FALSE))</f>
        <v>3.7482908060753731E-2</v>
      </c>
      <c r="E38" s="1">
        <f t="shared" si="2"/>
        <v>0.96251709193924628</v>
      </c>
      <c r="F38" s="1">
        <f t="shared" si="3"/>
        <v>0.96619857399392461</v>
      </c>
      <c r="G38" s="1">
        <f>1/(1+Summary!$O$2)^$C38</f>
        <v>0.17265741462150208</v>
      </c>
      <c r="H38" s="1">
        <f>IF(B38&gt;64, Summary!$J$14, 0)*'TV 13'!G38*'TV 13'!F38</f>
        <v>1246.1204211581796</v>
      </c>
      <c r="I38" s="1"/>
    </row>
    <row r="39" spans="1:9">
      <c r="A39" s="1">
        <f t="shared" si="4"/>
        <v>2056</v>
      </c>
      <c r="B39" s="1">
        <f t="shared" si="1"/>
        <v>81</v>
      </c>
      <c r="C39" s="1">
        <v>37</v>
      </c>
      <c r="D39" s="1">
        <f>IF(Summary!$G$14="M",VLOOKUP(B:B,'male g'!A:V,IF(A39&gt;2033,22,MATCH(A39,'male g'!$A$1:$V$1,0)),FALSE),VLOOKUP(B:B,'female g'!A:V,IF(A39&gt;2033,22,MATCH(A39,'female g'!$A$1:$V$1,0)),FALSE))</f>
        <v>4.1692652240478641E-2</v>
      </c>
      <c r="E39" s="1">
        <f t="shared" si="2"/>
        <v>0.95830734775952131</v>
      </c>
      <c r="F39" s="1">
        <f t="shared" si="3"/>
        <v>0.96251709193924628</v>
      </c>
      <c r="G39" s="1">
        <f>1/(1+Summary!$O$2)^$C39</f>
        <v>0.1644356329728591</v>
      </c>
      <c r="H39" s="1">
        <f>IF(B39&gt;64, Summary!$J$14, 0)*'TV 13'!G39*'TV 13'!F39</f>
        <v>1182.2593904286864</v>
      </c>
      <c r="I39" s="1"/>
    </row>
    <row r="40" spans="1:9">
      <c r="A40" s="1">
        <f t="shared" si="4"/>
        <v>2057</v>
      </c>
      <c r="B40" s="1">
        <f t="shared" si="1"/>
        <v>82</v>
      </c>
      <c r="C40" s="1">
        <v>38</v>
      </c>
      <c r="D40" s="1">
        <f>IF(Summary!$G$14="M",VLOOKUP(B:B,'male g'!A:V,IF(A40&gt;2033,22,MATCH(A40,'male g'!$A$1:$V$1,0)),FALSE),VLOOKUP(B:B,'female g'!A:V,IF(A40&gt;2033,22,MATCH(A40,'female g'!$A$1:$V$1,0)),FALSE))</f>
        <v>4.6458269197024199E-2</v>
      </c>
      <c r="E40" s="1">
        <f t="shared" si="2"/>
        <v>0.95354173080297577</v>
      </c>
      <c r="F40" s="1">
        <f t="shared" si="3"/>
        <v>0.95830734775952131</v>
      </c>
      <c r="G40" s="1">
        <f>1/(1+Summary!$O$2)^$C40</f>
        <v>0.15660536473605632</v>
      </c>
      <c r="H40" s="1">
        <f>IF(B40&gt;64, Summary!$J$14, 0)*'TV 13'!G40*'TV 13'!F40</f>
        <v>1121.0367268564439</v>
      </c>
      <c r="I40" s="1"/>
    </row>
    <row r="41" spans="1:9">
      <c r="A41" s="1">
        <f t="shared" si="4"/>
        <v>2058</v>
      </c>
      <c r="B41" s="1">
        <f t="shared" si="1"/>
        <v>83</v>
      </c>
      <c r="C41" s="1">
        <v>39</v>
      </c>
      <c r="D41" s="1">
        <f>IF(Summary!$G$14="M",VLOOKUP(B:B,'male g'!A:V,IF(A41&gt;2033,22,MATCH(A41,'male g'!$A$1:$V$1,0)),FALSE),VLOOKUP(B:B,'female g'!A:V,IF(A41&gt;2033,22,MATCH(A41,'female g'!$A$1:$V$1,0)),FALSE))</f>
        <v>5.1882087565112409E-2</v>
      </c>
      <c r="E41" s="1">
        <f t="shared" si="2"/>
        <v>0.94811791243488763</v>
      </c>
      <c r="F41" s="1">
        <f t="shared" si="3"/>
        <v>0.95354173080297577</v>
      </c>
      <c r="G41" s="1">
        <f>1/(1+Summary!$O$2)^$C41</f>
        <v>0.14914796641529171</v>
      </c>
      <c r="H41" s="1">
        <f>IF(B41&gt;64, Summary!$J$14, 0)*'TV 13'!G41*'TV 13'!F41</f>
        <v>1062.3446327821202</v>
      </c>
      <c r="I41" s="1"/>
    </row>
    <row r="42" spans="1:9">
      <c r="A42" s="1">
        <f t="shared" si="4"/>
        <v>2059</v>
      </c>
      <c r="B42" s="1">
        <f t="shared" si="1"/>
        <v>84</v>
      </c>
      <c r="C42" s="1">
        <v>40</v>
      </c>
      <c r="D42" s="1">
        <f>IF(Summary!$G$14="M",VLOOKUP(B:B,'male g'!A:V,IF(A42&gt;2033,22,MATCH(A42,'male g'!$A$1:$V$1,0)),FALSE),VLOOKUP(B:B,'female g'!A:V,IF(A42&gt;2033,22,MATCH(A42,'female g'!$A$1:$V$1,0)),FALSE))</f>
        <v>5.8015339398571217E-2</v>
      </c>
      <c r="E42" s="1">
        <f t="shared" si="2"/>
        <v>0.94198466060142882</v>
      </c>
      <c r="F42" s="1">
        <f t="shared" si="3"/>
        <v>0.94811791243488763</v>
      </c>
      <c r="G42" s="1">
        <f>1/(1+Summary!$O$2)^$C42</f>
        <v>0.14204568230027784</v>
      </c>
      <c r="H42" s="1">
        <f>IF(B42&gt;64, Summary!$J$14, 0)*'TV 13'!G42*'TV 13'!F42</f>
        <v>1006.0018430262955</v>
      </c>
      <c r="I42" s="1"/>
    </row>
    <row r="43" spans="1:9">
      <c r="A43" s="1">
        <f t="shared" si="4"/>
        <v>2060</v>
      </c>
      <c r="B43" s="1">
        <f t="shared" si="1"/>
        <v>85</v>
      </c>
      <c r="C43" s="1">
        <v>41</v>
      </c>
      <c r="D43" s="1">
        <f>IF(Summary!$G$14="M",VLOOKUP(B:B,'male g'!A:V,IF(A43&gt;2033,22,MATCH(A43,'male g'!$A$1:$V$1,0)),FALSE),VLOOKUP(B:B,'female g'!A:V,IF(A43&gt;2033,22,MATCH(A43,'female g'!$A$1:$V$1,0)),FALSE))</f>
        <v>6.4965454874702594E-2</v>
      </c>
      <c r="E43" s="1">
        <f t="shared" si="2"/>
        <v>0.93503454512529738</v>
      </c>
      <c r="F43" s="1">
        <f t="shared" si="3"/>
        <v>0.94198466060142882</v>
      </c>
      <c r="G43" s="1">
        <f>1/(1+Summary!$O$2)^$C43</f>
        <v>0.13528160219074079</v>
      </c>
      <c r="H43" s="1">
        <f>IF(B43&gt;64, Summary!$J$14, 0)*'TV 13'!G43*'TV 13'!F43</f>
        <v>951.89918814440728</v>
      </c>
      <c r="I43" s="1"/>
    </row>
    <row r="44" spans="1:9">
      <c r="A44" s="1">
        <f t="shared" si="4"/>
        <v>2061</v>
      </c>
      <c r="B44" s="1">
        <f t="shared" si="1"/>
        <v>86</v>
      </c>
      <c r="C44" s="1">
        <v>42</v>
      </c>
      <c r="D44" s="1">
        <f>IF(Summary!$G$14="M",VLOOKUP(B:B,'male g'!A:V,IF(A44&gt;2033,22,MATCH(A44,'male g'!$A$1:$V$1,0)),FALSE),VLOOKUP(B:B,'female g'!A:V,IF(A44&gt;2033,22,MATCH(A44,'female g'!$A$1:$V$1,0)),FALSE))</f>
        <v>7.2903222964449149E-2</v>
      </c>
      <c r="E44" s="1">
        <f t="shared" si="2"/>
        <v>0.92709677703555082</v>
      </c>
      <c r="F44" s="1">
        <f t="shared" si="3"/>
        <v>0.93503454512529738</v>
      </c>
      <c r="G44" s="1">
        <f>1/(1+Summary!$O$2)^$C44</f>
        <v>0.12883962113403885</v>
      </c>
      <c r="H44" s="1">
        <f>IF(B44&gt;64, Summary!$J$14, 0)*'TV 13'!G44*'TV 13'!F44</f>
        <v>899.88183016895027</v>
      </c>
      <c r="I44" s="1"/>
    </row>
    <row r="45" spans="1:9">
      <c r="A45" s="1">
        <f t="shared" si="4"/>
        <v>2062</v>
      </c>
      <c r="B45" s="1">
        <f t="shared" si="1"/>
        <v>87</v>
      </c>
      <c r="C45" s="1">
        <v>43</v>
      </c>
      <c r="D45" s="1">
        <f>IF(Summary!$G$14="M",VLOOKUP(B:B,'male g'!A:V,IF(A45&gt;2033,22,MATCH(A45,'male g'!$A$1:$V$1,0)),FALSE),VLOOKUP(B:B,'female g'!A:V,IF(A45&gt;2033,22,MATCH(A45,'female g'!$A$1:$V$1,0)),FALSE))</f>
        <v>8.1848520672112443E-2</v>
      </c>
      <c r="E45" s="1">
        <f t="shared" si="2"/>
        <v>0.91815147932788754</v>
      </c>
      <c r="F45" s="1">
        <f t="shared" si="3"/>
        <v>0.92709677703555082</v>
      </c>
      <c r="G45" s="1">
        <f>1/(1+Summary!$O$2)^$C45</f>
        <v>0.12270440108003698</v>
      </c>
      <c r="H45" s="1">
        <f>IF(B45&gt;64, Summary!$J$14, 0)*'TV 13'!G45*'TV 13'!F45</f>
        <v>849.75474594765183</v>
      </c>
      <c r="I45" s="1"/>
    </row>
    <row r="46" spans="1:9">
      <c r="A46" s="1">
        <f t="shared" si="4"/>
        <v>2063</v>
      </c>
      <c r="B46" s="1">
        <f t="shared" si="1"/>
        <v>88</v>
      </c>
      <c r="C46" s="1">
        <v>44</v>
      </c>
      <c r="D46" s="1">
        <f>IF(Summary!$G$14="M",VLOOKUP(B:B,'male g'!A:V,IF(A46&gt;2033,22,MATCH(A46,'male g'!$A$1:$V$1,0)),FALSE),VLOOKUP(B:B,'female g'!A:V,IF(A46&gt;2033,22,MATCH(A46,'female g'!$A$1:$V$1,0)),FALSE))</f>
        <v>9.1889133554378416E-2</v>
      </c>
      <c r="E46" s="1">
        <f t="shared" si="2"/>
        <v>0.90811086644562156</v>
      </c>
      <c r="F46" s="1">
        <f t="shared" si="3"/>
        <v>0.91815147932788754</v>
      </c>
      <c r="G46" s="1">
        <f>1/(1+Summary!$O$2)^$C46</f>
        <v>0.11686133436193999</v>
      </c>
      <c r="H46" s="1">
        <f>IF(B46&gt;64, Summary!$J$14, 0)*'TV 13'!G46*'TV 13'!F46</f>
        <v>801.48161893650206</v>
      </c>
      <c r="I46" s="1"/>
    </row>
    <row r="47" spans="1:9">
      <c r="A47" s="1">
        <f t="shared" si="4"/>
        <v>2064</v>
      </c>
      <c r="B47" s="1">
        <f t="shared" si="1"/>
        <v>89</v>
      </c>
      <c r="C47" s="1">
        <v>45</v>
      </c>
      <c r="D47" s="1">
        <f>IF(Summary!$G$14="M",VLOOKUP(B:B,'male g'!A:V,IF(A47&gt;2033,22,MATCH(A47,'male g'!$A$1:$V$1,0)),FALSE),VLOOKUP(B:B,'female g'!A:V,IF(A47&gt;2033,22,MATCH(A47,'female g'!$A$1:$V$1,0)),FALSE))</f>
        <v>0.1031648969350115</v>
      </c>
      <c r="E47" s="1">
        <f t="shared" si="2"/>
        <v>0.89683510306498848</v>
      </c>
      <c r="F47" s="1">
        <f t="shared" si="3"/>
        <v>0.90811086644562156</v>
      </c>
      <c r="G47" s="1">
        <f>1/(1+Summary!$O$2)^$C47</f>
        <v>0.1112965089161333</v>
      </c>
      <c r="H47" s="1">
        <f>IF(B47&gt;64, Summary!$J$14, 0)*'TV 13'!G47*'TV 13'!F47</f>
        <v>754.9684481729488</v>
      </c>
      <c r="I47" s="1"/>
    </row>
    <row r="48" spans="1:9">
      <c r="A48" s="1">
        <f>$A$2+C48</f>
        <v>2065</v>
      </c>
      <c r="B48" s="1">
        <f>$B$2+C48</f>
        <v>90</v>
      </c>
      <c r="C48" s="1">
        <v>46</v>
      </c>
      <c r="D48" s="1">
        <f>IF(Summary!$G$14="M",VLOOKUP(B:B,'male g'!A:V,IF(A48&gt;2033,22,MATCH(A48,'male g'!$A$1:$V$1,0)),FALSE),VLOOKUP(B:B,'female g'!A:V,IF(A48&gt;2033,22,MATCH(A48,'female g'!$A$1:$V$1,0)),FALSE))</f>
        <v>0.11576084940657383</v>
      </c>
      <c r="E48" s="1">
        <f t="shared" si="2"/>
        <v>0.88423915059342617</v>
      </c>
      <c r="F48" s="1">
        <f t="shared" si="3"/>
        <v>0.89683510306498848</v>
      </c>
      <c r="G48" s="1">
        <f>1/(1+Summary!$O$2)^$C48</f>
        <v>0.10599667515822221</v>
      </c>
      <c r="H48" s="1">
        <f>IF(B48&gt;64, Summary!$J$14, 0)*'TV 13'!G48*'TV 13'!F48</f>
        <v>710.08972587352855</v>
      </c>
      <c r="I48" s="1"/>
    </row>
    <row r="49" spans="1:9">
      <c r="A49" s="1">
        <f t="shared" ref="A49:A73" si="5">$A$2+C49</f>
        <v>2066</v>
      </c>
      <c r="B49" s="1">
        <f t="shared" si="1"/>
        <v>91</v>
      </c>
      <c r="C49" s="1">
        <v>47</v>
      </c>
      <c r="D49" s="1">
        <f>IF(Summary!$G$14="M",VLOOKUP(B:B,'male g'!A:V,IF(A49&gt;2033,22,MATCH(A49,'male g'!$A$1:$V$1,0)),FALSE),VLOOKUP(B:B,'female g'!A:V,IF(A49&gt;2033,22,MATCH(A49,'female g'!$A$1:$V$1,0)),FALSE))</f>
        <v>0.12933245912292859</v>
      </c>
      <c r="E49" s="1">
        <f t="shared" si="2"/>
        <v>0.87066754087707143</v>
      </c>
      <c r="F49" s="1">
        <f t="shared" si="3"/>
        <v>0.88423915059342617</v>
      </c>
      <c r="G49" s="1">
        <f>1/(1+Summary!$O$2)^$C49</f>
        <v>0.10094921443640208</v>
      </c>
      <c r="H49" s="1">
        <f>IF(B49&gt;64, Summary!$J$14, 0)*'TV 13'!G49*'TV 13'!F49</f>
        <v>666.77770678103604</v>
      </c>
      <c r="I49" s="1"/>
    </row>
    <row r="50" spans="1:9">
      <c r="A50" s="1">
        <f t="shared" si="5"/>
        <v>2067</v>
      </c>
      <c r="B50" s="1">
        <f t="shared" si="1"/>
        <v>92</v>
      </c>
      <c r="C50" s="1">
        <v>48</v>
      </c>
      <c r="D50" s="1">
        <f>IF(Summary!$G$14="M",VLOOKUP(B:B,'male g'!A:V,IF(A50&gt;2033,22,MATCH(A50,'male g'!$A$1:$V$1,0)),FALSE),VLOOKUP(B:B,'female g'!A:V,IF(A50&gt;2033,22,MATCH(A50,'female g'!$A$1:$V$1,0)),FALSE))</f>
        <v>0.14348300858520585</v>
      </c>
      <c r="E50" s="1">
        <f t="shared" si="2"/>
        <v>0.85651699141479409</v>
      </c>
      <c r="F50" s="1">
        <f t="shared" si="3"/>
        <v>0.87066754087707143</v>
      </c>
      <c r="G50" s="1">
        <f>1/(1+Summary!$O$2)^$C50</f>
        <v>9.6142108987049613E-2</v>
      </c>
      <c r="H50" s="1">
        <f>IF(B50&gt;64, Summary!$J$14, 0)*'TV 13'!G50*'TV 13'!F50</f>
        <v>625.27978177363264</v>
      </c>
      <c r="I50" s="1"/>
    </row>
    <row r="51" spans="1:9">
      <c r="A51" s="1">
        <f t="shared" si="5"/>
        <v>2068</v>
      </c>
      <c r="B51" s="1">
        <f t="shared" si="1"/>
        <v>93</v>
      </c>
      <c r="C51" s="1">
        <v>49</v>
      </c>
      <c r="D51" s="1">
        <f>IF(Summary!$G$14="M",VLOOKUP(B:B,'male g'!A:V,IF(A51&gt;2033,22,MATCH(A51,'male g'!$A$1:$V$1,0)),FALSE),VLOOKUP(B:B,'female g'!A:V,IF(A51&gt;2033,22,MATCH(A51,'female g'!$A$1:$V$1,0)),FALSE))</f>
        <v>0.15808258232710681</v>
      </c>
      <c r="E51" s="1">
        <f t="shared" si="2"/>
        <v>0.84191741767289319</v>
      </c>
      <c r="F51" s="1">
        <f t="shared" si="3"/>
        <v>0.85651699141479409</v>
      </c>
      <c r="G51" s="1">
        <f>1/(1+Summary!$O$2)^$C51</f>
        <v>9.1563913320999626E-2</v>
      </c>
      <c r="H51" s="1">
        <f>IF(B51&gt;64, Summary!$J$14, 0)*'TV 13'!G51*'TV 13'!F51</f>
        <v>585.82609903217678</v>
      </c>
      <c r="I51" s="1"/>
    </row>
    <row r="52" spans="1:9">
      <c r="A52" s="1">
        <f t="shared" si="5"/>
        <v>2069</v>
      </c>
      <c r="B52" s="1">
        <f t="shared" si="1"/>
        <v>94</v>
      </c>
      <c r="C52" s="1">
        <v>50</v>
      </c>
      <c r="D52" s="1">
        <f>IF(Summary!$G$14="M",VLOOKUP(B:B,'male g'!A:V,IF(A52&gt;2033,22,MATCH(A52,'male g'!$A$1:$V$1,0)),FALSE),VLOOKUP(B:B,'female g'!A:V,IF(A52&gt;2033,22,MATCH(A52,'female g'!$A$1:$V$1,0)),FALSE))</f>
        <v>0.17308956870926934</v>
      </c>
      <c r="E52" s="1">
        <f t="shared" si="2"/>
        <v>0.82691043129073072</v>
      </c>
      <c r="F52" s="1">
        <f t="shared" si="3"/>
        <v>0.84191741767289319</v>
      </c>
      <c r="G52" s="1">
        <f>1/(1+Summary!$O$2)^$C52</f>
        <v>8.7203726972380588E-2</v>
      </c>
      <c r="H52" s="1">
        <f>IF(B52&gt;64, Summary!$J$14, 0)*'TV 13'!G52*'TV 13'!F52</f>
        <v>548.41955039311688</v>
      </c>
      <c r="I52" s="1"/>
    </row>
    <row r="53" spans="1:9">
      <c r="A53" s="1">
        <f t="shared" si="5"/>
        <v>2070</v>
      </c>
      <c r="B53" s="1">
        <f t="shared" si="1"/>
        <v>95</v>
      </c>
      <c r="C53" s="1">
        <v>51</v>
      </c>
      <c r="D53" s="1">
        <f>IF(Summary!$G$14="M",VLOOKUP(B:B,'male g'!A:V,IF(A53&gt;2033,22,MATCH(A53,'male g'!$A$1:$V$1,0)),FALSE),VLOOKUP(B:B,'female g'!A:V,IF(A53&gt;2033,22,MATCH(A53,'female g'!$A$1:$V$1,0)),FALSE))</f>
        <v>0.1884638420447376</v>
      </c>
      <c r="E53" s="1">
        <f t="shared" si="2"/>
        <v>0.81153615795526246</v>
      </c>
      <c r="F53" s="1">
        <f t="shared" si="3"/>
        <v>0.82691043129073072</v>
      </c>
      <c r="G53" s="1">
        <f>1/(1+Summary!$O$2)^$C53</f>
        <v>8.3051168545124371E-2</v>
      </c>
      <c r="H53" s="1">
        <f>IF(B53&gt;64, Summary!$J$14, 0)*'TV 13'!G53*'TV 13'!F53</f>
        <v>512.99437781566485</v>
      </c>
      <c r="I53" s="1"/>
    </row>
    <row r="54" spans="1:9">
      <c r="A54" s="1">
        <f t="shared" si="5"/>
        <v>2071</v>
      </c>
      <c r="B54" s="1">
        <f t="shared" si="1"/>
        <v>96</v>
      </c>
      <c r="C54" s="1">
        <v>52</v>
      </c>
      <c r="D54" s="1">
        <f>IF(Summary!$G$14="M",VLOOKUP(B:B,'male g'!A:V,IF(A54&gt;2033,22,MATCH(A54,'male g'!$A$1:$V$1,0)),FALSE),VLOOKUP(B:B,'female g'!A:V,IF(A54&gt;2033,22,MATCH(A54,'female g'!$A$1:$V$1,0)),FALSE))</f>
        <v>0.20546988897968524</v>
      </c>
      <c r="E54" s="1">
        <f t="shared" si="2"/>
        <v>0.79453011102031479</v>
      </c>
      <c r="F54" s="1">
        <f t="shared" si="3"/>
        <v>0.81153615795526246</v>
      </c>
      <c r="G54" s="1">
        <f>1/(1+Summary!$O$2)^$C54</f>
        <v>7.9096350995356543E-2</v>
      </c>
      <c r="H54" s="1">
        <f>IF(B54&gt;64, Summary!$J$14, 0)*'TV 13'!G54*'TV 13'!F54</f>
        <v>479.4824441527</v>
      </c>
      <c r="I54" s="1"/>
    </row>
    <row r="55" spans="1:9">
      <c r="A55" s="1">
        <f t="shared" si="5"/>
        <v>2072</v>
      </c>
      <c r="B55" s="1">
        <f t="shared" si="1"/>
        <v>97</v>
      </c>
      <c r="C55" s="1">
        <v>53</v>
      </c>
      <c r="D55" s="1">
        <f>IF(Summary!$G$14="M",VLOOKUP(B:B,'male g'!A:V,IF(A55&gt;2033,22,MATCH(A55,'male g'!$A$1:$V$1,0)),FALSE),VLOOKUP(B:B,'female g'!A:V,IF(A55&gt;2033,22,MATCH(A55,'female g'!$A$1:$V$1,0)),FALSE))</f>
        <v>0.22317315569892124</v>
      </c>
      <c r="E55" s="1">
        <f t="shared" si="2"/>
        <v>0.77682684430107873</v>
      </c>
      <c r="F55" s="1">
        <f t="shared" si="3"/>
        <v>0.79453011102031479</v>
      </c>
      <c r="G55" s="1">
        <f>1/(1+Summary!$O$2)^$C55</f>
        <v>7.5329858090815757E-2</v>
      </c>
      <c r="H55" s="1">
        <f>IF(B55&gt;64, Summary!$J$14, 0)*'TV 13'!G55*'TV 13'!F55</f>
        <v>447.08067457178686</v>
      </c>
      <c r="I55" s="1"/>
    </row>
    <row r="56" spans="1:9">
      <c r="A56" s="1">
        <f t="shared" si="5"/>
        <v>2073</v>
      </c>
      <c r="B56" s="1">
        <f t="shared" si="1"/>
        <v>98</v>
      </c>
      <c r="C56" s="1">
        <v>54</v>
      </c>
      <c r="D56" s="1">
        <f>IF(Summary!$G$14="M",VLOOKUP(B:B,'male g'!A:V,IF(A56&gt;2033,22,MATCH(A56,'male g'!$A$1:$V$1,0)),FALSE),VLOOKUP(B:B,'female g'!A:V,IF(A56&gt;2033,22,MATCH(A56,'female g'!$A$1:$V$1,0)),FALSE))</f>
        <v>0.2417371960764223</v>
      </c>
      <c r="E56" s="1">
        <f t="shared" si="2"/>
        <v>0.7582628039235777</v>
      </c>
      <c r="F56" s="1">
        <f t="shared" si="3"/>
        <v>0.77682684430107873</v>
      </c>
      <c r="G56" s="1">
        <f>1/(1+Summary!$O$2)^$C56</f>
        <v>7.1742721991253117E-2</v>
      </c>
      <c r="H56" s="1">
        <f>IF(B56&gt;64, Summary!$J$14, 0)*'TV 13'!G56*'TV 13'!F56</f>
        <v>416.30388381331301</v>
      </c>
      <c r="I56" s="1"/>
    </row>
    <row r="57" spans="1:9">
      <c r="A57" s="1">
        <f t="shared" si="5"/>
        <v>2074</v>
      </c>
      <c r="B57" s="1">
        <f t="shared" si="1"/>
        <v>99</v>
      </c>
      <c r="C57" s="1">
        <v>55</v>
      </c>
      <c r="D57" s="1">
        <f>IF(Summary!$G$14="M",VLOOKUP(B:B,'male g'!A:V,IF(A57&gt;2033,22,MATCH(A57,'male g'!$A$1:$V$1,0)),FALSE),VLOOKUP(B:B,'female g'!A:V,IF(A57&gt;2033,22,MATCH(A57,'female g'!$A$1:$V$1,0)),FALSE))</f>
        <v>0.26102364427750568</v>
      </c>
      <c r="E57" s="1">
        <f t="shared" si="2"/>
        <v>0.73897635572249432</v>
      </c>
      <c r="F57" s="1">
        <f t="shared" si="3"/>
        <v>0.7582628039235777</v>
      </c>
      <c r="G57" s="1">
        <f>1/(1+Summary!$O$2)^$C57</f>
        <v>6.8326401896431521E-2</v>
      </c>
      <c r="H57" s="1">
        <f>IF(B57&gt;64, Summary!$J$14, 0)*'TV 13'!G57*'TV 13'!F57</f>
        <v>387.00510261756352</v>
      </c>
      <c r="I57" s="1"/>
    </row>
    <row r="58" spans="1:9">
      <c r="A58" s="1">
        <f t="shared" si="5"/>
        <v>2075</v>
      </c>
      <c r="B58" s="1">
        <f t="shared" si="1"/>
        <v>100</v>
      </c>
      <c r="C58" s="1">
        <v>56</v>
      </c>
      <c r="D58" s="1">
        <f>IF(Summary!$G$14="M",VLOOKUP(B:B,'male g'!A:V,IF(A58&gt;2033,22,MATCH(A58,'male g'!$A$1:$V$1,0)),FALSE),VLOOKUP(B:B,'female g'!A:V,IF(A58&gt;2033,22,MATCH(A58,'female g'!$A$1:$V$1,0)),FALSE))</f>
        <v>0.2809127683704345</v>
      </c>
      <c r="E58" s="1">
        <f t="shared" si="2"/>
        <v>0.71908723162956556</v>
      </c>
      <c r="F58" s="1">
        <f t="shared" si="3"/>
        <v>0.73897635572249432</v>
      </c>
      <c r="G58" s="1">
        <f>1/(1+Summary!$O$2)^$C58</f>
        <v>6.5072763710887174E-2</v>
      </c>
      <c r="H58" s="1">
        <f>IF(B58&gt;64, Summary!$J$14, 0)*'TV 13'!G58*'TV 13'!F58</f>
        <v>359.20153389527724</v>
      </c>
      <c r="I58" s="1"/>
    </row>
    <row r="59" spans="1:9">
      <c r="A59" s="1">
        <f t="shared" si="5"/>
        <v>2076</v>
      </c>
      <c r="B59" s="1">
        <f t="shared" si="1"/>
        <v>101</v>
      </c>
      <c r="C59" s="1">
        <v>57</v>
      </c>
      <c r="D59" s="1">
        <f>IF(Summary!$G$14="M",VLOOKUP(B:B,'male g'!A:V,IF(A59&gt;2033,22,MATCH(A59,'male g'!$A$1:$V$1,0)),FALSE),VLOOKUP(B:B,'female g'!A:V,IF(A59&gt;2033,22,MATCH(A59,'female g'!$A$1:$V$1,0)),FALSE))</f>
        <v>0.30146810411089092</v>
      </c>
      <c r="E59" s="1">
        <f t="shared" si="2"/>
        <v>0.69853189588910913</v>
      </c>
      <c r="F59" s="1">
        <f t="shared" si="3"/>
        <v>0.71908723162956556</v>
      </c>
      <c r="G59" s="1">
        <f>1/(1+Summary!$O$2)^$C59</f>
        <v>6.1974060677035397E-2</v>
      </c>
      <c r="H59" s="1">
        <f>IF(B59&gt;64, Summary!$J$14, 0)*'TV 13'!G59*'TV 13'!F59</f>
        <v>332.88936282072984</v>
      </c>
      <c r="I59" s="1"/>
    </row>
    <row r="60" spans="1:9">
      <c r="A60" s="1">
        <f t="shared" si="5"/>
        <v>2077</v>
      </c>
      <c r="B60" s="1">
        <f t="shared" si="1"/>
        <v>102</v>
      </c>
      <c r="C60" s="1">
        <v>58</v>
      </c>
      <c r="D60" s="1">
        <f>IF(Summary!$G$14="M",VLOOKUP(B:B,'male g'!A:V,IF(A60&gt;2033,22,MATCH(A60,'male g'!$A$1:$V$1,0)),FALSE),VLOOKUP(B:B,'female g'!A:V,IF(A60&gt;2033,22,MATCH(A60,'female g'!$A$1:$V$1,0)),FALSE))</f>
        <v>0.32206565548145499</v>
      </c>
      <c r="E60" s="1">
        <f t="shared" si="2"/>
        <v>0.67793434451854506</v>
      </c>
      <c r="F60" s="1">
        <f t="shared" si="3"/>
        <v>0.69853189588910913</v>
      </c>
      <c r="G60" s="1">
        <f>1/(1+Summary!$O$2)^$C60</f>
        <v>5.9022914930509894E-2</v>
      </c>
      <c r="H60" s="1">
        <f>IF(B60&gt;64, Summary!$J$14, 0)*'TV 13'!G60*'TV 13'!F60</f>
        <v>307.97487161410686</v>
      </c>
      <c r="I60" s="1"/>
    </row>
    <row r="61" spans="1:9">
      <c r="A61" s="1">
        <f t="shared" si="5"/>
        <v>2078</v>
      </c>
      <c r="B61" s="1">
        <f t="shared" si="1"/>
        <v>103</v>
      </c>
      <c r="C61" s="1">
        <v>59</v>
      </c>
      <c r="D61" s="1">
        <f>IF(Summary!$G$14="M",VLOOKUP(B:B,'male g'!A:V,IF(A61&gt;2033,22,MATCH(A61,'male g'!$A$1:$V$1,0)),FALSE),VLOOKUP(B:B,'female g'!A:V,IF(A61&gt;2033,22,MATCH(A61,'female g'!$A$1:$V$1,0)),FALSE))</f>
        <v>0.3427697952313476</v>
      </c>
      <c r="E61" s="1">
        <f t="shared" si="2"/>
        <v>0.65723020476865246</v>
      </c>
      <c r="F61" s="1">
        <f t="shared" si="3"/>
        <v>0.67793434451854506</v>
      </c>
      <c r="G61" s="1">
        <f>1/(1+Summary!$O$2)^$C61</f>
        <v>5.6212299933818946E-2</v>
      </c>
      <c r="H61" s="1">
        <f>IF(B61&gt;64, Summary!$J$14, 0)*'TV 13'!G61*'TV 13'!F61</f>
        <v>284.66061183818141</v>
      </c>
      <c r="I61" s="1"/>
    </row>
    <row r="62" spans="1:9">
      <c r="A62" s="1">
        <f t="shared" si="5"/>
        <v>2079</v>
      </c>
      <c r="B62" s="1">
        <f t="shared" si="1"/>
        <v>104</v>
      </c>
      <c r="C62" s="1">
        <v>60</v>
      </c>
      <c r="D62" s="1">
        <f>IF(Summary!$G$14="M",VLOOKUP(B:B,'male g'!A:V,IF(A62&gt;2033,22,MATCH(A62,'male g'!$A$1:$V$1,0)),FALSE),VLOOKUP(B:B,'female g'!A:V,IF(A62&gt;2033,22,MATCH(A62,'female g'!$A$1:$V$1,0)),FALSE))</f>
        <v>0.36312182573243618</v>
      </c>
      <c r="E62" s="1">
        <f t="shared" si="2"/>
        <v>0.63687817426756377</v>
      </c>
      <c r="F62" s="1">
        <f t="shared" si="3"/>
        <v>0.65723020476865246</v>
      </c>
      <c r="G62" s="1">
        <f>1/(1+Summary!$O$2)^$C62</f>
        <v>5.3535523746494243E-2</v>
      </c>
      <c r="H62" s="1">
        <f>IF(B62&gt;64, Summary!$J$14, 0)*'TV 13'!G62*'TV 13'!F62</f>
        <v>262.82577743866028</v>
      </c>
      <c r="I62" s="1"/>
    </row>
    <row r="63" spans="1:9">
      <c r="A63" s="1">
        <f t="shared" si="5"/>
        <v>2080</v>
      </c>
      <c r="B63" s="1">
        <f t="shared" si="1"/>
        <v>105</v>
      </c>
      <c r="C63" s="1">
        <v>61</v>
      </c>
      <c r="D63" s="1">
        <f>IF(Summary!$G$14="M",VLOOKUP(B:B,'male g'!A:V,IF(A63&gt;2033,22,MATCH(A63,'male g'!$A$1:$V$1,0)),FALSE),VLOOKUP(B:B,'female g'!A:V,IF(A63&gt;2033,22,MATCH(A63,'female g'!$A$1:$V$1,0)),FALSE))</f>
        <v>0.38340857179772014</v>
      </c>
      <c r="E63" s="1">
        <f t="shared" si="2"/>
        <v>0.61659142820227986</v>
      </c>
      <c r="F63" s="1">
        <f t="shared" si="3"/>
        <v>0.63687817426756377</v>
      </c>
      <c r="G63" s="1">
        <f>1/(1+Summary!$O$2)^$C63</f>
        <v>5.0986213091899268E-2</v>
      </c>
      <c r="H63" s="1">
        <f>IF(B63&gt;64, Summary!$J$14, 0)*'TV 13'!G63*'TV 13'!F63</f>
        <v>242.55906518725328</v>
      </c>
      <c r="I63" s="1"/>
    </row>
    <row r="64" spans="1:9">
      <c r="A64" s="1">
        <f t="shared" si="5"/>
        <v>2081</v>
      </c>
      <c r="B64" s="1">
        <f t="shared" si="1"/>
        <v>106</v>
      </c>
      <c r="C64" s="1">
        <v>62</v>
      </c>
      <c r="D64" s="1">
        <f>IF(Summary!$G$14="M",VLOOKUP(B:B,'male g'!A:V,IF(A64&gt;2033,22,MATCH(A64,'male g'!$A$1:$V$1,0)),FALSE),VLOOKUP(B:B,'female g'!A:V,IF(A64&gt;2033,22,MATCH(A64,'female g'!$A$1:$V$1,0)),FALSE))</f>
        <v>0.4032562438470747</v>
      </c>
      <c r="E64" s="1">
        <f t="shared" si="2"/>
        <v>0.5967437561529253</v>
      </c>
      <c r="F64" s="1">
        <f t="shared" si="3"/>
        <v>0.61659142820227986</v>
      </c>
      <c r="G64" s="1">
        <f>1/(1+Summary!$O$2)^$C64</f>
        <v>4.855829818276123E-2</v>
      </c>
      <c r="H64" s="1">
        <f>IF(B64&gt;64, Summary!$J$14, 0)*'TV 13'!G64*'TV 13'!F64</f>
        <v>223.6502191770461</v>
      </c>
      <c r="I64" s="1"/>
    </row>
    <row r="65" spans="1:9">
      <c r="A65" s="1">
        <f t="shared" si="5"/>
        <v>2082</v>
      </c>
      <c r="B65" s="1">
        <f t="shared" si="1"/>
        <v>107</v>
      </c>
      <c r="C65" s="1">
        <v>63</v>
      </c>
      <c r="D65" s="1">
        <f>IF(Summary!$G$14="M",VLOOKUP(B:B,'male g'!A:V,IF(A65&gt;2033,22,MATCH(A65,'male g'!$A$1:$V$1,0)),FALSE),VLOOKUP(B:B,'female g'!A:V,IF(A65&gt;2033,22,MATCH(A65,'female g'!$A$1:$V$1,0)),FALSE))</f>
        <v>0.42246723803499708</v>
      </c>
      <c r="E65" s="1">
        <f t="shared" si="2"/>
        <v>0.57753276196500292</v>
      </c>
      <c r="F65" s="1">
        <f t="shared" si="3"/>
        <v>0.5967437561529253</v>
      </c>
      <c r="G65" s="1">
        <f>1/(1+Summary!$O$2)^$C65</f>
        <v>4.6245998269296387E-2</v>
      </c>
      <c r="H65" s="1">
        <f>IF(B65&gt;64, Summary!$J$14, 0)*'TV 13'!G65*'TV 13'!F65</f>
        <v>206.14387228100117</v>
      </c>
      <c r="I65" s="1"/>
    </row>
    <row r="66" spans="1:9">
      <c r="A66" s="1">
        <f t="shared" si="5"/>
        <v>2083</v>
      </c>
      <c r="B66" s="1">
        <f t="shared" si="1"/>
        <v>108</v>
      </c>
      <c r="C66" s="1">
        <v>64</v>
      </c>
      <c r="D66" s="1">
        <f>IF(Summary!$G$14="M",VLOOKUP(B:B,'male g'!A:V,IF(A66&gt;2033,22,MATCH(A66,'male g'!$A$1:$V$1,0)),FALSE),VLOOKUP(B:B,'female g'!A:V,IF(A66&gt;2033,22,MATCH(A66,'female g'!$A$1:$V$1,0)),FALSE))</f>
        <v>0.44119749280646176</v>
      </c>
      <c r="E66" s="1">
        <f t="shared" si="2"/>
        <v>0.5588025071935383</v>
      </c>
      <c r="F66" s="1">
        <f t="shared" si="3"/>
        <v>0.57753276196500292</v>
      </c>
      <c r="G66" s="1">
        <f>1/(1+Summary!$O$2)^$C66</f>
        <v>4.4043807875520369E-2</v>
      </c>
      <c r="H66" s="1">
        <f>IF(B66&gt;64, Summary!$J$14, 0)*'TV 13'!G66*'TV 13'!F66</f>
        <v>190.00711890162287</v>
      </c>
      <c r="I66" s="1"/>
    </row>
    <row r="67" spans="1:9">
      <c r="A67" s="1">
        <f t="shared" si="5"/>
        <v>2084</v>
      </c>
      <c r="B67" s="1">
        <f t="shared" si="1"/>
        <v>109</v>
      </c>
      <c r="C67" s="1">
        <v>65</v>
      </c>
      <c r="D67" s="1">
        <f>IF(Summary!$G$14="M",VLOOKUP(B:B,'male g'!A:V,IF(A67&gt;2033,22,MATCH(A67,'male g'!$A$1:$V$1,0)),FALSE),VLOOKUP(B:B,'female g'!A:V,IF(A67&gt;2033,22,MATCH(A67,'female g'!$A$1:$V$1,0)),FALSE))</f>
        <v>0.45907299166148602</v>
      </c>
      <c r="E67" s="1">
        <f t="shared" si="2"/>
        <v>0.54092700833851404</v>
      </c>
      <c r="F67" s="1">
        <f t="shared" si="3"/>
        <v>0.5588025071935383</v>
      </c>
      <c r="G67" s="1">
        <f>1/(1+Summary!$O$2)^$C67</f>
        <v>4.1946483690971779E-2</v>
      </c>
      <c r="H67" s="1">
        <f>IF(B67&gt;64, Summary!$J$14, 0)*'TV 13'!G67*'TV 13'!F67</f>
        <v>175.09038351940549</v>
      </c>
      <c r="I67" s="1"/>
    </row>
    <row r="68" spans="1:9">
      <c r="A68" s="1">
        <f t="shared" si="5"/>
        <v>2085</v>
      </c>
      <c r="B68" s="1">
        <f t="shared" ref="B68:B73" si="6">$B$2+C68</f>
        <v>110</v>
      </c>
      <c r="C68" s="1">
        <v>66</v>
      </c>
      <c r="D68" s="1">
        <f>IF(Summary!$G$14="M",VLOOKUP(B:B,'male g'!A:V,IF(A68&gt;2033,22,MATCH(A68,'male g'!$A$1:$V$1,0)),FALSE),VLOOKUP(B:B,'female g'!A:V,IF(A68&gt;2033,22,MATCH(A68,'female g'!$A$1:$V$1,0)),FALSE))</f>
        <v>0.47644967979565578</v>
      </c>
      <c r="E68" s="1">
        <f t="shared" ref="E68:E78" si="7">1-D68</f>
        <v>0.52355032020434422</v>
      </c>
      <c r="F68" s="1">
        <f t="shared" ref="F68:F78" si="8">E67</f>
        <v>0.54092700833851404</v>
      </c>
      <c r="G68" s="1">
        <f>1/(1+Summary!$O$2)^$C68</f>
        <v>3.9949032086639788E-2</v>
      </c>
      <c r="H68" s="1">
        <f>IF(B68&gt;64, Summary!$J$14, 0)*'TV 13'!G68*'TV 13'!F68</f>
        <v>161.41850291985585</v>
      </c>
      <c r="I68" s="1"/>
    </row>
    <row r="69" spans="1:9">
      <c r="A69" s="1">
        <f t="shared" si="5"/>
        <v>2086</v>
      </c>
      <c r="B69" s="1">
        <f t="shared" si="6"/>
        <v>111</v>
      </c>
      <c r="C69" s="1">
        <v>67</v>
      </c>
      <c r="D69" s="1">
        <f>IF(Summary!$G$14="M",VLOOKUP(B:B,'male g'!A:V,IF(A69&gt;2033,22,MATCH(A69,'male g'!$A$1:$V$1,0)),FALSE),VLOOKUP(B:B,'female g'!A:V,IF(A69&gt;2033,22,MATCH(A69,'female g'!$A$1:$V$1,0)),FALSE))</f>
        <v>0.48540620500607778</v>
      </c>
      <c r="E69" s="1">
        <f t="shared" si="7"/>
        <v>0.51459379499392222</v>
      </c>
      <c r="F69" s="1">
        <f t="shared" si="8"/>
        <v>0.52355032020434422</v>
      </c>
      <c r="G69" s="1">
        <f>1/(1+Summary!$O$2)^$C69</f>
        <v>3.8046697225371226E-2</v>
      </c>
      <c r="H69" s="1">
        <f>IF(B69&gt;64, Summary!$J$14, 0)*'TV 13'!G69*'TV 13'!F69</f>
        <v>148.79343826227836</v>
      </c>
      <c r="I69" s="1"/>
    </row>
    <row r="70" spans="1:9">
      <c r="A70" s="1">
        <f t="shared" si="5"/>
        <v>2087</v>
      </c>
      <c r="B70" s="1">
        <f t="shared" si="6"/>
        <v>112</v>
      </c>
      <c r="C70" s="1">
        <v>68</v>
      </c>
      <c r="D70" s="1">
        <f>IF(Summary!$G$14="M",VLOOKUP(B:B,'male g'!A:V,IF(A70&gt;2033,22,MATCH(A70,'male g'!$A$1:$V$1,0)),FALSE),VLOOKUP(B:B,'female g'!A:V,IF(A70&gt;2033,22,MATCH(A70,'female g'!$A$1:$V$1,0)),FALSE))</f>
        <v>0.48906519527204906</v>
      </c>
      <c r="E70" s="1">
        <f t="shared" si="7"/>
        <v>0.51093480472795094</v>
      </c>
      <c r="F70" s="1">
        <f t="shared" si="8"/>
        <v>0.51459379499392222</v>
      </c>
      <c r="G70" s="1">
        <f>1/(1+Summary!$O$2)^$C70</f>
        <v>3.6234949738448791E-2</v>
      </c>
      <c r="H70" s="1">
        <f>IF(B70&gt;64, Summary!$J$14, 0)*'TV 13'!G70*'TV 13'!F70</f>
        <v>139.28379649251522</v>
      </c>
      <c r="I70" s="1"/>
    </row>
    <row r="71" spans="1:9">
      <c r="A71" s="1">
        <f t="shared" si="5"/>
        <v>2088</v>
      </c>
      <c r="B71" s="1">
        <f t="shared" si="6"/>
        <v>113</v>
      </c>
      <c r="C71" s="1">
        <v>69</v>
      </c>
      <c r="D71" s="1">
        <f>IF(Summary!$G$14="M",VLOOKUP(B:B,'male g'!A:V,IF(A71&gt;2033,22,MATCH(A71,'male g'!$A$1:$V$1,0)),FALSE),VLOOKUP(B:B,'female g'!A:V,IF(A71&gt;2033,22,MATCH(A71,'female g'!$A$1:$V$1,0)),FALSE))</f>
        <v>0.49265177497129853</v>
      </c>
      <c r="E71" s="1">
        <f t="shared" si="7"/>
        <v>0.50734822502870147</v>
      </c>
      <c r="F71" s="1">
        <f t="shared" si="8"/>
        <v>0.51093480472795094</v>
      </c>
      <c r="G71" s="1">
        <f>1/(1+Summary!$O$2)^$C71</f>
        <v>3.4509475941379798E-2</v>
      </c>
      <c r="H71" s="1">
        <f>IF(B71&gt;64, Summary!$J$14, 0)*'TV 13'!G71*'TV 13'!F71</f>
        <v>131.70802560328917</v>
      </c>
      <c r="I71" s="1"/>
    </row>
    <row r="72" spans="1:9">
      <c r="A72" s="1">
        <f t="shared" si="5"/>
        <v>2089</v>
      </c>
      <c r="B72" s="1">
        <f t="shared" si="6"/>
        <v>114</v>
      </c>
      <c r="C72" s="1">
        <v>70</v>
      </c>
      <c r="D72" s="1">
        <f>IF(Summary!$G$14="M",VLOOKUP(B:B,'male g'!A:V,IF(A72&gt;2033,22,MATCH(A72,'male g'!$A$1:$V$1,0)),FALSE),VLOOKUP(B:B,'female g'!A:V,IF(A72&gt;2033,22,MATCH(A72,'female g'!$A$1:$V$1,0)),FALSE))</f>
        <v>0.49631296624312721</v>
      </c>
      <c r="E72" s="1">
        <f t="shared" si="7"/>
        <v>0.50368703375687285</v>
      </c>
      <c r="F72" s="1">
        <f t="shared" si="8"/>
        <v>0.50734822502870147</v>
      </c>
      <c r="G72" s="1">
        <f>1/(1+Summary!$O$2)^$C72</f>
        <v>3.2866167563218862E-2</v>
      </c>
      <c r="H72" s="1">
        <f>IF(B72&gt;64, Summary!$J$14, 0)*'TV 13'!G72*'TV 13'!F72</f>
        <v>124.55569746822165</v>
      </c>
      <c r="I72" s="1"/>
    </row>
    <row r="73" spans="1:9">
      <c r="A73" s="1">
        <f t="shared" si="5"/>
        <v>2090</v>
      </c>
      <c r="B73" s="1">
        <f t="shared" si="6"/>
        <v>115</v>
      </c>
      <c r="C73" s="1">
        <v>71</v>
      </c>
      <c r="D73" s="1">
        <f>IF(Summary!$G$14="M",VLOOKUP(B:B,'male g'!A:V,IF(A73&gt;2033,22,MATCH(A73,'male g'!$A$1:$V$1,0)),FALSE),VLOOKUP(B:B,'female g'!A:V,IF(A73&gt;2033,22,MATCH(A73,'female g'!$A$1:$V$1,0)),FALSE))</f>
        <v>0.5</v>
      </c>
      <c r="E73" s="1">
        <f t="shared" si="7"/>
        <v>0.5</v>
      </c>
      <c r="F73" s="1">
        <f t="shared" si="8"/>
        <v>0.50368703375687285</v>
      </c>
      <c r="G73" s="1">
        <f>1/(1+Summary!$O$2)^$C73</f>
        <v>3.1301111964970339E-2</v>
      </c>
      <c r="H73" s="1">
        <f>IF(B73&gt;64, Summary!$J$14, 0)*'TV 13'!G73*'TV 13'!F73</f>
        <v>117.76844065131918</v>
      </c>
      <c r="I73" s="1"/>
    </row>
    <row r="74" spans="1:9">
      <c r="A74" s="1">
        <f>$A$2+C74</f>
        <v>2091</v>
      </c>
      <c r="B74" s="1">
        <f>$B$2+C74</f>
        <v>116</v>
      </c>
      <c r="C74" s="1">
        <v>72</v>
      </c>
      <c r="D74" s="1">
        <f>IF(Summary!$G$14="M",VLOOKUP(B:B,'male g'!A:V,IF(A74&gt;2033,22,MATCH(A74,'male g'!$A$1:$V$1,0)),FALSE),VLOOKUP(B:B,'female g'!A:V,IF(A74&gt;2033,22,MATCH(A74,'female g'!$A$1:$V$1,0)),FALSE))</f>
        <v>0.5</v>
      </c>
      <c r="E74" s="1">
        <f t="shared" si="7"/>
        <v>0.5</v>
      </c>
      <c r="F74" s="1">
        <f t="shared" si="8"/>
        <v>0.5</v>
      </c>
      <c r="G74" s="1">
        <f>1/(1+Summary!$O$2)^$C74</f>
        <v>2.9810582823781274E-2</v>
      </c>
      <c r="H74" s="1">
        <f>IF(B74&gt;64, Summary!$J$14, 0)*'TV 13'!G74*'TV 13'!F74</f>
        <v>111.33939544894289</v>
      </c>
      <c r="I74" s="1"/>
    </row>
    <row r="75" spans="1:9">
      <c r="A75" s="1">
        <f>$A$2+C75</f>
        <v>2092</v>
      </c>
      <c r="B75" s="1">
        <f>$B$2+C75</f>
        <v>117</v>
      </c>
      <c r="C75" s="1">
        <v>73</v>
      </c>
      <c r="D75" s="1">
        <f>IF(Summary!$G$14="M",VLOOKUP(B:B,'male g'!A:V,IF(A75&gt;2033,22,MATCH(A75,'male g'!$A$1:$V$1,0)),FALSE),VLOOKUP(B:B,'female g'!A:V,IF(A75&gt;2033,22,MATCH(A75,'female g'!$A$1:$V$1,0)),FALSE))</f>
        <v>0.5</v>
      </c>
      <c r="E75" s="1">
        <f t="shared" si="7"/>
        <v>0.5</v>
      </c>
      <c r="F75" s="1">
        <f t="shared" si="8"/>
        <v>0.5</v>
      </c>
      <c r="G75" s="1">
        <f>1/(1+Summary!$O$2)^$C75</f>
        <v>2.8391031260744073E-2</v>
      </c>
      <c r="H75" s="1">
        <f>IF(B75&gt;64, Summary!$J$14, 0)*'TV 13'!G75*'TV 13'!F75</f>
        <v>106.03751947518371</v>
      </c>
      <c r="I75" s="1"/>
    </row>
    <row r="76" spans="1:9">
      <c r="A76" s="1">
        <f>$A$2+C76</f>
        <v>2093</v>
      </c>
      <c r="B76" s="1">
        <f>$B$2+C76</f>
        <v>118</v>
      </c>
      <c r="C76" s="1">
        <v>74</v>
      </c>
      <c r="D76" s="1">
        <f>IF(Summary!$G$14="M",VLOOKUP(B:B,'male g'!A:V,IF(A76&gt;2033,22,MATCH(A76,'male g'!$A$1:$V$1,0)),FALSE),VLOOKUP(B:B,'female g'!A:V,IF(A76&gt;2033,22,MATCH(A76,'female g'!$A$1:$V$1,0)),FALSE))</f>
        <v>0.5</v>
      </c>
      <c r="E76" s="1">
        <f t="shared" si="7"/>
        <v>0.5</v>
      </c>
      <c r="F76" s="1">
        <f t="shared" si="8"/>
        <v>0.5</v>
      </c>
      <c r="G76" s="1">
        <f>1/(1+Summary!$O$2)^$C76</f>
        <v>2.7039077391184833E-2</v>
      </c>
      <c r="H76" s="1">
        <f>IF(B76&gt;64, Summary!$J$14, 0)*'TV 13'!G76*'TV 13'!F76</f>
        <v>100.98811378588925</v>
      </c>
      <c r="I76" s="1"/>
    </row>
    <row r="77" spans="1:9">
      <c r="A77" s="1">
        <f>$A$2+C77</f>
        <v>2094</v>
      </c>
      <c r="B77" s="1">
        <f>$B$2+C77</f>
        <v>119</v>
      </c>
      <c r="C77" s="1">
        <v>75</v>
      </c>
      <c r="D77" s="1">
        <f>IF(Summary!$G$14="M",VLOOKUP(B:B,'male g'!A:V,IF(A77&gt;2033,22,MATCH(A77,'male g'!$A$1:$V$1,0)),FALSE),VLOOKUP(B:B,'female g'!A:V,IF(A77&gt;2033,22,MATCH(A77,'female g'!$A$1:$V$1,0)),FALSE))</f>
        <v>0.5</v>
      </c>
      <c r="E77" s="1">
        <f t="shared" si="7"/>
        <v>0.5</v>
      </c>
      <c r="F77" s="1">
        <f t="shared" si="8"/>
        <v>0.5</v>
      </c>
      <c r="G77" s="1">
        <f>1/(1+Summary!$O$2)^$C77</f>
        <v>2.5751502277318886E-2</v>
      </c>
      <c r="H77" s="1">
        <f>IF(B77&gt;64, Summary!$J$14, 0)*'TV 13'!G77*'TV 13'!F77</f>
        <v>96.179155986561184</v>
      </c>
      <c r="I77" s="1"/>
    </row>
    <row r="78" spans="1:9">
      <c r="A78" s="1">
        <f>$A$2+C78</f>
        <v>2095</v>
      </c>
      <c r="B78" s="1">
        <f>$B$2+C78</f>
        <v>120</v>
      </c>
      <c r="C78" s="1">
        <v>76</v>
      </c>
      <c r="D78" s="1">
        <f>IF(Summary!$G$14="M",VLOOKUP(B:B,'male g'!A:V,IF(A78&gt;2033,22,MATCH(A78,'male g'!$A$1:$V$1,0)),FALSE),VLOOKUP(B:B,'female g'!A:V,IF(A78&gt;2033,22,MATCH(A78,'female g'!$A$1:$V$1,0)),FALSE))</f>
        <v>1</v>
      </c>
      <c r="E78" s="1">
        <f t="shared" si="7"/>
        <v>0</v>
      </c>
      <c r="F78" s="1">
        <f t="shared" si="8"/>
        <v>0.5</v>
      </c>
      <c r="G78" s="1">
        <f>1/(1+Summary!$O$2)^$C78</f>
        <v>2.4525240264113228E-2</v>
      </c>
      <c r="H78" s="1">
        <f>IF(B78&gt;64, Summary!$J$14, 0)*'TV 13'!G78*'TV 13'!F78</f>
        <v>91.599196177677328</v>
      </c>
      <c r="I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98"/>
  <sheetViews>
    <sheetView workbookViewId="0">
      <selection activeCell="I7" sqref="I7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Summary!H15</f>
        <v>44</v>
      </c>
      <c r="C2" s="1">
        <v>0</v>
      </c>
      <c r="D2" s="1">
        <f>IF(Summary!$G$15="M",VLOOKUP(B:B,'male g'!A:V,IF(A2&gt;2033,22,MATCH(A2,'male g'!$A$1:$V$1,0)),FALSE),VLOOKUP(B:B,'female g'!A:V,IF(A2&gt;2033,22,MATCH(A2,'female g'!$A$1:$V$1,0)),FALSE))</f>
        <v>9.0843728847883653E-4</v>
      </c>
      <c r="E2" s="1">
        <f>1-D2</f>
        <v>0.99909156271152111</v>
      </c>
      <c r="F2" s="1">
        <v>1</v>
      </c>
      <c r="G2" s="1">
        <f>1/(1+Summary!$O$2)^$C2</f>
        <v>1</v>
      </c>
      <c r="H2" s="1">
        <f>IF(B2&gt;64, Summary!$J$15, 0)*'TV 14'!G2*'TV 14'!F2</f>
        <v>0</v>
      </c>
      <c r="I2" s="1">
        <f>SUM(H2:H78)</f>
        <v>52258.264030009297</v>
      </c>
    </row>
    <row r="3" spans="1:9">
      <c r="A3" s="1">
        <f>$A$2+C3</f>
        <v>2020</v>
      </c>
      <c r="B3" s="1">
        <f>$B$2+C3</f>
        <v>45</v>
      </c>
      <c r="C3" s="1">
        <v>1</v>
      </c>
      <c r="D3" s="1">
        <f>IF(Summary!$G$15="M",VLOOKUP(B:B,'male g'!A:V,IF(A3&gt;2033,22,MATCH(A3,'male g'!$A$1:$V$1,0)),FALSE),VLOOKUP(B:B,'female g'!A:V,IF(A3&gt;2033,22,MATCH(A3,'female g'!$A$1:$V$1,0)),FALSE))</f>
        <v>9.9607517052241619E-4</v>
      </c>
      <c r="E3" s="1">
        <f>1-D3</f>
        <v>0.99900392482947753</v>
      </c>
      <c r="F3" s="1">
        <f>E2</f>
        <v>0.99909156271152111</v>
      </c>
      <c r="G3" s="1">
        <f>1/(1+Summary!$O$2)^$C3</f>
        <v>0.95238095238095233</v>
      </c>
      <c r="H3" s="1">
        <f>IF(B3&gt;64, Summary!$J$2, 0)*'TV 14'!G3*'TV 14'!F3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46</v>
      </c>
      <c r="C4" s="1">
        <v>2</v>
      </c>
      <c r="D4" s="1">
        <f>IF(Summary!$G$15="M",VLOOKUP(B:B,'male g'!A:V,IF(A4&gt;2033,22,MATCH(A4,'male g'!$A$1:$V$1,0)),FALSE),VLOOKUP(B:B,'female g'!A:V,IF(A4&gt;2033,22,MATCH(A4,'female g'!$A$1:$V$1,0)),FALSE))</f>
        <v>1.0953695499167531E-3</v>
      </c>
      <c r="E4" s="1">
        <f t="shared" ref="E4:E67" si="2">1-D4</f>
        <v>0.99890463045008326</v>
      </c>
      <c r="F4" s="1">
        <f t="shared" ref="F4:F67" si="3">E3</f>
        <v>0.99900392482947753</v>
      </c>
      <c r="G4" s="1">
        <f>1/(1+Summary!$O$2)^$C4</f>
        <v>0.90702947845804982</v>
      </c>
      <c r="H4" s="1">
        <f>IF(B4&gt;64, Summary!$J$2, 0)*'TV 14'!G4*'TV 14'!F4</f>
        <v>0</v>
      </c>
      <c r="I4" s="1"/>
    </row>
    <row r="5" spans="1:9">
      <c r="A5" s="1">
        <f t="shared" si="0"/>
        <v>2022</v>
      </c>
      <c r="B5" s="1">
        <f t="shared" si="1"/>
        <v>47</v>
      </c>
      <c r="C5" s="1">
        <v>3</v>
      </c>
      <c r="D5" s="1">
        <f>IF(Summary!$G$15="M",VLOOKUP(B:B,'male g'!A:V,IF(A5&gt;2033,22,MATCH(A5,'male g'!$A$1:$V$1,0)),FALSE),VLOOKUP(B:B,'female g'!A:V,IF(A5&gt;2033,22,MATCH(A5,'female g'!$A$1:$V$1,0)),FALSE))</f>
        <v>1.2043052219291685E-3</v>
      </c>
      <c r="E5" s="1">
        <f t="shared" si="2"/>
        <v>0.99879569477807084</v>
      </c>
      <c r="F5" s="1">
        <f t="shared" si="3"/>
        <v>0.99890463045008326</v>
      </c>
      <c r="G5" s="1">
        <f>1/(1+Summary!$O$2)^$C5</f>
        <v>0.86383759853147601</v>
      </c>
      <c r="H5" s="1">
        <f>IF(B5&gt;64, Summary!$J$2, 0)*'TV 14'!G5*'TV 14'!F5</f>
        <v>0</v>
      </c>
      <c r="I5" s="1"/>
    </row>
    <row r="6" spans="1:9">
      <c r="A6" s="1">
        <f t="shared" si="0"/>
        <v>2023</v>
      </c>
      <c r="B6" s="1">
        <f t="shared" si="1"/>
        <v>48</v>
      </c>
      <c r="C6" s="1">
        <v>4</v>
      </c>
      <c r="D6" s="1">
        <f>IF(Summary!$G$15="M",VLOOKUP(B:B,'male g'!A:V,IF(A6&gt;2033,22,MATCH(A6,'male g'!$A$1:$V$1,0)),FALSE),VLOOKUP(B:B,'female g'!A:V,IF(A6&gt;2033,22,MATCH(A6,'female g'!$A$1:$V$1,0)),FALSE))</f>
        <v>1.3243674831266408E-3</v>
      </c>
      <c r="E6" s="1">
        <f t="shared" si="2"/>
        <v>0.99867563251687341</v>
      </c>
      <c r="F6" s="1">
        <f t="shared" si="3"/>
        <v>0.99879569477807084</v>
      </c>
      <c r="G6" s="1">
        <f>1/(1+Summary!$O$2)^$C6</f>
        <v>0.82270247479188197</v>
      </c>
      <c r="H6" s="1">
        <f>IF(B6&gt;64, Summary!$J$2, 0)*'TV 14'!G6*'TV 14'!F6</f>
        <v>0</v>
      </c>
      <c r="I6" s="1"/>
    </row>
    <row r="7" spans="1:9">
      <c r="A7" s="1">
        <f t="shared" si="0"/>
        <v>2024</v>
      </c>
      <c r="B7" s="1">
        <f t="shared" si="1"/>
        <v>49</v>
      </c>
      <c r="C7" s="1">
        <v>5</v>
      </c>
      <c r="D7" s="1">
        <f>IF(Summary!$G$15="M",VLOOKUP(B:B,'male g'!A:V,IF(A7&gt;2033,22,MATCH(A7,'male g'!$A$1:$V$1,0)),FALSE),VLOOKUP(B:B,'female g'!A:V,IF(A7&gt;2033,22,MATCH(A7,'female g'!$A$1:$V$1,0)),FALSE))</f>
        <v>1.4555619007028812E-3</v>
      </c>
      <c r="E7" s="1">
        <f t="shared" si="2"/>
        <v>0.99854443809929716</v>
      </c>
      <c r="F7" s="1">
        <f t="shared" si="3"/>
        <v>0.99867563251687341</v>
      </c>
      <c r="G7" s="1">
        <f>1/(1+Summary!$O$2)^$C7</f>
        <v>0.78352616646845896</v>
      </c>
      <c r="H7" s="1">
        <f>IF(B7&gt;64, Summary!$J$2, 0)*'TV 14'!G7*'TV 14'!F7</f>
        <v>0</v>
      </c>
      <c r="I7" s="1"/>
    </row>
    <row r="8" spans="1:9">
      <c r="A8" s="1">
        <f t="shared" si="0"/>
        <v>2025</v>
      </c>
      <c r="B8" s="1">
        <f t="shared" si="1"/>
        <v>50</v>
      </c>
      <c r="C8" s="1">
        <v>6</v>
      </c>
      <c r="D8" s="1">
        <f>IF(Summary!$G$15="M",VLOOKUP(B:B,'male g'!A:V,IF(A8&gt;2033,22,MATCH(A8,'male g'!$A$1:$V$1,0)),FALSE),VLOOKUP(B:B,'female g'!A:V,IF(A8&gt;2033,22,MATCH(A8,'female g'!$A$1:$V$1,0)),FALSE))</f>
        <v>3.849328336693407E-3</v>
      </c>
      <c r="E8" s="1">
        <f t="shared" si="2"/>
        <v>0.99615067166330662</v>
      </c>
      <c r="F8" s="1">
        <f t="shared" si="3"/>
        <v>0.99854443809929716</v>
      </c>
      <c r="G8" s="1">
        <f>1/(1+Summary!$O$2)^$C8</f>
        <v>0.74621539663662761</v>
      </c>
      <c r="H8" s="1">
        <f>IF(B8&gt;64, Summary!$J$2, 0)*'TV 14'!G8*'TV 14'!F8</f>
        <v>0</v>
      </c>
      <c r="I8" s="1"/>
    </row>
    <row r="9" spans="1:9">
      <c r="A9" s="1">
        <f t="shared" si="0"/>
        <v>2026</v>
      </c>
      <c r="B9" s="1">
        <f t="shared" si="1"/>
        <v>51</v>
      </c>
      <c r="C9" s="1">
        <v>7</v>
      </c>
      <c r="D9" s="1">
        <f>IF(Summary!$G$15="M",VLOOKUP(B:B,'male g'!A:V,IF(A9&gt;2033,22,MATCH(A9,'male g'!$A$1:$V$1,0)),FALSE),VLOOKUP(B:B,'female g'!A:V,IF(A9&gt;2033,22,MATCH(A9,'female g'!$A$1:$V$1,0)),FALSE))</f>
        <v>4.0998556781452842E-3</v>
      </c>
      <c r="E9" s="1">
        <f t="shared" si="2"/>
        <v>0.9959001443218547</v>
      </c>
      <c r="F9" s="1">
        <f t="shared" si="3"/>
        <v>0.99615067166330662</v>
      </c>
      <c r="G9" s="1">
        <f>1/(1+Summary!$O$2)^$C9</f>
        <v>0.71068133013012147</v>
      </c>
      <c r="H9" s="1">
        <f>IF(B9&gt;64, Summary!$J$2, 0)*'TV 14'!G9*'TV 14'!F9</f>
        <v>0</v>
      </c>
      <c r="I9" s="1"/>
    </row>
    <row r="10" spans="1:9">
      <c r="A10" s="1">
        <f t="shared" si="0"/>
        <v>2027</v>
      </c>
      <c r="B10" s="1">
        <f t="shared" si="1"/>
        <v>52</v>
      </c>
      <c r="C10" s="1">
        <v>8</v>
      </c>
      <c r="D10" s="1">
        <f>IF(Summary!$G$15="M",VLOOKUP(B:B,'male g'!A:V,IF(A10&gt;2033,22,MATCH(A10,'male g'!$A$1:$V$1,0)),FALSE),VLOOKUP(B:B,'female g'!A:V,IF(A10&gt;2033,22,MATCH(A10,'female g'!$A$1:$V$1,0)),FALSE))</f>
        <v>4.3545836088183338E-3</v>
      </c>
      <c r="E10" s="1">
        <f t="shared" si="2"/>
        <v>0.99564541639118165</v>
      </c>
      <c r="F10" s="1">
        <f t="shared" si="3"/>
        <v>0.9959001443218547</v>
      </c>
      <c r="G10" s="1">
        <f>1/(1+Summary!$O$2)^$C10</f>
        <v>0.67683936202868722</v>
      </c>
      <c r="H10" s="1">
        <f>IF(B10&gt;64, Summary!$J$2, 0)*'TV 14'!G10*'TV 14'!F10</f>
        <v>0</v>
      </c>
      <c r="I10" s="1"/>
    </row>
    <row r="11" spans="1:9">
      <c r="A11" s="1">
        <f t="shared" si="0"/>
        <v>2028</v>
      </c>
      <c r="B11" s="1">
        <f t="shared" si="1"/>
        <v>53</v>
      </c>
      <c r="C11" s="1">
        <v>9</v>
      </c>
      <c r="D11" s="1">
        <f>IF(Summary!$G$15="M",VLOOKUP(B:B,'male g'!A:V,IF(A11&gt;2033,22,MATCH(A11,'male g'!$A$1:$V$1,0)),FALSE),VLOOKUP(B:B,'female g'!A:V,IF(A11&gt;2033,22,MATCH(A11,'female g'!$A$1:$V$1,0)),FALSE))</f>
        <v>4.615488300758302E-3</v>
      </c>
      <c r="E11" s="1">
        <f t="shared" si="2"/>
        <v>0.99538451169924169</v>
      </c>
      <c r="F11" s="1">
        <f t="shared" si="3"/>
        <v>0.99564541639118165</v>
      </c>
      <c r="G11" s="1">
        <f>1/(1+Summary!$O$2)^$C11</f>
        <v>0.64460891621779726</v>
      </c>
      <c r="H11" s="1">
        <f>IF(B11&gt;64, Summary!$J$2, 0)*'TV 14'!G11*'TV 14'!F11</f>
        <v>0</v>
      </c>
      <c r="I11" s="1"/>
    </row>
    <row r="12" spans="1:9">
      <c r="A12" s="1">
        <f t="shared" si="0"/>
        <v>2029</v>
      </c>
      <c r="B12" s="1">
        <f t="shared" si="1"/>
        <v>54</v>
      </c>
      <c r="C12" s="1">
        <v>10</v>
      </c>
      <c r="D12" s="1">
        <f>IF(Summary!$G$15="M",VLOOKUP(B:B,'male g'!A:V,IF(A12&gt;2033,22,MATCH(A12,'male g'!$A$1:$V$1,0)),FALSE),VLOOKUP(B:B,'female g'!A:V,IF(A12&gt;2033,22,MATCH(A12,'female g'!$A$1:$V$1,0)),FALSE))</f>
        <v>4.8871347852713605E-3</v>
      </c>
      <c r="E12" s="1">
        <f t="shared" si="2"/>
        <v>0.99511286521472864</v>
      </c>
      <c r="F12" s="1">
        <f t="shared" si="3"/>
        <v>0.99538451169924169</v>
      </c>
      <c r="G12" s="1">
        <f>1/(1+Summary!$O$2)^$C12</f>
        <v>0.61391325354075932</v>
      </c>
      <c r="H12" s="1">
        <f>IF(B12&gt;64, Summary!$J$2, 0)*'TV 14'!G12*'TV 14'!F12</f>
        <v>0</v>
      </c>
      <c r="I12" s="1"/>
    </row>
    <row r="13" spans="1:9">
      <c r="A13" s="1">
        <f t="shared" si="0"/>
        <v>2030</v>
      </c>
      <c r="B13" s="1">
        <f t="shared" si="1"/>
        <v>55</v>
      </c>
      <c r="C13" s="1">
        <v>11</v>
      </c>
      <c r="D13" s="1">
        <f>IF(Summary!$G$15="M",VLOOKUP(B:B,'male g'!A:V,IF(A13&gt;2033,22,MATCH(A13,'male g'!$A$1:$V$1,0)),FALSE),VLOOKUP(B:B,'female g'!A:V,IF(A13&gt;2033,22,MATCH(A13,'female g'!$A$1:$V$1,0)),FALSE))</f>
        <v>5.1686620877391745E-3</v>
      </c>
      <c r="E13" s="1">
        <f t="shared" si="2"/>
        <v>0.99483133791226086</v>
      </c>
      <c r="F13" s="1">
        <f t="shared" si="3"/>
        <v>0.99511286521472864</v>
      </c>
      <c r="G13" s="1">
        <f>1/(1+Summary!$O$2)^$C13</f>
        <v>0.5846792890864374</v>
      </c>
      <c r="H13" s="1">
        <f>IF(B13&gt;64, Summary!$J$2, 0)*'TV 14'!G13*'TV 14'!F13</f>
        <v>0</v>
      </c>
      <c r="I13" s="1"/>
    </row>
    <row r="14" spans="1:9">
      <c r="A14" s="1">
        <f t="shared" si="0"/>
        <v>2031</v>
      </c>
      <c r="B14" s="1">
        <f t="shared" si="1"/>
        <v>56</v>
      </c>
      <c r="C14" s="1">
        <v>12</v>
      </c>
      <c r="D14" s="1">
        <f>IF(Summary!$G$15="M",VLOOKUP(B:B,'male g'!A:V,IF(A14&gt;2033,22,MATCH(A14,'male g'!$A$1:$V$1,0)),FALSE),VLOOKUP(B:B,'female g'!A:V,IF(A14&gt;2033,22,MATCH(A14,'female g'!$A$1:$V$1,0)),FALSE))</f>
        <v>5.4646195077650292E-3</v>
      </c>
      <c r="E14" s="1">
        <f t="shared" si="2"/>
        <v>0.994535380492235</v>
      </c>
      <c r="F14" s="1">
        <f t="shared" si="3"/>
        <v>0.99483133791226086</v>
      </c>
      <c r="G14" s="1">
        <f>1/(1+Summary!$O$2)^$C14</f>
        <v>0.5568374181775595</v>
      </c>
      <c r="H14" s="1">
        <f>IF(B14&gt;64, Summary!$J$2, 0)*'TV 14'!G14*'TV 14'!F14</f>
        <v>0</v>
      </c>
      <c r="I14" s="1"/>
    </row>
    <row r="15" spans="1:9">
      <c r="A15" s="1">
        <f t="shared" si="0"/>
        <v>2032</v>
      </c>
      <c r="B15" s="1">
        <f t="shared" si="1"/>
        <v>57</v>
      </c>
      <c r="C15" s="1">
        <v>13</v>
      </c>
      <c r="D15" s="1">
        <f>IF(Summary!$G$15="M",VLOOKUP(B:B,'male g'!A:V,IF(A15&gt;2033,22,MATCH(A15,'male g'!$A$1:$V$1,0)),FALSE),VLOOKUP(B:B,'female g'!A:V,IF(A15&gt;2033,22,MATCH(A15,'female g'!$A$1:$V$1,0)),FALSE))</f>
        <v>5.7765980291078368E-3</v>
      </c>
      <c r="E15" s="1">
        <f t="shared" si="2"/>
        <v>0.99422340197089221</v>
      </c>
      <c r="F15" s="1">
        <f t="shared" si="3"/>
        <v>0.994535380492235</v>
      </c>
      <c r="G15" s="1">
        <f>1/(1+Summary!$O$2)^$C15</f>
        <v>0.53032135064529462</v>
      </c>
      <c r="H15" s="1">
        <f>IF(B15&gt;64, Summary!$J$2, 0)*'TV 14'!G15*'TV 14'!F15</f>
        <v>0</v>
      </c>
      <c r="I15" s="1"/>
    </row>
    <row r="16" spans="1:9">
      <c r="A16" s="1">
        <f t="shared" si="0"/>
        <v>2033</v>
      </c>
      <c r="B16" s="1">
        <f t="shared" si="1"/>
        <v>58</v>
      </c>
      <c r="C16" s="1">
        <v>14</v>
      </c>
      <c r="D16" s="1">
        <f>IF(Summary!$G$15="M",VLOOKUP(B:B,'male g'!A:V,IF(A16&gt;2033,22,MATCH(A16,'male g'!$A$1:$V$1,0)),FALSE),VLOOKUP(B:B,'female g'!A:V,IF(A16&gt;2033,22,MATCH(A16,'female g'!$A$1:$V$1,0)),FALSE))</f>
        <v>6.112372675981876E-3</v>
      </c>
      <c r="E16" s="1">
        <f t="shared" si="2"/>
        <v>0.99388762732401814</v>
      </c>
      <c r="F16" s="1">
        <f t="shared" si="3"/>
        <v>0.99422340197089221</v>
      </c>
      <c r="G16" s="1">
        <f>1/(1+Summary!$O$2)^$C16</f>
        <v>0.50506795299551888</v>
      </c>
      <c r="H16" s="1">
        <f>IF(B16&gt;64, Summary!$J$2, 0)*'TV 14'!G16*'TV 14'!F16</f>
        <v>0</v>
      </c>
      <c r="I16" s="1"/>
    </row>
    <row r="17" spans="1:9">
      <c r="A17" s="1">
        <f t="shared" si="0"/>
        <v>2034</v>
      </c>
      <c r="B17" s="1">
        <f t="shared" si="1"/>
        <v>59</v>
      </c>
      <c r="C17" s="1">
        <v>15</v>
      </c>
      <c r="D17" s="1">
        <f>IF(Summary!$G$15="M",VLOOKUP(B:B,'male g'!A:V,IF(A17&gt;2033,22,MATCH(A17,'male g'!$A$1:$V$1,0)),FALSE),VLOOKUP(B:B,'female g'!A:V,IF(A17&gt;2033,22,MATCH(A17,'female g'!$A$1:$V$1,0)),FALSE))</f>
        <v>6.4741513414089766E-3</v>
      </c>
      <c r="E17" s="1">
        <f t="shared" si="2"/>
        <v>0.99352584865859106</v>
      </c>
      <c r="F17" s="1">
        <f t="shared" si="3"/>
        <v>0.99388762732401814</v>
      </c>
      <c r="G17" s="1">
        <f>1/(1+Summary!$O$2)^$C17</f>
        <v>0.48101709809097021</v>
      </c>
      <c r="H17" s="1">
        <f>IF(B17&gt;64, Summary!$J$2, 0)*'TV 14'!G17*'TV 14'!F17</f>
        <v>0</v>
      </c>
      <c r="I17" s="1"/>
    </row>
    <row r="18" spans="1:9">
      <c r="A18" s="1">
        <f t="shared" si="0"/>
        <v>2035</v>
      </c>
      <c r="B18" s="1">
        <f t="shared" si="1"/>
        <v>60</v>
      </c>
      <c r="C18" s="1">
        <v>16</v>
      </c>
      <c r="D18" s="1">
        <f>IF(Summary!$G$15="M",VLOOKUP(B:B,'male g'!A:V,IF(A18&gt;2033,22,MATCH(A18,'male g'!$A$1:$V$1,0)),FALSE),VLOOKUP(B:B,'female g'!A:V,IF(A18&gt;2033,22,MATCH(A18,'female g'!$A$1:$V$1,0)),FALSE))</f>
        <v>6.936066846596668E-3</v>
      </c>
      <c r="E18" s="1">
        <f t="shared" si="2"/>
        <v>0.99306393315340336</v>
      </c>
      <c r="F18" s="1">
        <f t="shared" si="3"/>
        <v>0.99352584865859106</v>
      </c>
      <c r="G18" s="1">
        <f>1/(1+Summary!$O$2)^$C18</f>
        <v>0.45811152199140021</v>
      </c>
      <c r="H18" s="1">
        <f>IF(B18&gt;64, Summary!$J$2, 0)*'TV 14'!G18*'TV 14'!F18</f>
        <v>0</v>
      </c>
      <c r="I18" s="1"/>
    </row>
    <row r="19" spans="1:9">
      <c r="A19" s="1">
        <f t="shared" si="0"/>
        <v>2036</v>
      </c>
      <c r="B19" s="1">
        <f t="shared" si="1"/>
        <v>61</v>
      </c>
      <c r="C19" s="1">
        <v>17</v>
      </c>
      <c r="D19" s="1">
        <f>IF(Summary!$G$15="M",VLOOKUP(B:B,'male g'!A:V,IF(A19&gt;2033,22,MATCH(A19,'male g'!$A$1:$V$1,0)),FALSE),VLOOKUP(B:B,'female g'!A:V,IF(A19&gt;2033,22,MATCH(A19,'female g'!$A$1:$V$1,0)),FALSE))</f>
        <v>7.4443231733826182E-3</v>
      </c>
      <c r="E19" s="1">
        <f t="shared" si="2"/>
        <v>0.99255567682661738</v>
      </c>
      <c r="F19" s="1">
        <f t="shared" si="3"/>
        <v>0.99306393315340336</v>
      </c>
      <c r="G19" s="1">
        <f>1/(1+Summary!$O$2)^$C19</f>
        <v>0.43629668761085727</v>
      </c>
      <c r="H19" s="1">
        <f>IF(B19&gt;64, Summary!$J$2, 0)*'TV 14'!G19*'TV 14'!F19</f>
        <v>0</v>
      </c>
      <c r="I19" s="1"/>
    </row>
    <row r="20" spans="1:9">
      <c r="A20" s="1">
        <f t="shared" si="0"/>
        <v>2037</v>
      </c>
      <c r="B20" s="1">
        <f t="shared" si="1"/>
        <v>62</v>
      </c>
      <c r="C20" s="1">
        <v>18</v>
      </c>
      <c r="D20" s="1">
        <f>IF(Summary!$G$15="M",VLOOKUP(B:B,'male g'!A:V,IF(A20&gt;2033,22,MATCH(A20,'male g'!$A$1:$V$1,0)),FALSE),VLOOKUP(B:B,'female g'!A:V,IF(A20&gt;2033,22,MATCH(A20,'female g'!$A$1:$V$1,0)),FALSE))</f>
        <v>7.9980591160673849E-3</v>
      </c>
      <c r="E20" s="1">
        <f t="shared" si="2"/>
        <v>0.99200194088393256</v>
      </c>
      <c r="F20" s="1">
        <f t="shared" si="3"/>
        <v>0.99255567682661738</v>
      </c>
      <c r="G20" s="1">
        <f>1/(1+Summary!$O$2)^$C20</f>
        <v>0.41552065486748313</v>
      </c>
      <c r="H20" s="1">
        <f>IF(B20&gt;64, Summary!$J$2, 0)*'TV 14'!G20*'TV 14'!F20</f>
        <v>0</v>
      </c>
      <c r="I20" s="1"/>
    </row>
    <row r="21" spans="1:9">
      <c r="A21" s="1">
        <f t="shared" si="0"/>
        <v>2038</v>
      </c>
      <c r="B21" s="1">
        <f t="shared" si="1"/>
        <v>63</v>
      </c>
      <c r="C21" s="1">
        <v>19</v>
      </c>
      <c r="D21" s="1">
        <f>IF(Summary!$G$15="M",VLOOKUP(B:B,'male g'!A:V,IF(A21&gt;2033,22,MATCH(A21,'male g'!$A$1:$V$1,0)),FALSE),VLOOKUP(B:B,'female g'!A:V,IF(A21&gt;2033,22,MATCH(A21,'female g'!$A$1:$V$1,0)),FALSE))</f>
        <v>8.6003126935298747E-3</v>
      </c>
      <c r="E21" s="1">
        <f t="shared" si="2"/>
        <v>0.9913996873064701</v>
      </c>
      <c r="F21" s="1">
        <f t="shared" si="3"/>
        <v>0.99200194088393256</v>
      </c>
      <c r="G21" s="1">
        <f>1/(1+Summary!$O$2)^$C21</f>
        <v>0.39573395701665059</v>
      </c>
      <c r="H21" s="1">
        <f>IF(B21&gt;64, Summary!$J$2, 0)*'TV 14'!G21*'TV 14'!F21</f>
        <v>0</v>
      </c>
      <c r="I21" s="1"/>
    </row>
    <row r="22" spans="1:9">
      <c r="A22" s="1">
        <f t="shared" si="0"/>
        <v>2039</v>
      </c>
      <c r="B22" s="1">
        <f t="shared" si="1"/>
        <v>64</v>
      </c>
      <c r="C22" s="1">
        <v>20</v>
      </c>
      <c r="D22" s="1">
        <f>IF(Summary!$G$15="M",VLOOKUP(B:B,'male g'!A:V,IF(A22&gt;2033,22,MATCH(A22,'male g'!$A$1:$V$1,0)),FALSE),VLOOKUP(B:B,'female g'!A:V,IF(A22&gt;2033,22,MATCH(A22,'female g'!$A$1:$V$1,0)),FALSE))</f>
        <v>9.2613902762817488E-3</v>
      </c>
      <c r="E22" s="1">
        <f t="shared" si="2"/>
        <v>0.9907386097237183</v>
      </c>
      <c r="F22" s="1">
        <f t="shared" si="3"/>
        <v>0.9913996873064701</v>
      </c>
      <c r="G22" s="1">
        <f>1/(1+Summary!$O$2)^$C22</f>
        <v>0.37688948287300061</v>
      </c>
      <c r="H22" s="1">
        <f>IF(B22&gt;64, Summary!$J$2, 0)*'TV 14'!G22*'TV 14'!F22</f>
        <v>0</v>
      </c>
      <c r="I22" s="1"/>
    </row>
    <row r="23" spans="1:9">
      <c r="A23" s="1">
        <f t="shared" si="0"/>
        <v>2040</v>
      </c>
      <c r="B23" s="1">
        <f t="shared" si="1"/>
        <v>65</v>
      </c>
      <c r="C23" s="1">
        <v>21</v>
      </c>
      <c r="D23" s="1">
        <f>IF(Summary!$G$15="M",VLOOKUP(B:B,'male g'!A:V,IF(A23&gt;2033,22,MATCH(A23,'male g'!$A$1:$V$1,0)),FALSE),VLOOKUP(B:B,'female g'!A:V,IF(A23&gt;2033,22,MATCH(A23,'female g'!$A$1:$V$1,0)),FALSE))</f>
        <v>9.9822267063302775E-3</v>
      </c>
      <c r="E23" s="1">
        <f t="shared" si="2"/>
        <v>0.99001777329366969</v>
      </c>
      <c r="F23" s="1">
        <f t="shared" si="3"/>
        <v>0.9907386097237183</v>
      </c>
      <c r="G23" s="1">
        <f>1/(1+Summary!$O$2)^$C23</f>
        <v>0.35894236464095297</v>
      </c>
      <c r="H23" s="1">
        <f>IF(B23&gt;64, Summary!$J$2, 0)*'TV 14'!G23*'TV 14'!F23</f>
        <v>2897.0021585546224</v>
      </c>
      <c r="I23" s="1"/>
    </row>
    <row r="24" spans="1:9">
      <c r="A24" s="1">
        <f t="shared" si="0"/>
        <v>2041</v>
      </c>
      <c r="B24" s="1">
        <f t="shared" si="1"/>
        <v>66</v>
      </c>
      <c r="C24" s="1">
        <v>22</v>
      </c>
      <c r="D24" s="1">
        <f>IF(Summary!$G$15="M",VLOOKUP(B:B,'male g'!A:V,IF(A24&gt;2033,22,MATCH(A24,'male g'!$A$1:$V$1,0)),FALSE),VLOOKUP(B:B,'female g'!A:V,IF(A24&gt;2033,22,MATCH(A24,'female g'!$A$1:$V$1,0)),FALSE))</f>
        <v>1.0770988448590023E-2</v>
      </c>
      <c r="E24" s="1">
        <f t="shared" si="2"/>
        <v>0.98922901155140996</v>
      </c>
      <c r="F24" s="1">
        <f t="shared" si="3"/>
        <v>0.99001777329366969</v>
      </c>
      <c r="G24" s="1">
        <f>1/(1+Summary!$O$2)^$C24</f>
        <v>0.3418498710866219</v>
      </c>
      <c r="H24" s="1">
        <f>IF(B24&gt;64, Summary!$J$2, 0)*'TV 14'!G24*'TV 14'!F24</f>
        <v>2757.0422598425102</v>
      </c>
      <c r="I24" s="1"/>
    </row>
    <row r="25" spans="1:9">
      <c r="A25" s="1">
        <f t="shared" si="0"/>
        <v>2042</v>
      </c>
      <c r="B25" s="1">
        <f t="shared" si="1"/>
        <v>67</v>
      </c>
      <c r="C25" s="1">
        <v>23</v>
      </c>
      <c r="D25" s="1">
        <f>IF(Summary!$G$15="M",VLOOKUP(B:B,'male g'!A:V,IF(A25&gt;2033,22,MATCH(A25,'male g'!$A$1:$V$1,0)),FALSE),VLOOKUP(B:B,'female g'!A:V,IF(A25&gt;2033,22,MATCH(A25,'female g'!$A$1:$V$1,0)),FALSE))</f>
        <v>1.1633181958479108E-2</v>
      </c>
      <c r="E25" s="1">
        <f t="shared" si="2"/>
        <v>0.98836681804152093</v>
      </c>
      <c r="F25" s="1">
        <f t="shared" si="3"/>
        <v>0.98922901155140996</v>
      </c>
      <c r="G25" s="1">
        <f>1/(1+Summary!$O$2)^$C25</f>
        <v>0.32557130579678267</v>
      </c>
      <c r="H25" s="1">
        <f>IF(B25&gt;64, Summary!$J$2, 0)*'TV 14'!G25*'TV 14'!F25</f>
        <v>2623.662555871208</v>
      </c>
      <c r="I25" s="1"/>
    </row>
    <row r="26" spans="1:9">
      <c r="A26" s="1">
        <f t="shared" si="0"/>
        <v>2043</v>
      </c>
      <c r="B26" s="1">
        <f t="shared" si="1"/>
        <v>68</v>
      </c>
      <c r="C26" s="1">
        <v>24</v>
      </c>
      <c r="D26" s="1">
        <f>IF(Summary!$G$15="M",VLOOKUP(B:B,'male g'!A:V,IF(A26&gt;2033,22,MATCH(A26,'male g'!$A$1:$V$1,0)),FALSE),VLOOKUP(B:B,'female g'!A:V,IF(A26&gt;2033,22,MATCH(A26,'female g'!$A$1:$V$1,0)),FALSE))</f>
        <v>1.2580700369048322E-2</v>
      </c>
      <c r="E26" s="1">
        <f t="shared" si="2"/>
        <v>0.98741929963095165</v>
      </c>
      <c r="F26" s="1">
        <f t="shared" si="3"/>
        <v>0.98836681804152093</v>
      </c>
      <c r="G26" s="1">
        <f>1/(1+Summary!$O$2)^$C26</f>
        <v>0.31006791028265024</v>
      </c>
      <c r="H26" s="1">
        <f>IF(B26&gt;64, Summary!$J$2, 0)*'TV 14'!G26*'TV 14'!F26</f>
        <v>2496.5484006139882</v>
      </c>
      <c r="I26" s="1"/>
    </row>
    <row r="27" spans="1:9">
      <c r="A27" s="1">
        <f t="shared" si="0"/>
        <v>2044</v>
      </c>
      <c r="B27" s="1">
        <f t="shared" si="1"/>
        <v>69</v>
      </c>
      <c r="C27" s="1">
        <v>25</v>
      </c>
      <c r="D27" s="1">
        <f>IF(Summary!$G$15="M",VLOOKUP(B:B,'male g'!A:V,IF(A27&gt;2033,22,MATCH(A27,'male g'!$A$1:$V$1,0)),FALSE),VLOOKUP(B:B,'female g'!A:V,IF(A27&gt;2033,22,MATCH(A27,'female g'!$A$1:$V$1,0)),FALSE))</f>
        <v>1.3626686177724836E-2</v>
      </c>
      <c r="E27" s="1">
        <f t="shared" si="2"/>
        <v>0.98637331382227511</v>
      </c>
      <c r="F27" s="1">
        <f t="shared" si="3"/>
        <v>0.98741929963095165</v>
      </c>
      <c r="G27" s="1">
        <f>1/(1+Summary!$O$2)^$C27</f>
        <v>0.29530277169776209</v>
      </c>
      <c r="H27" s="1">
        <f>IF(B27&gt;64, Summary!$J$2, 0)*'TV 14'!G27*'TV 14'!F27</f>
        <v>2375.3857452908669</v>
      </c>
      <c r="I27" s="1"/>
    </row>
    <row r="28" spans="1:9">
      <c r="A28" s="1">
        <f t="shared" si="0"/>
        <v>2045</v>
      </c>
      <c r="B28" s="1">
        <f t="shared" si="1"/>
        <v>70</v>
      </c>
      <c r="C28" s="1">
        <v>26</v>
      </c>
      <c r="D28" s="1">
        <f>IF(Summary!$G$15="M",VLOOKUP(B:B,'male g'!A:V,IF(A28&gt;2033,22,MATCH(A28,'male g'!$A$1:$V$1,0)),FALSE),VLOOKUP(B:B,'female g'!A:V,IF(A28&gt;2033,22,MATCH(A28,'female g'!$A$1:$V$1,0)),FALSE))</f>
        <v>1.4793079982031035E-2</v>
      </c>
      <c r="E28" s="1">
        <f t="shared" si="2"/>
        <v>0.98520692001796895</v>
      </c>
      <c r="F28" s="1">
        <f t="shared" si="3"/>
        <v>0.98637331382227511</v>
      </c>
      <c r="G28" s="1">
        <f>1/(1+Summary!$O$2)^$C28</f>
        <v>0.28124073495024959</v>
      </c>
      <c r="H28" s="1">
        <f>IF(B28&gt;64, Summary!$J$2, 0)*'TV 14'!G28*'TV 14'!F28</f>
        <v>2259.8756847552481</v>
      </c>
      <c r="I28" s="1"/>
    </row>
    <row r="29" spans="1:9">
      <c r="A29" s="1">
        <f t="shared" si="0"/>
        <v>2046</v>
      </c>
      <c r="B29" s="1">
        <f t="shared" si="1"/>
        <v>71</v>
      </c>
      <c r="C29" s="1">
        <v>27</v>
      </c>
      <c r="D29" s="1">
        <f>IF(Summary!$G$15="M",VLOOKUP(B:B,'male g'!A:V,IF(A29&gt;2033,22,MATCH(A29,'male g'!$A$1:$V$1,0)),FALSE),VLOOKUP(B:B,'female g'!A:V,IF(A29&gt;2033,22,MATCH(A29,'female g'!$A$1:$V$1,0)),FALSE))</f>
        <v>1.6081052063459764E-2</v>
      </c>
      <c r="E29" s="1">
        <f t="shared" si="2"/>
        <v>0.98391894793654022</v>
      </c>
      <c r="F29" s="1">
        <f t="shared" si="3"/>
        <v>0.98520692001796895</v>
      </c>
      <c r="G29" s="1">
        <f>1/(1+Summary!$O$2)^$C29</f>
        <v>0.2678483190002377</v>
      </c>
      <c r="H29" s="1">
        <f>IF(B29&gt;64, Summary!$J$2, 0)*'TV 14'!G29*'TV 14'!F29</f>
        <v>2149.717490375172</v>
      </c>
      <c r="I29" s="1"/>
    </row>
    <row r="30" spans="1:9">
      <c r="A30" s="1">
        <f t="shared" si="0"/>
        <v>2047</v>
      </c>
      <c r="B30" s="1">
        <f t="shared" si="1"/>
        <v>72</v>
      </c>
      <c r="C30" s="1">
        <v>28</v>
      </c>
      <c r="D30" s="1">
        <f>IF(Summary!$G$15="M",VLOOKUP(B:B,'male g'!A:V,IF(A30&gt;2033,22,MATCH(A30,'male g'!$A$1:$V$1,0)),FALSE),VLOOKUP(B:B,'female g'!A:V,IF(A30&gt;2033,22,MATCH(A30,'female g'!$A$1:$V$1,0)),FALSE))</f>
        <v>1.7512751333317752E-2</v>
      </c>
      <c r="E30" s="1">
        <f t="shared" si="2"/>
        <v>0.98248724866668224</v>
      </c>
      <c r="F30" s="1">
        <f t="shared" si="3"/>
        <v>0.98391894793654022</v>
      </c>
      <c r="G30" s="1">
        <f>1/(1+Summary!$O$2)^$C30</f>
        <v>0.25509363714308358</v>
      </c>
      <c r="H30" s="1">
        <f>IF(B30&gt;64, Summary!$J$2, 0)*'TV 14'!G30*'TV 14'!F30</f>
        <v>2044.6734671758495</v>
      </c>
      <c r="I30" s="1"/>
    </row>
    <row r="31" spans="1:9">
      <c r="A31" s="1">
        <f t="shared" si="0"/>
        <v>2048</v>
      </c>
      <c r="B31" s="1">
        <f t="shared" si="1"/>
        <v>73</v>
      </c>
      <c r="C31" s="1">
        <v>29</v>
      </c>
      <c r="D31" s="1">
        <f>IF(Summary!$G$15="M",VLOOKUP(B:B,'male g'!A:V,IF(A31&gt;2033,22,MATCH(A31,'male g'!$A$1:$V$1,0)),FALSE),VLOOKUP(B:B,'female g'!A:V,IF(A31&gt;2033,22,MATCH(A31,'female g'!$A$1:$V$1,0)),FALSE))</f>
        <v>1.9108502444741413E-2</v>
      </c>
      <c r="E31" s="1">
        <f t="shared" si="2"/>
        <v>0.98089149755525862</v>
      </c>
      <c r="F31" s="1">
        <f t="shared" si="3"/>
        <v>0.98248724866668224</v>
      </c>
      <c r="G31" s="1">
        <f>1/(1+Summary!$O$2)^$C31</f>
        <v>0.24294632108865097</v>
      </c>
      <c r="H31" s="1">
        <f>IF(B31&gt;64, Summary!$J$2, 0)*'TV 14'!G31*'TV 14'!F31</f>
        <v>1944.4745383708184</v>
      </c>
      <c r="I31" s="1"/>
    </row>
    <row r="32" spans="1:9">
      <c r="A32" s="1">
        <f t="shared" si="0"/>
        <v>2049</v>
      </c>
      <c r="B32" s="1">
        <f t="shared" si="1"/>
        <v>74</v>
      </c>
      <c r="C32" s="1">
        <v>30</v>
      </c>
      <c r="D32" s="1">
        <f>IF(Summary!$G$15="M",VLOOKUP(B:B,'male g'!A:V,IF(A32&gt;2033,22,MATCH(A32,'male g'!$A$1:$V$1,0)),FALSE),VLOOKUP(B:B,'female g'!A:V,IF(A32&gt;2033,22,MATCH(A32,'female g'!$A$1:$V$1,0)),FALSE))</f>
        <v>2.0891078905760852E-2</v>
      </c>
      <c r="E32" s="1">
        <f t="shared" si="2"/>
        <v>0.97910892109423919</v>
      </c>
      <c r="F32" s="1">
        <f t="shared" si="3"/>
        <v>0.98089149755525862</v>
      </c>
      <c r="G32" s="1">
        <f>1/(1+Summary!$O$2)^$C32</f>
        <v>0.23137744865585813</v>
      </c>
      <c r="H32" s="1">
        <f>IF(B32&gt;64, Summary!$J$2, 0)*'TV 14'!G32*'TV 14'!F32</f>
        <v>1848.8726972225843</v>
      </c>
      <c r="I32" s="1"/>
    </row>
    <row r="33" spans="1:9">
      <c r="A33" s="1">
        <f t="shared" si="0"/>
        <v>2050</v>
      </c>
      <c r="B33" s="1">
        <f t="shared" si="1"/>
        <v>75</v>
      </c>
      <c r="C33" s="1">
        <v>31</v>
      </c>
      <c r="D33" s="1">
        <f>IF(Summary!$G$15="M",VLOOKUP(B:B,'male g'!A:V,IF(A33&gt;2033,22,MATCH(A33,'male g'!$A$1:$V$1,0)),FALSE),VLOOKUP(B:B,'female g'!A:V,IF(A33&gt;2033,22,MATCH(A33,'female g'!$A$1:$V$1,0)),FALSE))</f>
        <v>2.289528896934603E-2</v>
      </c>
      <c r="E33" s="1">
        <f t="shared" si="2"/>
        <v>0.97710471103065399</v>
      </c>
      <c r="F33" s="1">
        <f t="shared" si="3"/>
        <v>0.97910892109423919</v>
      </c>
      <c r="G33" s="1">
        <f>1/(1+Summary!$O$2)^$C33</f>
        <v>0.220359474910341</v>
      </c>
      <c r="H33" s="1">
        <f>IF(B33&gt;64, Summary!$J$2, 0)*'TV 14'!G33*'TV 14'!F33</f>
        <v>1757.6311775757549</v>
      </c>
      <c r="I33" s="1"/>
    </row>
    <row r="34" spans="1:9">
      <c r="A34" s="1">
        <f t="shared" si="0"/>
        <v>2051</v>
      </c>
      <c r="B34" s="1">
        <f t="shared" si="1"/>
        <v>76</v>
      </c>
      <c r="C34" s="1">
        <v>32</v>
      </c>
      <c r="D34" s="1">
        <f>IF(Summary!$G$15="M",VLOOKUP(B:B,'male g'!A:V,IF(A34&gt;2033,22,MATCH(A34,'male g'!$A$1:$V$1,0)),FALSE),VLOOKUP(B:B,'female g'!A:V,IF(A34&gt;2033,22,MATCH(A34,'female g'!$A$1:$V$1,0)),FALSE))</f>
        <v>2.513765115831567E-2</v>
      </c>
      <c r="E34" s="1">
        <f t="shared" si="2"/>
        <v>0.97486234884168432</v>
      </c>
      <c r="F34" s="1">
        <f t="shared" si="3"/>
        <v>0.97710471103065399</v>
      </c>
      <c r="G34" s="1">
        <f>1/(1+Summary!$O$2)^$C34</f>
        <v>0.20986616658127716</v>
      </c>
      <c r="H34" s="1">
        <f>IF(B34&gt;64, Summary!$J$2, 0)*'TV 14'!G34*'TV 14'!F34</f>
        <v>1670.5079552813663</v>
      </c>
      <c r="I34" s="1"/>
    </row>
    <row r="35" spans="1:9">
      <c r="A35" s="1">
        <f>$A$2+C35</f>
        <v>2052</v>
      </c>
      <c r="B35" s="1">
        <f>$B$2+C35</f>
        <v>77</v>
      </c>
      <c r="C35" s="1">
        <v>33</v>
      </c>
      <c r="D35" s="1">
        <f>IF(Summary!$G$15="M",VLOOKUP(B:B,'male g'!A:V,IF(A35&gt;2033,22,MATCH(A35,'male g'!$A$1:$V$1,0)),FALSE),VLOOKUP(B:B,'female g'!A:V,IF(A35&gt;2033,22,MATCH(A35,'female g'!$A$1:$V$1,0)),FALSE))</f>
        <v>2.7677948896305107E-2</v>
      </c>
      <c r="E35" s="1">
        <f t="shared" si="2"/>
        <v>0.97232205110369485</v>
      </c>
      <c r="F35" s="1">
        <f t="shared" si="3"/>
        <v>0.97486234884168432</v>
      </c>
      <c r="G35" s="1">
        <f>1/(1+Summary!$O$2)^$C35</f>
        <v>0.19987253960121634</v>
      </c>
      <c r="H35" s="1">
        <f>IF(B35&gt;64, Summary!$J$2, 0)*'TV 14'!G35*'TV 14'!F35</f>
        <v>1587.3088559348125</v>
      </c>
      <c r="I35" s="1"/>
    </row>
    <row r="36" spans="1:9">
      <c r="A36" s="1">
        <f t="shared" ref="A36:A47" si="4">$A$2+C36</f>
        <v>2053</v>
      </c>
      <c r="B36" s="1">
        <f t="shared" si="1"/>
        <v>78</v>
      </c>
      <c r="C36" s="1">
        <v>34</v>
      </c>
      <c r="D36" s="1">
        <f>IF(Summary!$G$15="M",VLOOKUP(B:B,'male g'!A:V,IF(A36&gt;2033,22,MATCH(A36,'male g'!$A$1:$V$1,0)),FALSE),VLOOKUP(B:B,'female g'!A:V,IF(A36&gt;2033,22,MATCH(A36,'female g'!$A$1:$V$1,0)),FALSE))</f>
        <v>3.0545666614171758E-2</v>
      </c>
      <c r="E36" s="1">
        <f t="shared" si="2"/>
        <v>0.9694543333858282</v>
      </c>
      <c r="F36" s="1">
        <f t="shared" si="3"/>
        <v>0.97232205110369485</v>
      </c>
      <c r="G36" s="1">
        <f>1/(1+Summary!$O$2)^$C36</f>
        <v>0.19035479962020604</v>
      </c>
      <c r="H36" s="1">
        <f>IF(B36&gt;64, Summary!$J$2, 0)*'TV 14'!G36*'TV 14'!F36</f>
        <v>1507.783470657761</v>
      </c>
      <c r="I36" s="1"/>
    </row>
    <row r="37" spans="1:9">
      <c r="A37" s="1">
        <f t="shared" si="4"/>
        <v>2054</v>
      </c>
      <c r="B37" s="1">
        <f t="shared" si="1"/>
        <v>79</v>
      </c>
      <c r="C37" s="1">
        <v>35</v>
      </c>
      <c r="D37" s="1">
        <f>IF(Summary!$G$15="M",VLOOKUP(B:B,'male g'!A:V,IF(A37&gt;2033,22,MATCH(A37,'male g'!$A$1:$V$1,0)),FALSE),VLOOKUP(B:B,'female g'!A:V,IF(A37&gt;2033,22,MATCH(A37,'female g'!$A$1:$V$1,0)),FALSE))</f>
        <v>3.3801426006075351E-2</v>
      </c>
      <c r="E37" s="1">
        <f t="shared" si="2"/>
        <v>0.96619857399392461</v>
      </c>
      <c r="F37" s="1">
        <f t="shared" si="3"/>
        <v>0.9694543333858282</v>
      </c>
      <c r="G37" s="1">
        <f>1/(1+Summary!$O$2)^$C37</f>
        <v>0.18129028535257716</v>
      </c>
      <c r="H37" s="1">
        <f>IF(B37&gt;64, Summary!$J$2, 0)*'TV 14'!G37*'TV 14'!F37</f>
        <v>1431.7490380764914</v>
      </c>
      <c r="I37" s="1"/>
    </row>
    <row r="38" spans="1:9">
      <c r="A38" s="1">
        <f t="shared" si="4"/>
        <v>2055</v>
      </c>
      <c r="B38" s="1">
        <f t="shared" si="1"/>
        <v>80</v>
      </c>
      <c r="C38" s="1">
        <v>36</v>
      </c>
      <c r="D38" s="1">
        <f>IF(Summary!$G$15="M",VLOOKUP(B:B,'male g'!A:V,IF(A38&gt;2033,22,MATCH(A38,'male g'!$A$1:$V$1,0)),FALSE),VLOOKUP(B:B,'female g'!A:V,IF(A38&gt;2033,22,MATCH(A38,'female g'!$A$1:$V$1,0)),FALSE))</f>
        <v>3.7482908060753731E-2</v>
      </c>
      <c r="E38" s="1">
        <f t="shared" si="2"/>
        <v>0.96251709193924628</v>
      </c>
      <c r="F38" s="1">
        <f t="shared" si="3"/>
        <v>0.96619857399392461</v>
      </c>
      <c r="G38" s="1">
        <f>1/(1+Summary!$O$2)^$C38</f>
        <v>0.17265741462150208</v>
      </c>
      <c r="H38" s="1">
        <f>IF(B38&gt;64, Summary!$J$2, 0)*'TV 14'!G38*'TV 14'!F38</f>
        <v>1358.9911760688276</v>
      </c>
      <c r="I38" s="1"/>
    </row>
    <row r="39" spans="1:9">
      <c r="A39" s="1">
        <f t="shared" si="4"/>
        <v>2056</v>
      </c>
      <c r="B39" s="1">
        <f t="shared" si="1"/>
        <v>81</v>
      </c>
      <c r="C39" s="1">
        <v>37</v>
      </c>
      <c r="D39" s="1">
        <f>IF(Summary!$G$15="M",VLOOKUP(B:B,'male g'!A:V,IF(A39&gt;2033,22,MATCH(A39,'male g'!$A$1:$V$1,0)),FALSE),VLOOKUP(B:B,'female g'!A:V,IF(A39&gt;2033,22,MATCH(A39,'female g'!$A$1:$V$1,0)),FALSE))</f>
        <v>4.1692652240478641E-2</v>
      </c>
      <c r="E39" s="1">
        <f t="shared" si="2"/>
        <v>0.95830734775952131</v>
      </c>
      <c r="F39" s="1">
        <f t="shared" si="3"/>
        <v>0.96251709193924628</v>
      </c>
      <c r="G39" s="1">
        <f>1/(1+Summary!$O$2)^$C39</f>
        <v>0.1644356329728591</v>
      </c>
      <c r="H39" s="1">
        <f>IF(B39&gt;64, Summary!$J$2, 0)*'TV 14'!G39*'TV 14'!F39</f>
        <v>1289.3457583527938</v>
      </c>
      <c r="I39" s="1"/>
    </row>
    <row r="40" spans="1:9">
      <c r="A40" s="1">
        <f t="shared" si="4"/>
        <v>2057</v>
      </c>
      <c r="B40" s="1">
        <f t="shared" si="1"/>
        <v>82</v>
      </c>
      <c r="C40" s="1">
        <v>38</v>
      </c>
      <c r="D40" s="1">
        <f>IF(Summary!$G$15="M",VLOOKUP(B:B,'male g'!A:V,IF(A40&gt;2033,22,MATCH(A40,'male g'!$A$1:$V$1,0)),FALSE),VLOOKUP(B:B,'female g'!A:V,IF(A40&gt;2033,22,MATCH(A40,'female g'!$A$1:$V$1,0)),FALSE))</f>
        <v>4.6458269197024199E-2</v>
      </c>
      <c r="E40" s="1">
        <f t="shared" si="2"/>
        <v>0.95354173080297577</v>
      </c>
      <c r="F40" s="1">
        <f t="shared" si="3"/>
        <v>0.95830734775952131</v>
      </c>
      <c r="G40" s="1">
        <f>1/(1+Summary!$O$2)^$C40</f>
        <v>0.15660536473605632</v>
      </c>
      <c r="H40" s="1">
        <f>IF(B40&gt;64, Summary!$J$2, 0)*'TV 14'!G40*'TV 14'!F40</f>
        <v>1222.5776850932459</v>
      </c>
      <c r="I40" s="1"/>
    </row>
    <row r="41" spans="1:9">
      <c r="A41" s="1">
        <f t="shared" si="4"/>
        <v>2058</v>
      </c>
      <c r="B41" s="1">
        <f t="shared" si="1"/>
        <v>83</v>
      </c>
      <c r="C41" s="1">
        <v>39</v>
      </c>
      <c r="D41" s="1">
        <f>IF(Summary!$G$15="M",VLOOKUP(B:B,'male g'!A:V,IF(A41&gt;2033,22,MATCH(A41,'male g'!$A$1:$V$1,0)),FALSE),VLOOKUP(B:B,'female g'!A:V,IF(A41&gt;2033,22,MATCH(A41,'female g'!$A$1:$V$1,0)),FALSE))</f>
        <v>5.1882087565112409E-2</v>
      </c>
      <c r="E41" s="1">
        <f t="shared" si="2"/>
        <v>0.94811791243488763</v>
      </c>
      <c r="F41" s="1">
        <f t="shared" si="3"/>
        <v>0.95354173080297577</v>
      </c>
      <c r="G41" s="1">
        <f>1/(1+Summary!$O$2)^$C41</f>
        <v>0.14914796641529171</v>
      </c>
      <c r="H41" s="1">
        <f>IF(B41&gt;64, Summary!$J$2, 0)*'TV 14'!G41*'TV 14'!F41</f>
        <v>1158.5693945639291</v>
      </c>
      <c r="I41" s="1"/>
    </row>
    <row r="42" spans="1:9">
      <c r="A42" s="1">
        <f t="shared" si="4"/>
        <v>2059</v>
      </c>
      <c r="B42" s="1">
        <f t="shared" si="1"/>
        <v>84</v>
      </c>
      <c r="C42" s="1">
        <v>40</v>
      </c>
      <c r="D42" s="1">
        <f>IF(Summary!$G$15="M",VLOOKUP(B:B,'male g'!A:V,IF(A42&gt;2033,22,MATCH(A42,'male g'!$A$1:$V$1,0)),FALSE),VLOOKUP(B:B,'female g'!A:V,IF(A42&gt;2033,22,MATCH(A42,'female g'!$A$1:$V$1,0)),FALSE))</f>
        <v>5.8015339398571217E-2</v>
      </c>
      <c r="E42" s="1">
        <f t="shared" si="2"/>
        <v>0.94198466060142882</v>
      </c>
      <c r="F42" s="1">
        <f t="shared" si="3"/>
        <v>0.94811791243488763</v>
      </c>
      <c r="G42" s="1">
        <f>1/(1+Summary!$O$2)^$C42</f>
        <v>0.14204568230027784</v>
      </c>
      <c r="H42" s="1">
        <f>IF(B42&gt;64, Summary!$J$2, 0)*'TV 14'!G42*'TV 14'!F42</f>
        <v>1097.1232029975465</v>
      </c>
      <c r="I42" s="1"/>
    </row>
    <row r="43" spans="1:9">
      <c r="A43" s="1">
        <f t="shared" si="4"/>
        <v>2060</v>
      </c>
      <c r="B43" s="1">
        <f t="shared" si="1"/>
        <v>85</v>
      </c>
      <c r="C43" s="1">
        <v>41</v>
      </c>
      <c r="D43" s="1">
        <f>IF(Summary!$G$15="M",VLOOKUP(B:B,'male g'!A:V,IF(A43&gt;2033,22,MATCH(A43,'male g'!$A$1:$V$1,0)),FALSE),VLOOKUP(B:B,'female g'!A:V,IF(A43&gt;2033,22,MATCH(A43,'female g'!$A$1:$V$1,0)),FALSE))</f>
        <v>6.4965454874702594E-2</v>
      </c>
      <c r="E43" s="1">
        <f t="shared" si="2"/>
        <v>0.93503454512529738</v>
      </c>
      <c r="F43" s="1">
        <f t="shared" si="3"/>
        <v>0.94198466060142882</v>
      </c>
      <c r="G43" s="1">
        <f>1/(1+Summary!$O$2)^$C43</f>
        <v>0.13528160219074079</v>
      </c>
      <c r="H43" s="1">
        <f>IF(B43&gt;64, Summary!$J$2, 0)*'TV 14'!G43*'TV 14'!F43</f>
        <v>1038.1200526294247</v>
      </c>
      <c r="I43" s="1"/>
    </row>
    <row r="44" spans="1:9">
      <c r="A44" s="1">
        <f t="shared" si="4"/>
        <v>2061</v>
      </c>
      <c r="B44" s="1">
        <f t="shared" si="1"/>
        <v>86</v>
      </c>
      <c r="C44" s="1">
        <v>42</v>
      </c>
      <c r="D44" s="1">
        <f>IF(Summary!$G$15="M",VLOOKUP(B:B,'male g'!A:V,IF(A44&gt;2033,22,MATCH(A44,'male g'!$A$1:$V$1,0)),FALSE),VLOOKUP(B:B,'female g'!A:V,IF(A44&gt;2033,22,MATCH(A44,'female g'!$A$1:$V$1,0)),FALSE))</f>
        <v>7.2903222964449149E-2</v>
      </c>
      <c r="E44" s="1">
        <f t="shared" si="2"/>
        <v>0.92709677703555082</v>
      </c>
      <c r="F44" s="1">
        <f t="shared" si="3"/>
        <v>0.93503454512529738</v>
      </c>
      <c r="G44" s="1">
        <f>1/(1+Summary!$O$2)^$C44</f>
        <v>0.12883962113403885</v>
      </c>
      <c r="H44" s="1">
        <f>IF(B44&gt;64, Summary!$J$2, 0)*'TV 14'!G44*'TV 14'!F44</f>
        <v>981.39108062095931</v>
      </c>
      <c r="I44" s="1"/>
    </row>
    <row r="45" spans="1:9">
      <c r="A45" s="1">
        <f t="shared" si="4"/>
        <v>2062</v>
      </c>
      <c r="B45" s="1">
        <f t="shared" si="1"/>
        <v>87</v>
      </c>
      <c r="C45" s="1">
        <v>43</v>
      </c>
      <c r="D45" s="1">
        <f>IF(Summary!$G$15="M",VLOOKUP(B:B,'male g'!A:V,IF(A45&gt;2033,22,MATCH(A45,'male g'!$A$1:$V$1,0)),FALSE),VLOOKUP(B:B,'female g'!A:V,IF(A45&gt;2033,22,MATCH(A45,'female g'!$A$1:$V$1,0)),FALSE))</f>
        <v>8.1848520672112443E-2</v>
      </c>
      <c r="E45" s="1">
        <f t="shared" si="2"/>
        <v>0.91815147932788754</v>
      </c>
      <c r="F45" s="1">
        <f t="shared" si="3"/>
        <v>0.92709677703555082</v>
      </c>
      <c r="G45" s="1">
        <f>1/(1+Summary!$O$2)^$C45</f>
        <v>0.12270440108003698</v>
      </c>
      <c r="H45" s="1">
        <f>IF(B45&gt;64, Summary!$J$2, 0)*'TV 14'!G45*'TV 14'!F45</f>
        <v>926.72359906609574</v>
      </c>
      <c r="I45" s="1"/>
    </row>
    <row r="46" spans="1:9">
      <c r="A46" s="1">
        <f t="shared" si="4"/>
        <v>2063</v>
      </c>
      <c r="B46" s="1">
        <f t="shared" si="1"/>
        <v>88</v>
      </c>
      <c r="C46" s="1">
        <v>44</v>
      </c>
      <c r="D46" s="1">
        <f>IF(Summary!$G$15="M",VLOOKUP(B:B,'male g'!A:V,IF(A46&gt;2033,22,MATCH(A46,'male g'!$A$1:$V$1,0)),FALSE),VLOOKUP(B:B,'female g'!A:V,IF(A46&gt;2033,22,MATCH(A46,'female g'!$A$1:$V$1,0)),FALSE))</f>
        <v>9.1889133554378416E-2</v>
      </c>
      <c r="E46" s="1">
        <f t="shared" si="2"/>
        <v>0.90811086644562156</v>
      </c>
      <c r="F46" s="1">
        <f t="shared" si="3"/>
        <v>0.91815147932788754</v>
      </c>
      <c r="G46" s="1">
        <f>1/(1+Summary!$O$2)^$C46</f>
        <v>0.11686133436193999</v>
      </c>
      <c r="H46" s="1">
        <f>IF(B46&gt;64, Summary!$J$2, 0)*'TV 14'!G46*'TV 14'!F46</f>
        <v>874.07800195082712</v>
      </c>
      <c r="I46" s="1"/>
    </row>
    <row r="47" spans="1:9">
      <c r="A47" s="1">
        <f t="shared" si="4"/>
        <v>2064</v>
      </c>
      <c r="B47" s="1">
        <f t="shared" si="1"/>
        <v>89</v>
      </c>
      <c r="C47" s="1">
        <v>45</v>
      </c>
      <c r="D47" s="1">
        <f>IF(Summary!$G$15="M",VLOOKUP(B:B,'male g'!A:V,IF(A47&gt;2033,22,MATCH(A47,'male g'!$A$1:$V$1,0)),FALSE),VLOOKUP(B:B,'female g'!A:V,IF(A47&gt;2033,22,MATCH(A47,'female g'!$A$1:$V$1,0)),FALSE))</f>
        <v>0.1031648969350115</v>
      </c>
      <c r="E47" s="1">
        <f t="shared" si="2"/>
        <v>0.89683510306498848</v>
      </c>
      <c r="F47" s="1">
        <f t="shared" si="3"/>
        <v>0.90811086644562156</v>
      </c>
      <c r="G47" s="1">
        <f>1/(1+Summary!$O$2)^$C47</f>
        <v>0.1112965089161333</v>
      </c>
      <c r="H47" s="1">
        <f>IF(B47&gt;64, Summary!$J$2, 0)*'TV 14'!G47*'TV 14'!F47</f>
        <v>823.35177391910827</v>
      </c>
      <c r="I47" s="1"/>
    </row>
    <row r="48" spans="1:9">
      <c r="A48" s="1">
        <f>$A$2+C48</f>
        <v>2065</v>
      </c>
      <c r="B48" s="1">
        <f>$B$2+C48</f>
        <v>90</v>
      </c>
      <c r="C48" s="1">
        <v>46</v>
      </c>
      <c r="D48" s="1">
        <f>IF(Summary!$G$15="M",VLOOKUP(B:B,'male g'!A:V,IF(A48&gt;2033,22,MATCH(A48,'male g'!$A$1:$V$1,0)),FALSE),VLOOKUP(B:B,'female g'!A:V,IF(A48&gt;2033,22,MATCH(A48,'female g'!$A$1:$V$1,0)),FALSE))</f>
        <v>0.11576084940657383</v>
      </c>
      <c r="E48" s="1">
        <f t="shared" si="2"/>
        <v>0.88423915059342617</v>
      </c>
      <c r="F48" s="1">
        <f t="shared" si="3"/>
        <v>0.89683510306498848</v>
      </c>
      <c r="G48" s="1">
        <f>1/(1+Summary!$O$2)^$C48</f>
        <v>0.10599667515822221</v>
      </c>
      <c r="H48" s="1">
        <f>IF(B48&gt;64, Summary!$J$2, 0)*'TV 14'!G48*'TV 14'!F48</f>
        <v>774.40803897776948</v>
      </c>
      <c r="I48" s="1"/>
    </row>
    <row r="49" spans="1:9">
      <c r="A49" s="1">
        <f t="shared" ref="A49:A73" si="5">$A$2+C49</f>
        <v>2066</v>
      </c>
      <c r="B49" s="1">
        <f t="shared" si="1"/>
        <v>91</v>
      </c>
      <c r="C49" s="1">
        <v>47</v>
      </c>
      <c r="D49" s="1">
        <f>IF(Summary!$G$15="M",VLOOKUP(B:B,'male g'!A:V,IF(A49&gt;2033,22,MATCH(A49,'male g'!$A$1:$V$1,0)),FALSE),VLOOKUP(B:B,'female g'!A:V,IF(A49&gt;2033,22,MATCH(A49,'female g'!$A$1:$V$1,0)),FALSE))</f>
        <v>0.12933245912292859</v>
      </c>
      <c r="E49" s="1">
        <f t="shared" si="2"/>
        <v>0.87066754087707143</v>
      </c>
      <c r="F49" s="1">
        <f t="shared" si="3"/>
        <v>0.88423915059342617</v>
      </c>
      <c r="G49" s="1">
        <f>1/(1+Summary!$O$2)^$C49</f>
        <v>0.10094921443640208</v>
      </c>
      <c r="H49" s="1">
        <f>IF(B49&gt;64, Summary!$J$2, 0)*'TV 14'!G49*'TV 14'!F49</f>
        <v>727.17291565821495</v>
      </c>
      <c r="I49" s="1"/>
    </row>
    <row r="50" spans="1:9">
      <c r="A50" s="1">
        <f t="shared" si="5"/>
        <v>2067</v>
      </c>
      <c r="B50" s="1">
        <f t="shared" si="1"/>
        <v>92</v>
      </c>
      <c r="C50" s="1">
        <v>48</v>
      </c>
      <c r="D50" s="1">
        <f>IF(Summary!$G$15="M",VLOOKUP(B:B,'male g'!A:V,IF(A50&gt;2033,22,MATCH(A50,'male g'!$A$1:$V$1,0)),FALSE),VLOOKUP(B:B,'female g'!A:V,IF(A50&gt;2033,22,MATCH(A50,'female g'!$A$1:$V$1,0)),FALSE))</f>
        <v>0.14348300858520585</v>
      </c>
      <c r="E50" s="1">
        <f t="shared" si="2"/>
        <v>0.85651699141479409</v>
      </c>
      <c r="F50" s="1">
        <f t="shared" si="3"/>
        <v>0.87066754087707143</v>
      </c>
      <c r="G50" s="1">
        <f>1/(1+Summary!$O$2)^$C50</f>
        <v>9.6142108987049613E-2</v>
      </c>
      <c r="H50" s="1">
        <f>IF(B50&gt;64, Summary!$J$2, 0)*'TV 14'!G50*'TV 14'!F50</f>
        <v>681.91620294194956</v>
      </c>
      <c r="I50" s="1"/>
    </row>
    <row r="51" spans="1:9">
      <c r="A51" s="1">
        <f t="shared" si="5"/>
        <v>2068</v>
      </c>
      <c r="B51" s="1">
        <f t="shared" si="1"/>
        <v>93</v>
      </c>
      <c r="C51" s="1">
        <v>49</v>
      </c>
      <c r="D51" s="1">
        <f>IF(Summary!$G$15="M",VLOOKUP(B:B,'male g'!A:V,IF(A51&gt;2033,22,MATCH(A51,'male g'!$A$1:$V$1,0)),FALSE),VLOOKUP(B:B,'female g'!A:V,IF(A51&gt;2033,22,MATCH(A51,'female g'!$A$1:$V$1,0)),FALSE))</f>
        <v>0.15808258232710681</v>
      </c>
      <c r="E51" s="1">
        <f t="shared" si="2"/>
        <v>0.84191741767289319</v>
      </c>
      <c r="F51" s="1">
        <f t="shared" si="3"/>
        <v>0.85651699141479409</v>
      </c>
      <c r="G51" s="1">
        <f>1/(1+Summary!$O$2)^$C51</f>
        <v>9.1563913320999626E-2</v>
      </c>
      <c r="H51" s="1">
        <f>IF(B51&gt;64, Summary!$J$2, 0)*'TV 14'!G51*'TV 14'!F51</f>
        <v>638.88889530885263</v>
      </c>
      <c r="I51" s="1"/>
    </row>
    <row r="52" spans="1:9">
      <c r="A52" s="1">
        <f t="shared" si="5"/>
        <v>2069</v>
      </c>
      <c r="B52" s="1">
        <f t="shared" si="1"/>
        <v>94</v>
      </c>
      <c r="C52" s="1">
        <v>50</v>
      </c>
      <c r="D52" s="1">
        <f>IF(Summary!$G$15="M",VLOOKUP(B:B,'male g'!A:V,IF(A52&gt;2033,22,MATCH(A52,'male g'!$A$1:$V$1,0)),FALSE),VLOOKUP(B:B,'female g'!A:V,IF(A52&gt;2033,22,MATCH(A52,'female g'!$A$1:$V$1,0)),FALSE))</f>
        <v>0.17308956870926934</v>
      </c>
      <c r="E52" s="1">
        <f t="shared" si="2"/>
        <v>0.82691043129073072</v>
      </c>
      <c r="F52" s="1">
        <f t="shared" si="3"/>
        <v>0.84191741767289319</v>
      </c>
      <c r="G52" s="1">
        <f>1/(1+Summary!$O$2)^$C52</f>
        <v>8.7203726972380588E-2</v>
      </c>
      <c r="H52" s="1">
        <f>IF(B52&gt;64, Summary!$J$2, 0)*'TV 14'!G52*'TV 14'!F52</f>
        <v>598.09414653134343</v>
      </c>
      <c r="I52" s="1"/>
    </row>
    <row r="53" spans="1:9">
      <c r="A53" s="1">
        <f t="shared" si="5"/>
        <v>2070</v>
      </c>
      <c r="B53" s="1">
        <f t="shared" si="1"/>
        <v>95</v>
      </c>
      <c r="C53" s="1">
        <v>51</v>
      </c>
      <c r="D53" s="1">
        <f>IF(Summary!$G$15="M",VLOOKUP(B:B,'male g'!A:V,IF(A53&gt;2033,22,MATCH(A53,'male g'!$A$1:$V$1,0)),FALSE),VLOOKUP(B:B,'female g'!A:V,IF(A53&gt;2033,22,MATCH(A53,'female g'!$A$1:$V$1,0)),FALSE))</f>
        <v>0.1884638420447376</v>
      </c>
      <c r="E53" s="1">
        <f t="shared" si="2"/>
        <v>0.81153615795526246</v>
      </c>
      <c r="F53" s="1">
        <f t="shared" si="3"/>
        <v>0.82691043129073072</v>
      </c>
      <c r="G53" s="1">
        <f>1/(1+Summary!$O$2)^$C53</f>
        <v>8.3051168545124371E-2</v>
      </c>
      <c r="H53" s="1">
        <f>IF(B53&gt;64, Summary!$J$2, 0)*'TV 14'!G53*'TV 14'!F53</f>
        <v>559.46024235478899</v>
      </c>
      <c r="I53" s="1"/>
    </row>
    <row r="54" spans="1:9">
      <c r="A54" s="1">
        <f t="shared" si="5"/>
        <v>2071</v>
      </c>
      <c r="B54" s="1">
        <f t="shared" si="1"/>
        <v>96</v>
      </c>
      <c r="C54" s="1">
        <v>52</v>
      </c>
      <c r="D54" s="1">
        <f>IF(Summary!$G$15="M",VLOOKUP(B:B,'male g'!A:V,IF(A54&gt;2033,22,MATCH(A54,'male g'!$A$1:$V$1,0)),FALSE),VLOOKUP(B:B,'female g'!A:V,IF(A54&gt;2033,22,MATCH(A54,'female g'!$A$1:$V$1,0)),FALSE))</f>
        <v>0.20546988897968524</v>
      </c>
      <c r="E54" s="1">
        <f t="shared" si="2"/>
        <v>0.79453011102031479</v>
      </c>
      <c r="F54" s="1">
        <f t="shared" si="3"/>
        <v>0.81153615795526246</v>
      </c>
      <c r="G54" s="1">
        <f>1/(1+Summary!$O$2)^$C54</f>
        <v>7.9096350995356543E-2</v>
      </c>
      <c r="H54" s="1">
        <f>IF(B54&gt;64, Summary!$J$2, 0)*'TV 14'!G54*'TV 14'!F54</f>
        <v>522.9128739241803</v>
      </c>
      <c r="I54" s="1"/>
    </row>
    <row r="55" spans="1:9">
      <c r="A55" s="1">
        <f t="shared" si="5"/>
        <v>2072</v>
      </c>
      <c r="B55" s="1">
        <f t="shared" si="1"/>
        <v>97</v>
      </c>
      <c r="C55" s="1">
        <v>53</v>
      </c>
      <c r="D55" s="1">
        <f>IF(Summary!$G$15="M",VLOOKUP(B:B,'male g'!A:V,IF(A55&gt;2033,22,MATCH(A55,'male g'!$A$1:$V$1,0)),FALSE),VLOOKUP(B:B,'female g'!A:V,IF(A55&gt;2033,22,MATCH(A55,'female g'!$A$1:$V$1,0)),FALSE))</f>
        <v>0.22317315569892124</v>
      </c>
      <c r="E55" s="1">
        <f t="shared" si="2"/>
        <v>0.77682684430107873</v>
      </c>
      <c r="F55" s="1">
        <f t="shared" si="3"/>
        <v>0.79453011102031479</v>
      </c>
      <c r="G55" s="1">
        <f>1/(1+Summary!$O$2)^$C55</f>
        <v>7.5329858090815757E-2</v>
      </c>
      <c r="H55" s="1">
        <f>IF(B55&gt;64, Summary!$J$2, 0)*'TV 14'!G55*'TV 14'!F55</f>
        <v>487.5762257144109</v>
      </c>
      <c r="I55" s="1"/>
    </row>
    <row r="56" spans="1:9">
      <c r="A56" s="1">
        <f t="shared" si="5"/>
        <v>2073</v>
      </c>
      <c r="B56" s="1">
        <f t="shared" si="1"/>
        <v>98</v>
      </c>
      <c r="C56" s="1">
        <v>54</v>
      </c>
      <c r="D56" s="1">
        <f>IF(Summary!$G$15="M",VLOOKUP(B:B,'male g'!A:V,IF(A56&gt;2033,22,MATCH(A56,'male g'!$A$1:$V$1,0)),FALSE),VLOOKUP(B:B,'female g'!A:V,IF(A56&gt;2033,22,MATCH(A56,'female g'!$A$1:$V$1,0)),FALSE))</f>
        <v>0.2417371960764223</v>
      </c>
      <c r="E56" s="1">
        <f t="shared" si="2"/>
        <v>0.7582628039235777</v>
      </c>
      <c r="F56" s="1">
        <f t="shared" si="3"/>
        <v>0.77682684430107873</v>
      </c>
      <c r="G56" s="1">
        <f>1/(1+Summary!$O$2)^$C56</f>
        <v>7.1742721991253117E-2</v>
      </c>
      <c r="H56" s="1">
        <f>IF(B56&gt;64, Summary!$J$2, 0)*'TV 14'!G56*'TV 14'!F56</f>
        <v>454.01174321471086</v>
      </c>
      <c r="I56" s="1"/>
    </row>
    <row r="57" spans="1:9">
      <c r="A57" s="1">
        <f t="shared" si="5"/>
        <v>2074</v>
      </c>
      <c r="B57" s="1">
        <f t="shared" si="1"/>
        <v>99</v>
      </c>
      <c r="C57" s="1">
        <v>55</v>
      </c>
      <c r="D57" s="1">
        <f>IF(Summary!$G$15="M",VLOOKUP(B:B,'male g'!A:V,IF(A57&gt;2033,22,MATCH(A57,'male g'!$A$1:$V$1,0)),FALSE),VLOOKUP(B:B,'female g'!A:V,IF(A57&gt;2033,22,MATCH(A57,'female g'!$A$1:$V$1,0)),FALSE))</f>
        <v>0.26102364427750568</v>
      </c>
      <c r="E57" s="1">
        <f t="shared" si="2"/>
        <v>0.73897635572249432</v>
      </c>
      <c r="F57" s="1">
        <f t="shared" si="3"/>
        <v>0.7582628039235777</v>
      </c>
      <c r="G57" s="1">
        <f>1/(1+Summary!$O$2)^$C57</f>
        <v>6.8326401896431521E-2</v>
      </c>
      <c r="H57" s="1">
        <f>IF(B57&gt;64, Summary!$J$2, 0)*'TV 14'!G57*'TV 14'!F57</f>
        <v>422.05914502392937</v>
      </c>
      <c r="I57" s="1"/>
    </row>
    <row r="58" spans="1:9">
      <c r="A58" s="1">
        <f t="shared" si="5"/>
        <v>2075</v>
      </c>
      <c r="B58" s="1">
        <f t="shared" si="1"/>
        <v>100</v>
      </c>
      <c r="C58" s="1">
        <v>56</v>
      </c>
      <c r="D58" s="1">
        <f>IF(Summary!$G$15="M",VLOOKUP(B:B,'male g'!A:V,IF(A58&gt;2033,22,MATCH(A58,'male g'!$A$1:$V$1,0)),FALSE),VLOOKUP(B:B,'female g'!A:V,IF(A58&gt;2033,22,MATCH(A58,'female g'!$A$1:$V$1,0)),FALSE))</f>
        <v>0.2809127683704345</v>
      </c>
      <c r="E58" s="1">
        <f t="shared" si="2"/>
        <v>0.71908723162956556</v>
      </c>
      <c r="F58" s="1">
        <f t="shared" si="3"/>
        <v>0.73897635572249432</v>
      </c>
      <c r="G58" s="1">
        <f>1/(1+Summary!$O$2)^$C58</f>
        <v>6.5072763710887174E-2</v>
      </c>
      <c r="H58" s="1">
        <f>IF(B58&gt;64, Summary!$J$2, 0)*'TV 14'!G58*'TV 14'!F58</f>
        <v>391.73719225335196</v>
      </c>
      <c r="I58" s="1"/>
    </row>
    <row r="59" spans="1:9">
      <c r="A59" s="1">
        <f t="shared" si="5"/>
        <v>2076</v>
      </c>
      <c r="B59" s="1">
        <f t="shared" si="1"/>
        <v>101</v>
      </c>
      <c r="C59" s="1">
        <v>57</v>
      </c>
      <c r="D59" s="1">
        <f>IF(Summary!$G$15="M",VLOOKUP(B:B,'male g'!A:V,IF(A59&gt;2033,22,MATCH(A59,'male g'!$A$1:$V$1,0)),FALSE),VLOOKUP(B:B,'female g'!A:V,IF(A59&gt;2033,22,MATCH(A59,'female g'!$A$1:$V$1,0)),FALSE))</f>
        <v>0.30146810411089092</v>
      </c>
      <c r="E59" s="1">
        <f t="shared" si="2"/>
        <v>0.69853189588910913</v>
      </c>
      <c r="F59" s="1">
        <f t="shared" si="3"/>
        <v>0.71908723162956556</v>
      </c>
      <c r="G59" s="1">
        <f>1/(1+Summary!$O$2)^$C59</f>
        <v>6.1974060677035397E-2</v>
      </c>
      <c r="H59" s="1">
        <f>IF(B59&gt;64, Summary!$J$2, 0)*'TV 14'!G59*'TV 14'!F59</f>
        <v>363.04172453901271</v>
      </c>
      <c r="I59" s="1"/>
    </row>
    <row r="60" spans="1:9">
      <c r="A60" s="1">
        <f t="shared" si="5"/>
        <v>2077</v>
      </c>
      <c r="B60" s="1">
        <f t="shared" si="1"/>
        <v>102</v>
      </c>
      <c r="C60" s="1">
        <v>58</v>
      </c>
      <c r="D60" s="1">
        <f>IF(Summary!$G$15="M",VLOOKUP(B:B,'male g'!A:V,IF(A60&gt;2033,22,MATCH(A60,'male g'!$A$1:$V$1,0)),FALSE),VLOOKUP(B:B,'female g'!A:V,IF(A60&gt;2033,22,MATCH(A60,'female g'!$A$1:$V$1,0)),FALSE))</f>
        <v>0.32206565548145499</v>
      </c>
      <c r="E60" s="1">
        <f t="shared" si="2"/>
        <v>0.67793434451854506</v>
      </c>
      <c r="F60" s="1">
        <f t="shared" si="3"/>
        <v>0.69853189588910913</v>
      </c>
      <c r="G60" s="1">
        <f>1/(1+Summary!$O$2)^$C60</f>
        <v>5.9022914930509894E-2</v>
      </c>
      <c r="H60" s="1">
        <f>IF(B60&gt;64, Summary!$J$2, 0)*'TV 14'!G60*'TV 14'!F60</f>
        <v>335.87053535765256</v>
      </c>
      <c r="I60" s="1"/>
    </row>
    <row r="61" spans="1:9">
      <c r="A61" s="1">
        <f t="shared" si="5"/>
        <v>2078</v>
      </c>
      <c r="B61" s="1">
        <f t="shared" si="1"/>
        <v>103</v>
      </c>
      <c r="C61" s="1">
        <v>59</v>
      </c>
      <c r="D61" s="1">
        <f>IF(Summary!$G$15="M",VLOOKUP(B:B,'male g'!A:V,IF(A61&gt;2033,22,MATCH(A61,'male g'!$A$1:$V$1,0)),FALSE),VLOOKUP(B:B,'female g'!A:V,IF(A61&gt;2033,22,MATCH(A61,'female g'!$A$1:$V$1,0)),FALSE))</f>
        <v>0.3427697952313476</v>
      </c>
      <c r="E61" s="1">
        <f t="shared" si="2"/>
        <v>0.65723020476865246</v>
      </c>
      <c r="F61" s="1">
        <f t="shared" si="3"/>
        <v>0.67793434451854506</v>
      </c>
      <c r="G61" s="1">
        <f>1/(1+Summary!$O$2)^$C61</f>
        <v>5.6212299933818946E-2</v>
      </c>
      <c r="H61" s="1">
        <f>IF(B61&gt;64, Summary!$J$2, 0)*'TV 14'!G61*'TV 14'!F61</f>
        <v>310.44452293213499</v>
      </c>
      <c r="I61" s="1"/>
    </row>
    <row r="62" spans="1:9">
      <c r="A62" s="1">
        <f t="shared" si="5"/>
        <v>2079</v>
      </c>
      <c r="B62" s="1">
        <f t="shared" si="1"/>
        <v>104</v>
      </c>
      <c r="C62" s="1">
        <v>60</v>
      </c>
      <c r="D62" s="1">
        <f>IF(Summary!$G$15="M",VLOOKUP(B:B,'male g'!A:V,IF(A62&gt;2033,22,MATCH(A62,'male g'!$A$1:$V$1,0)),FALSE),VLOOKUP(B:B,'female g'!A:V,IF(A62&gt;2033,22,MATCH(A62,'female g'!$A$1:$V$1,0)),FALSE))</f>
        <v>0.36312182573243618</v>
      </c>
      <c r="E62" s="1">
        <f t="shared" si="2"/>
        <v>0.63687817426756377</v>
      </c>
      <c r="F62" s="1">
        <f t="shared" si="3"/>
        <v>0.65723020476865246</v>
      </c>
      <c r="G62" s="1">
        <f>1/(1+Summary!$O$2)^$C62</f>
        <v>5.3535523746494243E-2</v>
      </c>
      <c r="H62" s="1">
        <f>IF(B62&gt;64, Summary!$J$2, 0)*'TV 14'!G62*'TV 14'!F62</f>
        <v>286.63193887040035</v>
      </c>
      <c r="I62" s="1"/>
    </row>
    <row r="63" spans="1:9">
      <c r="A63" s="1">
        <f t="shared" si="5"/>
        <v>2080</v>
      </c>
      <c r="B63" s="1">
        <f t="shared" si="1"/>
        <v>105</v>
      </c>
      <c r="C63" s="1">
        <v>61</v>
      </c>
      <c r="D63" s="1">
        <f>IF(Summary!$G$15="M",VLOOKUP(B:B,'male g'!A:V,IF(A63&gt;2033,22,MATCH(A63,'male g'!$A$1:$V$1,0)),FALSE),VLOOKUP(B:B,'female g'!A:V,IF(A63&gt;2033,22,MATCH(A63,'female g'!$A$1:$V$1,0)),FALSE))</f>
        <v>0.38340857179772014</v>
      </c>
      <c r="E63" s="1">
        <f t="shared" si="2"/>
        <v>0.61659142820227986</v>
      </c>
      <c r="F63" s="1">
        <f t="shared" si="3"/>
        <v>0.63687817426756377</v>
      </c>
      <c r="G63" s="1">
        <f>1/(1+Summary!$O$2)^$C63</f>
        <v>5.0986213091899268E-2</v>
      </c>
      <c r="H63" s="1">
        <f>IF(B63&gt;64, Summary!$J$2, 0)*'TV 14'!G63*'TV 14'!F63</f>
        <v>264.52951389610331</v>
      </c>
      <c r="I63" s="1"/>
    </row>
    <row r="64" spans="1:9">
      <c r="A64" s="1">
        <f t="shared" si="5"/>
        <v>2081</v>
      </c>
      <c r="B64" s="1">
        <f t="shared" si="1"/>
        <v>106</v>
      </c>
      <c r="C64" s="1">
        <v>62</v>
      </c>
      <c r="D64" s="1">
        <f>IF(Summary!$G$15="M",VLOOKUP(B:B,'male g'!A:V,IF(A64&gt;2033,22,MATCH(A64,'male g'!$A$1:$V$1,0)),FALSE),VLOOKUP(B:B,'female g'!A:V,IF(A64&gt;2033,22,MATCH(A64,'female g'!$A$1:$V$1,0)),FALSE))</f>
        <v>0.4032562438470747</v>
      </c>
      <c r="E64" s="1">
        <f t="shared" si="2"/>
        <v>0.5967437561529253</v>
      </c>
      <c r="F64" s="1">
        <f t="shared" si="3"/>
        <v>0.61659142820227986</v>
      </c>
      <c r="G64" s="1">
        <f>1/(1+Summary!$O$2)^$C64</f>
        <v>4.855829818276123E-2</v>
      </c>
      <c r="H64" s="1">
        <f>IF(B64&gt;64, Summary!$J$2, 0)*'TV 14'!G64*'TV 14'!F64</f>
        <v>243.90794760026137</v>
      </c>
      <c r="I64" s="1"/>
    </row>
    <row r="65" spans="1:9">
      <c r="A65" s="1">
        <f t="shared" si="5"/>
        <v>2082</v>
      </c>
      <c r="B65" s="1">
        <f t="shared" si="1"/>
        <v>107</v>
      </c>
      <c r="C65" s="1">
        <v>63</v>
      </c>
      <c r="D65" s="1">
        <f>IF(Summary!$G$15="M",VLOOKUP(B:B,'male g'!A:V,IF(A65&gt;2033,22,MATCH(A65,'male g'!$A$1:$V$1,0)),FALSE),VLOOKUP(B:B,'female g'!A:V,IF(A65&gt;2033,22,MATCH(A65,'female g'!$A$1:$V$1,0)),FALSE))</f>
        <v>0.42246723803499708</v>
      </c>
      <c r="E65" s="1">
        <f t="shared" si="2"/>
        <v>0.57753276196500292</v>
      </c>
      <c r="F65" s="1">
        <f t="shared" si="3"/>
        <v>0.5967437561529253</v>
      </c>
      <c r="G65" s="1">
        <f>1/(1+Summary!$O$2)^$C65</f>
        <v>4.6245998269296387E-2</v>
      </c>
      <c r="H65" s="1">
        <f>IF(B65&gt;64, Summary!$J$2, 0)*'TV 14'!G65*'TV 14'!F65</f>
        <v>224.81591560000498</v>
      </c>
      <c r="I65" s="1"/>
    </row>
    <row r="66" spans="1:9">
      <c r="A66" s="1">
        <f t="shared" si="5"/>
        <v>2083</v>
      </c>
      <c r="B66" s="1">
        <f t="shared" si="1"/>
        <v>108</v>
      </c>
      <c r="C66" s="1">
        <v>64</v>
      </c>
      <c r="D66" s="1">
        <f>IF(Summary!$G$15="M",VLOOKUP(B:B,'male g'!A:V,IF(A66&gt;2033,22,MATCH(A66,'male g'!$A$1:$V$1,0)),FALSE),VLOOKUP(B:B,'female g'!A:V,IF(A66&gt;2033,22,MATCH(A66,'female g'!$A$1:$V$1,0)),FALSE))</f>
        <v>0.44119749280646176</v>
      </c>
      <c r="E66" s="1">
        <f t="shared" si="2"/>
        <v>0.5588025071935383</v>
      </c>
      <c r="F66" s="1">
        <f t="shared" si="3"/>
        <v>0.57753276196500292</v>
      </c>
      <c r="G66" s="1">
        <f>1/(1+Summary!$O$2)^$C66</f>
        <v>4.4043807875520369E-2</v>
      </c>
      <c r="H66" s="1">
        <f>IF(B66&gt;64, Summary!$J$2, 0)*'TV 14'!G66*'TV 14'!F66</f>
        <v>207.21753178362241</v>
      </c>
      <c r="I66" s="1"/>
    </row>
    <row r="67" spans="1:9">
      <c r="A67" s="1">
        <f t="shared" si="5"/>
        <v>2084</v>
      </c>
      <c r="B67" s="1">
        <f t="shared" si="1"/>
        <v>109</v>
      </c>
      <c r="C67" s="1">
        <v>65</v>
      </c>
      <c r="D67" s="1">
        <f>IF(Summary!$G$15="M",VLOOKUP(B:B,'male g'!A:V,IF(A67&gt;2033,22,MATCH(A67,'male g'!$A$1:$V$1,0)),FALSE),VLOOKUP(B:B,'female g'!A:V,IF(A67&gt;2033,22,MATCH(A67,'female g'!$A$1:$V$1,0)),FALSE))</f>
        <v>0.45907299166148602</v>
      </c>
      <c r="E67" s="1">
        <f t="shared" si="2"/>
        <v>0.54092700833851404</v>
      </c>
      <c r="F67" s="1">
        <f t="shared" si="3"/>
        <v>0.5588025071935383</v>
      </c>
      <c r="G67" s="1">
        <f>1/(1+Summary!$O$2)^$C67</f>
        <v>4.1946483690971779E-2</v>
      </c>
      <c r="H67" s="1">
        <f>IF(B67&gt;64, Summary!$J$2, 0)*'TV 14'!G67*'TV 14'!F67</f>
        <v>190.94967242108507</v>
      </c>
      <c r="I67" s="1"/>
    </row>
    <row r="68" spans="1:9">
      <c r="A68" s="1">
        <f t="shared" si="5"/>
        <v>2085</v>
      </c>
      <c r="B68" s="1">
        <f t="shared" ref="B68:B73" si="6">$B$2+C68</f>
        <v>110</v>
      </c>
      <c r="C68" s="1">
        <v>66</v>
      </c>
      <c r="D68" s="1">
        <f>IF(Summary!$G$15="M",VLOOKUP(B:B,'male g'!A:V,IF(A68&gt;2033,22,MATCH(A68,'male g'!$A$1:$V$1,0)),FALSE),VLOOKUP(B:B,'female g'!A:V,IF(A68&gt;2033,22,MATCH(A68,'female g'!$A$1:$V$1,0)),FALSE))</f>
        <v>0.47644967979565578</v>
      </c>
      <c r="E68" s="1">
        <f t="shared" ref="E68:E78" si="7">1-D68</f>
        <v>0.52355032020434422</v>
      </c>
      <c r="F68" s="1">
        <f t="shared" ref="F68:F78" si="8">E67</f>
        <v>0.54092700833851404</v>
      </c>
      <c r="G68" s="1">
        <f>1/(1+Summary!$O$2)^$C68</f>
        <v>3.9949032086639788E-2</v>
      </c>
      <c r="H68" s="1">
        <f>IF(B68&gt;64, Summary!$J$2, 0)*'TV 14'!G68*'TV 14'!F68</f>
        <v>176.03942395746884</v>
      </c>
      <c r="I68" s="1"/>
    </row>
    <row r="69" spans="1:9">
      <c r="A69" s="1">
        <f t="shared" si="5"/>
        <v>2086</v>
      </c>
      <c r="B69" s="1">
        <f t="shared" si="6"/>
        <v>111</v>
      </c>
      <c r="C69" s="1">
        <v>67</v>
      </c>
      <c r="D69" s="1">
        <f>IF(Summary!$G$15="M",VLOOKUP(B:B,'male g'!A:V,IF(A69&gt;2033,22,MATCH(A69,'male g'!$A$1:$V$1,0)),FALSE),VLOOKUP(B:B,'female g'!A:V,IF(A69&gt;2033,22,MATCH(A69,'female g'!$A$1:$V$1,0)),FALSE))</f>
        <v>0.48540620500607778</v>
      </c>
      <c r="E69" s="1">
        <f t="shared" si="7"/>
        <v>0.51459379499392222</v>
      </c>
      <c r="F69" s="1">
        <f t="shared" si="8"/>
        <v>0.52355032020434422</v>
      </c>
      <c r="G69" s="1">
        <f>1/(1+Summary!$O$2)^$C69</f>
        <v>3.8046697225371226E-2</v>
      </c>
      <c r="H69" s="1">
        <f>IF(B69&gt;64, Summary!$J$2, 0)*'TV 14'!G69*'TV 14'!F69</f>
        <v>162.27080964409478</v>
      </c>
      <c r="I69" s="1"/>
    </row>
    <row r="70" spans="1:9">
      <c r="A70" s="1">
        <f t="shared" si="5"/>
        <v>2087</v>
      </c>
      <c r="B70" s="1">
        <f t="shared" si="6"/>
        <v>112</v>
      </c>
      <c r="C70" s="1">
        <v>68</v>
      </c>
      <c r="D70" s="1">
        <f>IF(Summary!$G$15="M",VLOOKUP(B:B,'male g'!A:V,IF(A70&gt;2033,22,MATCH(A70,'male g'!$A$1:$V$1,0)),FALSE),VLOOKUP(B:B,'female g'!A:V,IF(A70&gt;2033,22,MATCH(A70,'female g'!$A$1:$V$1,0)),FALSE))</f>
        <v>0.48906519527204906</v>
      </c>
      <c r="E70" s="1">
        <f t="shared" si="7"/>
        <v>0.51093480472795094</v>
      </c>
      <c r="F70" s="1">
        <f t="shared" si="8"/>
        <v>0.51459379499392222</v>
      </c>
      <c r="G70" s="1">
        <f>1/(1+Summary!$O$2)^$C70</f>
        <v>3.6234949738448791E-2</v>
      </c>
      <c r="H70" s="1">
        <f>IF(B70&gt;64, Summary!$J$2, 0)*'TV 14'!G70*'TV 14'!F70</f>
        <v>151.89980614134166</v>
      </c>
      <c r="I70" s="1"/>
    </row>
    <row r="71" spans="1:9">
      <c r="A71" s="1">
        <f t="shared" si="5"/>
        <v>2088</v>
      </c>
      <c r="B71" s="1">
        <f t="shared" si="6"/>
        <v>113</v>
      </c>
      <c r="C71" s="1">
        <v>69</v>
      </c>
      <c r="D71" s="1">
        <f>IF(Summary!$G$15="M",VLOOKUP(B:B,'male g'!A:V,IF(A71&gt;2033,22,MATCH(A71,'male g'!$A$1:$V$1,0)),FALSE),VLOOKUP(B:B,'female g'!A:V,IF(A71&gt;2033,22,MATCH(A71,'female g'!$A$1:$V$1,0)),FALSE))</f>
        <v>0.49265177497129853</v>
      </c>
      <c r="E71" s="1">
        <f t="shared" si="7"/>
        <v>0.50734822502870147</v>
      </c>
      <c r="F71" s="1">
        <f t="shared" si="8"/>
        <v>0.51093480472795094</v>
      </c>
      <c r="G71" s="1">
        <f>1/(1+Summary!$O$2)^$C71</f>
        <v>3.4509475941379798E-2</v>
      </c>
      <c r="H71" s="1">
        <f>IF(B71&gt;64, Summary!$J$2, 0)*'TV 14'!G71*'TV 14'!F71</f>
        <v>143.63783914716589</v>
      </c>
      <c r="I71" s="1"/>
    </row>
    <row r="72" spans="1:9">
      <c r="A72" s="1">
        <f t="shared" si="5"/>
        <v>2089</v>
      </c>
      <c r="B72" s="1">
        <f t="shared" si="6"/>
        <v>114</v>
      </c>
      <c r="C72" s="1">
        <v>70</v>
      </c>
      <c r="D72" s="1">
        <f>IF(Summary!$G$15="M",VLOOKUP(B:B,'male g'!A:V,IF(A72&gt;2033,22,MATCH(A72,'male g'!$A$1:$V$1,0)),FALSE),VLOOKUP(B:B,'female g'!A:V,IF(A72&gt;2033,22,MATCH(A72,'female g'!$A$1:$V$1,0)),FALSE))</f>
        <v>0.49631296624312721</v>
      </c>
      <c r="E72" s="1">
        <f t="shared" si="7"/>
        <v>0.50368703375687285</v>
      </c>
      <c r="F72" s="1">
        <f t="shared" si="8"/>
        <v>0.50734822502870147</v>
      </c>
      <c r="G72" s="1">
        <f>1/(1+Summary!$O$2)^$C72</f>
        <v>3.2866167563218862E-2</v>
      </c>
      <c r="H72" s="1">
        <f>IF(B72&gt;64, Summary!$J$2, 0)*'TV 14'!G72*'TV 14'!F72</f>
        <v>135.83766938919695</v>
      </c>
      <c r="I72" s="1"/>
    </row>
    <row r="73" spans="1:9">
      <c r="A73" s="1">
        <f t="shared" si="5"/>
        <v>2090</v>
      </c>
      <c r="B73" s="1">
        <f t="shared" si="6"/>
        <v>115</v>
      </c>
      <c r="C73" s="1">
        <v>71</v>
      </c>
      <c r="D73" s="1">
        <f>IF(Summary!$G$15="M",VLOOKUP(B:B,'male g'!A:V,IF(A73&gt;2033,22,MATCH(A73,'male g'!$A$1:$V$1,0)),FALSE),VLOOKUP(B:B,'female g'!A:V,IF(A73&gt;2033,22,MATCH(A73,'female g'!$A$1:$V$1,0)),FALSE))</f>
        <v>0.5</v>
      </c>
      <c r="E73" s="1">
        <f t="shared" si="7"/>
        <v>0.5</v>
      </c>
      <c r="F73" s="1">
        <f t="shared" si="8"/>
        <v>0.50368703375687285</v>
      </c>
      <c r="G73" s="1">
        <f>1/(1+Summary!$O$2)^$C73</f>
        <v>3.1301111964970339E-2</v>
      </c>
      <c r="H73" s="1">
        <f>IF(B73&gt;64, Summary!$J$2, 0)*'TV 14'!G73*'TV 14'!F73</f>
        <v>128.43563827946633</v>
      </c>
      <c r="I73" s="1"/>
    </row>
    <row r="74" spans="1:9">
      <c r="A74" s="1">
        <f>$A$2+C74</f>
        <v>2091</v>
      </c>
      <c r="B74" s="1">
        <f>$B$2+C74</f>
        <v>116</v>
      </c>
      <c r="C74" s="1">
        <v>72</v>
      </c>
      <c r="D74" s="1">
        <f>IF(Summary!$G$15="M",VLOOKUP(B:B,'male g'!A:V,IF(A74&gt;2033,22,MATCH(A74,'male g'!$A$1:$V$1,0)),FALSE),VLOOKUP(B:B,'female g'!A:V,IF(A74&gt;2033,22,MATCH(A74,'female g'!$A$1:$V$1,0)),FALSE))</f>
        <v>0.5</v>
      </c>
      <c r="E74" s="1">
        <f t="shared" si="7"/>
        <v>0.5</v>
      </c>
      <c r="F74" s="1">
        <f t="shared" si="8"/>
        <v>0.5</v>
      </c>
      <c r="G74" s="1">
        <f>1/(1+Summary!$O$2)^$C74</f>
        <v>2.9810582823781274E-2</v>
      </c>
      <c r="H74" s="1">
        <f>IF(B74&gt;64, Summary!$J$2, 0)*'TV 14'!G74*'TV 14'!F74</f>
        <v>121.42426477797392</v>
      </c>
      <c r="I74" s="1"/>
    </row>
    <row r="75" spans="1:9">
      <c r="A75" s="1">
        <f>$A$2+C75</f>
        <v>2092</v>
      </c>
      <c r="B75" s="1">
        <f>$B$2+C75</f>
        <v>117</v>
      </c>
      <c r="C75" s="1">
        <v>73</v>
      </c>
      <c r="D75" s="1">
        <f>IF(Summary!$G$15="M",VLOOKUP(B:B,'male g'!A:V,IF(A75&gt;2033,22,MATCH(A75,'male g'!$A$1:$V$1,0)),FALSE),VLOOKUP(B:B,'female g'!A:V,IF(A75&gt;2033,22,MATCH(A75,'female g'!$A$1:$V$1,0)),FALSE))</f>
        <v>0.5</v>
      </c>
      <c r="E75" s="1">
        <f t="shared" si="7"/>
        <v>0.5</v>
      </c>
      <c r="F75" s="1">
        <f t="shared" si="8"/>
        <v>0.5</v>
      </c>
      <c r="G75" s="1">
        <f>1/(1+Summary!$O$2)^$C75</f>
        <v>2.8391031260744073E-2</v>
      </c>
      <c r="H75" s="1">
        <f>IF(B75&gt;64, Summary!$J$2, 0)*'TV 14'!G75*'TV 14'!F75</f>
        <v>115.64215693140373</v>
      </c>
      <c r="I75" s="1"/>
    </row>
    <row r="76" spans="1:9">
      <c r="A76" s="1">
        <f>$A$2+C76</f>
        <v>2093</v>
      </c>
      <c r="B76" s="1">
        <f>$B$2+C76</f>
        <v>118</v>
      </c>
      <c r="C76" s="1">
        <v>74</v>
      </c>
      <c r="D76" s="1">
        <f>IF(Summary!$G$15="M",VLOOKUP(B:B,'male g'!A:V,IF(A76&gt;2033,22,MATCH(A76,'male g'!$A$1:$V$1,0)),FALSE),VLOOKUP(B:B,'female g'!A:V,IF(A76&gt;2033,22,MATCH(A76,'female g'!$A$1:$V$1,0)),FALSE))</f>
        <v>0.5</v>
      </c>
      <c r="E76" s="1">
        <f t="shared" si="7"/>
        <v>0.5</v>
      </c>
      <c r="F76" s="1">
        <f t="shared" si="8"/>
        <v>0.5</v>
      </c>
      <c r="G76" s="1">
        <f>1/(1+Summary!$O$2)^$C76</f>
        <v>2.7039077391184833E-2</v>
      </c>
      <c r="H76" s="1">
        <f>IF(B76&gt;64, Summary!$J$2, 0)*'TV 14'!G76*'TV 14'!F76</f>
        <v>110.13538755371785</v>
      </c>
      <c r="I76" s="1"/>
    </row>
    <row r="77" spans="1:9">
      <c r="A77" s="1">
        <f>$A$2+C77</f>
        <v>2094</v>
      </c>
      <c r="B77" s="1">
        <f>$B$2+C77</f>
        <v>119</v>
      </c>
      <c r="C77" s="1">
        <v>75</v>
      </c>
      <c r="D77" s="1">
        <f>IF(Summary!$G$15="M",VLOOKUP(B:B,'male g'!A:V,IF(A77&gt;2033,22,MATCH(A77,'male g'!$A$1:$V$1,0)),FALSE),VLOOKUP(B:B,'female g'!A:V,IF(A77&gt;2033,22,MATCH(A77,'female g'!$A$1:$V$1,0)),FALSE))</f>
        <v>0.5</v>
      </c>
      <c r="E77" s="1">
        <f t="shared" si="7"/>
        <v>0.5</v>
      </c>
      <c r="F77" s="1">
        <f t="shared" si="8"/>
        <v>0.5</v>
      </c>
      <c r="G77" s="1">
        <f>1/(1+Summary!$O$2)^$C77</f>
        <v>2.5751502277318886E-2</v>
      </c>
      <c r="H77" s="1">
        <f>IF(B77&gt;64, Summary!$J$2, 0)*'TV 14'!G77*'TV 14'!F77</f>
        <v>104.89084528925508</v>
      </c>
      <c r="I77" s="1"/>
    </row>
    <row r="78" spans="1:9">
      <c r="A78" s="1">
        <f>$A$2+C78</f>
        <v>2095</v>
      </c>
      <c r="B78" s="1">
        <f>$B$2+C78</f>
        <v>120</v>
      </c>
      <c r="C78" s="1">
        <v>76</v>
      </c>
      <c r="D78" s="1">
        <f>IF(Summary!$G$15="M",VLOOKUP(B:B,'male g'!A:V,IF(A78&gt;2033,22,MATCH(A78,'male g'!$A$1:$V$1,0)),FALSE),VLOOKUP(B:B,'female g'!A:V,IF(A78&gt;2033,22,MATCH(A78,'female g'!$A$1:$V$1,0)),FALSE))</f>
        <v>1</v>
      </c>
      <c r="E78" s="1">
        <f t="shared" si="7"/>
        <v>0</v>
      </c>
      <c r="F78" s="1">
        <f t="shared" si="8"/>
        <v>0.5</v>
      </c>
      <c r="G78" s="1">
        <f>1/(1+Summary!$O$2)^$C78</f>
        <v>2.4525240264113228E-2</v>
      </c>
      <c r="H78" s="1">
        <f>IF(B78&gt;64, Summary!$J$2, 0)*'TV 14'!G78*'TV 14'!F78</f>
        <v>99.896043132623902</v>
      </c>
      <c r="I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98"/>
  <sheetViews>
    <sheetView workbookViewId="0">
      <selection activeCell="D73" sqref="D73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Summary!H16</f>
        <v>44</v>
      </c>
      <c r="C2" s="1">
        <v>0</v>
      </c>
      <c r="D2" s="1">
        <f>IF(Summary!$G$16="M",VLOOKUP(B:B,'male g'!A:V,IF(A2&gt;2033,22,MATCH(A2,'male g'!$A$1:$V$1,0)),FALSE),VLOOKUP(B:B,'female g'!A:V,IF(A2&gt;2033,22,MATCH(A2,'female g'!$A$1:$V$1,0)),FALSE))</f>
        <v>9.0843728847883653E-4</v>
      </c>
      <c r="E2" s="1">
        <f>1-D2</f>
        <v>0.99909156271152111</v>
      </c>
      <c r="F2" s="1">
        <v>1</v>
      </c>
      <c r="G2" s="1">
        <f>1/(1+Summary!$O$2)^$C2</f>
        <v>1</v>
      </c>
      <c r="H2" s="1">
        <f>IF(B2&gt;64, Summary!$J$16, 0)*'TV 15'!G2*'TV 15'!F2</f>
        <v>0</v>
      </c>
      <c r="I2" s="1">
        <f>SUM(H2:H78)</f>
        <v>46815.013313333977</v>
      </c>
    </row>
    <row r="3" spans="1:9">
      <c r="A3" s="1">
        <f>$A$2+C3</f>
        <v>2020</v>
      </c>
      <c r="B3" s="1">
        <f>$B$2+C3</f>
        <v>45</v>
      </c>
      <c r="C3" s="1">
        <v>1</v>
      </c>
      <c r="D3" s="1">
        <f>IF(Summary!$G$16="M",VLOOKUP(B:B,'male g'!A:V,IF(A3&gt;2033,22,MATCH(A3,'male g'!$A$1:$V$1,0)),FALSE),VLOOKUP(B:B,'female g'!A:V,IF(A3&gt;2033,22,MATCH(A3,'female g'!$A$1:$V$1,0)),FALSE))</f>
        <v>9.9607517052241619E-4</v>
      </c>
      <c r="E3" s="1">
        <f>1-D3</f>
        <v>0.99900392482947753</v>
      </c>
      <c r="F3" s="1">
        <f>E2</f>
        <v>0.99909156271152111</v>
      </c>
      <c r="G3" s="1">
        <f>1/(1+Summary!$O$2)^$C3</f>
        <v>0.95238095238095233</v>
      </c>
      <c r="H3" s="1">
        <f>IF(B3&gt;64, Summary!$J$16, 0)*'TV 15'!G3*'TV 15'!F3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46</v>
      </c>
      <c r="C4" s="1">
        <v>2</v>
      </c>
      <c r="D4" s="1">
        <f>IF(Summary!$G$16="M",VLOOKUP(B:B,'male g'!A:V,IF(A4&gt;2033,22,MATCH(A4,'male g'!$A$1:$V$1,0)),FALSE),VLOOKUP(B:B,'female g'!A:V,IF(A4&gt;2033,22,MATCH(A4,'female g'!$A$1:$V$1,0)),FALSE))</f>
        <v>1.0953695499167531E-3</v>
      </c>
      <c r="E4" s="1">
        <f t="shared" ref="E4:E67" si="2">1-D4</f>
        <v>0.99890463045008326</v>
      </c>
      <c r="F4" s="1">
        <f t="shared" ref="F4:F67" si="3">E3</f>
        <v>0.99900392482947753</v>
      </c>
      <c r="G4" s="1">
        <f>1/(1+Summary!$O$2)^$C4</f>
        <v>0.90702947845804982</v>
      </c>
      <c r="H4" s="1">
        <f>IF(B4&gt;64, Summary!$J$16, 0)*'TV 15'!G4*'TV 15'!F4</f>
        <v>0</v>
      </c>
      <c r="I4" s="1"/>
    </row>
    <row r="5" spans="1:9">
      <c r="A5" s="1">
        <f t="shared" si="0"/>
        <v>2022</v>
      </c>
      <c r="B5" s="1">
        <f t="shared" si="1"/>
        <v>47</v>
      </c>
      <c r="C5" s="1">
        <v>3</v>
      </c>
      <c r="D5" s="1">
        <f>IF(Summary!$G$16="M",VLOOKUP(B:B,'male g'!A:V,IF(A5&gt;2033,22,MATCH(A5,'male g'!$A$1:$V$1,0)),FALSE),VLOOKUP(B:B,'female g'!A:V,IF(A5&gt;2033,22,MATCH(A5,'female g'!$A$1:$V$1,0)),FALSE))</f>
        <v>1.2043052219291685E-3</v>
      </c>
      <c r="E5" s="1">
        <f t="shared" si="2"/>
        <v>0.99879569477807084</v>
      </c>
      <c r="F5" s="1">
        <f t="shared" si="3"/>
        <v>0.99890463045008326</v>
      </c>
      <c r="G5" s="1">
        <f>1/(1+Summary!$O$2)^$C5</f>
        <v>0.86383759853147601</v>
      </c>
      <c r="H5" s="1">
        <f>IF(B5&gt;64, Summary!$J$16, 0)*'TV 15'!G5*'TV 15'!F5</f>
        <v>0</v>
      </c>
      <c r="I5" s="1"/>
    </row>
    <row r="6" spans="1:9">
      <c r="A6" s="1">
        <f t="shared" si="0"/>
        <v>2023</v>
      </c>
      <c r="B6" s="1">
        <f t="shared" si="1"/>
        <v>48</v>
      </c>
      <c r="C6" s="1">
        <v>4</v>
      </c>
      <c r="D6" s="1">
        <f>IF(Summary!$G$16="M",VLOOKUP(B:B,'male g'!A:V,IF(A6&gt;2033,22,MATCH(A6,'male g'!$A$1:$V$1,0)),FALSE),VLOOKUP(B:B,'female g'!A:V,IF(A6&gt;2033,22,MATCH(A6,'female g'!$A$1:$V$1,0)),FALSE))</f>
        <v>1.3243674831266408E-3</v>
      </c>
      <c r="E6" s="1">
        <f t="shared" si="2"/>
        <v>0.99867563251687341</v>
      </c>
      <c r="F6" s="1">
        <f t="shared" si="3"/>
        <v>0.99879569477807084</v>
      </c>
      <c r="G6" s="1">
        <f>1/(1+Summary!$O$2)^$C6</f>
        <v>0.82270247479188197</v>
      </c>
      <c r="H6" s="1">
        <f>IF(B6&gt;64, Summary!$J$16, 0)*'TV 15'!G6*'TV 15'!F6</f>
        <v>0</v>
      </c>
      <c r="I6" s="1"/>
    </row>
    <row r="7" spans="1:9">
      <c r="A7" s="1">
        <f t="shared" si="0"/>
        <v>2024</v>
      </c>
      <c r="B7" s="1">
        <f t="shared" si="1"/>
        <v>49</v>
      </c>
      <c r="C7" s="1">
        <v>5</v>
      </c>
      <c r="D7" s="1">
        <f>IF(Summary!$G$16="M",VLOOKUP(B:B,'male g'!A:V,IF(A7&gt;2033,22,MATCH(A7,'male g'!$A$1:$V$1,0)),FALSE),VLOOKUP(B:B,'female g'!A:V,IF(A7&gt;2033,22,MATCH(A7,'female g'!$A$1:$V$1,0)),FALSE))</f>
        <v>1.4555619007028812E-3</v>
      </c>
      <c r="E7" s="1">
        <f t="shared" si="2"/>
        <v>0.99854443809929716</v>
      </c>
      <c r="F7" s="1">
        <f t="shared" si="3"/>
        <v>0.99867563251687341</v>
      </c>
      <c r="G7" s="1">
        <f>1/(1+Summary!$O$2)^$C7</f>
        <v>0.78352616646845896</v>
      </c>
      <c r="H7" s="1">
        <f>IF(B7&gt;64, Summary!$J$16, 0)*'TV 15'!G7*'TV 15'!F7</f>
        <v>0</v>
      </c>
      <c r="I7" s="1"/>
    </row>
    <row r="8" spans="1:9">
      <c r="A8" s="1">
        <f t="shared" si="0"/>
        <v>2025</v>
      </c>
      <c r="B8" s="1">
        <f t="shared" si="1"/>
        <v>50</v>
      </c>
      <c r="C8" s="1">
        <v>6</v>
      </c>
      <c r="D8" s="1">
        <f>IF(Summary!$G$16="M",VLOOKUP(B:B,'male g'!A:V,IF(A8&gt;2033,22,MATCH(A8,'male g'!$A$1:$V$1,0)),FALSE),VLOOKUP(B:B,'female g'!A:V,IF(A8&gt;2033,22,MATCH(A8,'female g'!$A$1:$V$1,0)),FALSE))</f>
        <v>3.849328336693407E-3</v>
      </c>
      <c r="E8" s="1">
        <f t="shared" si="2"/>
        <v>0.99615067166330662</v>
      </c>
      <c r="F8" s="1">
        <f t="shared" si="3"/>
        <v>0.99854443809929716</v>
      </c>
      <c r="G8" s="1">
        <f>1/(1+Summary!$O$2)^$C8</f>
        <v>0.74621539663662761</v>
      </c>
      <c r="H8" s="1">
        <f>IF(B8&gt;64, Summary!$J$16, 0)*'TV 15'!G8*'TV 15'!F8</f>
        <v>0</v>
      </c>
      <c r="I8" s="1"/>
    </row>
    <row r="9" spans="1:9">
      <c r="A9" s="1">
        <f t="shared" si="0"/>
        <v>2026</v>
      </c>
      <c r="B9" s="1">
        <f t="shared" si="1"/>
        <v>51</v>
      </c>
      <c r="C9" s="1">
        <v>7</v>
      </c>
      <c r="D9" s="1">
        <f>IF(Summary!$G$16="M",VLOOKUP(B:B,'male g'!A:V,IF(A9&gt;2033,22,MATCH(A9,'male g'!$A$1:$V$1,0)),FALSE),VLOOKUP(B:B,'female g'!A:V,IF(A9&gt;2033,22,MATCH(A9,'female g'!$A$1:$V$1,0)),FALSE))</f>
        <v>4.0998556781452842E-3</v>
      </c>
      <c r="E9" s="1">
        <f t="shared" si="2"/>
        <v>0.9959001443218547</v>
      </c>
      <c r="F9" s="1">
        <f t="shared" si="3"/>
        <v>0.99615067166330662</v>
      </c>
      <c r="G9" s="1">
        <f>1/(1+Summary!$O$2)^$C9</f>
        <v>0.71068133013012147</v>
      </c>
      <c r="H9" s="1">
        <f>IF(B9&gt;64, Summary!$J$16, 0)*'TV 15'!G9*'TV 15'!F9</f>
        <v>0</v>
      </c>
      <c r="I9" s="1"/>
    </row>
    <row r="10" spans="1:9">
      <c r="A10" s="1">
        <f t="shared" si="0"/>
        <v>2027</v>
      </c>
      <c r="B10" s="1">
        <f t="shared" si="1"/>
        <v>52</v>
      </c>
      <c r="C10" s="1">
        <v>8</v>
      </c>
      <c r="D10" s="1">
        <f>IF(Summary!$G$16="M",VLOOKUP(B:B,'male g'!A:V,IF(A10&gt;2033,22,MATCH(A10,'male g'!$A$1:$V$1,0)),FALSE),VLOOKUP(B:B,'female g'!A:V,IF(A10&gt;2033,22,MATCH(A10,'female g'!$A$1:$V$1,0)),FALSE))</f>
        <v>4.3545836088183338E-3</v>
      </c>
      <c r="E10" s="1">
        <f t="shared" si="2"/>
        <v>0.99564541639118165</v>
      </c>
      <c r="F10" s="1">
        <f t="shared" si="3"/>
        <v>0.9959001443218547</v>
      </c>
      <c r="G10" s="1">
        <f>1/(1+Summary!$O$2)^$C10</f>
        <v>0.67683936202868722</v>
      </c>
      <c r="H10" s="1">
        <f>IF(B10&gt;64, Summary!$J$16, 0)*'TV 15'!G10*'TV 15'!F10</f>
        <v>0</v>
      </c>
      <c r="I10" s="1"/>
    </row>
    <row r="11" spans="1:9">
      <c r="A11" s="1">
        <f t="shared" si="0"/>
        <v>2028</v>
      </c>
      <c r="B11" s="1">
        <f t="shared" si="1"/>
        <v>53</v>
      </c>
      <c r="C11" s="1">
        <v>9</v>
      </c>
      <c r="D11" s="1">
        <f>IF(Summary!$G$16="M",VLOOKUP(B:B,'male g'!A:V,IF(A11&gt;2033,22,MATCH(A11,'male g'!$A$1:$V$1,0)),FALSE),VLOOKUP(B:B,'female g'!A:V,IF(A11&gt;2033,22,MATCH(A11,'female g'!$A$1:$V$1,0)),FALSE))</f>
        <v>4.615488300758302E-3</v>
      </c>
      <c r="E11" s="1">
        <f t="shared" si="2"/>
        <v>0.99538451169924169</v>
      </c>
      <c r="F11" s="1">
        <f t="shared" si="3"/>
        <v>0.99564541639118165</v>
      </c>
      <c r="G11" s="1">
        <f>1/(1+Summary!$O$2)^$C11</f>
        <v>0.64460891621779726</v>
      </c>
      <c r="H11" s="1">
        <f>IF(B11&gt;64, Summary!$J$16, 0)*'TV 15'!G11*'TV 15'!F11</f>
        <v>0</v>
      </c>
      <c r="I11" s="1"/>
    </row>
    <row r="12" spans="1:9">
      <c r="A12" s="1">
        <f t="shared" si="0"/>
        <v>2029</v>
      </c>
      <c r="B12" s="1">
        <f t="shared" si="1"/>
        <v>54</v>
      </c>
      <c r="C12" s="1">
        <v>10</v>
      </c>
      <c r="D12" s="1">
        <f>IF(Summary!$G$16="M",VLOOKUP(B:B,'male g'!A:V,IF(A12&gt;2033,22,MATCH(A12,'male g'!$A$1:$V$1,0)),FALSE),VLOOKUP(B:B,'female g'!A:V,IF(A12&gt;2033,22,MATCH(A12,'female g'!$A$1:$V$1,0)),FALSE))</f>
        <v>4.8871347852713605E-3</v>
      </c>
      <c r="E12" s="1">
        <f t="shared" si="2"/>
        <v>0.99511286521472864</v>
      </c>
      <c r="F12" s="1">
        <f t="shared" si="3"/>
        <v>0.99538451169924169</v>
      </c>
      <c r="G12" s="1">
        <f>1/(1+Summary!$O$2)^$C12</f>
        <v>0.61391325354075932</v>
      </c>
      <c r="H12" s="1">
        <f>IF(B12&gt;64, Summary!$J$16, 0)*'TV 15'!G12*'TV 15'!F12</f>
        <v>0</v>
      </c>
      <c r="I12" s="1"/>
    </row>
    <row r="13" spans="1:9">
      <c r="A13" s="1">
        <f t="shared" si="0"/>
        <v>2030</v>
      </c>
      <c r="B13" s="1">
        <f t="shared" si="1"/>
        <v>55</v>
      </c>
      <c r="C13" s="1">
        <v>11</v>
      </c>
      <c r="D13" s="1">
        <f>IF(Summary!$G$16="M",VLOOKUP(B:B,'male g'!A:V,IF(A13&gt;2033,22,MATCH(A13,'male g'!$A$1:$V$1,0)),FALSE),VLOOKUP(B:B,'female g'!A:V,IF(A13&gt;2033,22,MATCH(A13,'female g'!$A$1:$V$1,0)),FALSE))</f>
        <v>5.1686620877391745E-3</v>
      </c>
      <c r="E13" s="1">
        <f t="shared" si="2"/>
        <v>0.99483133791226086</v>
      </c>
      <c r="F13" s="1">
        <f t="shared" si="3"/>
        <v>0.99511286521472864</v>
      </c>
      <c r="G13" s="1">
        <f>1/(1+Summary!$O$2)^$C13</f>
        <v>0.5846792890864374</v>
      </c>
      <c r="H13" s="1">
        <f>IF(B13&gt;64, Summary!$J$16, 0)*'TV 15'!G13*'TV 15'!F13</f>
        <v>0</v>
      </c>
      <c r="I13" s="1"/>
    </row>
    <row r="14" spans="1:9">
      <c r="A14" s="1">
        <f t="shared" si="0"/>
        <v>2031</v>
      </c>
      <c r="B14" s="1">
        <f t="shared" si="1"/>
        <v>56</v>
      </c>
      <c r="C14" s="1">
        <v>12</v>
      </c>
      <c r="D14" s="1">
        <f>IF(Summary!$G$16="M",VLOOKUP(B:B,'male g'!A:V,IF(A14&gt;2033,22,MATCH(A14,'male g'!$A$1:$V$1,0)),FALSE),VLOOKUP(B:B,'female g'!A:V,IF(A14&gt;2033,22,MATCH(A14,'female g'!$A$1:$V$1,0)),FALSE))</f>
        <v>5.4646195077650292E-3</v>
      </c>
      <c r="E14" s="1">
        <f t="shared" si="2"/>
        <v>0.994535380492235</v>
      </c>
      <c r="F14" s="1">
        <f t="shared" si="3"/>
        <v>0.99483133791226086</v>
      </c>
      <c r="G14" s="1">
        <f>1/(1+Summary!$O$2)^$C14</f>
        <v>0.5568374181775595</v>
      </c>
      <c r="H14" s="1">
        <f>IF(B14&gt;64, Summary!$J$16, 0)*'TV 15'!G14*'TV 15'!F14</f>
        <v>0</v>
      </c>
      <c r="I14" s="1"/>
    </row>
    <row r="15" spans="1:9">
      <c r="A15" s="1">
        <f t="shared" si="0"/>
        <v>2032</v>
      </c>
      <c r="B15" s="1">
        <f t="shared" si="1"/>
        <v>57</v>
      </c>
      <c r="C15" s="1">
        <v>13</v>
      </c>
      <c r="D15" s="1">
        <f>IF(Summary!$G$16="M",VLOOKUP(B:B,'male g'!A:V,IF(A15&gt;2033,22,MATCH(A15,'male g'!$A$1:$V$1,0)),FALSE),VLOOKUP(B:B,'female g'!A:V,IF(A15&gt;2033,22,MATCH(A15,'female g'!$A$1:$V$1,0)),FALSE))</f>
        <v>5.7765980291078368E-3</v>
      </c>
      <c r="E15" s="1">
        <f t="shared" si="2"/>
        <v>0.99422340197089221</v>
      </c>
      <c r="F15" s="1">
        <f t="shared" si="3"/>
        <v>0.994535380492235</v>
      </c>
      <c r="G15" s="1">
        <f>1/(1+Summary!$O$2)^$C15</f>
        <v>0.53032135064529462</v>
      </c>
      <c r="H15" s="1">
        <f>IF(B15&gt;64, Summary!$J$16, 0)*'TV 15'!G15*'TV 15'!F15</f>
        <v>0</v>
      </c>
      <c r="I15" s="1"/>
    </row>
    <row r="16" spans="1:9">
      <c r="A16" s="1">
        <f t="shared" si="0"/>
        <v>2033</v>
      </c>
      <c r="B16" s="1">
        <f t="shared" si="1"/>
        <v>58</v>
      </c>
      <c r="C16" s="1">
        <v>14</v>
      </c>
      <c r="D16" s="1">
        <f>IF(Summary!$G$16="M",VLOOKUP(B:B,'male g'!A:V,IF(A16&gt;2033,22,MATCH(A16,'male g'!$A$1:$V$1,0)),FALSE),VLOOKUP(B:B,'female g'!A:V,IF(A16&gt;2033,22,MATCH(A16,'female g'!$A$1:$V$1,0)),FALSE))</f>
        <v>6.112372675981876E-3</v>
      </c>
      <c r="E16" s="1">
        <f t="shared" si="2"/>
        <v>0.99388762732401814</v>
      </c>
      <c r="F16" s="1">
        <f t="shared" si="3"/>
        <v>0.99422340197089221</v>
      </c>
      <c r="G16" s="1">
        <f>1/(1+Summary!$O$2)^$C16</f>
        <v>0.50506795299551888</v>
      </c>
      <c r="H16" s="1">
        <f>IF(B16&gt;64, Summary!$J$16, 0)*'TV 15'!G16*'TV 15'!F16</f>
        <v>0</v>
      </c>
      <c r="I16" s="1"/>
    </row>
    <row r="17" spans="1:9">
      <c r="A17" s="1">
        <f t="shared" si="0"/>
        <v>2034</v>
      </c>
      <c r="B17" s="1">
        <f t="shared" si="1"/>
        <v>59</v>
      </c>
      <c r="C17" s="1">
        <v>15</v>
      </c>
      <c r="D17" s="1">
        <f>IF(Summary!$G$16="M",VLOOKUP(B:B,'male g'!A:V,IF(A17&gt;2033,22,MATCH(A17,'male g'!$A$1:$V$1,0)),FALSE),VLOOKUP(B:B,'female g'!A:V,IF(A17&gt;2033,22,MATCH(A17,'female g'!$A$1:$V$1,0)),FALSE))</f>
        <v>6.4741513414089766E-3</v>
      </c>
      <c r="E17" s="1">
        <f t="shared" si="2"/>
        <v>0.99352584865859106</v>
      </c>
      <c r="F17" s="1">
        <f t="shared" si="3"/>
        <v>0.99388762732401814</v>
      </c>
      <c r="G17" s="1">
        <f>1/(1+Summary!$O$2)^$C17</f>
        <v>0.48101709809097021</v>
      </c>
      <c r="H17" s="1">
        <f>IF(B17&gt;64, Summary!$J$16, 0)*'TV 15'!G17*'TV 15'!F17</f>
        <v>0</v>
      </c>
      <c r="I17" s="1"/>
    </row>
    <row r="18" spans="1:9">
      <c r="A18" s="1">
        <f t="shared" si="0"/>
        <v>2035</v>
      </c>
      <c r="B18" s="1">
        <f t="shared" si="1"/>
        <v>60</v>
      </c>
      <c r="C18" s="1">
        <v>16</v>
      </c>
      <c r="D18" s="1">
        <f>IF(Summary!$G$16="M",VLOOKUP(B:B,'male g'!A:V,IF(A18&gt;2033,22,MATCH(A18,'male g'!$A$1:$V$1,0)),FALSE),VLOOKUP(B:B,'female g'!A:V,IF(A18&gt;2033,22,MATCH(A18,'female g'!$A$1:$V$1,0)),FALSE))</f>
        <v>6.936066846596668E-3</v>
      </c>
      <c r="E18" s="1">
        <f t="shared" si="2"/>
        <v>0.99306393315340336</v>
      </c>
      <c r="F18" s="1">
        <f t="shared" si="3"/>
        <v>0.99352584865859106</v>
      </c>
      <c r="G18" s="1">
        <f>1/(1+Summary!$O$2)^$C18</f>
        <v>0.45811152199140021</v>
      </c>
      <c r="H18" s="1">
        <f>IF(B18&gt;64, Summary!$J$16, 0)*'TV 15'!G18*'TV 15'!F18</f>
        <v>0</v>
      </c>
      <c r="I18" s="1"/>
    </row>
    <row r="19" spans="1:9">
      <c r="A19" s="1">
        <f t="shared" si="0"/>
        <v>2036</v>
      </c>
      <c r="B19" s="1">
        <f t="shared" si="1"/>
        <v>61</v>
      </c>
      <c r="C19" s="1">
        <v>17</v>
      </c>
      <c r="D19" s="1">
        <f>IF(Summary!$G$16="M",VLOOKUP(B:B,'male g'!A:V,IF(A19&gt;2033,22,MATCH(A19,'male g'!$A$1:$V$1,0)),FALSE),VLOOKUP(B:B,'female g'!A:V,IF(A19&gt;2033,22,MATCH(A19,'female g'!$A$1:$V$1,0)),FALSE))</f>
        <v>7.4443231733826182E-3</v>
      </c>
      <c r="E19" s="1">
        <f t="shared" si="2"/>
        <v>0.99255567682661738</v>
      </c>
      <c r="F19" s="1">
        <f t="shared" si="3"/>
        <v>0.99306393315340336</v>
      </c>
      <c r="G19" s="1">
        <f>1/(1+Summary!$O$2)^$C19</f>
        <v>0.43629668761085727</v>
      </c>
      <c r="H19" s="1">
        <f>IF(B19&gt;64, Summary!$J$16, 0)*'TV 15'!G19*'TV 15'!F19</f>
        <v>0</v>
      </c>
      <c r="I19" s="1"/>
    </row>
    <row r="20" spans="1:9">
      <c r="A20" s="1">
        <f t="shared" si="0"/>
        <v>2037</v>
      </c>
      <c r="B20" s="1">
        <f t="shared" si="1"/>
        <v>62</v>
      </c>
      <c r="C20" s="1">
        <v>18</v>
      </c>
      <c r="D20" s="1">
        <f>IF(Summary!$G$16="M",VLOOKUP(B:B,'male g'!A:V,IF(A20&gt;2033,22,MATCH(A20,'male g'!$A$1:$V$1,0)),FALSE),VLOOKUP(B:B,'female g'!A:V,IF(A20&gt;2033,22,MATCH(A20,'female g'!$A$1:$V$1,0)),FALSE))</f>
        <v>7.9980591160673849E-3</v>
      </c>
      <c r="E20" s="1">
        <f t="shared" si="2"/>
        <v>0.99200194088393256</v>
      </c>
      <c r="F20" s="1">
        <f t="shared" si="3"/>
        <v>0.99255567682661738</v>
      </c>
      <c r="G20" s="1">
        <f>1/(1+Summary!$O$2)^$C20</f>
        <v>0.41552065486748313</v>
      </c>
      <c r="H20" s="1">
        <f>IF(B20&gt;64, Summary!$J$16, 0)*'TV 15'!G20*'TV 15'!F20</f>
        <v>0</v>
      </c>
      <c r="I20" s="1"/>
    </row>
    <row r="21" spans="1:9">
      <c r="A21" s="1">
        <f t="shared" si="0"/>
        <v>2038</v>
      </c>
      <c r="B21" s="1">
        <f t="shared" si="1"/>
        <v>63</v>
      </c>
      <c r="C21" s="1">
        <v>19</v>
      </c>
      <c r="D21" s="1">
        <f>IF(Summary!$G$16="M",VLOOKUP(B:B,'male g'!A:V,IF(A21&gt;2033,22,MATCH(A21,'male g'!$A$1:$V$1,0)),FALSE),VLOOKUP(B:B,'female g'!A:V,IF(A21&gt;2033,22,MATCH(A21,'female g'!$A$1:$V$1,0)),FALSE))</f>
        <v>8.6003126935298747E-3</v>
      </c>
      <c r="E21" s="1">
        <f t="shared" si="2"/>
        <v>0.9913996873064701</v>
      </c>
      <c r="F21" s="1">
        <f t="shared" si="3"/>
        <v>0.99200194088393256</v>
      </c>
      <c r="G21" s="1">
        <f>1/(1+Summary!$O$2)^$C21</f>
        <v>0.39573395701665059</v>
      </c>
      <c r="H21" s="1">
        <f>IF(B21&gt;64, Summary!$J$16, 0)*'TV 15'!G21*'TV 15'!F21</f>
        <v>0</v>
      </c>
      <c r="I21" s="1"/>
    </row>
    <row r="22" spans="1:9">
      <c r="A22" s="1">
        <f t="shared" si="0"/>
        <v>2039</v>
      </c>
      <c r="B22" s="1">
        <f t="shared" si="1"/>
        <v>64</v>
      </c>
      <c r="C22" s="1">
        <v>20</v>
      </c>
      <c r="D22" s="1">
        <f>IF(Summary!$G$16="M",VLOOKUP(B:B,'male g'!A:V,IF(A22&gt;2033,22,MATCH(A22,'male g'!$A$1:$V$1,0)),FALSE),VLOOKUP(B:B,'female g'!A:V,IF(A22&gt;2033,22,MATCH(A22,'female g'!$A$1:$V$1,0)),FALSE))</f>
        <v>9.2613902762817488E-3</v>
      </c>
      <c r="E22" s="1">
        <f t="shared" si="2"/>
        <v>0.9907386097237183</v>
      </c>
      <c r="F22" s="1">
        <f t="shared" si="3"/>
        <v>0.9913996873064701</v>
      </c>
      <c r="G22" s="1">
        <f>1/(1+Summary!$O$2)^$C22</f>
        <v>0.37688948287300061</v>
      </c>
      <c r="H22" s="1">
        <f>IF(B22&gt;64, Summary!$J$16, 0)*'TV 15'!G22*'TV 15'!F22</f>
        <v>0</v>
      </c>
      <c r="I22" s="1"/>
    </row>
    <row r="23" spans="1:9">
      <c r="A23" s="1">
        <f t="shared" si="0"/>
        <v>2040</v>
      </c>
      <c r="B23" s="1">
        <f t="shared" si="1"/>
        <v>65</v>
      </c>
      <c r="C23" s="1">
        <v>21</v>
      </c>
      <c r="D23" s="1">
        <f>IF(Summary!$G$16="M",VLOOKUP(B:B,'male g'!A:V,IF(A23&gt;2033,22,MATCH(A23,'male g'!$A$1:$V$1,0)),FALSE),VLOOKUP(B:B,'female g'!A:V,IF(A23&gt;2033,22,MATCH(A23,'female g'!$A$1:$V$1,0)),FALSE))</f>
        <v>9.9822267063302775E-3</v>
      </c>
      <c r="E23" s="1">
        <f t="shared" si="2"/>
        <v>0.99001777329366969</v>
      </c>
      <c r="F23" s="1">
        <f t="shared" si="3"/>
        <v>0.9907386097237183</v>
      </c>
      <c r="G23" s="1">
        <f>1/(1+Summary!$O$2)^$C23</f>
        <v>0.35894236464095297</v>
      </c>
      <c r="H23" s="1">
        <f>IF(B23&gt;64, Summary!$J$16, 0)*'TV 15'!G23*'TV 15'!F23</f>
        <v>2595.2487542182862</v>
      </c>
      <c r="I23" s="1"/>
    </row>
    <row r="24" spans="1:9">
      <c r="A24" s="1">
        <f t="shared" si="0"/>
        <v>2041</v>
      </c>
      <c r="B24" s="1">
        <f t="shared" si="1"/>
        <v>66</v>
      </c>
      <c r="C24" s="1">
        <v>22</v>
      </c>
      <c r="D24" s="1">
        <f>IF(Summary!$G$16="M",VLOOKUP(B:B,'male g'!A:V,IF(A24&gt;2033,22,MATCH(A24,'male g'!$A$1:$V$1,0)),FALSE),VLOOKUP(B:B,'female g'!A:V,IF(A24&gt;2033,22,MATCH(A24,'female g'!$A$1:$V$1,0)),FALSE))</f>
        <v>1.0770988448590023E-2</v>
      </c>
      <c r="E24" s="1">
        <f t="shared" si="2"/>
        <v>0.98922901155140996</v>
      </c>
      <c r="F24" s="1">
        <f t="shared" si="3"/>
        <v>0.99001777329366969</v>
      </c>
      <c r="G24" s="1">
        <f>1/(1+Summary!$O$2)^$C24</f>
        <v>0.3418498710866219</v>
      </c>
      <c r="H24" s="1">
        <f>IF(B24&gt;64, Summary!$J$16, 0)*'TV 15'!G24*'TV 15'!F24</f>
        <v>2469.8671587298136</v>
      </c>
      <c r="I24" s="1"/>
    </row>
    <row r="25" spans="1:9">
      <c r="A25" s="1">
        <f t="shared" si="0"/>
        <v>2042</v>
      </c>
      <c r="B25" s="1">
        <f t="shared" si="1"/>
        <v>67</v>
      </c>
      <c r="C25" s="1">
        <v>23</v>
      </c>
      <c r="D25" s="1">
        <f>IF(Summary!$G$16="M",VLOOKUP(B:B,'male g'!A:V,IF(A25&gt;2033,22,MATCH(A25,'male g'!$A$1:$V$1,0)),FALSE),VLOOKUP(B:B,'female g'!A:V,IF(A25&gt;2033,22,MATCH(A25,'female g'!$A$1:$V$1,0)),FALSE))</f>
        <v>1.1633181958479108E-2</v>
      </c>
      <c r="E25" s="1">
        <f t="shared" si="2"/>
        <v>0.98836681804152093</v>
      </c>
      <c r="F25" s="1">
        <f t="shared" si="3"/>
        <v>0.98922901155140996</v>
      </c>
      <c r="G25" s="1">
        <f>1/(1+Summary!$O$2)^$C25</f>
        <v>0.32557130579678267</v>
      </c>
      <c r="H25" s="1">
        <f>IF(B25&gt;64, Summary!$J$16, 0)*'TV 15'!G25*'TV 15'!F25</f>
        <v>2350.3803611285894</v>
      </c>
      <c r="I25" s="1"/>
    </row>
    <row r="26" spans="1:9">
      <c r="A26" s="1">
        <f t="shared" si="0"/>
        <v>2043</v>
      </c>
      <c r="B26" s="1">
        <f t="shared" si="1"/>
        <v>68</v>
      </c>
      <c r="C26" s="1">
        <v>24</v>
      </c>
      <c r="D26" s="1">
        <f>IF(Summary!$G$16="M",VLOOKUP(B:B,'male g'!A:V,IF(A26&gt;2033,22,MATCH(A26,'male g'!$A$1:$V$1,0)),FALSE),VLOOKUP(B:B,'female g'!A:V,IF(A26&gt;2033,22,MATCH(A26,'female g'!$A$1:$V$1,0)),FALSE))</f>
        <v>1.2580700369048322E-2</v>
      </c>
      <c r="E26" s="1">
        <f t="shared" si="2"/>
        <v>0.98741929963095165</v>
      </c>
      <c r="F26" s="1">
        <f t="shared" si="3"/>
        <v>0.98836681804152093</v>
      </c>
      <c r="G26" s="1">
        <f>1/(1+Summary!$O$2)^$C26</f>
        <v>0.31006791028265024</v>
      </c>
      <c r="H26" s="1">
        <f>IF(B26&gt;64, Summary!$J$16, 0)*'TV 15'!G26*'TV 15'!F26</f>
        <v>2236.5064890982699</v>
      </c>
      <c r="I26" s="1"/>
    </row>
    <row r="27" spans="1:9">
      <c r="A27" s="1">
        <f t="shared" si="0"/>
        <v>2044</v>
      </c>
      <c r="B27" s="1">
        <f t="shared" si="1"/>
        <v>69</v>
      </c>
      <c r="C27" s="1">
        <v>25</v>
      </c>
      <c r="D27" s="1">
        <f>IF(Summary!$G$16="M",VLOOKUP(B:B,'male g'!A:V,IF(A27&gt;2033,22,MATCH(A27,'male g'!$A$1:$V$1,0)),FALSE),VLOOKUP(B:B,'female g'!A:V,IF(A27&gt;2033,22,MATCH(A27,'female g'!$A$1:$V$1,0)),FALSE))</f>
        <v>1.3626686177724836E-2</v>
      </c>
      <c r="E27" s="1">
        <f t="shared" si="2"/>
        <v>0.98637331382227511</v>
      </c>
      <c r="F27" s="1">
        <f t="shared" si="3"/>
        <v>0.98741929963095165</v>
      </c>
      <c r="G27" s="1">
        <f>1/(1+Summary!$O$2)^$C27</f>
        <v>0.29530277169776209</v>
      </c>
      <c r="H27" s="1">
        <f>IF(B27&gt;64, Summary!$J$16, 0)*'TV 15'!G27*'TV 15'!F27</f>
        <v>2127.9642053596908</v>
      </c>
      <c r="I27" s="1"/>
    </row>
    <row r="28" spans="1:9">
      <c r="A28" s="1">
        <f t="shared" si="0"/>
        <v>2045</v>
      </c>
      <c r="B28" s="1">
        <f t="shared" si="1"/>
        <v>70</v>
      </c>
      <c r="C28" s="1">
        <v>26</v>
      </c>
      <c r="D28" s="1">
        <f>IF(Summary!$G$16="M",VLOOKUP(B:B,'male g'!A:V,IF(A28&gt;2033,22,MATCH(A28,'male g'!$A$1:$V$1,0)),FALSE),VLOOKUP(B:B,'female g'!A:V,IF(A28&gt;2033,22,MATCH(A28,'female g'!$A$1:$V$1,0)),FALSE))</f>
        <v>1.4793079982031035E-2</v>
      </c>
      <c r="E28" s="1">
        <f t="shared" si="2"/>
        <v>0.98520692001796895</v>
      </c>
      <c r="F28" s="1">
        <f t="shared" si="3"/>
        <v>0.98637331382227511</v>
      </c>
      <c r="G28" s="1">
        <f>1/(1+Summary!$O$2)^$C28</f>
        <v>0.28124073495024959</v>
      </c>
      <c r="H28" s="1">
        <f>IF(B28&gt;64, Summary!$J$16, 0)*'TV 15'!G28*'TV 15'!F28</f>
        <v>2024.4857388975506</v>
      </c>
      <c r="I28" s="1"/>
    </row>
    <row r="29" spans="1:9">
      <c r="A29" s="1">
        <f t="shared" si="0"/>
        <v>2046</v>
      </c>
      <c r="B29" s="1">
        <f t="shared" si="1"/>
        <v>71</v>
      </c>
      <c r="C29" s="1">
        <v>27</v>
      </c>
      <c r="D29" s="1">
        <f>IF(Summary!$G$16="M",VLOOKUP(B:B,'male g'!A:V,IF(A29&gt;2033,22,MATCH(A29,'male g'!$A$1:$V$1,0)),FALSE),VLOOKUP(B:B,'female g'!A:V,IF(A29&gt;2033,22,MATCH(A29,'female g'!$A$1:$V$1,0)),FALSE))</f>
        <v>1.6081052063459764E-2</v>
      </c>
      <c r="E29" s="1">
        <f t="shared" si="2"/>
        <v>0.98391894793654022</v>
      </c>
      <c r="F29" s="1">
        <f t="shared" si="3"/>
        <v>0.98520692001796895</v>
      </c>
      <c r="G29" s="1">
        <f>1/(1+Summary!$O$2)^$C29</f>
        <v>0.2678483190002377</v>
      </c>
      <c r="H29" s="1">
        <f>IF(B29&gt;64, Summary!$J$16, 0)*'TV 15'!G29*'TV 15'!F29</f>
        <v>1925.8016851464606</v>
      </c>
      <c r="I29" s="1"/>
    </row>
    <row r="30" spans="1:9">
      <c r="A30" s="1">
        <f t="shared" si="0"/>
        <v>2047</v>
      </c>
      <c r="B30" s="1">
        <f t="shared" si="1"/>
        <v>72</v>
      </c>
      <c r="C30" s="1">
        <v>28</v>
      </c>
      <c r="D30" s="1">
        <f>IF(Summary!$G$16="M",VLOOKUP(B:B,'male g'!A:V,IF(A30&gt;2033,22,MATCH(A30,'male g'!$A$1:$V$1,0)),FALSE),VLOOKUP(B:B,'female g'!A:V,IF(A30&gt;2033,22,MATCH(A30,'female g'!$A$1:$V$1,0)),FALSE))</f>
        <v>1.7512751333317752E-2</v>
      </c>
      <c r="E30" s="1">
        <f t="shared" si="2"/>
        <v>0.98248724866668224</v>
      </c>
      <c r="F30" s="1">
        <f t="shared" si="3"/>
        <v>0.98391894793654022</v>
      </c>
      <c r="G30" s="1">
        <f>1/(1+Summary!$O$2)^$C30</f>
        <v>0.25509363714308358</v>
      </c>
      <c r="H30" s="1">
        <f>IF(B30&gt;64, Summary!$J$16, 0)*'TV 15'!G30*'TV 15'!F30</f>
        <v>1831.6991075763656</v>
      </c>
      <c r="I30" s="1"/>
    </row>
    <row r="31" spans="1:9">
      <c r="A31" s="1">
        <f t="shared" si="0"/>
        <v>2048</v>
      </c>
      <c r="B31" s="1">
        <f t="shared" si="1"/>
        <v>73</v>
      </c>
      <c r="C31" s="1">
        <v>29</v>
      </c>
      <c r="D31" s="1">
        <f>IF(Summary!$G$16="M",VLOOKUP(B:B,'male g'!A:V,IF(A31&gt;2033,22,MATCH(A31,'male g'!$A$1:$V$1,0)),FALSE),VLOOKUP(B:B,'female g'!A:V,IF(A31&gt;2033,22,MATCH(A31,'female g'!$A$1:$V$1,0)),FALSE))</f>
        <v>1.9108502444741413E-2</v>
      </c>
      <c r="E31" s="1">
        <f t="shared" si="2"/>
        <v>0.98089149755525862</v>
      </c>
      <c r="F31" s="1">
        <f t="shared" si="3"/>
        <v>0.98248724866668224</v>
      </c>
      <c r="G31" s="1">
        <f>1/(1+Summary!$O$2)^$C31</f>
        <v>0.24294632108865097</v>
      </c>
      <c r="H31" s="1">
        <f>IF(B31&gt;64, Summary!$J$16, 0)*'TV 15'!G31*'TV 15'!F31</f>
        <v>1741.9369565930183</v>
      </c>
      <c r="I31" s="1"/>
    </row>
    <row r="32" spans="1:9">
      <c r="A32" s="1">
        <f t="shared" si="0"/>
        <v>2049</v>
      </c>
      <c r="B32" s="1">
        <f t="shared" si="1"/>
        <v>74</v>
      </c>
      <c r="C32" s="1">
        <v>30</v>
      </c>
      <c r="D32" s="1">
        <f>IF(Summary!$G$16="M",VLOOKUP(B:B,'male g'!A:V,IF(A32&gt;2033,22,MATCH(A32,'male g'!$A$1:$V$1,0)),FALSE),VLOOKUP(B:B,'female g'!A:V,IF(A32&gt;2033,22,MATCH(A32,'female g'!$A$1:$V$1,0)),FALSE))</f>
        <v>2.0891078905760852E-2</v>
      </c>
      <c r="E32" s="1">
        <f t="shared" si="2"/>
        <v>0.97910892109423919</v>
      </c>
      <c r="F32" s="1">
        <f t="shared" si="3"/>
        <v>0.98089149755525862</v>
      </c>
      <c r="G32" s="1">
        <f>1/(1+Summary!$O$2)^$C32</f>
        <v>0.23137744865585813</v>
      </c>
      <c r="H32" s="1">
        <f>IF(B32&gt;64, Summary!$J$16, 0)*'TV 15'!G32*'TV 15'!F32</f>
        <v>1656.2930579827673</v>
      </c>
      <c r="I32" s="1"/>
    </row>
    <row r="33" spans="1:9">
      <c r="A33" s="1">
        <f t="shared" si="0"/>
        <v>2050</v>
      </c>
      <c r="B33" s="1">
        <f t="shared" si="1"/>
        <v>75</v>
      </c>
      <c r="C33" s="1">
        <v>31</v>
      </c>
      <c r="D33" s="1">
        <f>IF(Summary!$G$16="M",VLOOKUP(B:B,'male g'!A:V,IF(A33&gt;2033,22,MATCH(A33,'male g'!$A$1:$V$1,0)),FALSE),VLOOKUP(B:B,'female g'!A:V,IF(A33&gt;2033,22,MATCH(A33,'female g'!$A$1:$V$1,0)),FALSE))</f>
        <v>2.289528896934603E-2</v>
      </c>
      <c r="E33" s="1">
        <f t="shared" si="2"/>
        <v>0.97710471103065399</v>
      </c>
      <c r="F33" s="1">
        <f t="shared" si="3"/>
        <v>0.97910892109423919</v>
      </c>
      <c r="G33" s="1">
        <f>1/(1+Summary!$O$2)^$C33</f>
        <v>0.220359474910341</v>
      </c>
      <c r="H33" s="1">
        <f>IF(B33&gt;64, Summary!$J$16, 0)*'TV 15'!G33*'TV 15'!F33</f>
        <v>1574.5553072885953</v>
      </c>
      <c r="I33" s="1"/>
    </row>
    <row r="34" spans="1:9">
      <c r="A34" s="1">
        <f t="shared" si="0"/>
        <v>2051</v>
      </c>
      <c r="B34" s="1">
        <f t="shared" si="1"/>
        <v>76</v>
      </c>
      <c r="C34" s="1">
        <v>32</v>
      </c>
      <c r="D34" s="1">
        <f>IF(Summary!$G$16="M",VLOOKUP(B:B,'male g'!A:V,IF(A34&gt;2033,22,MATCH(A34,'male g'!$A$1:$V$1,0)),FALSE),VLOOKUP(B:B,'female g'!A:V,IF(A34&gt;2033,22,MATCH(A34,'female g'!$A$1:$V$1,0)),FALSE))</f>
        <v>2.513765115831567E-2</v>
      </c>
      <c r="E34" s="1">
        <f t="shared" si="2"/>
        <v>0.97486234884168432</v>
      </c>
      <c r="F34" s="1">
        <f t="shared" si="3"/>
        <v>0.97710471103065399</v>
      </c>
      <c r="G34" s="1">
        <f>1/(1+Summary!$O$2)^$C34</f>
        <v>0.20986616658127716</v>
      </c>
      <c r="H34" s="1">
        <f>IF(B34&gt;64, Summary!$J$16, 0)*'TV 15'!G34*'TV 15'!F34</f>
        <v>1496.5068897355327</v>
      </c>
      <c r="I34" s="1"/>
    </row>
    <row r="35" spans="1:9">
      <c r="A35" s="1">
        <f>$A$2+C35</f>
        <v>2052</v>
      </c>
      <c r="B35" s="1">
        <f>$B$2+C35</f>
        <v>77</v>
      </c>
      <c r="C35" s="1">
        <v>33</v>
      </c>
      <c r="D35" s="1">
        <f>IF(Summary!$G$16="M",VLOOKUP(B:B,'male g'!A:V,IF(A35&gt;2033,22,MATCH(A35,'male g'!$A$1:$V$1,0)),FALSE),VLOOKUP(B:B,'female g'!A:V,IF(A35&gt;2033,22,MATCH(A35,'female g'!$A$1:$V$1,0)),FALSE))</f>
        <v>2.7677948896305107E-2</v>
      </c>
      <c r="E35" s="1">
        <f t="shared" si="2"/>
        <v>0.97232205110369485</v>
      </c>
      <c r="F35" s="1">
        <f t="shared" si="3"/>
        <v>0.97486234884168432</v>
      </c>
      <c r="G35" s="1">
        <f>1/(1+Summary!$O$2)^$C35</f>
        <v>0.19987253960121634</v>
      </c>
      <c r="H35" s="1">
        <f>IF(B35&gt;64, Summary!$J$16, 0)*'TV 15'!G35*'TV 15'!F35</f>
        <v>1421.9738562361874</v>
      </c>
      <c r="I35" s="1"/>
    </row>
    <row r="36" spans="1:9">
      <c r="A36" s="1">
        <f t="shared" ref="A36:A47" si="4">$A$2+C36</f>
        <v>2053</v>
      </c>
      <c r="B36" s="1">
        <f t="shared" si="1"/>
        <v>78</v>
      </c>
      <c r="C36" s="1">
        <v>34</v>
      </c>
      <c r="D36" s="1">
        <f>IF(Summary!$G$16="M",VLOOKUP(B:B,'male g'!A:V,IF(A36&gt;2033,22,MATCH(A36,'male g'!$A$1:$V$1,0)),FALSE),VLOOKUP(B:B,'female g'!A:V,IF(A36&gt;2033,22,MATCH(A36,'female g'!$A$1:$V$1,0)),FALSE))</f>
        <v>3.0545666614171758E-2</v>
      </c>
      <c r="E36" s="1">
        <f t="shared" si="2"/>
        <v>0.9694543333858282</v>
      </c>
      <c r="F36" s="1">
        <f t="shared" si="3"/>
        <v>0.97232205110369485</v>
      </c>
      <c r="G36" s="1">
        <f>1/(1+Summary!$O$2)^$C36</f>
        <v>0.19035479962020604</v>
      </c>
      <c r="H36" s="1">
        <f>IF(B36&gt;64, Summary!$J$16, 0)*'TV 15'!G36*'TV 15'!F36</f>
        <v>1350.7318806444366</v>
      </c>
      <c r="I36" s="1"/>
    </row>
    <row r="37" spans="1:9">
      <c r="A37" s="1">
        <f t="shared" si="4"/>
        <v>2054</v>
      </c>
      <c r="B37" s="1">
        <f t="shared" si="1"/>
        <v>79</v>
      </c>
      <c r="C37" s="1">
        <v>35</v>
      </c>
      <c r="D37" s="1">
        <f>IF(Summary!$G$16="M",VLOOKUP(B:B,'male g'!A:V,IF(A37&gt;2033,22,MATCH(A37,'male g'!$A$1:$V$1,0)),FALSE),VLOOKUP(B:B,'female g'!A:V,IF(A37&gt;2033,22,MATCH(A37,'female g'!$A$1:$V$1,0)),FALSE))</f>
        <v>3.3801426006075351E-2</v>
      </c>
      <c r="E37" s="1">
        <f t="shared" si="2"/>
        <v>0.96619857399392461</v>
      </c>
      <c r="F37" s="1">
        <f t="shared" si="3"/>
        <v>0.9694543333858282</v>
      </c>
      <c r="G37" s="1">
        <f>1/(1+Summary!$O$2)^$C37</f>
        <v>0.18129028535257716</v>
      </c>
      <c r="H37" s="1">
        <f>IF(B37&gt;64, Summary!$J$16, 0)*'TV 15'!G37*'TV 15'!F37</f>
        <v>1282.617238115939</v>
      </c>
      <c r="I37" s="1"/>
    </row>
    <row r="38" spans="1:9">
      <c r="A38" s="1">
        <f t="shared" si="4"/>
        <v>2055</v>
      </c>
      <c r="B38" s="1">
        <f t="shared" si="1"/>
        <v>80</v>
      </c>
      <c r="C38" s="1">
        <v>36</v>
      </c>
      <c r="D38" s="1">
        <f>IF(Summary!$G$16="M",VLOOKUP(B:B,'male g'!A:V,IF(A38&gt;2033,22,MATCH(A38,'male g'!$A$1:$V$1,0)),FALSE),VLOOKUP(B:B,'female g'!A:V,IF(A38&gt;2033,22,MATCH(A38,'female g'!$A$1:$V$1,0)),FALSE))</f>
        <v>3.7482908060753731E-2</v>
      </c>
      <c r="E38" s="1">
        <f t="shared" si="2"/>
        <v>0.96251709193924628</v>
      </c>
      <c r="F38" s="1">
        <f t="shared" si="3"/>
        <v>0.96619857399392461</v>
      </c>
      <c r="G38" s="1">
        <f>1/(1+Summary!$O$2)^$C38</f>
        <v>0.17265741462150208</v>
      </c>
      <c r="H38" s="1">
        <f>IF(B38&gt;64, Summary!$J$16, 0)*'TV 15'!G38*'TV 15'!F38</f>
        <v>1217.4378766931695</v>
      </c>
      <c r="I38" s="1"/>
    </row>
    <row r="39" spans="1:9">
      <c r="A39" s="1">
        <f t="shared" si="4"/>
        <v>2056</v>
      </c>
      <c r="B39" s="1">
        <f t="shared" si="1"/>
        <v>81</v>
      </c>
      <c r="C39" s="1">
        <v>37</v>
      </c>
      <c r="D39" s="1">
        <f>IF(Summary!$G$16="M",VLOOKUP(B:B,'male g'!A:V,IF(A39&gt;2033,22,MATCH(A39,'male g'!$A$1:$V$1,0)),FALSE),VLOOKUP(B:B,'female g'!A:V,IF(A39&gt;2033,22,MATCH(A39,'female g'!$A$1:$V$1,0)),FALSE))</f>
        <v>4.1692652240478641E-2</v>
      </c>
      <c r="E39" s="1">
        <f t="shared" si="2"/>
        <v>0.95830734775952131</v>
      </c>
      <c r="F39" s="1">
        <f t="shared" si="3"/>
        <v>0.96251709193924628</v>
      </c>
      <c r="G39" s="1">
        <f>1/(1+Summary!$O$2)^$C39</f>
        <v>0.1644356329728591</v>
      </c>
      <c r="H39" s="1">
        <f>IF(B39&gt;64, Summary!$J$16, 0)*'TV 15'!G39*'TV 15'!F39</f>
        <v>1155.0467655816999</v>
      </c>
      <c r="I39" s="1"/>
    </row>
    <row r="40" spans="1:9">
      <c r="A40" s="1">
        <f t="shared" si="4"/>
        <v>2057</v>
      </c>
      <c r="B40" s="1">
        <f t="shared" si="1"/>
        <v>82</v>
      </c>
      <c r="C40" s="1">
        <v>38</v>
      </c>
      <c r="D40" s="1">
        <f>IF(Summary!$G$16="M",VLOOKUP(B:B,'male g'!A:V,IF(A40&gt;2033,22,MATCH(A40,'male g'!$A$1:$V$1,0)),FALSE),VLOOKUP(B:B,'female g'!A:V,IF(A40&gt;2033,22,MATCH(A40,'female g'!$A$1:$V$1,0)),FALSE))</f>
        <v>4.6458269197024199E-2</v>
      </c>
      <c r="E40" s="1">
        <f t="shared" si="2"/>
        <v>0.95354173080297577</v>
      </c>
      <c r="F40" s="1">
        <f t="shared" si="3"/>
        <v>0.95830734775952131</v>
      </c>
      <c r="G40" s="1">
        <f>1/(1+Summary!$O$2)^$C40</f>
        <v>0.15660536473605632</v>
      </c>
      <c r="H40" s="1">
        <f>IF(B40&gt;64, Summary!$J$16, 0)*'TV 15'!G40*'TV 15'!F40</f>
        <v>1095.2332930798877</v>
      </c>
      <c r="I40" s="1"/>
    </row>
    <row r="41" spans="1:9">
      <c r="A41" s="1">
        <f t="shared" si="4"/>
        <v>2058</v>
      </c>
      <c r="B41" s="1">
        <f t="shared" si="1"/>
        <v>83</v>
      </c>
      <c r="C41" s="1">
        <v>39</v>
      </c>
      <c r="D41" s="1">
        <f>IF(Summary!$G$16="M",VLOOKUP(B:B,'male g'!A:V,IF(A41&gt;2033,22,MATCH(A41,'male g'!$A$1:$V$1,0)),FALSE),VLOOKUP(B:B,'female g'!A:V,IF(A41&gt;2033,22,MATCH(A41,'female g'!$A$1:$V$1,0)),FALSE))</f>
        <v>5.1882087565112409E-2</v>
      </c>
      <c r="E41" s="1">
        <f t="shared" si="2"/>
        <v>0.94811791243488763</v>
      </c>
      <c r="F41" s="1">
        <f t="shared" si="3"/>
        <v>0.95354173080297577</v>
      </c>
      <c r="G41" s="1">
        <f>1/(1+Summary!$O$2)^$C41</f>
        <v>0.14914796641529171</v>
      </c>
      <c r="H41" s="1">
        <f>IF(B41&gt;64, Summary!$J$16, 0)*'TV 15'!G41*'TV 15'!F41</f>
        <v>1037.8921427582286</v>
      </c>
      <c r="I41" s="1"/>
    </row>
    <row r="42" spans="1:9">
      <c r="A42" s="1">
        <f t="shared" si="4"/>
        <v>2059</v>
      </c>
      <c r="B42" s="1">
        <f t="shared" si="1"/>
        <v>84</v>
      </c>
      <c r="C42" s="1">
        <v>40</v>
      </c>
      <c r="D42" s="1">
        <f>IF(Summary!$G$16="M",VLOOKUP(B:B,'male g'!A:V,IF(A42&gt;2033,22,MATCH(A42,'male g'!$A$1:$V$1,0)),FALSE),VLOOKUP(B:B,'female g'!A:V,IF(A42&gt;2033,22,MATCH(A42,'female g'!$A$1:$V$1,0)),FALSE))</f>
        <v>5.8015339398571217E-2</v>
      </c>
      <c r="E42" s="1">
        <f t="shared" si="2"/>
        <v>0.94198466060142882</v>
      </c>
      <c r="F42" s="1">
        <f t="shared" si="3"/>
        <v>0.94811791243488763</v>
      </c>
      <c r="G42" s="1">
        <f>1/(1+Summary!$O$2)^$C42</f>
        <v>0.14204568230027784</v>
      </c>
      <c r="H42" s="1">
        <f>IF(B42&gt;64, Summary!$J$16, 0)*'TV 15'!G42*'TV 15'!F42</f>
        <v>982.84622170386706</v>
      </c>
      <c r="I42" s="1"/>
    </row>
    <row r="43" spans="1:9">
      <c r="A43" s="1">
        <f t="shared" si="4"/>
        <v>2060</v>
      </c>
      <c r="B43" s="1">
        <f t="shared" si="1"/>
        <v>85</v>
      </c>
      <c r="C43" s="1">
        <v>41</v>
      </c>
      <c r="D43" s="1">
        <f>IF(Summary!$G$16="M",VLOOKUP(B:B,'male g'!A:V,IF(A43&gt;2033,22,MATCH(A43,'male g'!$A$1:$V$1,0)),FALSE),VLOOKUP(B:B,'female g'!A:V,IF(A43&gt;2033,22,MATCH(A43,'female g'!$A$1:$V$1,0)),FALSE))</f>
        <v>6.4965454874702594E-2</v>
      </c>
      <c r="E43" s="1">
        <f t="shared" si="2"/>
        <v>0.93503454512529738</v>
      </c>
      <c r="F43" s="1">
        <f t="shared" si="3"/>
        <v>0.94198466060142882</v>
      </c>
      <c r="G43" s="1">
        <f>1/(1+Summary!$O$2)^$C43</f>
        <v>0.13528160219074079</v>
      </c>
      <c r="H43" s="1">
        <f>IF(B43&gt;64, Summary!$J$16, 0)*'TV 15'!G43*'TV 15'!F43</f>
        <v>929.98887327709872</v>
      </c>
      <c r="I43" s="1"/>
    </row>
    <row r="44" spans="1:9">
      <c r="A44" s="1">
        <f t="shared" si="4"/>
        <v>2061</v>
      </c>
      <c r="B44" s="1">
        <f t="shared" si="1"/>
        <v>86</v>
      </c>
      <c r="C44" s="1">
        <v>42</v>
      </c>
      <c r="D44" s="1">
        <f>IF(Summary!$G$16="M",VLOOKUP(B:B,'male g'!A:V,IF(A44&gt;2033,22,MATCH(A44,'male g'!$A$1:$V$1,0)),FALSE),VLOOKUP(B:B,'female g'!A:V,IF(A44&gt;2033,22,MATCH(A44,'female g'!$A$1:$V$1,0)),FALSE))</f>
        <v>7.2903222964449149E-2</v>
      </c>
      <c r="E44" s="1">
        <f t="shared" si="2"/>
        <v>0.92709677703555082</v>
      </c>
      <c r="F44" s="1">
        <f t="shared" si="3"/>
        <v>0.93503454512529738</v>
      </c>
      <c r="G44" s="1">
        <f>1/(1+Summary!$O$2)^$C44</f>
        <v>0.12883962113403885</v>
      </c>
      <c r="H44" s="1">
        <f>IF(B44&gt;64, Summary!$J$16, 0)*'TV 15'!G44*'TV 15'!F44</f>
        <v>879.16882348931802</v>
      </c>
      <c r="I44" s="1"/>
    </row>
    <row r="45" spans="1:9">
      <c r="A45" s="1">
        <f t="shared" si="4"/>
        <v>2062</v>
      </c>
      <c r="B45" s="1">
        <f t="shared" si="1"/>
        <v>87</v>
      </c>
      <c r="C45" s="1">
        <v>43</v>
      </c>
      <c r="D45" s="1">
        <f>IF(Summary!$G$16="M",VLOOKUP(B:B,'male g'!A:V,IF(A45&gt;2033,22,MATCH(A45,'male g'!$A$1:$V$1,0)),FALSE),VLOOKUP(B:B,'female g'!A:V,IF(A45&gt;2033,22,MATCH(A45,'female g'!$A$1:$V$1,0)),FALSE))</f>
        <v>8.1848520672112443E-2</v>
      </c>
      <c r="E45" s="1">
        <f t="shared" si="2"/>
        <v>0.91815147932788754</v>
      </c>
      <c r="F45" s="1">
        <f t="shared" si="3"/>
        <v>0.92709677703555082</v>
      </c>
      <c r="G45" s="1">
        <f>1/(1+Summary!$O$2)^$C45</f>
        <v>0.12270440108003698</v>
      </c>
      <c r="H45" s="1">
        <f>IF(B45&gt;64, Summary!$J$16, 0)*'TV 15'!G45*'TV 15'!F45</f>
        <v>830.19553812860033</v>
      </c>
      <c r="I45" s="1"/>
    </row>
    <row r="46" spans="1:9">
      <c r="A46" s="1">
        <f t="shared" si="4"/>
        <v>2063</v>
      </c>
      <c r="B46" s="1">
        <f t="shared" si="1"/>
        <v>88</v>
      </c>
      <c r="C46" s="1">
        <v>44</v>
      </c>
      <c r="D46" s="1">
        <f>IF(Summary!$G$16="M",VLOOKUP(B:B,'male g'!A:V,IF(A46&gt;2033,22,MATCH(A46,'male g'!$A$1:$V$1,0)),FALSE),VLOOKUP(B:B,'female g'!A:V,IF(A46&gt;2033,22,MATCH(A46,'female g'!$A$1:$V$1,0)),FALSE))</f>
        <v>9.1889133554378416E-2</v>
      </c>
      <c r="E46" s="1">
        <f t="shared" si="2"/>
        <v>0.90811086644562156</v>
      </c>
      <c r="F46" s="1">
        <f t="shared" si="3"/>
        <v>0.91815147932788754</v>
      </c>
      <c r="G46" s="1">
        <f>1/(1+Summary!$O$2)^$C46</f>
        <v>0.11686133436193999</v>
      </c>
      <c r="H46" s="1">
        <f>IF(B46&gt;64, Summary!$J$16, 0)*'TV 15'!G46*'TV 15'!F46</f>
        <v>783.0335365660452</v>
      </c>
      <c r="I46" s="1"/>
    </row>
    <row r="47" spans="1:9">
      <c r="A47" s="1">
        <f t="shared" si="4"/>
        <v>2064</v>
      </c>
      <c r="B47" s="1">
        <f t="shared" si="1"/>
        <v>89</v>
      </c>
      <c r="C47" s="1">
        <v>45</v>
      </c>
      <c r="D47" s="1">
        <f>IF(Summary!$G$16="M",VLOOKUP(B:B,'male g'!A:V,IF(A47&gt;2033,22,MATCH(A47,'male g'!$A$1:$V$1,0)),FALSE),VLOOKUP(B:B,'female g'!A:V,IF(A47&gt;2033,22,MATCH(A47,'female g'!$A$1:$V$1,0)),FALSE))</f>
        <v>0.1031648969350115</v>
      </c>
      <c r="E47" s="1">
        <f t="shared" si="2"/>
        <v>0.89683510306498848</v>
      </c>
      <c r="F47" s="1">
        <f t="shared" si="3"/>
        <v>0.90811086644562156</v>
      </c>
      <c r="G47" s="1">
        <f>1/(1+Summary!$O$2)^$C47</f>
        <v>0.1112965089161333</v>
      </c>
      <c r="H47" s="1">
        <f>IF(B47&gt;64, Summary!$J$16, 0)*'TV 15'!G47*'TV 15'!F47</f>
        <v>737.59098150381737</v>
      </c>
      <c r="I47" s="1"/>
    </row>
    <row r="48" spans="1:9">
      <c r="A48" s="1">
        <f>$A$2+C48</f>
        <v>2065</v>
      </c>
      <c r="B48" s="1">
        <f>$B$2+C48</f>
        <v>90</v>
      </c>
      <c r="C48" s="1">
        <v>46</v>
      </c>
      <c r="D48" s="1">
        <f>IF(Summary!$G$16="M",VLOOKUP(B:B,'male g'!A:V,IF(A48&gt;2033,22,MATCH(A48,'male g'!$A$1:$V$1,0)),FALSE),VLOOKUP(B:B,'female g'!A:V,IF(A48&gt;2033,22,MATCH(A48,'female g'!$A$1:$V$1,0)),FALSE))</f>
        <v>0.11576084940657383</v>
      </c>
      <c r="E48" s="1">
        <f t="shared" si="2"/>
        <v>0.88423915059342617</v>
      </c>
      <c r="F48" s="1">
        <f t="shared" si="3"/>
        <v>0.89683510306498848</v>
      </c>
      <c r="G48" s="1">
        <f>1/(1+Summary!$O$2)^$C48</f>
        <v>0.10599667515822221</v>
      </c>
      <c r="H48" s="1">
        <f>IF(B48&gt;64, Summary!$J$16, 0)*'TV 15'!G48*'TV 15'!F48</f>
        <v>693.74525403060306</v>
      </c>
      <c r="I48" s="1"/>
    </row>
    <row r="49" spans="1:9">
      <c r="A49" s="1">
        <f t="shared" ref="A49:A73" si="5">$A$2+C49</f>
        <v>2066</v>
      </c>
      <c r="B49" s="1">
        <f t="shared" si="1"/>
        <v>91</v>
      </c>
      <c r="C49" s="1">
        <v>47</v>
      </c>
      <c r="D49" s="1">
        <f>IF(Summary!$G$16="M",VLOOKUP(B:B,'male g'!A:V,IF(A49&gt;2033,22,MATCH(A49,'male g'!$A$1:$V$1,0)),FALSE),VLOOKUP(B:B,'female g'!A:V,IF(A49&gt;2033,22,MATCH(A49,'female g'!$A$1:$V$1,0)),FALSE))</f>
        <v>0.12933245912292859</v>
      </c>
      <c r="E49" s="1">
        <f t="shared" si="2"/>
        <v>0.87066754087707143</v>
      </c>
      <c r="F49" s="1">
        <f t="shared" si="3"/>
        <v>0.88423915059342617</v>
      </c>
      <c r="G49" s="1">
        <f>1/(1+Summary!$O$2)^$C49</f>
        <v>0.10094921443640208</v>
      </c>
      <c r="H49" s="1">
        <f>IF(B49&gt;64, Summary!$J$16, 0)*'TV 15'!G49*'TV 15'!F49</f>
        <v>651.43016821389722</v>
      </c>
      <c r="I49" s="1"/>
    </row>
    <row r="50" spans="1:9">
      <c r="A50" s="1">
        <f t="shared" si="5"/>
        <v>2067</v>
      </c>
      <c r="B50" s="1">
        <f t="shared" si="1"/>
        <v>92</v>
      </c>
      <c r="C50" s="1">
        <v>48</v>
      </c>
      <c r="D50" s="1">
        <f>IF(Summary!$G$16="M",VLOOKUP(B:B,'male g'!A:V,IF(A50&gt;2033,22,MATCH(A50,'male g'!$A$1:$V$1,0)),FALSE),VLOOKUP(B:B,'female g'!A:V,IF(A50&gt;2033,22,MATCH(A50,'female g'!$A$1:$V$1,0)),FALSE))</f>
        <v>0.14348300858520585</v>
      </c>
      <c r="E50" s="1">
        <f t="shared" si="2"/>
        <v>0.85651699141479409</v>
      </c>
      <c r="F50" s="1">
        <f t="shared" si="3"/>
        <v>0.87066754087707143</v>
      </c>
      <c r="G50" s="1">
        <f>1/(1+Summary!$O$2)^$C50</f>
        <v>9.6142108987049613E-2</v>
      </c>
      <c r="H50" s="1">
        <f>IF(B50&gt;64, Summary!$J$16, 0)*'TV 15'!G50*'TV 15'!F50</f>
        <v>610.88742061874109</v>
      </c>
      <c r="I50" s="1"/>
    </row>
    <row r="51" spans="1:9">
      <c r="A51" s="1">
        <f t="shared" si="5"/>
        <v>2068</v>
      </c>
      <c r="B51" s="1">
        <f t="shared" si="1"/>
        <v>93</v>
      </c>
      <c r="C51" s="1">
        <v>49</v>
      </c>
      <c r="D51" s="1">
        <f>IF(Summary!$G$16="M",VLOOKUP(B:B,'male g'!A:V,IF(A51&gt;2033,22,MATCH(A51,'male g'!$A$1:$V$1,0)),FALSE),VLOOKUP(B:B,'female g'!A:V,IF(A51&gt;2033,22,MATCH(A51,'female g'!$A$1:$V$1,0)),FALSE))</f>
        <v>0.15808258232710681</v>
      </c>
      <c r="E51" s="1">
        <f t="shared" si="2"/>
        <v>0.84191741767289319</v>
      </c>
      <c r="F51" s="1">
        <f t="shared" si="3"/>
        <v>0.85651699141479409</v>
      </c>
      <c r="G51" s="1">
        <f>1/(1+Summary!$O$2)^$C51</f>
        <v>9.1563913320999626E-2</v>
      </c>
      <c r="H51" s="1">
        <f>IF(B51&gt;64, Summary!$J$16, 0)*'TV 15'!G51*'TV 15'!F51</f>
        <v>572.34186199621161</v>
      </c>
      <c r="I51" s="1"/>
    </row>
    <row r="52" spans="1:9">
      <c r="A52" s="1">
        <f t="shared" si="5"/>
        <v>2069</v>
      </c>
      <c r="B52" s="1">
        <f t="shared" si="1"/>
        <v>94</v>
      </c>
      <c r="C52" s="1">
        <v>50</v>
      </c>
      <c r="D52" s="1">
        <f>IF(Summary!$G$16="M",VLOOKUP(B:B,'male g'!A:V,IF(A52&gt;2033,22,MATCH(A52,'male g'!$A$1:$V$1,0)),FALSE),VLOOKUP(B:B,'female g'!A:V,IF(A52&gt;2033,22,MATCH(A52,'female g'!$A$1:$V$1,0)),FALSE))</f>
        <v>0.17308956870926934</v>
      </c>
      <c r="E52" s="1">
        <f t="shared" si="2"/>
        <v>0.82691043129073072</v>
      </c>
      <c r="F52" s="1">
        <f t="shared" si="3"/>
        <v>0.84191741767289319</v>
      </c>
      <c r="G52" s="1">
        <f>1/(1+Summary!$O$2)^$C52</f>
        <v>8.7203726972380588E-2</v>
      </c>
      <c r="H52" s="1">
        <f>IF(B52&gt;64, Summary!$J$16, 0)*'TV 15'!G52*'TV 15'!F52</f>
        <v>535.79631761998621</v>
      </c>
      <c r="I52" s="1"/>
    </row>
    <row r="53" spans="1:9">
      <c r="A53" s="1">
        <f t="shared" si="5"/>
        <v>2070</v>
      </c>
      <c r="B53" s="1">
        <f t="shared" si="1"/>
        <v>95</v>
      </c>
      <c r="C53" s="1">
        <v>51</v>
      </c>
      <c r="D53" s="1">
        <f>IF(Summary!$G$16="M",VLOOKUP(B:B,'male g'!A:V,IF(A53&gt;2033,22,MATCH(A53,'male g'!$A$1:$V$1,0)),FALSE),VLOOKUP(B:B,'female g'!A:V,IF(A53&gt;2033,22,MATCH(A53,'female g'!$A$1:$V$1,0)),FALSE))</f>
        <v>0.1884638420447376</v>
      </c>
      <c r="E53" s="1">
        <f t="shared" si="2"/>
        <v>0.81153615795526246</v>
      </c>
      <c r="F53" s="1">
        <f t="shared" si="3"/>
        <v>0.82691043129073072</v>
      </c>
      <c r="G53" s="1">
        <f>1/(1+Summary!$O$2)^$C53</f>
        <v>8.3051168545124371E-2</v>
      </c>
      <c r="H53" s="1">
        <f>IF(B53&gt;64, Summary!$J$16, 0)*'TV 15'!G53*'TV 15'!F53</f>
        <v>501.18654303327492</v>
      </c>
      <c r="I53" s="1"/>
    </row>
    <row r="54" spans="1:9">
      <c r="A54" s="1">
        <f t="shared" si="5"/>
        <v>2071</v>
      </c>
      <c r="B54" s="1">
        <f t="shared" si="1"/>
        <v>96</v>
      </c>
      <c r="C54" s="1">
        <v>52</v>
      </c>
      <c r="D54" s="1">
        <f>IF(Summary!$G$16="M",VLOOKUP(B:B,'male g'!A:V,IF(A54&gt;2033,22,MATCH(A54,'male g'!$A$1:$V$1,0)),FALSE),VLOOKUP(B:B,'female g'!A:V,IF(A54&gt;2033,22,MATCH(A54,'female g'!$A$1:$V$1,0)),FALSE))</f>
        <v>0.20546988897968524</v>
      </c>
      <c r="E54" s="1">
        <f t="shared" si="2"/>
        <v>0.79453011102031479</v>
      </c>
      <c r="F54" s="1">
        <f t="shared" si="3"/>
        <v>0.81153615795526246</v>
      </c>
      <c r="G54" s="1">
        <f>1/(1+Summary!$O$2)^$C54</f>
        <v>7.9096350995356543E-2</v>
      </c>
      <c r="H54" s="1">
        <f>IF(B54&gt;64, Summary!$J$16, 0)*'TV 15'!G54*'TV 15'!F54</f>
        <v>468.44596943397306</v>
      </c>
      <c r="I54" s="1"/>
    </row>
    <row r="55" spans="1:9">
      <c r="A55" s="1">
        <f t="shared" si="5"/>
        <v>2072</v>
      </c>
      <c r="B55" s="1">
        <f t="shared" si="1"/>
        <v>97</v>
      </c>
      <c r="C55" s="1">
        <v>53</v>
      </c>
      <c r="D55" s="1">
        <f>IF(Summary!$G$16="M",VLOOKUP(B:B,'male g'!A:V,IF(A55&gt;2033,22,MATCH(A55,'male g'!$A$1:$V$1,0)),FALSE),VLOOKUP(B:B,'female g'!A:V,IF(A55&gt;2033,22,MATCH(A55,'female g'!$A$1:$V$1,0)),FALSE))</f>
        <v>0.22317315569892124</v>
      </c>
      <c r="E55" s="1">
        <f t="shared" si="2"/>
        <v>0.77682684430107873</v>
      </c>
      <c r="F55" s="1">
        <f t="shared" si="3"/>
        <v>0.79453011102031479</v>
      </c>
      <c r="G55" s="1">
        <f>1/(1+Summary!$O$2)^$C55</f>
        <v>7.5329858090815757E-2</v>
      </c>
      <c r="H55" s="1">
        <f>IF(B55&gt;64, Summary!$J$16, 0)*'TV 15'!G55*'TV 15'!F55</f>
        <v>436.79000674376624</v>
      </c>
      <c r="I55" s="1"/>
    </row>
    <row r="56" spans="1:9">
      <c r="A56" s="1">
        <f t="shared" si="5"/>
        <v>2073</v>
      </c>
      <c r="B56" s="1">
        <f t="shared" si="1"/>
        <v>98</v>
      </c>
      <c r="C56" s="1">
        <v>54</v>
      </c>
      <c r="D56" s="1">
        <f>IF(Summary!$G$16="M",VLOOKUP(B:B,'male g'!A:V,IF(A56&gt;2033,22,MATCH(A56,'male g'!$A$1:$V$1,0)),FALSE),VLOOKUP(B:B,'female g'!A:V,IF(A56&gt;2033,22,MATCH(A56,'female g'!$A$1:$V$1,0)),FALSE))</f>
        <v>0.2417371960764223</v>
      </c>
      <c r="E56" s="1">
        <f t="shared" si="2"/>
        <v>0.7582628039235777</v>
      </c>
      <c r="F56" s="1">
        <f t="shared" si="3"/>
        <v>0.77682684430107873</v>
      </c>
      <c r="G56" s="1">
        <f>1/(1+Summary!$O$2)^$C56</f>
        <v>7.1742721991253117E-2</v>
      </c>
      <c r="H56" s="1">
        <f>IF(B56&gt;64, Summary!$J$16, 0)*'TV 15'!G56*'TV 15'!F56</f>
        <v>406.7216199681111</v>
      </c>
      <c r="I56" s="1"/>
    </row>
    <row r="57" spans="1:9">
      <c r="A57" s="1">
        <f t="shared" si="5"/>
        <v>2074</v>
      </c>
      <c r="B57" s="1">
        <f t="shared" si="1"/>
        <v>99</v>
      </c>
      <c r="C57" s="1">
        <v>55</v>
      </c>
      <c r="D57" s="1">
        <f>IF(Summary!$G$16="M",VLOOKUP(B:B,'male g'!A:V,IF(A57&gt;2033,22,MATCH(A57,'male g'!$A$1:$V$1,0)),FALSE),VLOOKUP(B:B,'female g'!A:V,IF(A57&gt;2033,22,MATCH(A57,'female g'!$A$1:$V$1,0)),FALSE))</f>
        <v>0.26102364427750568</v>
      </c>
      <c r="E57" s="1">
        <f t="shared" si="2"/>
        <v>0.73897635572249432</v>
      </c>
      <c r="F57" s="1">
        <f t="shared" si="3"/>
        <v>0.7582628039235777</v>
      </c>
      <c r="G57" s="1">
        <f>1/(1+Summary!$O$2)^$C57</f>
        <v>6.8326401896431521E-2</v>
      </c>
      <c r="H57" s="1">
        <f>IF(B57&gt;64, Summary!$J$16, 0)*'TV 15'!G57*'TV 15'!F57</f>
        <v>378.09722270841553</v>
      </c>
      <c r="I57" s="1"/>
    </row>
    <row r="58" spans="1:9">
      <c r="A58" s="1">
        <f t="shared" si="5"/>
        <v>2075</v>
      </c>
      <c r="B58" s="1">
        <f t="shared" si="1"/>
        <v>100</v>
      </c>
      <c r="C58" s="1">
        <v>56</v>
      </c>
      <c r="D58" s="1">
        <f>IF(Summary!$G$16="M",VLOOKUP(B:B,'male g'!A:V,IF(A58&gt;2033,22,MATCH(A58,'male g'!$A$1:$V$1,0)),FALSE),VLOOKUP(B:B,'female g'!A:V,IF(A58&gt;2033,22,MATCH(A58,'female g'!$A$1:$V$1,0)),FALSE))</f>
        <v>0.2809127683704345</v>
      </c>
      <c r="E58" s="1">
        <f t="shared" si="2"/>
        <v>0.71908723162956556</v>
      </c>
      <c r="F58" s="1">
        <f t="shared" si="3"/>
        <v>0.73897635572249432</v>
      </c>
      <c r="G58" s="1">
        <f>1/(1+Summary!$O$2)^$C58</f>
        <v>6.5072763710887174E-2</v>
      </c>
      <c r="H58" s="1">
        <f>IF(B58&gt;64, Summary!$J$16, 0)*'TV 15'!G58*'TV 15'!F58</f>
        <v>350.93362190786644</v>
      </c>
      <c r="I58" s="1"/>
    </row>
    <row r="59" spans="1:9">
      <c r="A59" s="1">
        <f t="shared" si="5"/>
        <v>2076</v>
      </c>
      <c r="B59" s="1">
        <f t="shared" si="1"/>
        <v>101</v>
      </c>
      <c r="C59" s="1">
        <v>57</v>
      </c>
      <c r="D59" s="1">
        <f>IF(Summary!$G$16="M",VLOOKUP(B:B,'male g'!A:V,IF(A59&gt;2033,22,MATCH(A59,'male g'!$A$1:$V$1,0)),FALSE),VLOOKUP(B:B,'female g'!A:V,IF(A59&gt;2033,22,MATCH(A59,'female g'!$A$1:$V$1,0)),FALSE))</f>
        <v>0.30146810411089092</v>
      </c>
      <c r="E59" s="1">
        <f t="shared" si="2"/>
        <v>0.69853189588910913</v>
      </c>
      <c r="F59" s="1">
        <f t="shared" si="3"/>
        <v>0.71908723162956556</v>
      </c>
      <c r="G59" s="1">
        <f>1/(1+Summary!$O$2)^$C59</f>
        <v>6.1974060677035397E-2</v>
      </c>
      <c r="H59" s="1">
        <f>IF(B59&gt;64, Summary!$J$16, 0)*'TV 15'!G59*'TV 15'!F59</f>
        <v>325.22709054839186</v>
      </c>
      <c r="I59" s="1"/>
    </row>
    <row r="60" spans="1:9">
      <c r="A60" s="1">
        <f t="shared" si="5"/>
        <v>2077</v>
      </c>
      <c r="B60" s="1">
        <f t="shared" si="1"/>
        <v>102</v>
      </c>
      <c r="C60" s="1">
        <v>58</v>
      </c>
      <c r="D60" s="1">
        <f>IF(Summary!$G$16="M",VLOOKUP(B:B,'male g'!A:V,IF(A60&gt;2033,22,MATCH(A60,'male g'!$A$1:$V$1,0)),FALSE),VLOOKUP(B:B,'female g'!A:V,IF(A60&gt;2033,22,MATCH(A60,'female g'!$A$1:$V$1,0)),FALSE))</f>
        <v>0.32206565548145499</v>
      </c>
      <c r="E60" s="1">
        <f t="shared" si="2"/>
        <v>0.67793434451854506</v>
      </c>
      <c r="F60" s="1">
        <f t="shared" si="3"/>
        <v>0.69853189588910913</v>
      </c>
      <c r="G60" s="1">
        <f>1/(1+Summary!$O$2)^$C60</f>
        <v>5.9022914930509894E-2</v>
      </c>
      <c r="H60" s="1">
        <f>IF(B60&gt;64, Summary!$J$16, 0)*'TV 15'!G60*'TV 15'!F60</f>
        <v>300.88606799674272</v>
      </c>
      <c r="I60" s="1"/>
    </row>
    <row r="61" spans="1:9">
      <c r="A61" s="1">
        <f t="shared" si="5"/>
        <v>2078</v>
      </c>
      <c r="B61" s="1">
        <f t="shared" si="1"/>
        <v>103</v>
      </c>
      <c r="C61" s="1">
        <v>59</v>
      </c>
      <c r="D61" s="1">
        <f>IF(Summary!$G$16="M",VLOOKUP(B:B,'male g'!A:V,IF(A61&gt;2033,22,MATCH(A61,'male g'!$A$1:$V$1,0)),FALSE),VLOOKUP(B:B,'female g'!A:V,IF(A61&gt;2033,22,MATCH(A61,'female g'!$A$1:$V$1,0)),FALSE))</f>
        <v>0.3427697952313476</v>
      </c>
      <c r="E61" s="1">
        <f t="shared" si="2"/>
        <v>0.65723020476865246</v>
      </c>
      <c r="F61" s="1">
        <f t="shared" si="3"/>
        <v>0.67793434451854506</v>
      </c>
      <c r="G61" s="1">
        <f>1/(1+Summary!$O$2)^$C61</f>
        <v>5.6212299933818946E-2</v>
      </c>
      <c r="H61" s="1">
        <f>IF(B61&gt;64, Summary!$J$16, 0)*'TV 15'!G61*'TV 15'!F61</f>
        <v>278.1084435903511</v>
      </c>
      <c r="I61" s="1"/>
    </row>
    <row r="62" spans="1:9">
      <c r="A62" s="1">
        <f t="shared" si="5"/>
        <v>2079</v>
      </c>
      <c r="B62" s="1">
        <f t="shared" si="1"/>
        <v>104</v>
      </c>
      <c r="C62" s="1">
        <v>60</v>
      </c>
      <c r="D62" s="1">
        <f>IF(Summary!$G$16="M",VLOOKUP(B:B,'male g'!A:V,IF(A62&gt;2033,22,MATCH(A62,'male g'!$A$1:$V$1,0)),FALSE),VLOOKUP(B:B,'female g'!A:V,IF(A62&gt;2033,22,MATCH(A62,'female g'!$A$1:$V$1,0)),FALSE))</f>
        <v>0.36312182573243618</v>
      </c>
      <c r="E62" s="1">
        <f t="shared" si="2"/>
        <v>0.63687817426756377</v>
      </c>
      <c r="F62" s="1">
        <f t="shared" si="3"/>
        <v>0.65723020476865246</v>
      </c>
      <c r="G62" s="1">
        <f>1/(1+Summary!$O$2)^$C62</f>
        <v>5.3535523746494243E-2</v>
      </c>
      <c r="H62" s="1">
        <f>IF(B62&gt;64, Summary!$J$16, 0)*'TV 15'!G62*'TV 15'!F62</f>
        <v>256.77619192514408</v>
      </c>
      <c r="I62" s="1"/>
    </row>
    <row r="63" spans="1:9">
      <c r="A63" s="1">
        <f t="shared" si="5"/>
        <v>2080</v>
      </c>
      <c r="B63" s="1">
        <f t="shared" si="1"/>
        <v>105</v>
      </c>
      <c r="C63" s="1">
        <v>61</v>
      </c>
      <c r="D63" s="1">
        <f>IF(Summary!$G$16="M",VLOOKUP(B:B,'male g'!A:V,IF(A63&gt;2033,22,MATCH(A63,'male g'!$A$1:$V$1,0)),FALSE),VLOOKUP(B:B,'female g'!A:V,IF(A63&gt;2033,22,MATCH(A63,'female g'!$A$1:$V$1,0)),FALSE))</f>
        <v>0.38340857179772014</v>
      </c>
      <c r="E63" s="1">
        <f t="shared" si="2"/>
        <v>0.61659142820227986</v>
      </c>
      <c r="F63" s="1">
        <f t="shared" si="3"/>
        <v>0.63687817426756377</v>
      </c>
      <c r="G63" s="1">
        <f>1/(1+Summary!$O$2)^$C63</f>
        <v>5.0986213091899268E-2</v>
      </c>
      <c r="H63" s="1">
        <f>IF(B63&gt;64, Summary!$J$16, 0)*'TV 15'!G63*'TV 15'!F63</f>
        <v>236.97596819718996</v>
      </c>
      <c r="I63" s="1"/>
    </row>
    <row r="64" spans="1:9">
      <c r="A64" s="1">
        <f t="shared" si="5"/>
        <v>2081</v>
      </c>
      <c r="B64" s="1">
        <f t="shared" si="1"/>
        <v>106</v>
      </c>
      <c r="C64" s="1">
        <v>62</v>
      </c>
      <c r="D64" s="1">
        <f>IF(Summary!$G$16="M",VLOOKUP(B:B,'male g'!A:V,IF(A64&gt;2033,22,MATCH(A64,'male g'!$A$1:$V$1,0)),FALSE),VLOOKUP(B:B,'female g'!A:V,IF(A64&gt;2033,22,MATCH(A64,'female g'!$A$1:$V$1,0)),FALSE))</f>
        <v>0.4032562438470747</v>
      </c>
      <c r="E64" s="1">
        <f t="shared" si="2"/>
        <v>0.5967437561529253</v>
      </c>
      <c r="F64" s="1">
        <f t="shared" si="3"/>
        <v>0.61659142820227986</v>
      </c>
      <c r="G64" s="1">
        <f>1/(1+Summary!$O$2)^$C64</f>
        <v>4.855829818276123E-2</v>
      </c>
      <c r="H64" s="1">
        <f>IF(B64&gt;64, Summary!$J$16, 0)*'TV 15'!G64*'TV 15'!F64</f>
        <v>218.5023560594569</v>
      </c>
      <c r="I64" s="1"/>
    </row>
    <row r="65" spans="1:9">
      <c r="A65" s="1">
        <f t="shared" si="5"/>
        <v>2082</v>
      </c>
      <c r="B65" s="1">
        <f t="shared" si="1"/>
        <v>107</v>
      </c>
      <c r="C65" s="1">
        <v>63</v>
      </c>
      <c r="D65" s="1">
        <f>IF(Summary!$G$16="M",VLOOKUP(B:B,'male g'!A:V,IF(A65&gt;2033,22,MATCH(A65,'male g'!$A$1:$V$1,0)),FALSE),VLOOKUP(B:B,'female g'!A:V,IF(A65&gt;2033,22,MATCH(A65,'female g'!$A$1:$V$1,0)),FALSE))</f>
        <v>0.42246723803499708</v>
      </c>
      <c r="E65" s="1">
        <f t="shared" si="2"/>
        <v>0.57753276196500292</v>
      </c>
      <c r="F65" s="1">
        <f t="shared" si="3"/>
        <v>0.5967437561529253</v>
      </c>
      <c r="G65" s="1">
        <f>1/(1+Summary!$O$2)^$C65</f>
        <v>4.6245998269296387E-2</v>
      </c>
      <c r="H65" s="1">
        <f>IF(B65&gt;64, Summary!$J$16, 0)*'TV 15'!G65*'TV 15'!F65</f>
        <v>201.39896104891196</v>
      </c>
      <c r="I65" s="1"/>
    </row>
    <row r="66" spans="1:9">
      <c r="A66" s="1">
        <f t="shared" si="5"/>
        <v>2083</v>
      </c>
      <c r="B66" s="1">
        <f t="shared" si="1"/>
        <v>108</v>
      </c>
      <c r="C66" s="1">
        <v>64</v>
      </c>
      <c r="D66" s="1">
        <f>IF(Summary!$G$16="M",VLOOKUP(B:B,'male g'!A:V,IF(A66&gt;2033,22,MATCH(A66,'male g'!$A$1:$V$1,0)),FALSE),VLOOKUP(B:B,'female g'!A:V,IF(A66&gt;2033,22,MATCH(A66,'female g'!$A$1:$V$1,0)),FALSE))</f>
        <v>0.44119749280646176</v>
      </c>
      <c r="E66" s="1">
        <f t="shared" si="2"/>
        <v>0.5588025071935383</v>
      </c>
      <c r="F66" s="1">
        <f t="shared" si="3"/>
        <v>0.57753276196500292</v>
      </c>
      <c r="G66" s="1">
        <f>1/(1+Summary!$O$2)^$C66</f>
        <v>4.4043807875520369E-2</v>
      </c>
      <c r="H66" s="1">
        <f>IF(B66&gt;64, Summary!$J$16, 0)*'TV 15'!G66*'TV 15'!F66</f>
        <v>185.63363497179611</v>
      </c>
      <c r="I66" s="1"/>
    </row>
    <row r="67" spans="1:9">
      <c r="A67" s="1">
        <f t="shared" si="5"/>
        <v>2084</v>
      </c>
      <c r="B67" s="1">
        <f t="shared" si="1"/>
        <v>109</v>
      </c>
      <c r="C67" s="1">
        <v>65</v>
      </c>
      <c r="D67" s="1">
        <f>IF(Summary!$G$16="M",VLOOKUP(B:B,'male g'!A:V,IF(A67&gt;2033,22,MATCH(A67,'male g'!$A$1:$V$1,0)),FALSE),VLOOKUP(B:B,'female g'!A:V,IF(A67&gt;2033,22,MATCH(A67,'female g'!$A$1:$V$1,0)),FALSE))</f>
        <v>0.45907299166148602</v>
      </c>
      <c r="E67" s="1">
        <f t="shared" si="2"/>
        <v>0.54092700833851404</v>
      </c>
      <c r="F67" s="1">
        <f t="shared" si="3"/>
        <v>0.5588025071935383</v>
      </c>
      <c r="G67" s="1">
        <f>1/(1+Summary!$O$2)^$C67</f>
        <v>4.1946483690971779E-2</v>
      </c>
      <c r="H67" s="1">
        <f>IF(B67&gt;64, Summary!$J$16, 0)*'TV 15'!G67*'TV 15'!F67</f>
        <v>171.06024515924335</v>
      </c>
      <c r="I67" s="1"/>
    </row>
    <row r="68" spans="1:9">
      <c r="A68" s="1">
        <f t="shared" si="5"/>
        <v>2085</v>
      </c>
      <c r="B68" s="1">
        <f t="shared" ref="B68:B73" si="6">$B$2+C68</f>
        <v>110</v>
      </c>
      <c r="C68" s="1">
        <v>66</v>
      </c>
      <c r="D68" s="1">
        <f>IF(Summary!$G$16="M",VLOOKUP(B:B,'male g'!A:V,IF(A68&gt;2033,22,MATCH(A68,'male g'!$A$1:$V$1,0)),FALSE),VLOOKUP(B:B,'female g'!A:V,IF(A68&gt;2033,22,MATCH(A68,'female g'!$A$1:$V$1,0)),FALSE))</f>
        <v>0.47644967979565578</v>
      </c>
      <c r="E68" s="1">
        <f t="shared" ref="E68:E78" si="7">1-D68</f>
        <v>0.52355032020434422</v>
      </c>
      <c r="F68" s="1">
        <f t="shared" ref="F68:F78" si="8">E67</f>
        <v>0.54092700833851404</v>
      </c>
      <c r="G68" s="1">
        <f>1/(1+Summary!$O$2)^$C68</f>
        <v>3.9949032086639788E-2</v>
      </c>
      <c r="H68" s="1">
        <f>IF(B68&gt;64, Summary!$J$16, 0)*'TV 15'!G68*'TV 15'!F68</f>
        <v>157.70305671669439</v>
      </c>
      <c r="I68" s="1"/>
    </row>
    <row r="69" spans="1:9">
      <c r="A69" s="1">
        <f t="shared" si="5"/>
        <v>2086</v>
      </c>
      <c r="B69" s="1">
        <f t="shared" si="6"/>
        <v>111</v>
      </c>
      <c r="C69" s="1">
        <v>67</v>
      </c>
      <c r="D69" s="1">
        <f>IF(Summary!$G$16="M",VLOOKUP(B:B,'male g'!A:V,IF(A69&gt;2033,22,MATCH(A69,'male g'!$A$1:$V$1,0)),FALSE),VLOOKUP(B:B,'female g'!A:V,IF(A69&gt;2033,22,MATCH(A69,'female g'!$A$1:$V$1,0)),FALSE))</f>
        <v>0.48540620500607778</v>
      </c>
      <c r="E69" s="1">
        <f t="shared" si="7"/>
        <v>0.51459379499392222</v>
      </c>
      <c r="F69" s="1">
        <f t="shared" si="8"/>
        <v>0.52355032020434422</v>
      </c>
      <c r="G69" s="1">
        <f>1/(1+Summary!$O$2)^$C69</f>
        <v>3.8046697225371226E-2</v>
      </c>
      <c r="H69" s="1">
        <f>IF(B69&gt;64, Summary!$J$16, 0)*'TV 15'!G69*'TV 15'!F69</f>
        <v>145.36858915733157</v>
      </c>
      <c r="I69" s="1"/>
    </row>
    <row r="70" spans="1:9">
      <c r="A70" s="1">
        <f t="shared" si="5"/>
        <v>2087</v>
      </c>
      <c r="B70" s="1">
        <f t="shared" si="6"/>
        <v>112</v>
      </c>
      <c r="C70" s="1">
        <v>68</v>
      </c>
      <c r="D70" s="1">
        <f>IF(Summary!$G$16="M",VLOOKUP(B:B,'male g'!A:V,IF(A70&gt;2033,22,MATCH(A70,'male g'!$A$1:$V$1,0)),FALSE),VLOOKUP(B:B,'female g'!A:V,IF(A70&gt;2033,22,MATCH(A70,'female g'!$A$1:$V$1,0)),FALSE))</f>
        <v>0.48906519527204906</v>
      </c>
      <c r="E70" s="1">
        <f t="shared" si="7"/>
        <v>0.51093480472795094</v>
      </c>
      <c r="F70" s="1">
        <f t="shared" si="8"/>
        <v>0.51459379499392222</v>
      </c>
      <c r="G70" s="1">
        <f>1/(1+Summary!$O$2)^$C70</f>
        <v>3.6234949738448791E-2</v>
      </c>
      <c r="H70" s="1">
        <f>IF(B70&gt;64, Summary!$J$16, 0)*'TV 15'!G70*'TV 15'!F70</f>
        <v>136.07783532028844</v>
      </c>
      <c r="I70" s="1"/>
    </row>
    <row r="71" spans="1:9">
      <c r="A71" s="1">
        <f t="shared" si="5"/>
        <v>2088</v>
      </c>
      <c r="B71" s="1">
        <f t="shared" si="6"/>
        <v>113</v>
      </c>
      <c r="C71" s="1">
        <v>69</v>
      </c>
      <c r="D71" s="1">
        <f>IF(Summary!$G$16="M",VLOOKUP(B:B,'male g'!A:V,IF(A71&gt;2033,22,MATCH(A71,'male g'!$A$1:$V$1,0)),FALSE),VLOOKUP(B:B,'female g'!A:V,IF(A71&gt;2033,22,MATCH(A71,'female g'!$A$1:$V$1,0)),FALSE))</f>
        <v>0.49265177497129853</v>
      </c>
      <c r="E71" s="1">
        <f t="shared" si="7"/>
        <v>0.50734822502870147</v>
      </c>
      <c r="F71" s="1">
        <f t="shared" si="8"/>
        <v>0.51093480472795094</v>
      </c>
      <c r="G71" s="1">
        <f>1/(1+Summary!$O$2)^$C71</f>
        <v>3.4509475941379798E-2</v>
      </c>
      <c r="H71" s="1">
        <f>IF(B71&gt;64, Summary!$J$16, 0)*'TV 15'!G71*'TV 15'!F71</f>
        <v>128.6764395409615</v>
      </c>
      <c r="I71" s="1"/>
    </row>
    <row r="72" spans="1:9">
      <c r="A72" s="1">
        <f t="shared" si="5"/>
        <v>2089</v>
      </c>
      <c r="B72" s="1">
        <f t="shared" si="6"/>
        <v>114</v>
      </c>
      <c r="C72" s="1">
        <v>70</v>
      </c>
      <c r="D72" s="1">
        <f>IF(Summary!$G$16="M",VLOOKUP(B:B,'male g'!A:V,IF(A72&gt;2033,22,MATCH(A72,'male g'!$A$1:$V$1,0)),FALSE),VLOOKUP(B:B,'female g'!A:V,IF(A72&gt;2033,22,MATCH(A72,'female g'!$A$1:$V$1,0)),FALSE))</f>
        <v>0.49631296624312721</v>
      </c>
      <c r="E72" s="1">
        <f t="shared" si="7"/>
        <v>0.50368703375687285</v>
      </c>
      <c r="F72" s="1">
        <f t="shared" si="8"/>
        <v>0.50734822502870147</v>
      </c>
      <c r="G72" s="1">
        <f>1/(1+Summary!$O$2)^$C72</f>
        <v>3.2866167563218862E-2</v>
      </c>
      <c r="H72" s="1">
        <f>IF(B72&gt;64, Summary!$J$16, 0)*'TV 15'!G72*'TV 15'!F72</f>
        <v>121.68873993318492</v>
      </c>
      <c r="I72" s="1"/>
    </row>
    <row r="73" spans="1:9">
      <c r="A73" s="1">
        <f t="shared" si="5"/>
        <v>2090</v>
      </c>
      <c r="B73" s="1">
        <f t="shared" si="6"/>
        <v>115</v>
      </c>
      <c r="C73" s="1">
        <v>71</v>
      </c>
      <c r="D73" s="1">
        <f>IF(Summary!$G$16="M",VLOOKUP(B:B,'male g'!A:V,IF(A73&gt;2033,22,MATCH(A73,'male g'!$A$1:$V$1,0)),FALSE),VLOOKUP(B:B,'female g'!A:V,IF(A73&gt;2033,22,MATCH(A73,'female g'!$A$1:$V$1,0)),FALSE))</f>
        <v>0.5</v>
      </c>
      <c r="E73" s="1">
        <f t="shared" si="7"/>
        <v>0.5</v>
      </c>
      <c r="F73" s="1">
        <f t="shared" si="8"/>
        <v>0.50368703375687285</v>
      </c>
      <c r="G73" s="1">
        <f>1/(1+Summary!$O$2)^$C73</f>
        <v>3.1301111964970339E-2</v>
      </c>
      <c r="H73" s="1">
        <f>IF(B73&gt;64, Summary!$J$16, 0)*'TV 15'!G73*'TV 15'!F73</f>
        <v>115.0577086239788</v>
      </c>
      <c r="I73" s="1"/>
    </row>
    <row r="74" spans="1:9">
      <c r="A74" s="1">
        <f>$A$2+C74</f>
        <v>2091</v>
      </c>
      <c r="B74" s="1">
        <f>$B$2+C74</f>
        <v>116</v>
      </c>
      <c r="C74" s="1">
        <v>72</v>
      </c>
      <c r="D74" s="1">
        <f>IF(Summary!$G$16="M",VLOOKUP(B:B,'male g'!A:V,IF(A74&gt;2033,22,MATCH(A74,'male g'!$A$1:$V$1,0)),FALSE),VLOOKUP(B:B,'female g'!A:V,IF(A74&gt;2033,22,MATCH(A74,'female g'!$A$1:$V$1,0)),FALSE))</f>
        <v>0.5</v>
      </c>
      <c r="E74" s="1">
        <f t="shared" si="7"/>
        <v>0.5</v>
      </c>
      <c r="F74" s="1">
        <f t="shared" si="8"/>
        <v>0.5</v>
      </c>
      <c r="G74" s="1">
        <f>1/(1+Summary!$O$2)^$C74</f>
        <v>2.9810582823781274E-2</v>
      </c>
      <c r="H74" s="1">
        <f>IF(B74&gt;64, Summary!$J$16, 0)*'TV 15'!G74*'TV 15'!F74</f>
        <v>108.77664380275486</v>
      </c>
      <c r="I74" s="1"/>
    </row>
    <row r="75" spans="1:9">
      <c r="A75" s="1">
        <f>$A$2+C75</f>
        <v>2092</v>
      </c>
      <c r="B75" s="1">
        <f>$B$2+C75</f>
        <v>117</v>
      </c>
      <c r="C75" s="1">
        <v>73</v>
      </c>
      <c r="D75" s="1">
        <f>IF(Summary!$G$16="M",VLOOKUP(B:B,'male g'!A:V,IF(A75&gt;2033,22,MATCH(A75,'male g'!$A$1:$V$1,0)),FALSE),VLOOKUP(B:B,'female g'!A:V,IF(A75&gt;2033,22,MATCH(A75,'female g'!$A$1:$V$1,0)),FALSE))</f>
        <v>0.5</v>
      </c>
      <c r="E75" s="1">
        <f t="shared" si="7"/>
        <v>0.5</v>
      </c>
      <c r="F75" s="1">
        <f t="shared" si="8"/>
        <v>0.5</v>
      </c>
      <c r="G75" s="1">
        <f>1/(1+Summary!$O$2)^$C75</f>
        <v>2.8391031260744073E-2</v>
      </c>
      <c r="H75" s="1">
        <f>IF(B75&gt;64, Summary!$J$16, 0)*'TV 15'!G75*'TV 15'!F75</f>
        <v>103.5968036216713</v>
      </c>
      <c r="I75" s="1"/>
    </row>
    <row r="76" spans="1:9">
      <c r="A76" s="1">
        <f>$A$2+C76</f>
        <v>2093</v>
      </c>
      <c r="B76" s="1">
        <f>$B$2+C76</f>
        <v>118</v>
      </c>
      <c r="C76" s="1">
        <v>74</v>
      </c>
      <c r="D76" s="1">
        <f>IF(Summary!$G$16="M",VLOOKUP(B:B,'male g'!A:V,IF(A76&gt;2033,22,MATCH(A76,'male g'!$A$1:$V$1,0)),FALSE),VLOOKUP(B:B,'female g'!A:V,IF(A76&gt;2033,22,MATCH(A76,'female g'!$A$1:$V$1,0)),FALSE))</f>
        <v>0.5</v>
      </c>
      <c r="E76" s="1">
        <f t="shared" si="7"/>
        <v>0.5</v>
      </c>
      <c r="F76" s="1">
        <f t="shared" si="8"/>
        <v>0.5</v>
      </c>
      <c r="G76" s="1">
        <f>1/(1+Summary!$O$2)^$C76</f>
        <v>2.7039077391184833E-2</v>
      </c>
      <c r="H76" s="1">
        <f>IF(B76&gt;64, Summary!$J$16, 0)*'TV 15'!G76*'TV 15'!F76</f>
        <v>98.663622496829817</v>
      </c>
      <c r="I76" s="1"/>
    </row>
    <row r="77" spans="1:9">
      <c r="A77" s="1">
        <f>$A$2+C77</f>
        <v>2094</v>
      </c>
      <c r="B77" s="1">
        <f>$B$2+C77</f>
        <v>119</v>
      </c>
      <c r="C77" s="1">
        <v>75</v>
      </c>
      <c r="D77" s="1">
        <f>IF(Summary!$G$16="M",VLOOKUP(B:B,'male g'!A:V,IF(A77&gt;2033,22,MATCH(A77,'male g'!$A$1:$V$1,0)),FALSE),VLOOKUP(B:B,'female g'!A:V,IF(A77&gt;2033,22,MATCH(A77,'female g'!$A$1:$V$1,0)),FALSE))</f>
        <v>0.5</v>
      </c>
      <c r="E77" s="1">
        <f t="shared" si="7"/>
        <v>0.5</v>
      </c>
      <c r="F77" s="1">
        <f t="shared" si="8"/>
        <v>0.5</v>
      </c>
      <c r="G77" s="1">
        <f>1/(1+Summary!$O$2)^$C77</f>
        <v>2.5751502277318886E-2</v>
      </c>
      <c r="H77" s="1">
        <f>IF(B77&gt;64, Summary!$J$16, 0)*'TV 15'!G77*'TV 15'!F77</f>
        <v>93.965354758885525</v>
      </c>
      <c r="I77" s="1"/>
    </row>
    <row r="78" spans="1:9">
      <c r="A78" s="1">
        <f>$A$2+C78</f>
        <v>2095</v>
      </c>
      <c r="B78" s="1">
        <f>$B$2+C78</f>
        <v>120</v>
      </c>
      <c r="C78" s="1">
        <v>76</v>
      </c>
      <c r="D78" s="1">
        <f>IF(Summary!$G$16="M",VLOOKUP(B:B,'male g'!A:V,IF(A78&gt;2033,22,MATCH(A78,'male g'!$A$1:$V$1,0)),FALSE),VLOOKUP(B:B,'female g'!A:V,IF(A78&gt;2033,22,MATCH(A78,'female g'!$A$1:$V$1,0)),FALSE))</f>
        <v>1</v>
      </c>
      <c r="E78" s="1">
        <f t="shared" si="7"/>
        <v>0</v>
      </c>
      <c r="F78" s="1">
        <f t="shared" si="8"/>
        <v>0.5</v>
      </c>
      <c r="G78" s="1">
        <f>1/(1+Summary!$O$2)^$C78</f>
        <v>2.4525240264113228E-2</v>
      </c>
      <c r="H78" s="1">
        <f>IF(B78&gt;64, Summary!$J$16, 0)*'TV 15'!G78*'TV 15'!F78</f>
        <v>89.490814056081476</v>
      </c>
      <c r="I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98"/>
  <sheetViews>
    <sheetView workbookViewId="0">
      <selection activeCell="D2" sqref="D2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Summary!H17</f>
        <v>49</v>
      </c>
      <c r="C2" s="1">
        <v>0</v>
      </c>
      <c r="D2" s="1">
        <f>IF(Summary!$G$17="M",VLOOKUP(B:B,'male g'!A:V,IF(A2&gt;2033,22,MATCH(A2,'male g'!$A$1:$V$1,0)),FALSE),VLOOKUP(B:B,'female g'!A:V,IF(A2&gt;2033,22,MATCH(A2,'female g'!$A$1:$V$1,0)),FALSE))</f>
        <v>9.776959999999999E-4</v>
      </c>
      <c r="E2" s="1">
        <f>1-D2</f>
        <v>0.99902230400000003</v>
      </c>
      <c r="F2" s="1">
        <v>1</v>
      </c>
      <c r="G2" s="1">
        <f>1/(1+Summary!$O$2)^$C2</f>
        <v>1</v>
      </c>
      <c r="H2" s="1">
        <f>IF(B2&gt;64, Summary!$J$17, 0)*'TV 16'!G2*'TV 16'!F2</f>
        <v>0</v>
      </c>
      <c r="I2" s="1">
        <f>SUM(H2:H73)</f>
        <v>77437.794086957583</v>
      </c>
    </row>
    <row r="3" spans="1:9">
      <c r="A3" s="1">
        <f>$A$2+C3</f>
        <v>2020</v>
      </c>
      <c r="B3" s="1">
        <f>$B$2+C3</f>
        <v>50</v>
      </c>
      <c r="C3" s="1">
        <v>1</v>
      </c>
      <c r="D3" s="1">
        <f>IF(Summary!$G$17="M",VLOOKUP(B:B,'male g'!A:V,IF(A3&gt;2033,22,MATCH(A3,'male g'!$A$1:$V$1,0)),FALSE),VLOOKUP(B:B,'female g'!A:V,IF(A3&gt;2033,22,MATCH(A3,'female g'!$A$1:$V$1,0)),FALSE))</f>
        <v>2.6962610000000001E-3</v>
      </c>
      <c r="E3" s="1">
        <f>1-D3</f>
        <v>0.99730373900000002</v>
      </c>
      <c r="F3" s="1">
        <f>E2</f>
        <v>0.99902230400000003</v>
      </c>
      <c r="G3" s="1">
        <f>1/(1+Summary!$O$2)^$C3</f>
        <v>0.95238095238095233</v>
      </c>
      <c r="H3" s="1">
        <f>IF(B3&gt;64, Summary!$J$17, 0)*'TV 16'!G3*'TV 16'!F3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51</v>
      </c>
      <c r="C4" s="1">
        <v>2</v>
      </c>
      <c r="D4" s="1">
        <f>IF(Summary!$G$17="M",VLOOKUP(B:B,'male g'!A:V,IF(A4&gt;2033,22,MATCH(A4,'male g'!$A$1:$V$1,0)),FALSE),VLOOKUP(B:B,'female g'!A:V,IF(A4&gt;2033,22,MATCH(A4,'female g'!$A$1:$V$1,0)),FALSE))</f>
        <v>2.8265920000000002E-3</v>
      </c>
      <c r="E4" s="1">
        <f t="shared" ref="E4:E67" si="2">1-D4</f>
        <v>0.99717340799999998</v>
      </c>
      <c r="F4" s="1">
        <f t="shared" ref="F4:F67" si="3">E3</f>
        <v>0.99730373900000002</v>
      </c>
      <c r="G4" s="1">
        <f>1/(1+Summary!$O$2)^$C4</f>
        <v>0.90702947845804982</v>
      </c>
      <c r="H4" s="1">
        <f>IF(B4&gt;64, Summary!$J$17, 0)*'TV 16'!G4*'TV 16'!F4</f>
        <v>0</v>
      </c>
      <c r="I4" s="1"/>
    </row>
    <row r="5" spans="1:9">
      <c r="A5" s="1">
        <f t="shared" si="0"/>
        <v>2022</v>
      </c>
      <c r="B5" s="1">
        <f t="shared" si="1"/>
        <v>52</v>
      </c>
      <c r="C5" s="1">
        <v>3</v>
      </c>
      <c r="D5" s="1">
        <f>IF(Summary!$G$17="M",VLOOKUP(B:B,'male g'!A:V,IF(A5&gt;2033,22,MATCH(A5,'male g'!$A$1:$V$1,0)),FALSE),VLOOKUP(B:B,'female g'!A:V,IF(A5&gt;2033,22,MATCH(A5,'female g'!$A$1:$V$1,0)),FALSE))</f>
        <v>2.9762410000000001E-3</v>
      </c>
      <c r="E5" s="1">
        <f t="shared" si="2"/>
        <v>0.99702375899999995</v>
      </c>
      <c r="F5" s="1">
        <f t="shared" si="3"/>
        <v>0.99717340799999998</v>
      </c>
      <c r="G5" s="1">
        <f>1/(1+Summary!$O$2)^$C5</f>
        <v>0.86383759853147601</v>
      </c>
      <c r="H5" s="1">
        <f>IF(B5&gt;64, Summary!$J$17, 0)*'TV 16'!G5*'TV 16'!F5</f>
        <v>0</v>
      </c>
      <c r="I5" s="1"/>
    </row>
    <row r="6" spans="1:9">
      <c r="A6" s="1">
        <f t="shared" si="0"/>
        <v>2023</v>
      </c>
      <c r="B6" s="1">
        <f t="shared" si="1"/>
        <v>53</v>
      </c>
      <c r="C6" s="1">
        <v>4</v>
      </c>
      <c r="D6" s="1">
        <f>IF(Summary!$G$17="M",VLOOKUP(B:B,'male g'!A:V,IF(A6&gt;2033,22,MATCH(A6,'male g'!$A$1:$V$1,0)),FALSE),VLOOKUP(B:B,'female g'!A:V,IF(A6&gt;2033,22,MATCH(A6,'female g'!$A$1:$V$1,0)),FALSE))</f>
        <v>3.1447369999999999E-3</v>
      </c>
      <c r="E6" s="1">
        <f t="shared" si="2"/>
        <v>0.99685526300000005</v>
      </c>
      <c r="F6" s="1">
        <f t="shared" si="3"/>
        <v>0.99702375899999995</v>
      </c>
      <c r="G6" s="1">
        <f>1/(1+Summary!$O$2)^$C6</f>
        <v>0.82270247479188197</v>
      </c>
      <c r="H6" s="1">
        <f>IF(B6&gt;64, Summary!$J$17, 0)*'TV 16'!G6*'TV 16'!F6</f>
        <v>0</v>
      </c>
      <c r="I6" s="1"/>
    </row>
    <row r="7" spans="1:9">
      <c r="A7" s="1">
        <f t="shared" si="0"/>
        <v>2024</v>
      </c>
      <c r="B7" s="1">
        <f t="shared" si="1"/>
        <v>54</v>
      </c>
      <c r="C7" s="1">
        <v>5</v>
      </c>
      <c r="D7" s="1">
        <f>IF(Summary!$G$17="M",VLOOKUP(B:B,'male g'!A:V,IF(A7&gt;2033,22,MATCH(A7,'male g'!$A$1:$V$1,0)),FALSE),VLOOKUP(B:B,'female g'!A:V,IF(A7&gt;2033,22,MATCH(A7,'female g'!$A$1:$V$1,0)),FALSE))</f>
        <v>3.3325659999999999E-3</v>
      </c>
      <c r="E7" s="1">
        <f t="shared" si="2"/>
        <v>0.99666743400000002</v>
      </c>
      <c r="F7" s="1">
        <f t="shared" si="3"/>
        <v>0.99685526300000005</v>
      </c>
      <c r="G7" s="1">
        <f>1/(1+Summary!$O$2)^$C7</f>
        <v>0.78352616646845896</v>
      </c>
      <c r="H7" s="1">
        <f>IF(B7&gt;64, Summary!$J$17, 0)*'TV 16'!G7*'TV 16'!F7</f>
        <v>0</v>
      </c>
      <c r="I7" s="1"/>
    </row>
    <row r="8" spans="1:9">
      <c r="A8" s="1">
        <f t="shared" si="0"/>
        <v>2025</v>
      </c>
      <c r="B8" s="1">
        <f t="shared" si="1"/>
        <v>55</v>
      </c>
      <c r="C8" s="1">
        <v>6</v>
      </c>
      <c r="D8" s="1">
        <f>IF(Summary!$G$17="M",VLOOKUP(B:B,'male g'!A:V,IF(A8&gt;2033,22,MATCH(A8,'male g'!$A$1:$V$1,0)),FALSE),VLOOKUP(B:B,'female g'!A:V,IF(A8&gt;2033,22,MATCH(A8,'female g'!$A$1:$V$1,0)),FALSE))</f>
        <v>3.5437979999999999E-3</v>
      </c>
      <c r="E8" s="1">
        <f t="shared" si="2"/>
        <v>0.99645620199999996</v>
      </c>
      <c r="F8" s="1">
        <f t="shared" si="3"/>
        <v>0.99666743400000002</v>
      </c>
      <c r="G8" s="1">
        <f>1/(1+Summary!$O$2)^$C8</f>
        <v>0.74621539663662761</v>
      </c>
      <c r="H8" s="1">
        <f>IF(B8&gt;64, Summary!$J$17, 0)*'TV 16'!G8*'TV 16'!F8</f>
        <v>0</v>
      </c>
      <c r="I8" s="1"/>
    </row>
    <row r="9" spans="1:9">
      <c r="A9" s="1">
        <f t="shared" si="0"/>
        <v>2026</v>
      </c>
      <c r="B9" s="1">
        <f t="shared" si="1"/>
        <v>56</v>
      </c>
      <c r="C9" s="1">
        <v>7</v>
      </c>
      <c r="D9" s="1">
        <f>IF(Summary!$G$17="M",VLOOKUP(B:B,'male g'!A:V,IF(A9&gt;2033,22,MATCH(A9,'male g'!$A$1:$V$1,0)),FALSE),VLOOKUP(B:B,'female g'!A:V,IF(A9&gt;2033,22,MATCH(A9,'female g'!$A$1:$V$1,0)),FALSE))</f>
        <v>3.7789210000000002E-3</v>
      </c>
      <c r="E9" s="1">
        <f t="shared" si="2"/>
        <v>0.99622107900000001</v>
      </c>
      <c r="F9" s="1">
        <f t="shared" si="3"/>
        <v>0.99645620199999996</v>
      </c>
      <c r="G9" s="1">
        <f>1/(1+Summary!$O$2)^$C9</f>
        <v>0.71068133013012147</v>
      </c>
      <c r="H9" s="1">
        <f>IF(B9&gt;64, Summary!$J$17, 0)*'TV 16'!G9*'TV 16'!F9</f>
        <v>0</v>
      </c>
      <c r="I9" s="1"/>
    </row>
    <row r="10" spans="1:9">
      <c r="A10" s="1">
        <f t="shared" si="0"/>
        <v>2027</v>
      </c>
      <c r="B10" s="1">
        <f t="shared" si="1"/>
        <v>57</v>
      </c>
      <c r="C10" s="1">
        <v>8</v>
      </c>
      <c r="D10" s="1">
        <f>IF(Summary!$G$17="M",VLOOKUP(B:B,'male g'!A:V,IF(A10&gt;2033,22,MATCH(A10,'male g'!$A$1:$V$1,0)),FALSE),VLOOKUP(B:B,'female g'!A:V,IF(A10&gt;2033,22,MATCH(A10,'female g'!$A$1:$V$1,0)),FALSE))</f>
        <v>4.0422619999999996E-3</v>
      </c>
      <c r="E10" s="1">
        <f t="shared" si="2"/>
        <v>0.99595773799999998</v>
      </c>
      <c r="F10" s="1">
        <f t="shared" si="3"/>
        <v>0.99622107900000001</v>
      </c>
      <c r="G10" s="1">
        <f>1/(1+Summary!$O$2)^$C10</f>
        <v>0.67683936202868722</v>
      </c>
      <c r="H10" s="1">
        <f>IF(B10&gt;64, Summary!$J$17, 0)*'TV 16'!G10*'TV 16'!F10</f>
        <v>0</v>
      </c>
      <c r="I10" s="1"/>
    </row>
    <row r="11" spans="1:9">
      <c r="A11" s="1">
        <f t="shared" si="0"/>
        <v>2028</v>
      </c>
      <c r="B11" s="1">
        <f t="shared" si="1"/>
        <v>58</v>
      </c>
      <c r="C11" s="1">
        <v>9</v>
      </c>
      <c r="D11" s="1">
        <f>IF(Summary!$G$17="M",VLOOKUP(B:B,'male g'!A:V,IF(A11&gt;2033,22,MATCH(A11,'male g'!$A$1:$V$1,0)),FALSE),VLOOKUP(B:B,'female g'!A:V,IF(A11&gt;2033,22,MATCH(A11,'female g'!$A$1:$V$1,0)),FALSE))</f>
        <v>4.3327410000000002E-3</v>
      </c>
      <c r="E11" s="1">
        <f t="shared" si="2"/>
        <v>0.99566725899999997</v>
      </c>
      <c r="F11" s="1">
        <f t="shared" si="3"/>
        <v>0.99595773799999998</v>
      </c>
      <c r="G11" s="1">
        <f>1/(1+Summary!$O$2)^$C11</f>
        <v>0.64460891621779726</v>
      </c>
      <c r="H11" s="1">
        <f>IF(B11&gt;64, Summary!$J$17, 0)*'TV 16'!G11*'TV 16'!F11</f>
        <v>0</v>
      </c>
      <c r="I11" s="1"/>
    </row>
    <row r="12" spans="1:9">
      <c r="A12" s="1">
        <f t="shared" si="0"/>
        <v>2029</v>
      </c>
      <c r="B12" s="1">
        <f t="shared" si="1"/>
        <v>59</v>
      </c>
      <c r="C12" s="1">
        <v>10</v>
      </c>
      <c r="D12" s="1">
        <f>IF(Summary!$G$17="M",VLOOKUP(B:B,'male g'!A:V,IF(A12&gt;2033,22,MATCH(A12,'male g'!$A$1:$V$1,0)),FALSE),VLOOKUP(B:B,'female g'!A:V,IF(A12&gt;2033,22,MATCH(A12,'female g'!$A$1:$V$1,0)),FALSE))</f>
        <v>4.6544810000000002E-3</v>
      </c>
      <c r="E12" s="1">
        <f t="shared" si="2"/>
        <v>0.99534551900000001</v>
      </c>
      <c r="F12" s="1">
        <f t="shared" si="3"/>
        <v>0.99566725899999997</v>
      </c>
      <c r="G12" s="1">
        <f>1/(1+Summary!$O$2)^$C12</f>
        <v>0.61391325354075932</v>
      </c>
      <c r="H12" s="1">
        <f>IF(B12&gt;64, Summary!$J$17, 0)*'TV 16'!G12*'TV 16'!F12</f>
        <v>0</v>
      </c>
      <c r="I12" s="1"/>
    </row>
    <row r="13" spans="1:9">
      <c r="A13" s="1">
        <f t="shared" si="0"/>
        <v>2030</v>
      </c>
      <c r="B13" s="1">
        <f t="shared" si="1"/>
        <v>60</v>
      </c>
      <c r="C13" s="1">
        <v>11</v>
      </c>
      <c r="D13" s="1">
        <f>IF(Summary!$G$17="M",VLOOKUP(B:B,'male g'!A:V,IF(A13&gt;2033,22,MATCH(A13,'male g'!$A$1:$V$1,0)),FALSE),VLOOKUP(B:B,'female g'!A:V,IF(A13&gt;2033,22,MATCH(A13,'female g'!$A$1:$V$1,0)),FALSE))</f>
        <v>5.0054289999999996E-3</v>
      </c>
      <c r="E13" s="1">
        <f t="shared" si="2"/>
        <v>0.99499457099999999</v>
      </c>
      <c r="F13" s="1">
        <f t="shared" si="3"/>
        <v>0.99534551900000001</v>
      </c>
      <c r="G13" s="1">
        <f>1/(1+Summary!$O$2)^$C13</f>
        <v>0.5846792890864374</v>
      </c>
      <c r="H13" s="1">
        <f>IF(B13&gt;64, Summary!$J$17, 0)*'TV 16'!G13*'TV 16'!F13</f>
        <v>0</v>
      </c>
      <c r="I13" s="1"/>
    </row>
    <row r="14" spans="1:9">
      <c r="A14" s="1">
        <f t="shared" si="0"/>
        <v>2031</v>
      </c>
      <c r="B14" s="1">
        <f t="shared" si="1"/>
        <v>61</v>
      </c>
      <c r="C14" s="1">
        <v>12</v>
      </c>
      <c r="D14" s="1">
        <f>IF(Summary!$G$17="M",VLOOKUP(B:B,'male g'!A:V,IF(A14&gt;2033,22,MATCH(A14,'male g'!$A$1:$V$1,0)),FALSE),VLOOKUP(B:B,'female g'!A:V,IF(A14&gt;2033,22,MATCH(A14,'female g'!$A$1:$V$1,0)),FALSE))</f>
        <v>5.3846629999999996E-3</v>
      </c>
      <c r="E14" s="1">
        <f t="shared" si="2"/>
        <v>0.99461533700000004</v>
      </c>
      <c r="F14" s="1">
        <f t="shared" si="3"/>
        <v>0.99499457099999999</v>
      </c>
      <c r="G14" s="1">
        <f>1/(1+Summary!$O$2)^$C14</f>
        <v>0.5568374181775595</v>
      </c>
      <c r="H14" s="1">
        <f>IF(B14&gt;64, Summary!$J$17, 0)*'TV 16'!G14*'TV 16'!F14</f>
        <v>0</v>
      </c>
      <c r="I14" s="1"/>
    </row>
    <row r="15" spans="1:9">
      <c r="A15" s="1">
        <f t="shared" si="0"/>
        <v>2032</v>
      </c>
      <c r="B15" s="1">
        <f t="shared" si="1"/>
        <v>62</v>
      </c>
      <c r="C15" s="1">
        <v>13</v>
      </c>
      <c r="D15" s="1">
        <f>IF(Summary!$G$17="M",VLOOKUP(B:B,'male g'!A:V,IF(A15&gt;2033,22,MATCH(A15,'male g'!$A$1:$V$1,0)),FALSE),VLOOKUP(B:B,'female g'!A:V,IF(A15&gt;2033,22,MATCH(A15,'female g'!$A$1:$V$1,0)),FALSE))</f>
        <v>5.7912959999999996E-3</v>
      </c>
      <c r="E15" s="1">
        <f t="shared" si="2"/>
        <v>0.99420870400000005</v>
      </c>
      <c r="F15" s="1">
        <f t="shared" si="3"/>
        <v>0.99461533700000004</v>
      </c>
      <c r="G15" s="1">
        <f>1/(1+Summary!$O$2)^$C15</f>
        <v>0.53032135064529462</v>
      </c>
      <c r="H15" s="1">
        <f>IF(B15&gt;64, Summary!$J$17, 0)*'TV 16'!G15*'TV 16'!F15</f>
        <v>0</v>
      </c>
      <c r="I15" s="1"/>
    </row>
    <row r="16" spans="1:9">
      <c r="A16" s="1">
        <f t="shared" si="0"/>
        <v>2033</v>
      </c>
      <c r="B16" s="1">
        <f t="shared" si="1"/>
        <v>63</v>
      </c>
      <c r="C16" s="1">
        <v>14</v>
      </c>
      <c r="D16" s="1">
        <f>IF(Summary!$G$17="M",VLOOKUP(B:B,'male g'!A:V,IF(A16&gt;2033,22,MATCH(A16,'male g'!$A$1:$V$1,0)),FALSE),VLOOKUP(B:B,'female g'!A:V,IF(A16&gt;2033,22,MATCH(A16,'female g'!$A$1:$V$1,0)),FALSE))</f>
        <v>6.2244240000000001E-3</v>
      </c>
      <c r="E16" s="1">
        <f t="shared" si="2"/>
        <v>0.99377557599999999</v>
      </c>
      <c r="F16" s="1">
        <f t="shared" si="3"/>
        <v>0.99420870400000005</v>
      </c>
      <c r="G16" s="1">
        <f>1/(1+Summary!$O$2)^$C16</f>
        <v>0.50506795299551888</v>
      </c>
      <c r="H16" s="1">
        <f>IF(B16&gt;64, Summary!$J$17, 0)*'TV 16'!G16*'TV 16'!F16</f>
        <v>0</v>
      </c>
      <c r="I16" s="1"/>
    </row>
    <row r="17" spans="1:9">
      <c r="A17" s="1">
        <f t="shared" si="0"/>
        <v>2034</v>
      </c>
      <c r="B17" s="1">
        <f t="shared" si="1"/>
        <v>64</v>
      </c>
      <c r="C17" s="1">
        <v>15</v>
      </c>
      <c r="D17" s="1">
        <f>IF(Summary!$G$17="M",VLOOKUP(B:B,'male g'!A:V,IF(A17&gt;2033,22,MATCH(A17,'male g'!$A$1:$V$1,0)),FALSE),VLOOKUP(B:B,'female g'!A:V,IF(A17&gt;2033,22,MATCH(A17,'female g'!$A$1:$V$1,0)),FALSE))</f>
        <v>6.6840069999999996E-3</v>
      </c>
      <c r="E17" s="1">
        <f t="shared" si="2"/>
        <v>0.99331599299999995</v>
      </c>
      <c r="F17" s="1">
        <f t="shared" si="3"/>
        <v>0.99377557599999999</v>
      </c>
      <c r="G17" s="1">
        <f>1/(1+Summary!$O$2)^$C17</f>
        <v>0.48101709809097021</v>
      </c>
      <c r="H17" s="1">
        <f>IF(B17&gt;64, Summary!$J$17, 0)*'TV 16'!G17*'TV 16'!F17</f>
        <v>0</v>
      </c>
      <c r="I17" s="1"/>
    </row>
    <row r="18" spans="1:9">
      <c r="A18" s="1">
        <f t="shared" si="0"/>
        <v>2035</v>
      </c>
      <c r="B18" s="1">
        <f t="shared" si="1"/>
        <v>65</v>
      </c>
      <c r="C18" s="1">
        <v>16</v>
      </c>
      <c r="D18" s="1">
        <f>IF(Summary!$G$17="M",VLOOKUP(B:B,'male g'!A:V,IF(A18&gt;2033,22,MATCH(A18,'male g'!$A$1:$V$1,0)),FALSE),VLOOKUP(B:B,'female g'!A:V,IF(A18&gt;2033,22,MATCH(A18,'female g'!$A$1:$V$1,0)),FALSE))</f>
        <v>7.247748E-3</v>
      </c>
      <c r="E18" s="1">
        <f t="shared" si="2"/>
        <v>0.99275225199999995</v>
      </c>
      <c r="F18" s="1">
        <f t="shared" si="3"/>
        <v>0.99331599299999995</v>
      </c>
      <c r="G18" s="1">
        <f>1/(1+Summary!$O$2)^$C18</f>
        <v>0.45811152199140021</v>
      </c>
      <c r="H18" s="1">
        <f>IF(B18&gt;64, Summary!$J$17, 0)*'TV 16'!G18*'TV 16'!F18</f>
        <v>4252.8212848839503</v>
      </c>
      <c r="I18" s="1"/>
    </row>
    <row r="19" spans="1:9">
      <c r="A19" s="1">
        <f t="shared" si="0"/>
        <v>2036</v>
      </c>
      <c r="B19" s="1">
        <f t="shared" si="1"/>
        <v>66</v>
      </c>
      <c r="C19" s="1">
        <v>17</v>
      </c>
      <c r="D19" s="1">
        <f>IF(Summary!$G$17="M",VLOOKUP(B:B,'male g'!A:V,IF(A19&gt;2033,22,MATCH(A19,'male g'!$A$1:$V$1,0)),FALSE),VLOOKUP(B:B,'female g'!A:V,IF(A19&gt;2033,22,MATCH(A19,'female g'!$A$1:$V$1,0)),FALSE))</f>
        <v>7.8640140000000008E-3</v>
      </c>
      <c r="E19" s="1">
        <f t="shared" si="2"/>
        <v>0.99213598599999997</v>
      </c>
      <c r="F19" s="1">
        <f t="shared" si="3"/>
        <v>0.99275225199999995</v>
      </c>
      <c r="G19" s="1">
        <f>1/(1+Summary!$O$2)^$C19</f>
        <v>0.43629668761085727</v>
      </c>
      <c r="H19" s="1">
        <f>IF(B19&gt;64, Summary!$J$17, 0)*'TV 16'!G19*'TV 16'!F19</f>
        <v>4048.0072976104939</v>
      </c>
      <c r="I19" s="1"/>
    </row>
    <row r="20" spans="1:9">
      <c r="A20" s="1">
        <f t="shared" si="0"/>
        <v>2037</v>
      </c>
      <c r="B20" s="1">
        <f t="shared" si="1"/>
        <v>67</v>
      </c>
      <c r="C20" s="1">
        <v>18</v>
      </c>
      <c r="D20" s="1">
        <f>IF(Summary!$G$17="M",VLOOKUP(B:B,'male g'!A:V,IF(A20&gt;2033,22,MATCH(A20,'male g'!$A$1:$V$1,0)),FALSE),VLOOKUP(B:B,'female g'!A:V,IF(A20&gt;2033,22,MATCH(A20,'female g'!$A$1:$V$1,0)),FALSE))</f>
        <v>8.5402580000000002E-3</v>
      </c>
      <c r="E20" s="1">
        <f t="shared" si="2"/>
        <v>0.99145974199999998</v>
      </c>
      <c r="F20" s="1">
        <f t="shared" si="3"/>
        <v>0.99213598599999997</v>
      </c>
      <c r="G20" s="1">
        <f>1/(1+Summary!$O$2)^$C20</f>
        <v>0.41552065486748313</v>
      </c>
      <c r="H20" s="1">
        <f>IF(B20&gt;64, Summary!$J$17, 0)*'TV 16'!G20*'TV 16'!F20</f>
        <v>3852.8518435768979</v>
      </c>
      <c r="I20" s="1"/>
    </row>
    <row r="21" spans="1:9">
      <c r="A21" s="1">
        <f t="shared" si="0"/>
        <v>2038</v>
      </c>
      <c r="B21" s="1">
        <f t="shared" si="1"/>
        <v>68</v>
      </c>
      <c r="C21" s="1">
        <v>19</v>
      </c>
      <c r="D21" s="1">
        <f>IF(Summary!$G$17="M",VLOOKUP(B:B,'male g'!A:V,IF(A21&gt;2033,22,MATCH(A21,'male g'!$A$1:$V$1,0)),FALSE),VLOOKUP(B:B,'female g'!A:V,IF(A21&gt;2033,22,MATCH(A21,'female g'!$A$1:$V$1,0)),FALSE))</f>
        <v>9.291054E-3</v>
      </c>
      <c r="E21" s="1">
        <f t="shared" si="2"/>
        <v>0.99070894600000003</v>
      </c>
      <c r="F21" s="1">
        <f t="shared" si="3"/>
        <v>0.99145974199999998</v>
      </c>
      <c r="G21" s="1">
        <f>1/(1+Summary!$O$2)^$C21</f>
        <v>0.39573395701665059</v>
      </c>
      <c r="H21" s="1">
        <f>IF(B21&gt;64, Summary!$J$17, 0)*'TV 16'!G21*'TV 16'!F21</f>
        <v>3666.881641706701</v>
      </c>
      <c r="I21" s="1"/>
    </row>
    <row r="22" spans="1:9">
      <c r="A22" s="1">
        <f t="shared" si="0"/>
        <v>2039</v>
      </c>
      <c r="B22" s="1">
        <f t="shared" si="1"/>
        <v>69</v>
      </c>
      <c r="C22" s="1">
        <v>20</v>
      </c>
      <c r="D22" s="1">
        <f>IF(Summary!$G$17="M",VLOOKUP(B:B,'male g'!A:V,IF(A22&gt;2033,22,MATCH(A22,'male g'!$A$1:$V$1,0)),FALSE),VLOOKUP(B:B,'female g'!A:V,IF(A22&gt;2033,22,MATCH(A22,'female g'!$A$1:$V$1,0)),FALSE))</f>
        <v>1.0121299E-2</v>
      </c>
      <c r="E22" s="1">
        <f t="shared" si="2"/>
        <v>0.98987870099999997</v>
      </c>
      <c r="F22" s="1">
        <f t="shared" si="3"/>
        <v>0.99070894600000003</v>
      </c>
      <c r="G22" s="1">
        <f>1/(1+Summary!$O$2)^$C22</f>
        <v>0.37688948287300061</v>
      </c>
      <c r="H22" s="1">
        <f>IF(B22&gt;64, Summary!$J$17, 0)*'TV 16'!G22*'TV 16'!F22</f>
        <v>3489.6236639002286</v>
      </c>
      <c r="I22" s="1"/>
    </row>
    <row r="23" spans="1:9">
      <c r="A23" s="1">
        <f t="shared" si="0"/>
        <v>2040</v>
      </c>
      <c r="B23" s="1">
        <f t="shared" si="1"/>
        <v>70</v>
      </c>
      <c r="C23" s="1">
        <v>21</v>
      </c>
      <c r="D23" s="1">
        <f>IF(Summary!$G$17="M",VLOOKUP(B:B,'male g'!A:V,IF(A23&gt;2033,22,MATCH(A23,'male g'!$A$1:$V$1,0)),FALSE),VLOOKUP(B:B,'female g'!A:V,IF(A23&gt;2033,22,MATCH(A23,'female g'!$A$1:$V$1,0)),FALSE))</f>
        <v>1.1050012E-2</v>
      </c>
      <c r="E23" s="1">
        <f t="shared" si="2"/>
        <v>0.988949988</v>
      </c>
      <c r="F23" s="1">
        <f t="shared" si="3"/>
        <v>0.98987870099999997</v>
      </c>
      <c r="G23" s="1">
        <f>1/(1+Summary!$O$2)^$C23</f>
        <v>0.35894236464095297</v>
      </c>
      <c r="H23" s="1">
        <f>IF(B23&gt;64, Summary!$J$17, 0)*'TV 16'!G23*'TV 16'!F23</f>
        <v>3320.6659527788665</v>
      </c>
      <c r="I23" s="1"/>
    </row>
    <row r="24" spans="1:9">
      <c r="A24" s="1">
        <f t="shared" si="0"/>
        <v>2041</v>
      </c>
      <c r="B24" s="1">
        <f t="shared" si="1"/>
        <v>71</v>
      </c>
      <c r="C24" s="1">
        <v>22</v>
      </c>
      <c r="D24" s="1">
        <f>IF(Summary!$G$17="M",VLOOKUP(B:B,'male g'!A:V,IF(A24&gt;2033,22,MATCH(A24,'male g'!$A$1:$V$1,0)),FALSE),VLOOKUP(B:B,'female g'!A:V,IF(A24&gt;2033,22,MATCH(A24,'female g'!$A$1:$V$1,0)),FALSE))</f>
        <v>1.2082262999999999E-2</v>
      </c>
      <c r="E24" s="1">
        <f t="shared" si="2"/>
        <v>0.98791773699999996</v>
      </c>
      <c r="F24" s="1">
        <f t="shared" si="3"/>
        <v>0.988949988</v>
      </c>
      <c r="G24" s="1">
        <f>1/(1+Summary!$O$2)^$C24</f>
        <v>0.3418498710866219</v>
      </c>
      <c r="H24" s="1">
        <f>IF(B24&gt;64, Summary!$J$17, 0)*'TV 16'!G24*'TV 16'!F24</f>
        <v>3159.5718804306589</v>
      </c>
      <c r="I24" s="1"/>
    </row>
    <row r="25" spans="1:9">
      <c r="A25" s="1">
        <f t="shared" si="0"/>
        <v>2042</v>
      </c>
      <c r="B25" s="1">
        <f t="shared" si="1"/>
        <v>72</v>
      </c>
      <c r="C25" s="1">
        <v>23</v>
      </c>
      <c r="D25" s="1">
        <f>IF(Summary!$G$17="M",VLOOKUP(B:B,'male g'!A:V,IF(A25&gt;2033,22,MATCH(A25,'male g'!$A$1:$V$1,0)),FALSE),VLOOKUP(B:B,'female g'!A:V,IF(A25&gt;2033,22,MATCH(A25,'female g'!$A$1:$V$1,0)),FALSE))</f>
        <v>1.3232393E-2</v>
      </c>
      <c r="E25" s="1">
        <f t="shared" si="2"/>
        <v>0.98676760699999999</v>
      </c>
      <c r="F25" s="1">
        <f t="shared" si="3"/>
        <v>0.98791773699999996</v>
      </c>
      <c r="G25" s="1">
        <f>1/(1+Summary!$O$2)^$C25</f>
        <v>0.32557130579678267</v>
      </c>
      <c r="H25" s="1">
        <f>IF(B25&gt;64, Summary!$J$17, 0)*'TV 16'!G25*'TV 16'!F25</f>
        <v>3005.9752068732619</v>
      </c>
      <c r="I25" s="1"/>
    </row>
    <row r="26" spans="1:9">
      <c r="A26" s="1">
        <f t="shared" si="0"/>
        <v>2043</v>
      </c>
      <c r="B26" s="1">
        <f t="shared" si="1"/>
        <v>73</v>
      </c>
      <c r="C26" s="1">
        <v>24</v>
      </c>
      <c r="D26" s="1">
        <f>IF(Summary!$G$17="M",VLOOKUP(B:B,'male g'!A:V,IF(A26&gt;2033,22,MATCH(A26,'male g'!$A$1:$V$1,0)),FALSE),VLOOKUP(B:B,'female g'!A:V,IF(A26&gt;2033,22,MATCH(A26,'female g'!$A$1:$V$1,0)),FALSE))</f>
        <v>1.4520474E-2</v>
      </c>
      <c r="E26" s="1">
        <f t="shared" si="2"/>
        <v>0.98547952599999999</v>
      </c>
      <c r="F26" s="1">
        <f t="shared" si="3"/>
        <v>0.98676760699999999</v>
      </c>
      <c r="G26" s="1">
        <f>1/(1+Summary!$O$2)^$C26</f>
        <v>0.31006791028265024</v>
      </c>
      <c r="H26" s="1">
        <f>IF(B26&gt;64, Summary!$J$17, 0)*'TV 16'!G26*'TV 16'!F26</f>
        <v>2859.5006306565047</v>
      </c>
      <c r="I26" s="1"/>
    </row>
    <row r="27" spans="1:9">
      <c r="A27" s="1">
        <f t="shared" si="0"/>
        <v>2044</v>
      </c>
      <c r="B27" s="1">
        <f t="shared" si="1"/>
        <v>74</v>
      </c>
      <c r="C27" s="1">
        <v>25</v>
      </c>
      <c r="D27" s="1">
        <f>IF(Summary!$G$17="M",VLOOKUP(B:B,'male g'!A:V,IF(A27&gt;2033,22,MATCH(A27,'male g'!$A$1:$V$1,0)),FALSE),VLOOKUP(B:B,'female g'!A:V,IF(A27&gt;2033,22,MATCH(A27,'female g'!$A$1:$V$1,0)),FALSE))</f>
        <v>1.5945328000000002E-2</v>
      </c>
      <c r="E27" s="1">
        <f t="shared" si="2"/>
        <v>0.98405467199999996</v>
      </c>
      <c r="F27" s="1">
        <f t="shared" si="3"/>
        <v>0.98547952599999999</v>
      </c>
      <c r="G27" s="1">
        <f>1/(1+Summary!$O$2)^$C27</f>
        <v>0.29530277169776209</v>
      </c>
      <c r="H27" s="1">
        <f>IF(B27&gt;64, Summary!$J$17, 0)*'TV 16'!G27*'TV 16'!F27</f>
        <v>2719.7790192328557</v>
      </c>
      <c r="I27" s="1"/>
    </row>
    <row r="28" spans="1:9">
      <c r="A28" s="1">
        <f t="shared" si="0"/>
        <v>2045</v>
      </c>
      <c r="B28" s="1">
        <f t="shared" si="1"/>
        <v>75</v>
      </c>
      <c r="C28" s="1">
        <v>26</v>
      </c>
      <c r="D28" s="1">
        <f>IF(Summary!$G$17="M",VLOOKUP(B:B,'male g'!A:V,IF(A28&gt;2033,22,MATCH(A28,'male g'!$A$1:$V$1,0)),FALSE),VLOOKUP(B:B,'female g'!A:V,IF(A28&gt;2033,22,MATCH(A28,'female g'!$A$1:$V$1,0)),FALSE))</f>
        <v>1.7550544000000001E-2</v>
      </c>
      <c r="E28" s="1">
        <f t="shared" si="2"/>
        <v>0.982449456</v>
      </c>
      <c r="F28" s="1">
        <f t="shared" si="3"/>
        <v>0.98405467199999996</v>
      </c>
      <c r="G28" s="1">
        <f>1/(1+Summary!$O$2)^$C28</f>
        <v>0.28124073495024959</v>
      </c>
      <c r="H28" s="1">
        <f>IF(B28&gt;64, Summary!$J$17, 0)*'TV 16'!G28*'TV 16'!F28</f>
        <v>2586.5206010268839</v>
      </c>
      <c r="I28" s="1"/>
    </row>
    <row r="29" spans="1:9">
      <c r="A29" s="1">
        <f t="shared" si="0"/>
        <v>2046</v>
      </c>
      <c r="B29" s="1">
        <f t="shared" si="1"/>
        <v>76</v>
      </c>
      <c r="C29" s="1">
        <v>27</v>
      </c>
      <c r="D29" s="1">
        <f>IF(Summary!$G$17="M",VLOOKUP(B:B,'male g'!A:V,IF(A29&gt;2033,22,MATCH(A29,'male g'!$A$1:$V$1,0)),FALSE),VLOOKUP(B:B,'female g'!A:V,IF(A29&gt;2033,22,MATCH(A29,'female g'!$A$1:$V$1,0)),FALSE))</f>
        <v>1.9346596000000001E-2</v>
      </c>
      <c r="E29" s="1">
        <f t="shared" si="2"/>
        <v>0.98065340400000001</v>
      </c>
      <c r="F29" s="1">
        <f t="shared" si="3"/>
        <v>0.982449456</v>
      </c>
      <c r="G29" s="1">
        <f>1/(1+Summary!$O$2)^$C29</f>
        <v>0.2678483190002377</v>
      </c>
      <c r="H29" s="1">
        <f>IF(B29&gt;64, Summary!$J$17, 0)*'TV 16'!G29*'TV 16'!F29</f>
        <v>2459.3346668887939</v>
      </c>
      <c r="I29" s="1"/>
    </row>
    <row r="30" spans="1:9">
      <c r="A30" s="1">
        <f t="shared" si="0"/>
        <v>2047</v>
      </c>
      <c r="B30" s="1">
        <f t="shared" si="1"/>
        <v>77</v>
      </c>
      <c r="C30" s="1">
        <v>28</v>
      </c>
      <c r="D30" s="1">
        <f>IF(Summary!$G$17="M",VLOOKUP(B:B,'male g'!A:V,IF(A30&gt;2033,22,MATCH(A30,'male g'!$A$1:$V$1,0)),FALSE),VLOOKUP(B:B,'female g'!A:V,IF(A30&gt;2033,22,MATCH(A30,'female g'!$A$1:$V$1,0)),FALSE))</f>
        <v>2.1378668999999999E-2</v>
      </c>
      <c r="E30" s="1">
        <f t="shared" si="2"/>
        <v>0.97862133100000004</v>
      </c>
      <c r="F30" s="1">
        <f t="shared" si="3"/>
        <v>0.98065340400000001</v>
      </c>
      <c r="G30" s="1">
        <f>1/(1+Summary!$O$2)^$C30</f>
        <v>0.25509363714308358</v>
      </c>
      <c r="H30" s="1">
        <f>IF(B30&gt;64, Summary!$J$17, 0)*'TV 16'!G30*'TV 16'!F30</f>
        <v>2337.9415873260841</v>
      </c>
      <c r="I30" s="1"/>
    </row>
    <row r="31" spans="1:9">
      <c r="A31" s="1">
        <f t="shared" si="0"/>
        <v>2048</v>
      </c>
      <c r="B31" s="1">
        <f t="shared" si="1"/>
        <v>78</v>
      </c>
      <c r="C31" s="1">
        <v>29</v>
      </c>
      <c r="D31" s="1">
        <f>IF(Summary!$G$17="M",VLOOKUP(B:B,'male g'!A:V,IF(A31&gt;2033,22,MATCH(A31,'male g'!$A$1:$V$1,0)),FALSE),VLOOKUP(B:B,'female g'!A:V,IF(A31&gt;2033,22,MATCH(A31,'female g'!$A$1:$V$1,0)),FALSE))</f>
        <v>2.3682564E-2</v>
      </c>
      <c r="E31" s="1">
        <f t="shared" si="2"/>
        <v>0.97631743599999998</v>
      </c>
      <c r="F31" s="1">
        <f t="shared" si="3"/>
        <v>0.97862133100000004</v>
      </c>
      <c r="G31" s="1">
        <f>1/(1+Summary!$O$2)^$C31</f>
        <v>0.24294632108865097</v>
      </c>
      <c r="H31" s="1">
        <f>IF(B31&gt;64, Summary!$J$17, 0)*'TV 16'!G31*'TV 16'!F31</f>
        <v>2221.997136133848</v>
      </c>
      <c r="I31" s="1"/>
    </row>
    <row r="32" spans="1:9">
      <c r="A32" s="1">
        <f t="shared" si="0"/>
        <v>2049</v>
      </c>
      <c r="B32" s="1">
        <f t="shared" si="1"/>
        <v>79</v>
      </c>
      <c r="C32" s="1">
        <v>30</v>
      </c>
      <c r="D32" s="1">
        <f>IF(Summary!$G$17="M",VLOOKUP(B:B,'male g'!A:V,IF(A32&gt;2033,22,MATCH(A32,'male g'!$A$1:$V$1,0)),FALSE),VLOOKUP(B:B,'female g'!A:V,IF(A32&gt;2033,22,MATCH(A32,'female g'!$A$1:$V$1,0)),FALSE))</f>
        <v>2.6301709E-2</v>
      </c>
      <c r="E32" s="1">
        <f t="shared" si="2"/>
        <v>0.97369829100000005</v>
      </c>
      <c r="F32" s="1">
        <f t="shared" si="3"/>
        <v>0.97631743599999998</v>
      </c>
      <c r="G32" s="1">
        <f>1/(1+Summary!$O$2)^$C32</f>
        <v>0.23137744865585813</v>
      </c>
      <c r="H32" s="1">
        <f>IF(B32&gt;64, Summary!$J$17, 0)*'TV 16'!G32*'TV 16'!F32</f>
        <v>2111.2057661701688</v>
      </c>
      <c r="I32" s="1"/>
    </row>
    <row r="33" spans="1:9">
      <c r="A33" s="1">
        <f t="shared" si="0"/>
        <v>2050</v>
      </c>
      <c r="B33" s="1">
        <f t="shared" si="1"/>
        <v>80</v>
      </c>
      <c r="C33" s="1">
        <v>31</v>
      </c>
      <c r="D33" s="1">
        <f>IF(Summary!$G$17="M",VLOOKUP(B:B,'male g'!A:V,IF(A33&gt;2033,22,MATCH(A33,'male g'!$A$1:$V$1,0)),FALSE),VLOOKUP(B:B,'female g'!A:V,IF(A33&gt;2033,22,MATCH(A33,'female g'!$A$1:$V$1,0)),FALSE))</f>
        <v>2.9285830999999998E-2</v>
      </c>
      <c r="E33" s="1">
        <f t="shared" si="2"/>
        <v>0.97071416899999996</v>
      </c>
      <c r="F33" s="1">
        <f t="shared" si="3"/>
        <v>0.97369829100000005</v>
      </c>
      <c r="G33" s="1">
        <f>1/(1+Summary!$O$2)^$C33</f>
        <v>0.220359474910341</v>
      </c>
      <c r="H33" s="1">
        <f>IF(B33&gt;64, Summary!$J$17, 0)*'TV 16'!G33*'TV 16'!F33</f>
        <v>2005.2781729245055</v>
      </c>
      <c r="I33" s="1"/>
    </row>
    <row r="34" spans="1:9">
      <c r="A34" s="1">
        <f t="shared" si="0"/>
        <v>2051</v>
      </c>
      <c r="B34" s="1">
        <f t="shared" si="1"/>
        <v>81</v>
      </c>
      <c r="C34" s="1">
        <v>32</v>
      </c>
      <c r="D34" s="1">
        <f>IF(Summary!$G$17="M",VLOOKUP(B:B,'male g'!A:V,IF(A34&gt;2033,22,MATCH(A34,'male g'!$A$1:$V$1,0)),FALSE),VLOOKUP(B:B,'female g'!A:V,IF(A34&gt;2033,22,MATCH(A34,'female g'!$A$1:$V$1,0)),FALSE))</f>
        <v>3.2681842000000003E-2</v>
      </c>
      <c r="E34" s="1">
        <f t="shared" si="2"/>
        <v>0.96731815799999998</v>
      </c>
      <c r="F34" s="1">
        <f t="shared" si="3"/>
        <v>0.97071416899999996</v>
      </c>
      <c r="G34" s="1">
        <f>1/(1+Summary!$O$2)^$C34</f>
        <v>0.20986616658127716</v>
      </c>
      <c r="H34" s="1">
        <f>IF(B34&gt;64, Summary!$J$17, 0)*'TV 16'!G34*'TV 16'!F34</f>
        <v>1903.9357499980497</v>
      </c>
      <c r="I34" s="1"/>
    </row>
    <row r="35" spans="1:9">
      <c r="A35" s="1">
        <f>$A$2+C35</f>
        <v>2052</v>
      </c>
      <c r="B35" s="1">
        <f>$B$2+C35</f>
        <v>82</v>
      </c>
      <c r="C35" s="1">
        <v>33</v>
      </c>
      <c r="D35" s="1">
        <f>IF(Summary!$G$17="M",VLOOKUP(B:B,'male g'!A:V,IF(A35&gt;2033,22,MATCH(A35,'male g'!$A$1:$V$1,0)),FALSE),VLOOKUP(B:B,'female g'!A:V,IF(A35&gt;2033,22,MATCH(A35,'female g'!$A$1:$V$1,0)),FALSE))</f>
        <v>3.6549238999999997E-2</v>
      </c>
      <c r="E35" s="1">
        <f t="shared" si="2"/>
        <v>0.96345076100000004</v>
      </c>
      <c r="F35" s="1">
        <f t="shared" si="3"/>
        <v>0.96731815799999998</v>
      </c>
      <c r="G35" s="1">
        <f>1/(1+Summary!$O$2)^$C35</f>
        <v>0.19987253960121634</v>
      </c>
      <c r="H35" s="1">
        <f>IF(B35&gt;64, Summary!$J$17, 0)*'TV 16'!G35*'TV 16'!F35</f>
        <v>1806.9284710105921</v>
      </c>
      <c r="I35" s="1"/>
    </row>
    <row r="36" spans="1:9">
      <c r="A36" s="1">
        <f t="shared" ref="A36:A47" si="4">$A$2+C36</f>
        <v>2053</v>
      </c>
      <c r="B36" s="1">
        <f t="shared" si="1"/>
        <v>83</v>
      </c>
      <c r="C36" s="1">
        <v>34</v>
      </c>
      <c r="D36" s="1">
        <f>IF(Summary!$G$17="M",VLOOKUP(B:B,'male g'!A:V,IF(A36&gt;2033,22,MATCH(A36,'male g'!$A$1:$V$1,0)),FALSE),VLOOKUP(B:B,'female g'!A:V,IF(A36&gt;2033,22,MATCH(A36,'female g'!$A$1:$V$1,0)),FALSE))</f>
        <v>4.0956563000000001E-2</v>
      </c>
      <c r="E36" s="1">
        <f t="shared" si="2"/>
        <v>0.95904343700000005</v>
      </c>
      <c r="F36" s="1">
        <f t="shared" si="3"/>
        <v>0.96345076100000004</v>
      </c>
      <c r="G36" s="1">
        <f>1/(1+Summary!$O$2)^$C36</f>
        <v>0.19035479962020604</v>
      </c>
      <c r="H36" s="1">
        <f>IF(B36&gt;64, Summary!$J$17, 0)*'TV 16'!G36*'TV 16'!F36</f>
        <v>1714.0040578712023</v>
      </c>
      <c r="I36" s="1"/>
    </row>
    <row r="37" spans="1:9">
      <c r="A37" s="1">
        <f t="shared" si="4"/>
        <v>2054</v>
      </c>
      <c r="B37" s="1">
        <f t="shared" si="1"/>
        <v>84</v>
      </c>
      <c r="C37" s="1">
        <v>35</v>
      </c>
      <c r="D37" s="1">
        <f>IF(Summary!$G$17="M",VLOOKUP(B:B,'male g'!A:V,IF(A37&gt;2033,22,MATCH(A37,'male g'!$A$1:$V$1,0)),FALSE),VLOOKUP(B:B,'female g'!A:V,IF(A37&gt;2033,22,MATCH(A37,'female g'!$A$1:$V$1,0)),FALSE))</f>
        <v>4.5960176999999998E-2</v>
      </c>
      <c r="E37" s="1">
        <f t="shared" si="2"/>
        <v>0.95403982300000001</v>
      </c>
      <c r="F37" s="1">
        <f t="shared" si="3"/>
        <v>0.95904343700000005</v>
      </c>
      <c r="G37" s="1">
        <f>1/(1+Summary!$O$2)^$C37</f>
        <v>0.18129028535257716</v>
      </c>
      <c r="H37" s="1">
        <f>IF(B37&gt;64, Summary!$J$17, 0)*'TV 16'!G37*'TV 16'!F37</f>
        <v>1624.9174413404833</v>
      </c>
      <c r="I37" s="1"/>
    </row>
    <row r="38" spans="1:9">
      <c r="A38" s="1">
        <f t="shared" si="4"/>
        <v>2055</v>
      </c>
      <c r="B38" s="1">
        <f t="shared" si="1"/>
        <v>85</v>
      </c>
      <c r="C38" s="1">
        <v>36</v>
      </c>
      <c r="D38" s="1">
        <f>IF(Summary!$G$17="M",VLOOKUP(B:B,'male g'!A:V,IF(A38&gt;2033,22,MATCH(A38,'male g'!$A$1:$V$1,0)),FALSE),VLOOKUP(B:B,'female g'!A:V,IF(A38&gt;2033,22,MATCH(A38,'female g'!$A$1:$V$1,0)),FALSE))</f>
        <v>5.1631459999999997E-2</v>
      </c>
      <c r="E38" s="1">
        <f t="shared" si="2"/>
        <v>0.94836854000000004</v>
      </c>
      <c r="F38" s="1">
        <f t="shared" si="3"/>
        <v>0.95403982300000001</v>
      </c>
      <c r="G38" s="1">
        <f>1/(1+Summary!$O$2)^$C38</f>
        <v>0.17265741462150208</v>
      </c>
      <c r="H38" s="1">
        <f>IF(B38&gt;64, Summary!$J$17, 0)*'TV 16'!G38*'TV 16'!F38</f>
        <v>1539.4664430527896</v>
      </c>
      <c r="I38" s="1"/>
    </row>
    <row r="39" spans="1:9">
      <c r="A39" s="1">
        <f t="shared" si="4"/>
        <v>2056</v>
      </c>
      <c r="B39" s="1">
        <f t="shared" si="1"/>
        <v>86</v>
      </c>
      <c r="C39" s="1">
        <v>37</v>
      </c>
      <c r="D39" s="1">
        <f>IF(Summary!$G$17="M",VLOOKUP(B:B,'male g'!A:V,IF(A39&gt;2033,22,MATCH(A39,'male g'!$A$1:$V$1,0)),FALSE),VLOOKUP(B:B,'female g'!A:V,IF(A39&gt;2033,22,MATCH(A39,'female g'!$A$1:$V$1,0)),FALSE))</f>
        <v>5.8086306999999997E-2</v>
      </c>
      <c r="E39" s="1">
        <f t="shared" si="2"/>
        <v>0.94191369300000005</v>
      </c>
      <c r="F39" s="1">
        <f t="shared" si="3"/>
        <v>0.94836854000000004</v>
      </c>
      <c r="G39" s="1">
        <f>1/(1+Summary!$O$2)^$C39</f>
        <v>0.1644356329728591</v>
      </c>
      <c r="H39" s="1">
        <f>IF(B39&gt;64, Summary!$J$17, 0)*'TV 16'!G39*'TV 16'!F39</f>
        <v>1457.4429482269277</v>
      </c>
      <c r="I39" s="1"/>
    </row>
    <row r="40" spans="1:9">
      <c r="A40" s="1">
        <f t="shared" si="4"/>
        <v>2057</v>
      </c>
      <c r="B40" s="1">
        <f t="shared" si="1"/>
        <v>87</v>
      </c>
      <c r="C40" s="1">
        <v>38</v>
      </c>
      <c r="D40" s="1">
        <f>IF(Summary!$G$17="M",VLOOKUP(B:B,'male g'!A:V,IF(A40&gt;2033,22,MATCH(A40,'male g'!$A$1:$V$1,0)),FALSE),VLOOKUP(B:B,'female g'!A:V,IF(A40&gt;2033,22,MATCH(A40,'female g'!$A$1:$V$1,0)),FALSE))</f>
        <v>6.5370790999999998E-2</v>
      </c>
      <c r="E40" s="1">
        <f t="shared" si="2"/>
        <v>0.93462920900000002</v>
      </c>
      <c r="F40" s="1">
        <f t="shared" si="3"/>
        <v>0.94191369300000005</v>
      </c>
      <c r="G40" s="1">
        <f>1/(1+Summary!$O$2)^$C40</f>
        <v>0.15660536473605632</v>
      </c>
      <c r="H40" s="1">
        <f>IF(B40&gt;64, Summary!$J$17, 0)*'TV 16'!G40*'TV 16'!F40</f>
        <v>1378.5935297355961</v>
      </c>
      <c r="I40" s="1"/>
    </row>
    <row r="41" spans="1:9">
      <c r="A41" s="1">
        <f t="shared" si="4"/>
        <v>2058</v>
      </c>
      <c r="B41" s="1">
        <f t="shared" si="1"/>
        <v>88</v>
      </c>
      <c r="C41" s="1">
        <v>39</v>
      </c>
      <c r="D41" s="1">
        <f>IF(Summary!$G$17="M",VLOOKUP(B:B,'male g'!A:V,IF(A41&gt;2033,22,MATCH(A41,'male g'!$A$1:$V$1,0)),FALSE),VLOOKUP(B:B,'female g'!A:V,IF(A41&gt;2033,22,MATCH(A41,'female g'!$A$1:$V$1,0)),FALSE))</f>
        <v>7.3564853999999999E-2</v>
      </c>
      <c r="E41" s="1">
        <f t="shared" si="2"/>
        <v>0.92643514599999999</v>
      </c>
      <c r="F41" s="1">
        <f t="shared" si="3"/>
        <v>0.93462920900000002</v>
      </c>
      <c r="G41" s="1">
        <f>1/(1+Summary!$O$2)^$C41</f>
        <v>0.14914796641529171</v>
      </c>
      <c r="H41" s="1">
        <f>IF(B41&gt;64, Summary!$J$17, 0)*'TV 16'!G41*'TV 16'!F41</f>
        <v>1302.7922781590401</v>
      </c>
      <c r="I41" s="1"/>
    </row>
    <row r="42" spans="1:9">
      <c r="A42" s="1">
        <f t="shared" si="4"/>
        <v>2059</v>
      </c>
      <c r="B42" s="1">
        <f t="shared" si="1"/>
        <v>89</v>
      </c>
      <c r="C42" s="1">
        <v>40</v>
      </c>
      <c r="D42" s="1">
        <f>IF(Summary!$G$17="M",VLOOKUP(B:B,'male g'!A:V,IF(A42&gt;2033,22,MATCH(A42,'male g'!$A$1:$V$1,0)),FALSE),VLOOKUP(B:B,'female g'!A:V,IF(A42&gt;2033,22,MATCH(A42,'female g'!$A$1:$V$1,0)),FALSE))</f>
        <v>8.2758546000000002E-2</v>
      </c>
      <c r="E42" s="1">
        <f t="shared" si="2"/>
        <v>0.91724145400000001</v>
      </c>
      <c r="F42" s="1">
        <f t="shared" si="3"/>
        <v>0.92643514599999999</v>
      </c>
      <c r="G42" s="1">
        <f>1/(1+Summary!$O$2)^$C42</f>
        <v>0.14204568230027784</v>
      </c>
      <c r="H42" s="1">
        <f>IF(B42&gt;64, Summary!$J$17, 0)*'TV 16'!G42*'TV 16'!F42</f>
        <v>1229.8766314940817</v>
      </c>
      <c r="I42" s="1"/>
    </row>
    <row r="43" spans="1:9">
      <c r="A43" s="1">
        <f t="shared" si="4"/>
        <v>2060</v>
      </c>
      <c r="B43" s="1">
        <f t="shared" si="1"/>
        <v>90</v>
      </c>
      <c r="C43" s="1">
        <v>41</v>
      </c>
      <c r="D43" s="1">
        <f>IF(Summary!$G$17="M",VLOOKUP(B:B,'male g'!A:V,IF(A43&gt;2033,22,MATCH(A43,'male g'!$A$1:$V$1,0)),FALSE),VLOOKUP(B:B,'female g'!A:V,IF(A43&gt;2033,22,MATCH(A43,'female g'!$A$1:$V$1,0)),FALSE))</f>
        <v>9.3062779999999998E-2</v>
      </c>
      <c r="E43" s="1">
        <f t="shared" si="2"/>
        <v>0.90693721999999999</v>
      </c>
      <c r="F43" s="1">
        <f t="shared" si="3"/>
        <v>0.91724145400000001</v>
      </c>
      <c r="G43" s="1">
        <f>1/(1+Summary!$O$2)^$C43</f>
        <v>0.13528160219074079</v>
      </c>
      <c r="H43" s="1">
        <f>IF(B43&gt;64, Summary!$J$17, 0)*'TV 16'!G43*'TV 16'!F43</f>
        <v>1159.6873030510351</v>
      </c>
      <c r="I43" s="1"/>
    </row>
    <row r="44" spans="1:9">
      <c r="A44" s="1">
        <f t="shared" si="4"/>
        <v>2061</v>
      </c>
      <c r="B44" s="1">
        <f t="shared" si="1"/>
        <v>91</v>
      </c>
      <c r="C44" s="1">
        <v>42</v>
      </c>
      <c r="D44" s="1">
        <f>IF(Summary!$G$17="M",VLOOKUP(B:B,'male g'!A:V,IF(A44&gt;2033,22,MATCH(A44,'male g'!$A$1:$V$1,0)),FALSE),VLOOKUP(B:B,'female g'!A:V,IF(A44&gt;2033,22,MATCH(A44,'female g'!$A$1:$V$1,0)),FALSE))</f>
        <v>0.104297588</v>
      </c>
      <c r="E44" s="1">
        <f t="shared" si="2"/>
        <v>0.895702412</v>
      </c>
      <c r="F44" s="1">
        <f t="shared" si="3"/>
        <v>0.90693721999999999</v>
      </c>
      <c r="G44" s="1">
        <f>1/(1+Summary!$O$2)^$C44</f>
        <v>0.12883962113403885</v>
      </c>
      <c r="H44" s="1">
        <f>IF(B44&gt;64, Summary!$J$17, 0)*'TV 16'!G44*'TV 16'!F44</f>
        <v>1092.0566164908464</v>
      </c>
      <c r="I44" s="1"/>
    </row>
    <row r="45" spans="1:9">
      <c r="A45" s="1">
        <f t="shared" si="4"/>
        <v>2062</v>
      </c>
      <c r="B45" s="1">
        <f t="shared" si="1"/>
        <v>92</v>
      </c>
      <c r="C45" s="1">
        <v>43</v>
      </c>
      <c r="D45" s="1">
        <f>IF(Summary!$G$17="M",VLOOKUP(B:B,'male g'!A:V,IF(A45&gt;2033,22,MATCH(A45,'male g'!$A$1:$V$1,0)),FALSE),VLOOKUP(B:B,'female g'!A:V,IF(A45&gt;2033,22,MATCH(A45,'female g'!$A$1:$V$1,0)),FALSE))</f>
        <v>0.116397271</v>
      </c>
      <c r="E45" s="1">
        <f t="shared" si="2"/>
        <v>0.88360272900000003</v>
      </c>
      <c r="F45" s="1">
        <f t="shared" si="3"/>
        <v>0.895702412</v>
      </c>
      <c r="G45" s="1">
        <f>1/(1+Summary!$O$2)^$C45</f>
        <v>0.12270440108003698</v>
      </c>
      <c r="H45" s="1">
        <f>IF(B45&gt;64, Summary!$J$17, 0)*'TV 16'!G45*'TV 16'!F45</f>
        <v>1027.1701112594887</v>
      </c>
      <c r="I45" s="1"/>
    </row>
    <row r="46" spans="1:9">
      <c r="A46" s="1">
        <f t="shared" si="4"/>
        <v>2063</v>
      </c>
      <c r="B46" s="1">
        <f t="shared" si="1"/>
        <v>93</v>
      </c>
      <c r="C46" s="1">
        <v>44</v>
      </c>
      <c r="D46" s="1">
        <f>IF(Summary!$G$17="M",VLOOKUP(B:B,'male g'!A:V,IF(A46&gt;2033,22,MATCH(A46,'male g'!$A$1:$V$1,0)),FALSE),VLOOKUP(B:B,'female g'!A:V,IF(A46&gt;2033,22,MATCH(A46,'female g'!$A$1:$V$1,0)),FALSE))</f>
        <v>0.12927651700000001</v>
      </c>
      <c r="E46" s="1">
        <f t="shared" si="2"/>
        <v>0.87072348300000002</v>
      </c>
      <c r="F46" s="1">
        <f t="shared" si="3"/>
        <v>0.88360272900000003</v>
      </c>
      <c r="G46" s="1">
        <f>1/(1+Summary!$O$2)^$C46</f>
        <v>0.11686133436193999</v>
      </c>
      <c r="H46" s="1">
        <f>IF(B46&gt;64, Summary!$J$17, 0)*'TV 16'!G46*'TV 16'!F46</f>
        <v>965.04236578980237</v>
      </c>
      <c r="I46" s="1"/>
    </row>
    <row r="47" spans="1:9">
      <c r="A47" s="1">
        <f t="shared" si="4"/>
        <v>2064</v>
      </c>
      <c r="B47" s="1">
        <f t="shared" si="1"/>
        <v>94</v>
      </c>
      <c r="C47" s="1">
        <v>45</v>
      </c>
      <c r="D47" s="1">
        <f>IF(Summary!$G$17="M",VLOOKUP(B:B,'male g'!A:V,IF(A47&gt;2033,22,MATCH(A47,'male g'!$A$1:$V$1,0)),FALSE),VLOOKUP(B:B,'female g'!A:V,IF(A47&gt;2033,22,MATCH(A47,'female g'!$A$1:$V$1,0)),FALSE))</f>
        <v>0.14283962</v>
      </c>
      <c r="E47" s="1">
        <f t="shared" si="2"/>
        <v>0.85716038000000006</v>
      </c>
      <c r="F47" s="1">
        <f t="shared" si="3"/>
        <v>0.87072348300000002</v>
      </c>
      <c r="G47" s="1">
        <f>1/(1+Summary!$O$2)^$C47</f>
        <v>0.1112965089161333</v>
      </c>
      <c r="H47" s="1">
        <f>IF(B47&gt;64, Summary!$J$17, 0)*'TV 16'!G47*'TV 16'!F47</f>
        <v>905.69149450232123</v>
      </c>
      <c r="I47" s="1"/>
    </row>
    <row r="48" spans="1:9">
      <c r="A48" s="1">
        <f>$A$2+C48</f>
        <v>2065</v>
      </c>
      <c r="B48" s="1">
        <f>$B$2+C48</f>
        <v>95</v>
      </c>
      <c r="C48" s="1">
        <v>46</v>
      </c>
      <c r="D48" s="1">
        <f>IF(Summary!$G$17="M",VLOOKUP(B:B,'male g'!A:V,IF(A48&gt;2033,22,MATCH(A48,'male g'!$A$1:$V$1,0)),FALSE),VLOOKUP(B:B,'female g'!A:V,IF(A48&gt;2033,22,MATCH(A48,'female g'!$A$1:$V$1,0)),FALSE))</f>
        <v>0.15715622100000001</v>
      </c>
      <c r="E48" s="1">
        <f t="shared" si="2"/>
        <v>0.84284377899999996</v>
      </c>
      <c r="F48" s="1">
        <f t="shared" si="3"/>
        <v>0.85716038000000006</v>
      </c>
      <c r="G48" s="1">
        <f>1/(1+Summary!$O$2)^$C48</f>
        <v>0.10599667515822221</v>
      </c>
      <c r="H48" s="1">
        <f>IF(B48&gt;64, Summary!$J$17, 0)*'TV 16'!G48*'TV 16'!F48</f>
        <v>849.12733436187125</v>
      </c>
      <c r="I48" s="1"/>
    </row>
    <row r="49" spans="1:9">
      <c r="A49" s="1">
        <f t="shared" ref="A49:A73" si="5">$A$2+C49</f>
        <v>2066</v>
      </c>
      <c r="B49" s="1">
        <f t="shared" si="1"/>
        <v>96</v>
      </c>
      <c r="C49" s="1">
        <v>47</v>
      </c>
      <c r="D49" s="1">
        <f>IF(Summary!$G$17="M",VLOOKUP(B:B,'male g'!A:V,IF(A49&gt;2033,22,MATCH(A49,'male g'!$A$1:$V$1,0)),FALSE),VLOOKUP(B:B,'female g'!A:V,IF(A49&gt;2033,22,MATCH(A49,'female g'!$A$1:$V$1,0)),FALSE))</f>
        <v>0.173075216</v>
      </c>
      <c r="E49" s="1">
        <f t="shared" si="2"/>
        <v>0.82692478400000002</v>
      </c>
      <c r="F49" s="1">
        <f t="shared" si="3"/>
        <v>0.84284377899999996</v>
      </c>
      <c r="G49" s="1">
        <f>1/(1+Summary!$O$2)^$C49</f>
        <v>0.10094921443640208</v>
      </c>
      <c r="H49" s="1">
        <f>IF(B49&gt;64, Summary!$J$17, 0)*'TV 16'!G49*'TV 16'!F49</f>
        <v>795.18562302830856</v>
      </c>
      <c r="I49" s="1"/>
    </row>
    <row r="50" spans="1:9">
      <c r="A50" s="1">
        <f t="shared" si="5"/>
        <v>2067</v>
      </c>
      <c r="B50" s="1">
        <f t="shared" si="1"/>
        <v>97</v>
      </c>
      <c r="C50" s="1">
        <v>48</v>
      </c>
      <c r="D50" s="1">
        <f>IF(Summary!$G$17="M",VLOOKUP(B:B,'male g'!A:V,IF(A50&gt;2033,22,MATCH(A50,'male g'!$A$1:$V$1,0)),FALSE),VLOOKUP(B:B,'female g'!A:V,IF(A50&gt;2033,22,MATCH(A50,'female g'!$A$1:$V$1,0)),FALSE))</f>
        <v>0.18989809799999999</v>
      </c>
      <c r="E50" s="1">
        <f t="shared" si="2"/>
        <v>0.81010190199999998</v>
      </c>
      <c r="F50" s="1">
        <f t="shared" si="3"/>
        <v>0.82692478400000002</v>
      </c>
      <c r="G50" s="1">
        <f>1/(1+Summary!$O$2)^$C50</f>
        <v>9.6142108987049613E-2</v>
      </c>
      <c r="H50" s="1">
        <f>IF(B50&gt;64, Summary!$J$17, 0)*'TV 16'!G50*'TV 16'!F50</f>
        <v>743.01596112961249</v>
      </c>
      <c r="I50" s="1"/>
    </row>
    <row r="51" spans="1:9">
      <c r="A51" s="1">
        <f t="shared" si="5"/>
        <v>2068</v>
      </c>
      <c r="B51" s="1">
        <f t="shared" si="1"/>
        <v>98</v>
      </c>
      <c r="C51" s="1">
        <v>49</v>
      </c>
      <c r="D51" s="1">
        <f>IF(Summary!$G$17="M",VLOOKUP(B:B,'male g'!A:V,IF(A51&gt;2033,22,MATCH(A51,'male g'!$A$1:$V$1,0)),FALSE),VLOOKUP(B:B,'female g'!A:V,IF(A51&gt;2033,22,MATCH(A51,'female g'!$A$1:$V$1,0)),FALSE))</f>
        <v>0.2077398</v>
      </c>
      <c r="E51" s="1">
        <f t="shared" si="2"/>
        <v>0.79226019999999997</v>
      </c>
      <c r="F51" s="1">
        <f t="shared" si="3"/>
        <v>0.81010190199999998</v>
      </c>
      <c r="G51" s="1">
        <f>1/(1+Summary!$O$2)^$C51</f>
        <v>9.1563913320999626E-2</v>
      </c>
      <c r="H51" s="1">
        <f>IF(B51&gt;64, Summary!$J$17, 0)*'TV 16'!G51*'TV 16'!F51</f>
        <v>693.2382024095366</v>
      </c>
      <c r="I51" s="1"/>
    </row>
    <row r="52" spans="1:9">
      <c r="A52" s="1">
        <f t="shared" si="5"/>
        <v>2069</v>
      </c>
      <c r="B52" s="1">
        <f t="shared" si="1"/>
        <v>99</v>
      </c>
      <c r="C52" s="1">
        <v>50</v>
      </c>
      <c r="D52" s="1">
        <f>IF(Summary!$G$17="M",VLOOKUP(B:B,'male g'!A:V,IF(A52&gt;2033,22,MATCH(A52,'male g'!$A$1:$V$1,0)),FALSE),VLOOKUP(B:B,'female g'!A:V,IF(A52&gt;2033,22,MATCH(A52,'female g'!$A$1:$V$1,0)),FALSE))</f>
        <v>0.22627810600000001</v>
      </c>
      <c r="E52" s="1">
        <f t="shared" si="2"/>
        <v>0.77372189400000002</v>
      </c>
      <c r="F52" s="1">
        <f t="shared" si="3"/>
        <v>0.79226019999999997</v>
      </c>
      <c r="G52" s="1">
        <f>1/(1+Summary!$O$2)^$C52</f>
        <v>8.7203726972380588E-2</v>
      </c>
      <c r="H52" s="1">
        <f>IF(B52&gt;64, Summary!$J$17, 0)*'TV 16'!G52*'TV 16'!F52</f>
        <v>645.68600865159738</v>
      </c>
      <c r="I52" s="1"/>
    </row>
    <row r="53" spans="1:9">
      <c r="A53" s="1">
        <f t="shared" si="5"/>
        <v>2070</v>
      </c>
      <c r="B53" s="1">
        <f t="shared" si="1"/>
        <v>100</v>
      </c>
      <c r="C53" s="1">
        <v>51</v>
      </c>
      <c r="D53" s="1">
        <f>IF(Summary!$G$17="M",VLOOKUP(B:B,'male g'!A:V,IF(A53&gt;2033,22,MATCH(A53,'male g'!$A$1:$V$1,0)),FALSE),VLOOKUP(B:B,'female g'!A:V,IF(A53&gt;2033,22,MATCH(A53,'female g'!$A$1:$V$1,0)),FALSE))</f>
        <v>0.245586414</v>
      </c>
      <c r="E53" s="1">
        <f t="shared" si="2"/>
        <v>0.75441358599999997</v>
      </c>
      <c r="F53" s="1">
        <f t="shared" si="3"/>
        <v>0.77372189400000002</v>
      </c>
      <c r="G53" s="1">
        <f>1/(1+Summary!$O$2)^$C53</f>
        <v>8.3051168545124371E-2</v>
      </c>
      <c r="H53" s="1">
        <f>IF(B53&gt;64, Summary!$J$17, 0)*'TV 16'!G53*'TV 16'!F53</f>
        <v>600.54993421799736</v>
      </c>
      <c r="I53" s="1"/>
    </row>
    <row r="54" spans="1:9">
      <c r="A54" s="1">
        <f t="shared" si="5"/>
        <v>2071</v>
      </c>
      <c r="B54" s="1">
        <f t="shared" si="1"/>
        <v>101</v>
      </c>
      <c r="C54" s="1">
        <v>52</v>
      </c>
      <c r="D54" s="1">
        <f>IF(Summary!$G$17="M",VLOOKUP(B:B,'male g'!A:V,IF(A54&gt;2033,22,MATCH(A54,'male g'!$A$1:$V$1,0)),FALSE),VLOOKUP(B:B,'female g'!A:V,IF(A54&gt;2033,22,MATCH(A54,'female g'!$A$1:$V$1,0)),FALSE))</f>
        <v>0.26569467200000002</v>
      </c>
      <c r="E54" s="1">
        <f t="shared" si="2"/>
        <v>0.73430532800000003</v>
      </c>
      <c r="F54" s="1">
        <f t="shared" si="3"/>
        <v>0.75441358599999997</v>
      </c>
      <c r="G54" s="1">
        <f>1/(1+Summary!$O$2)^$C54</f>
        <v>7.9096350995356543E-2</v>
      </c>
      <c r="H54" s="1">
        <f>IF(B54&gt;64, Summary!$J$17, 0)*'TV 16'!G54*'TV 16'!F54</f>
        <v>557.67919044031862</v>
      </c>
      <c r="I54" s="1"/>
    </row>
    <row r="55" spans="1:9">
      <c r="A55" s="1">
        <f t="shared" si="5"/>
        <v>2072</v>
      </c>
      <c r="B55" s="1">
        <f t="shared" si="1"/>
        <v>102</v>
      </c>
      <c r="C55" s="1">
        <v>53</v>
      </c>
      <c r="D55" s="1">
        <f>IF(Summary!$G$17="M",VLOOKUP(B:B,'male g'!A:V,IF(A55&gt;2033,22,MATCH(A55,'male g'!$A$1:$V$1,0)),FALSE),VLOOKUP(B:B,'female g'!A:V,IF(A55&gt;2033,22,MATCH(A55,'female g'!$A$1:$V$1,0)),FALSE))</f>
        <v>0.28621307499999998</v>
      </c>
      <c r="E55" s="1">
        <f t="shared" si="2"/>
        <v>0.71378692499999996</v>
      </c>
      <c r="F55" s="1">
        <f t="shared" si="3"/>
        <v>0.73430532800000003</v>
      </c>
      <c r="G55" s="1">
        <f>1/(1+Summary!$O$2)^$C55</f>
        <v>7.5329858090815757E-2</v>
      </c>
      <c r="H55" s="1">
        <f>IF(B55&gt;64, Summary!$J$17, 0)*'TV 16'!G55*'TV 16'!F55</f>
        <v>516.96640177528843</v>
      </c>
      <c r="I55" s="1"/>
    </row>
    <row r="56" spans="1:9">
      <c r="A56" s="1">
        <f t="shared" si="5"/>
        <v>2073</v>
      </c>
      <c r="B56" s="1">
        <f t="shared" si="1"/>
        <v>103</v>
      </c>
      <c r="C56" s="1">
        <v>54</v>
      </c>
      <c r="D56" s="1">
        <f>IF(Summary!$G$17="M",VLOOKUP(B:B,'male g'!A:V,IF(A56&gt;2033,22,MATCH(A56,'male g'!$A$1:$V$1,0)),FALSE),VLOOKUP(B:B,'female g'!A:V,IF(A56&gt;2033,22,MATCH(A56,'female g'!$A$1:$V$1,0)),FALSE))</f>
        <v>0.306855239</v>
      </c>
      <c r="E56" s="1">
        <f t="shared" si="2"/>
        <v>0.693144761</v>
      </c>
      <c r="F56" s="1">
        <f t="shared" si="3"/>
        <v>0.71378692499999996</v>
      </c>
      <c r="G56" s="1">
        <f>1/(1+Summary!$O$2)^$C56</f>
        <v>7.1742721991253117E-2</v>
      </c>
      <c r="H56" s="1">
        <f>IF(B56&gt;64, Summary!$J$17, 0)*'TV 16'!G56*'TV 16'!F56</f>
        <v>478.59144221517522</v>
      </c>
      <c r="I56" s="1"/>
    </row>
    <row r="57" spans="1:9">
      <c r="A57" s="1">
        <f t="shared" si="5"/>
        <v>2074</v>
      </c>
      <c r="B57" s="1">
        <f t="shared" si="1"/>
        <v>104</v>
      </c>
      <c r="C57" s="1">
        <v>55</v>
      </c>
      <c r="D57" s="1">
        <f>IF(Summary!$G$17="M",VLOOKUP(B:B,'male g'!A:V,IF(A57&gt;2033,22,MATCH(A57,'male g'!$A$1:$V$1,0)),FALSE),VLOOKUP(B:B,'female g'!A:V,IF(A57&gt;2033,22,MATCH(A57,'female g'!$A$1:$V$1,0)),FALSE))</f>
        <v>0.32781771999999998</v>
      </c>
      <c r="E57" s="1">
        <f t="shared" si="2"/>
        <v>0.67218228000000002</v>
      </c>
      <c r="F57" s="1">
        <f t="shared" si="3"/>
        <v>0.693144761</v>
      </c>
      <c r="G57" s="1">
        <f>1/(1+Summary!$O$2)^$C57</f>
        <v>6.8326401896431521E-2</v>
      </c>
      <c r="H57" s="1">
        <f>IF(B57&gt;64, Summary!$J$17, 0)*'TV 16'!G57*'TV 16'!F57</f>
        <v>442.61995149974257</v>
      </c>
      <c r="I57" s="1"/>
    </row>
    <row r="58" spans="1:9">
      <c r="A58" s="1">
        <f t="shared" si="5"/>
        <v>2075</v>
      </c>
      <c r="B58" s="1">
        <f t="shared" si="1"/>
        <v>105</v>
      </c>
      <c r="C58" s="1">
        <v>56</v>
      </c>
      <c r="D58" s="1">
        <f>IF(Summary!$G$17="M",VLOOKUP(B:B,'male g'!A:V,IF(A58&gt;2033,22,MATCH(A58,'male g'!$A$1:$V$1,0)),FALSE),VLOOKUP(B:B,'female g'!A:V,IF(A58&gt;2033,22,MATCH(A58,'female g'!$A$1:$V$1,0)),FALSE))</f>
        <v>0.34877203800000001</v>
      </c>
      <c r="E58" s="1">
        <f t="shared" si="2"/>
        <v>0.65122796199999999</v>
      </c>
      <c r="F58" s="1">
        <f t="shared" si="3"/>
        <v>0.67218228000000002</v>
      </c>
      <c r="G58" s="1">
        <f>1/(1+Summary!$O$2)^$C58</f>
        <v>6.5072763710887174E-2</v>
      </c>
      <c r="H58" s="1">
        <f>IF(B58&gt;64, Summary!$J$17, 0)*'TV 16'!G58*'TV 16'!F58</f>
        <v>408.79427174003507</v>
      </c>
      <c r="I58" s="1"/>
    </row>
    <row r="59" spans="1:9">
      <c r="A59" s="1">
        <f t="shared" si="5"/>
        <v>2076</v>
      </c>
      <c r="B59" s="1">
        <f t="shared" si="1"/>
        <v>106</v>
      </c>
      <c r="C59" s="1">
        <v>57</v>
      </c>
      <c r="D59" s="1">
        <f>IF(Summary!$G$17="M",VLOOKUP(B:B,'male g'!A:V,IF(A59&gt;2033,22,MATCH(A59,'male g'!$A$1:$V$1,0)),FALSE),VLOOKUP(B:B,'female g'!A:V,IF(A59&gt;2033,22,MATCH(A59,'female g'!$A$1:$V$1,0)),FALSE))</f>
        <v>0.36963544999999998</v>
      </c>
      <c r="E59" s="1">
        <f t="shared" si="2"/>
        <v>0.63036455000000002</v>
      </c>
      <c r="F59" s="1">
        <f t="shared" si="3"/>
        <v>0.65122796199999999</v>
      </c>
      <c r="G59" s="1">
        <f>1/(1+Summary!$O$2)^$C59</f>
        <v>6.1974060677035397E-2</v>
      </c>
      <c r="H59" s="1">
        <f>IF(B59&gt;64, Summary!$J$17, 0)*'TV 16'!G59*'TV 16'!F59</f>
        <v>377.19113993976691</v>
      </c>
      <c r="I59" s="1"/>
    </row>
    <row r="60" spans="1:9">
      <c r="A60" s="1">
        <f t="shared" si="5"/>
        <v>2077</v>
      </c>
      <c r="B60" s="1">
        <f t="shared" si="1"/>
        <v>107</v>
      </c>
      <c r="C60" s="1">
        <v>58</v>
      </c>
      <c r="D60" s="1">
        <f>IF(Summary!$G$17="M",VLOOKUP(B:B,'male g'!A:V,IF(A60&gt;2033,22,MATCH(A60,'male g'!$A$1:$V$1,0)),FALSE),VLOOKUP(B:B,'female g'!A:V,IF(A60&gt;2033,22,MATCH(A60,'female g'!$A$1:$V$1,0)),FALSE))</f>
        <v>0.39012102100000001</v>
      </c>
      <c r="E60" s="1">
        <f t="shared" si="2"/>
        <v>0.60987897899999999</v>
      </c>
      <c r="F60" s="1">
        <f t="shared" si="3"/>
        <v>0.63036455000000002</v>
      </c>
      <c r="G60" s="1">
        <f>1/(1+Summary!$O$2)^$C60</f>
        <v>5.9022914930509894E-2</v>
      </c>
      <c r="H60" s="1">
        <f>IF(B60&gt;64, Summary!$J$17, 0)*'TV 16'!G60*'TV 16'!F60</f>
        <v>347.72100454640895</v>
      </c>
      <c r="I60" s="1"/>
    </row>
    <row r="61" spans="1:9">
      <c r="A61" s="1">
        <f t="shared" si="5"/>
        <v>2078</v>
      </c>
      <c r="B61" s="1">
        <f t="shared" si="1"/>
        <v>108</v>
      </c>
      <c r="C61" s="1">
        <v>59</v>
      </c>
      <c r="D61" s="1">
        <f>IF(Summary!$G$17="M",VLOOKUP(B:B,'male g'!A:V,IF(A61&gt;2033,22,MATCH(A61,'male g'!$A$1:$V$1,0)),FALSE),VLOOKUP(B:B,'female g'!A:V,IF(A61&gt;2033,22,MATCH(A61,'female g'!$A$1:$V$1,0)),FALSE))</f>
        <v>0.40992095000000001</v>
      </c>
      <c r="E61" s="1">
        <f t="shared" si="2"/>
        <v>0.59007904999999994</v>
      </c>
      <c r="F61" s="1">
        <f t="shared" si="3"/>
        <v>0.60987897899999999</v>
      </c>
      <c r="G61" s="1">
        <f>1/(1+Summary!$O$2)^$C61</f>
        <v>5.6212299933818946E-2</v>
      </c>
      <c r="H61" s="1">
        <f>IF(B61&gt;64, Summary!$J$17, 0)*'TV 16'!G61*'TV 16'!F61</f>
        <v>320.40073928289854</v>
      </c>
      <c r="I61" s="1"/>
    </row>
    <row r="62" spans="1:9">
      <c r="A62" s="1">
        <f t="shared" si="5"/>
        <v>2079</v>
      </c>
      <c r="B62" s="1">
        <f t="shared" si="1"/>
        <v>109</v>
      </c>
      <c r="C62" s="1">
        <v>60</v>
      </c>
      <c r="D62" s="1">
        <f>IF(Summary!$G$17="M",VLOOKUP(B:B,'male g'!A:V,IF(A62&gt;2033,22,MATCH(A62,'male g'!$A$1:$V$1,0)),FALSE),VLOOKUP(B:B,'female g'!A:V,IF(A62&gt;2033,22,MATCH(A62,'female g'!$A$1:$V$1,0)),FALSE))</f>
        <v>0.42944720199999997</v>
      </c>
      <c r="E62" s="1">
        <f t="shared" si="2"/>
        <v>0.57055279800000003</v>
      </c>
      <c r="F62" s="1">
        <f t="shared" si="3"/>
        <v>0.59007904999999994</v>
      </c>
      <c r="G62" s="1">
        <f>1/(1+Summary!$O$2)^$C62</f>
        <v>5.3535523746494243E-2</v>
      </c>
      <c r="H62" s="1">
        <f>IF(B62&gt;64, Summary!$J$17, 0)*'TV 16'!G62*'TV 16'!F62</f>
        <v>295.23697146377856</v>
      </c>
      <c r="I62" s="1"/>
    </row>
    <row r="63" spans="1:9">
      <c r="A63" s="1">
        <f t="shared" si="5"/>
        <v>2080</v>
      </c>
      <c r="B63" s="1">
        <f t="shared" si="1"/>
        <v>110</v>
      </c>
      <c r="C63" s="1">
        <v>61</v>
      </c>
      <c r="D63" s="1">
        <f>IF(Summary!$G$17="M",VLOOKUP(B:B,'male g'!A:V,IF(A63&gt;2033,22,MATCH(A63,'male g'!$A$1:$V$1,0)),FALSE),VLOOKUP(B:B,'female g'!A:V,IF(A63&gt;2033,22,MATCH(A63,'female g'!$A$1:$V$1,0)),FALSE))</f>
        <v>0.44824126199999997</v>
      </c>
      <c r="E63" s="1">
        <f t="shared" si="2"/>
        <v>0.55175873799999997</v>
      </c>
      <c r="F63" s="1">
        <f t="shared" si="3"/>
        <v>0.57055279800000003</v>
      </c>
      <c r="G63" s="1">
        <f>1/(1+Summary!$O$2)^$C63</f>
        <v>5.0986213091899268E-2</v>
      </c>
      <c r="H63" s="1">
        <f>IF(B63&gt;64, Summary!$J$17, 0)*'TV 16'!G63*'TV 16'!F63</f>
        <v>271.87363026748784</v>
      </c>
      <c r="I63" s="1"/>
    </row>
    <row r="64" spans="1:9">
      <c r="A64" s="1">
        <f t="shared" si="5"/>
        <v>2081</v>
      </c>
      <c r="B64" s="1">
        <f t="shared" si="1"/>
        <v>111</v>
      </c>
      <c r="C64" s="1">
        <v>62</v>
      </c>
      <c r="D64" s="1">
        <f>IF(Summary!$G$17="M",VLOOKUP(B:B,'male g'!A:V,IF(A64&gt;2033,22,MATCH(A64,'male g'!$A$1:$V$1,0)),FALSE),VLOOKUP(B:B,'female g'!A:V,IF(A64&gt;2033,22,MATCH(A64,'female g'!$A$1:$V$1,0)),FALSE))</f>
        <v>0.46617251599999998</v>
      </c>
      <c r="E64" s="1">
        <f t="shared" si="2"/>
        <v>0.53382748400000002</v>
      </c>
      <c r="F64" s="1">
        <f t="shared" si="3"/>
        <v>0.55175873799999997</v>
      </c>
      <c r="G64" s="1">
        <f>1/(1+Summary!$O$2)^$C64</f>
        <v>4.855829818276123E-2</v>
      </c>
      <c r="H64" s="1">
        <f>IF(B64&gt;64, Summary!$J$17, 0)*'TV 16'!G64*'TV 16'!F64</f>
        <v>250.39817967968364</v>
      </c>
      <c r="I64" s="1"/>
    </row>
    <row r="65" spans="1:9">
      <c r="A65" s="1">
        <f t="shared" si="5"/>
        <v>2082</v>
      </c>
      <c r="B65" s="1">
        <f t="shared" si="1"/>
        <v>112</v>
      </c>
      <c r="C65" s="1">
        <v>63</v>
      </c>
      <c r="D65" s="1">
        <f>IF(Summary!$G$17="M",VLOOKUP(B:B,'male g'!A:V,IF(A65&gt;2033,22,MATCH(A65,'male g'!$A$1:$V$1,0)),FALSE),VLOOKUP(B:B,'female g'!A:V,IF(A65&gt;2033,22,MATCH(A65,'female g'!$A$1:$V$1,0)),FALSE))</f>
        <v>0.48365765799999999</v>
      </c>
      <c r="E65" s="1">
        <f t="shared" si="2"/>
        <v>0.51634234199999995</v>
      </c>
      <c r="F65" s="1">
        <f t="shared" si="3"/>
        <v>0.53382748400000002</v>
      </c>
      <c r="G65" s="1">
        <f>1/(1+Summary!$O$2)^$C65</f>
        <v>4.6245998269296387E-2</v>
      </c>
      <c r="H65" s="1">
        <f>IF(B65&gt;64, Summary!$J$17, 0)*'TV 16'!G65*'TV 16'!F65</f>
        <v>230.72442813218498</v>
      </c>
      <c r="I65" s="1"/>
    </row>
    <row r="66" spans="1:9">
      <c r="A66" s="1">
        <f t="shared" si="5"/>
        <v>2083</v>
      </c>
      <c r="B66" s="1">
        <f t="shared" si="1"/>
        <v>113</v>
      </c>
      <c r="C66" s="1">
        <v>64</v>
      </c>
      <c r="D66" s="1">
        <f>IF(Summary!$G$17="M",VLOOKUP(B:B,'male g'!A:V,IF(A66&gt;2033,22,MATCH(A66,'male g'!$A$1:$V$1,0)),FALSE),VLOOKUP(B:B,'female g'!A:V,IF(A66&gt;2033,22,MATCH(A66,'female g'!$A$1:$V$1,0)),FALSE))</f>
        <v>0.49353991000000003</v>
      </c>
      <c r="E66" s="1">
        <f t="shared" si="2"/>
        <v>0.50646009000000003</v>
      </c>
      <c r="F66" s="1">
        <f t="shared" si="3"/>
        <v>0.51634234199999995</v>
      </c>
      <c r="G66" s="1">
        <f>1/(1+Summary!$O$2)^$C66</f>
        <v>4.4043807875520369E-2</v>
      </c>
      <c r="H66" s="1">
        <f>IF(B66&gt;64, Summary!$J$17, 0)*'TV 16'!G66*'TV 16'!F66</f>
        <v>212.54020241344855</v>
      </c>
      <c r="I66" s="1"/>
    </row>
    <row r="67" spans="1:9">
      <c r="A67" s="1">
        <f t="shared" si="5"/>
        <v>2084</v>
      </c>
      <c r="B67" s="1">
        <f t="shared" si="1"/>
        <v>114</v>
      </c>
      <c r="C67" s="1">
        <v>65</v>
      </c>
      <c r="D67" s="1">
        <f>IF(Summary!$G$17="M",VLOOKUP(B:B,'male g'!A:V,IF(A67&gt;2033,22,MATCH(A67,'male g'!$A$1:$V$1,0)),FALSE),VLOOKUP(B:B,'female g'!A:V,IF(A67&gt;2033,22,MATCH(A67,'female g'!$A$1:$V$1,0)),FALSE))</f>
        <v>0.49666062900000002</v>
      </c>
      <c r="E67" s="1">
        <f t="shared" si="2"/>
        <v>0.50333937100000004</v>
      </c>
      <c r="F67" s="1">
        <f t="shared" si="3"/>
        <v>0.50646009000000003</v>
      </c>
      <c r="G67" s="1">
        <f>1/(1+Summary!$O$2)^$C67</f>
        <v>4.1946483690971779E-2</v>
      </c>
      <c r="H67" s="1">
        <f>IF(B67&gt;64, Summary!$J$17, 0)*'TV 16'!G67*'TV 16'!F67</f>
        <v>198.54514799321959</v>
      </c>
      <c r="I67" s="1"/>
    </row>
    <row r="68" spans="1:9">
      <c r="A68" s="1">
        <f t="shared" si="5"/>
        <v>2085</v>
      </c>
      <c r="B68" s="1">
        <f t="shared" ref="B68:B73" si="6">$B$2+C68</f>
        <v>115</v>
      </c>
      <c r="C68" s="1">
        <v>66</v>
      </c>
      <c r="D68" s="1">
        <f>IF(Summary!$G$17="M",VLOOKUP(B:B,'male g'!A:V,IF(A68&gt;2033,22,MATCH(A68,'male g'!$A$1:$V$1,0)),FALSE),VLOOKUP(B:B,'female g'!A:V,IF(A68&gt;2033,22,MATCH(A68,'female g'!$A$1:$V$1,0)),FALSE))</f>
        <v>0.5</v>
      </c>
      <c r="E68" s="1">
        <f t="shared" ref="E68:E73" si="7">1-D68</f>
        <v>0.5</v>
      </c>
      <c r="F68" s="1">
        <f t="shared" ref="F68:F73" si="8">E67</f>
        <v>0.50333937100000004</v>
      </c>
      <c r="G68" s="1">
        <f>1/(1+Summary!$O$2)^$C68</f>
        <v>3.9949032086639788E-2</v>
      </c>
      <c r="H68" s="1">
        <f>IF(B68&gt;64, Summary!$J$17, 0)*'TV 16'!G68*'TV 16'!F68</f>
        <v>187.92547363690036</v>
      </c>
      <c r="I68" s="1"/>
    </row>
    <row r="69" spans="1:9">
      <c r="A69" s="1">
        <f t="shared" si="5"/>
        <v>2086</v>
      </c>
      <c r="B69" s="1">
        <f t="shared" si="6"/>
        <v>116</v>
      </c>
      <c r="C69" s="1">
        <v>67</v>
      </c>
      <c r="D69" s="1">
        <f>IF(Summary!$G$17="M",VLOOKUP(B:B,'male g'!A:V,IF(A69&gt;2033,22,MATCH(A69,'male g'!$A$1:$V$1,0)),FALSE),VLOOKUP(B:B,'female g'!A:V,IF(A69&gt;2033,22,MATCH(A69,'female g'!$A$1:$V$1,0)),FALSE))</f>
        <v>0.5</v>
      </c>
      <c r="E69" s="1">
        <f t="shared" si="7"/>
        <v>0.5</v>
      </c>
      <c r="F69" s="1">
        <f t="shared" si="8"/>
        <v>0.5</v>
      </c>
      <c r="G69" s="1">
        <f>1/(1+Summary!$O$2)^$C69</f>
        <v>3.8046697225371226E-2</v>
      </c>
      <c r="H69" s="1">
        <f>IF(B69&gt;64, Summary!$J$17, 0)*'TV 16'!G69*'TV 16'!F69</f>
        <v>177.78923314042996</v>
      </c>
      <c r="I69" s="1"/>
    </row>
    <row r="70" spans="1:9">
      <c r="A70" s="1">
        <f t="shared" si="5"/>
        <v>2087</v>
      </c>
      <c r="B70" s="1">
        <f t="shared" si="6"/>
        <v>117</v>
      </c>
      <c r="C70" s="1">
        <v>68</v>
      </c>
      <c r="D70" s="1">
        <f>IF(Summary!$G$17="M",VLOOKUP(B:B,'male g'!A:V,IF(A70&gt;2033,22,MATCH(A70,'male g'!$A$1:$V$1,0)),FALSE),VLOOKUP(B:B,'female g'!A:V,IF(A70&gt;2033,22,MATCH(A70,'female g'!$A$1:$V$1,0)),FALSE))</f>
        <v>0.5</v>
      </c>
      <c r="E70" s="1">
        <f t="shared" si="7"/>
        <v>0.5</v>
      </c>
      <c r="F70" s="1">
        <f t="shared" si="8"/>
        <v>0.5</v>
      </c>
      <c r="G70" s="1">
        <f>1/(1+Summary!$O$2)^$C70</f>
        <v>3.6234949738448791E-2</v>
      </c>
      <c r="H70" s="1">
        <f>IF(B70&gt;64, Summary!$J$17, 0)*'TV 16'!G70*'TV 16'!F70</f>
        <v>169.32307918136186</v>
      </c>
      <c r="I70" s="1"/>
    </row>
    <row r="71" spans="1:9">
      <c r="A71" s="1">
        <f t="shared" si="5"/>
        <v>2088</v>
      </c>
      <c r="B71" s="1">
        <f t="shared" si="6"/>
        <v>118</v>
      </c>
      <c r="C71" s="1">
        <v>69</v>
      </c>
      <c r="D71" s="1">
        <f>IF(Summary!$G$17="M",VLOOKUP(B:B,'male g'!A:V,IF(A71&gt;2033,22,MATCH(A71,'male g'!$A$1:$V$1,0)),FALSE),VLOOKUP(B:B,'female g'!A:V,IF(A71&gt;2033,22,MATCH(A71,'female g'!$A$1:$V$1,0)),FALSE))</f>
        <v>0.5</v>
      </c>
      <c r="E71" s="1">
        <f t="shared" si="7"/>
        <v>0.5</v>
      </c>
      <c r="F71" s="1">
        <f t="shared" si="8"/>
        <v>0.5</v>
      </c>
      <c r="G71" s="1">
        <f>1/(1+Summary!$O$2)^$C71</f>
        <v>3.4509475941379798E-2</v>
      </c>
      <c r="H71" s="1">
        <f>IF(B71&gt;64, Summary!$J$17, 0)*'TV 16'!G71*'TV 16'!F71</f>
        <v>161.26007541082083</v>
      </c>
      <c r="I71" s="1"/>
    </row>
    <row r="72" spans="1:9">
      <c r="A72" s="1">
        <f t="shared" si="5"/>
        <v>2089</v>
      </c>
      <c r="B72" s="1">
        <f t="shared" si="6"/>
        <v>119</v>
      </c>
      <c r="C72" s="1">
        <v>70</v>
      </c>
      <c r="D72" s="1">
        <f>IF(Summary!$G$17="M",VLOOKUP(B:B,'male g'!A:V,IF(A72&gt;2033,22,MATCH(A72,'male g'!$A$1:$V$1,0)),FALSE),VLOOKUP(B:B,'female g'!A:V,IF(A72&gt;2033,22,MATCH(A72,'female g'!$A$1:$V$1,0)),FALSE))</f>
        <v>0.5</v>
      </c>
      <c r="E72" s="1">
        <f t="shared" si="7"/>
        <v>0.5</v>
      </c>
      <c r="F72" s="1">
        <f t="shared" si="8"/>
        <v>0.5</v>
      </c>
      <c r="G72" s="1">
        <f>1/(1+Summary!$O$2)^$C72</f>
        <v>3.2866167563218862E-2</v>
      </c>
      <c r="H72" s="1">
        <f>IF(B72&gt;64, Summary!$J$17, 0)*'TV 16'!G72*'TV 16'!F72</f>
        <v>153.58102420078177</v>
      </c>
      <c r="I72" s="1"/>
    </row>
    <row r="73" spans="1:9">
      <c r="A73" s="1">
        <f t="shared" si="5"/>
        <v>2090</v>
      </c>
      <c r="B73" s="1">
        <f t="shared" si="6"/>
        <v>120</v>
      </c>
      <c r="C73" s="1">
        <v>71</v>
      </c>
      <c r="D73" s="1">
        <f>IF(Summary!$G$17="M",VLOOKUP(B:B,'male g'!A:V,IF(A73&gt;2033,22,MATCH(A73,'male g'!$A$1:$V$1,0)),FALSE),VLOOKUP(B:B,'female g'!A:V,IF(A73&gt;2033,22,MATCH(A73,'female g'!$A$1:$V$1,0)),FALSE))</f>
        <v>1</v>
      </c>
      <c r="E73" s="1">
        <f t="shared" si="7"/>
        <v>0</v>
      </c>
      <c r="F73" s="1">
        <f t="shared" si="8"/>
        <v>0.5</v>
      </c>
      <c r="G73" s="1">
        <f>1/(1+Summary!$O$2)^$C73</f>
        <v>3.1301111964970339E-2</v>
      </c>
      <c r="H73" s="1">
        <f>IF(B73&gt;64, Summary!$J$17, 0)*'TV 16'!G73*'TV 16'!F73</f>
        <v>146.26764209598261</v>
      </c>
      <c r="I73" s="1"/>
    </row>
    <row r="74" spans="1:9">
      <c r="A74" s="1"/>
    </row>
    <row r="75" spans="1:9">
      <c r="A75" s="1"/>
    </row>
    <row r="76" spans="1:9">
      <c r="A76" s="1"/>
    </row>
    <row r="77" spans="1:9">
      <c r="A77" s="1"/>
    </row>
    <row r="78" spans="1:9">
      <c r="A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98"/>
  <sheetViews>
    <sheetView workbookViewId="0">
      <selection activeCell="D70" sqref="D70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Summary!H18</f>
        <v>49</v>
      </c>
      <c r="C2" s="1">
        <v>0</v>
      </c>
      <c r="D2" s="1">
        <f>IF(Summary!$G$18="M",VLOOKUP(B:B,'male g'!A:V,IF(A2&gt;2033,22,MATCH(A2,'male g'!$A$1:$V$1,0)),FALSE),VLOOKUP(B:B,'female g'!A:V,IF(A2&gt;2033,22,MATCH(A2,'female g'!$A$1:$V$1,0)),FALSE))</f>
        <v>9.776959999999999E-4</v>
      </c>
      <c r="E2" s="1">
        <f>1-D2</f>
        <v>0.99902230400000003</v>
      </c>
      <c r="F2" s="1">
        <v>1</v>
      </c>
      <c r="G2" s="1">
        <f>1/(1+Summary!$O$2)^$C2</f>
        <v>1</v>
      </c>
      <c r="H2" s="1">
        <f>IF(B2&gt;64, Summary!$J$18, 0)*'TV 17'!G2*'TV 17'!F2</f>
        <v>0</v>
      </c>
      <c r="I2" s="1">
        <f>SUM(H2:H73)</f>
        <v>67499.335001312516</v>
      </c>
    </row>
    <row r="3" spans="1:9">
      <c r="A3" s="1">
        <f>$A$2+C3</f>
        <v>2020</v>
      </c>
      <c r="B3" s="1">
        <f>$B$2+C3</f>
        <v>50</v>
      </c>
      <c r="C3" s="1">
        <v>1</v>
      </c>
      <c r="D3" s="1">
        <f>IF(Summary!$G$18="M",VLOOKUP(B:B,'male g'!A:V,IF(A3&gt;2033,22,MATCH(A3,'male g'!$A$1:$V$1,0)),FALSE),VLOOKUP(B:B,'female g'!A:V,IF(A3&gt;2033,22,MATCH(A3,'female g'!$A$1:$V$1,0)),FALSE))</f>
        <v>2.6962610000000001E-3</v>
      </c>
      <c r="E3" s="1">
        <f>1-D3</f>
        <v>0.99730373900000002</v>
      </c>
      <c r="F3" s="1">
        <f>E2</f>
        <v>0.99902230400000003</v>
      </c>
      <c r="G3" s="1">
        <f>1/(1+Summary!$O$2)^$C3</f>
        <v>0.95238095238095233</v>
      </c>
      <c r="H3" s="1">
        <f>IF(B3&gt;64, Summary!$J$2, 0)*'TV 17'!G3*'TV 17'!F3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51</v>
      </c>
      <c r="C4" s="1">
        <v>2</v>
      </c>
      <c r="D4" s="1">
        <f>IF(Summary!$G$18="M",VLOOKUP(B:B,'male g'!A:V,IF(A4&gt;2033,22,MATCH(A4,'male g'!$A$1:$V$1,0)),FALSE),VLOOKUP(B:B,'female g'!A:V,IF(A4&gt;2033,22,MATCH(A4,'female g'!$A$1:$V$1,0)),FALSE))</f>
        <v>2.8265920000000002E-3</v>
      </c>
      <c r="E4" s="1">
        <f t="shared" ref="E4:E67" si="2">1-D4</f>
        <v>0.99717340799999998</v>
      </c>
      <c r="F4" s="1">
        <f t="shared" ref="F4:F67" si="3">E3</f>
        <v>0.99730373900000002</v>
      </c>
      <c r="G4" s="1">
        <f>1/(1+Summary!$O$2)^$C4</f>
        <v>0.90702947845804982</v>
      </c>
      <c r="H4" s="1">
        <f>IF(B4&gt;64, Summary!$J$2, 0)*'TV 17'!G4*'TV 17'!F4</f>
        <v>0</v>
      </c>
      <c r="I4" s="1"/>
    </row>
    <row r="5" spans="1:9">
      <c r="A5" s="1">
        <f t="shared" si="0"/>
        <v>2022</v>
      </c>
      <c r="B5" s="1">
        <f t="shared" si="1"/>
        <v>52</v>
      </c>
      <c r="C5" s="1">
        <v>3</v>
      </c>
      <c r="D5" s="1">
        <f>IF(Summary!$G$18="M",VLOOKUP(B:B,'male g'!A:V,IF(A5&gt;2033,22,MATCH(A5,'male g'!$A$1:$V$1,0)),FALSE),VLOOKUP(B:B,'female g'!A:V,IF(A5&gt;2033,22,MATCH(A5,'female g'!$A$1:$V$1,0)),FALSE))</f>
        <v>2.9762410000000001E-3</v>
      </c>
      <c r="E5" s="1">
        <f t="shared" si="2"/>
        <v>0.99702375899999995</v>
      </c>
      <c r="F5" s="1">
        <f t="shared" si="3"/>
        <v>0.99717340799999998</v>
      </c>
      <c r="G5" s="1">
        <f>1/(1+Summary!$O$2)^$C5</f>
        <v>0.86383759853147601</v>
      </c>
      <c r="H5" s="1">
        <f>IF(B5&gt;64, Summary!$J$2, 0)*'TV 17'!G5*'TV 17'!F5</f>
        <v>0</v>
      </c>
      <c r="I5" s="1"/>
    </row>
    <row r="6" spans="1:9">
      <c r="A6" s="1">
        <f t="shared" si="0"/>
        <v>2023</v>
      </c>
      <c r="B6" s="1">
        <f t="shared" si="1"/>
        <v>53</v>
      </c>
      <c r="C6" s="1">
        <v>4</v>
      </c>
      <c r="D6" s="1">
        <f>IF(Summary!$G$18="M",VLOOKUP(B:B,'male g'!A:V,IF(A6&gt;2033,22,MATCH(A6,'male g'!$A$1:$V$1,0)),FALSE),VLOOKUP(B:B,'female g'!A:V,IF(A6&gt;2033,22,MATCH(A6,'female g'!$A$1:$V$1,0)),FALSE))</f>
        <v>3.1447369999999999E-3</v>
      </c>
      <c r="E6" s="1">
        <f t="shared" si="2"/>
        <v>0.99685526300000005</v>
      </c>
      <c r="F6" s="1">
        <f t="shared" si="3"/>
        <v>0.99702375899999995</v>
      </c>
      <c r="G6" s="1">
        <f>1/(1+Summary!$O$2)^$C6</f>
        <v>0.82270247479188197</v>
      </c>
      <c r="H6" s="1">
        <f>IF(B6&gt;64, Summary!$J$2, 0)*'TV 17'!G6*'TV 17'!F6</f>
        <v>0</v>
      </c>
      <c r="I6" s="1"/>
    </row>
    <row r="7" spans="1:9">
      <c r="A7" s="1">
        <f t="shared" si="0"/>
        <v>2024</v>
      </c>
      <c r="B7" s="1">
        <f t="shared" si="1"/>
        <v>54</v>
      </c>
      <c r="C7" s="1">
        <v>5</v>
      </c>
      <c r="D7" s="1">
        <f>IF(Summary!$G$18="M",VLOOKUP(B:B,'male g'!A:V,IF(A7&gt;2033,22,MATCH(A7,'male g'!$A$1:$V$1,0)),FALSE),VLOOKUP(B:B,'female g'!A:V,IF(A7&gt;2033,22,MATCH(A7,'female g'!$A$1:$V$1,0)),FALSE))</f>
        <v>3.3325659999999999E-3</v>
      </c>
      <c r="E7" s="1">
        <f t="shared" si="2"/>
        <v>0.99666743400000002</v>
      </c>
      <c r="F7" s="1">
        <f t="shared" si="3"/>
        <v>0.99685526300000005</v>
      </c>
      <c r="G7" s="1">
        <f>1/(1+Summary!$O$2)^$C7</f>
        <v>0.78352616646845896</v>
      </c>
      <c r="H7" s="1">
        <f>IF(B7&gt;64, Summary!$J$2, 0)*'TV 17'!G7*'TV 17'!F7</f>
        <v>0</v>
      </c>
      <c r="I7" s="1"/>
    </row>
    <row r="8" spans="1:9">
      <c r="A8" s="1">
        <f t="shared" si="0"/>
        <v>2025</v>
      </c>
      <c r="B8" s="1">
        <f t="shared" si="1"/>
        <v>55</v>
      </c>
      <c r="C8" s="1">
        <v>6</v>
      </c>
      <c r="D8" s="1">
        <f>IF(Summary!$G$18="M",VLOOKUP(B:B,'male g'!A:V,IF(A8&gt;2033,22,MATCH(A8,'male g'!$A$1:$V$1,0)),FALSE),VLOOKUP(B:B,'female g'!A:V,IF(A8&gt;2033,22,MATCH(A8,'female g'!$A$1:$V$1,0)),FALSE))</f>
        <v>3.5437979999999999E-3</v>
      </c>
      <c r="E8" s="1">
        <f t="shared" si="2"/>
        <v>0.99645620199999996</v>
      </c>
      <c r="F8" s="1">
        <f t="shared" si="3"/>
        <v>0.99666743400000002</v>
      </c>
      <c r="G8" s="1">
        <f>1/(1+Summary!$O$2)^$C8</f>
        <v>0.74621539663662761</v>
      </c>
      <c r="H8" s="1">
        <f>IF(B8&gt;64, Summary!$J$2, 0)*'TV 17'!G8*'TV 17'!F8</f>
        <v>0</v>
      </c>
      <c r="I8" s="1"/>
    </row>
    <row r="9" spans="1:9">
      <c r="A9" s="1">
        <f t="shared" si="0"/>
        <v>2026</v>
      </c>
      <c r="B9" s="1">
        <f t="shared" si="1"/>
        <v>56</v>
      </c>
      <c r="C9" s="1">
        <v>7</v>
      </c>
      <c r="D9" s="1">
        <f>IF(Summary!$G$18="M",VLOOKUP(B:B,'male g'!A:V,IF(A9&gt;2033,22,MATCH(A9,'male g'!$A$1:$V$1,0)),FALSE),VLOOKUP(B:B,'female g'!A:V,IF(A9&gt;2033,22,MATCH(A9,'female g'!$A$1:$V$1,0)),FALSE))</f>
        <v>3.7789210000000002E-3</v>
      </c>
      <c r="E9" s="1">
        <f t="shared" si="2"/>
        <v>0.99622107900000001</v>
      </c>
      <c r="F9" s="1">
        <f t="shared" si="3"/>
        <v>0.99645620199999996</v>
      </c>
      <c r="G9" s="1">
        <f>1/(1+Summary!$O$2)^$C9</f>
        <v>0.71068133013012147</v>
      </c>
      <c r="H9" s="1">
        <f>IF(B9&gt;64, Summary!$J$2, 0)*'TV 17'!G9*'TV 17'!F9</f>
        <v>0</v>
      </c>
      <c r="I9" s="1"/>
    </row>
    <row r="10" spans="1:9">
      <c r="A10" s="1">
        <f t="shared" si="0"/>
        <v>2027</v>
      </c>
      <c r="B10" s="1">
        <f t="shared" si="1"/>
        <v>57</v>
      </c>
      <c r="C10" s="1">
        <v>8</v>
      </c>
      <c r="D10" s="1">
        <f>IF(Summary!$G$18="M",VLOOKUP(B:B,'male g'!A:V,IF(A10&gt;2033,22,MATCH(A10,'male g'!$A$1:$V$1,0)),FALSE),VLOOKUP(B:B,'female g'!A:V,IF(A10&gt;2033,22,MATCH(A10,'female g'!$A$1:$V$1,0)),FALSE))</f>
        <v>4.0422619999999996E-3</v>
      </c>
      <c r="E10" s="1">
        <f t="shared" si="2"/>
        <v>0.99595773799999998</v>
      </c>
      <c r="F10" s="1">
        <f t="shared" si="3"/>
        <v>0.99622107900000001</v>
      </c>
      <c r="G10" s="1">
        <f>1/(1+Summary!$O$2)^$C10</f>
        <v>0.67683936202868722</v>
      </c>
      <c r="H10" s="1">
        <f>IF(B10&gt;64, Summary!$J$2, 0)*'TV 17'!G10*'TV 17'!F10</f>
        <v>0</v>
      </c>
      <c r="I10" s="1"/>
    </row>
    <row r="11" spans="1:9">
      <c r="A11" s="1">
        <f t="shared" si="0"/>
        <v>2028</v>
      </c>
      <c r="B11" s="1">
        <f t="shared" si="1"/>
        <v>58</v>
      </c>
      <c r="C11" s="1">
        <v>9</v>
      </c>
      <c r="D11" s="1">
        <f>IF(Summary!$G$18="M",VLOOKUP(B:B,'male g'!A:V,IF(A11&gt;2033,22,MATCH(A11,'male g'!$A$1:$V$1,0)),FALSE),VLOOKUP(B:B,'female g'!A:V,IF(A11&gt;2033,22,MATCH(A11,'female g'!$A$1:$V$1,0)),FALSE))</f>
        <v>4.3327410000000002E-3</v>
      </c>
      <c r="E11" s="1">
        <f t="shared" si="2"/>
        <v>0.99566725899999997</v>
      </c>
      <c r="F11" s="1">
        <f t="shared" si="3"/>
        <v>0.99595773799999998</v>
      </c>
      <c r="G11" s="1">
        <f>1/(1+Summary!$O$2)^$C11</f>
        <v>0.64460891621779726</v>
      </c>
      <c r="H11" s="1">
        <f>IF(B11&gt;64, Summary!$J$2, 0)*'TV 17'!G11*'TV 17'!F11</f>
        <v>0</v>
      </c>
      <c r="I11" s="1"/>
    </row>
    <row r="12" spans="1:9">
      <c r="A12" s="1">
        <f t="shared" si="0"/>
        <v>2029</v>
      </c>
      <c r="B12" s="1">
        <f t="shared" si="1"/>
        <v>59</v>
      </c>
      <c r="C12" s="1">
        <v>10</v>
      </c>
      <c r="D12" s="1">
        <f>IF(Summary!$G$18="M",VLOOKUP(B:B,'male g'!A:V,IF(A12&gt;2033,22,MATCH(A12,'male g'!$A$1:$V$1,0)),FALSE),VLOOKUP(B:B,'female g'!A:V,IF(A12&gt;2033,22,MATCH(A12,'female g'!$A$1:$V$1,0)),FALSE))</f>
        <v>4.6544810000000002E-3</v>
      </c>
      <c r="E12" s="1">
        <f t="shared" si="2"/>
        <v>0.99534551900000001</v>
      </c>
      <c r="F12" s="1">
        <f t="shared" si="3"/>
        <v>0.99566725899999997</v>
      </c>
      <c r="G12" s="1">
        <f>1/(1+Summary!$O$2)^$C12</f>
        <v>0.61391325354075932</v>
      </c>
      <c r="H12" s="1">
        <f>IF(B12&gt;64, Summary!$J$2, 0)*'TV 17'!G12*'TV 17'!F12</f>
        <v>0</v>
      </c>
      <c r="I12" s="1"/>
    </row>
    <row r="13" spans="1:9">
      <c r="A13" s="1">
        <f t="shared" si="0"/>
        <v>2030</v>
      </c>
      <c r="B13" s="1">
        <f t="shared" si="1"/>
        <v>60</v>
      </c>
      <c r="C13" s="1">
        <v>11</v>
      </c>
      <c r="D13" s="1">
        <f>IF(Summary!$G$18="M",VLOOKUP(B:B,'male g'!A:V,IF(A13&gt;2033,22,MATCH(A13,'male g'!$A$1:$V$1,0)),FALSE),VLOOKUP(B:B,'female g'!A:V,IF(A13&gt;2033,22,MATCH(A13,'female g'!$A$1:$V$1,0)),FALSE))</f>
        <v>5.0054289999999996E-3</v>
      </c>
      <c r="E13" s="1">
        <f t="shared" si="2"/>
        <v>0.99499457099999999</v>
      </c>
      <c r="F13" s="1">
        <f t="shared" si="3"/>
        <v>0.99534551900000001</v>
      </c>
      <c r="G13" s="1">
        <f>1/(1+Summary!$O$2)^$C13</f>
        <v>0.5846792890864374</v>
      </c>
      <c r="H13" s="1">
        <f>IF(B13&gt;64, Summary!$J$2, 0)*'TV 17'!G13*'TV 17'!F13</f>
        <v>0</v>
      </c>
      <c r="I13" s="1"/>
    </row>
    <row r="14" spans="1:9">
      <c r="A14" s="1">
        <f t="shared" si="0"/>
        <v>2031</v>
      </c>
      <c r="B14" s="1">
        <f t="shared" si="1"/>
        <v>61</v>
      </c>
      <c r="C14" s="1">
        <v>12</v>
      </c>
      <c r="D14" s="1">
        <f>IF(Summary!$G$18="M",VLOOKUP(B:B,'male g'!A:V,IF(A14&gt;2033,22,MATCH(A14,'male g'!$A$1:$V$1,0)),FALSE),VLOOKUP(B:B,'female g'!A:V,IF(A14&gt;2033,22,MATCH(A14,'female g'!$A$1:$V$1,0)),FALSE))</f>
        <v>5.3846629999999996E-3</v>
      </c>
      <c r="E14" s="1">
        <f t="shared" si="2"/>
        <v>0.99461533700000004</v>
      </c>
      <c r="F14" s="1">
        <f t="shared" si="3"/>
        <v>0.99499457099999999</v>
      </c>
      <c r="G14" s="1">
        <f>1/(1+Summary!$O$2)^$C14</f>
        <v>0.5568374181775595</v>
      </c>
      <c r="H14" s="1">
        <f>IF(B14&gt;64, Summary!$J$2, 0)*'TV 17'!G14*'TV 17'!F14</f>
        <v>0</v>
      </c>
      <c r="I14" s="1"/>
    </row>
    <row r="15" spans="1:9">
      <c r="A15" s="1">
        <f t="shared" si="0"/>
        <v>2032</v>
      </c>
      <c r="B15" s="1">
        <f t="shared" si="1"/>
        <v>62</v>
      </c>
      <c r="C15" s="1">
        <v>13</v>
      </c>
      <c r="D15" s="1">
        <f>IF(Summary!$G$18="M",VLOOKUP(B:B,'male g'!A:V,IF(A15&gt;2033,22,MATCH(A15,'male g'!$A$1:$V$1,0)),FALSE),VLOOKUP(B:B,'female g'!A:V,IF(A15&gt;2033,22,MATCH(A15,'female g'!$A$1:$V$1,0)),FALSE))</f>
        <v>5.7912959999999996E-3</v>
      </c>
      <c r="E15" s="1">
        <f t="shared" si="2"/>
        <v>0.99420870400000005</v>
      </c>
      <c r="F15" s="1">
        <f t="shared" si="3"/>
        <v>0.99461533700000004</v>
      </c>
      <c r="G15" s="1">
        <f>1/(1+Summary!$O$2)^$C15</f>
        <v>0.53032135064529462</v>
      </c>
      <c r="H15" s="1">
        <f>IF(B15&gt;64, Summary!$J$2, 0)*'TV 17'!G15*'TV 17'!F15</f>
        <v>0</v>
      </c>
      <c r="I15" s="1"/>
    </row>
    <row r="16" spans="1:9">
      <c r="A16" s="1">
        <f t="shared" si="0"/>
        <v>2033</v>
      </c>
      <c r="B16" s="1">
        <f t="shared" si="1"/>
        <v>63</v>
      </c>
      <c r="C16" s="1">
        <v>14</v>
      </c>
      <c r="D16" s="1">
        <f>IF(Summary!$G$18="M",VLOOKUP(B:B,'male g'!A:V,IF(A16&gt;2033,22,MATCH(A16,'male g'!$A$1:$V$1,0)),FALSE),VLOOKUP(B:B,'female g'!A:V,IF(A16&gt;2033,22,MATCH(A16,'female g'!$A$1:$V$1,0)),FALSE))</f>
        <v>6.2244240000000001E-3</v>
      </c>
      <c r="E16" s="1">
        <f t="shared" si="2"/>
        <v>0.99377557599999999</v>
      </c>
      <c r="F16" s="1">
        <f t="shared" si="3"/>
        <v>0.99420870400000005</v>
      </c>
      <c r="G16" s="1">
        <f>1/(1+Summary!$O$2)^$C16</f>
        <v>0.50506795299551888</v>
      </c>
      <c r="H16" s="1">
        <f>IF(B16&gt;64, Summary!$J$2, 0)*'TV 17'!G16*'TV 17'!F16</f>
        <v>0</v>
      </c>
      <c r="I16" s="1"/>
    </row>
    <row r="17" spans="1:9">
      <c r="A17" s="1">
        <f t="shared" si="0"/>
        <v>2034</v>
      </c>
      <c r="B17" s="1">
        <f t="shared" si="1"/>
        <v>64</v>
      </c>
      <c r="C17" s="1">
        <v>15</v>
      </c>
      <c r="D17" s="1">
        <f>IF(Summary!$G$18="M",VLOOKUP(B:B,'male g'!A:V,IF(A17&gt;2033,22,MATCH(A17,'male g'!$A$1:$V$1,0)),FALSE),VLOOKUP(B:B,'female g'!A:V,IF(A17&gt;2033,22,MATCH(A17,'female g'!$A$1:$V$1,0)),FALSE))</f>
        <v>6.6840069999999996E-3</v>
      </c>
      <c r="E17" s="1">
        <f t="shared" si="2"/>
        <v>0.99331599299999995</v>
      </c>
      <c r="F17" s="1">
        <f t="shared" si="3"/>
        <v>0.99377557599999999</v>
      </c>
      <c r="G17" s="1">
        <f>1/(1+Summary!$O$2)^$C17</f>
        <v>0.48101709809097021</v>
      </c>
      <c r="H17" s="1">
        <f>IF(B17&gt;64, Summary!$J$2, 0)*'TV 17'!G17*'TV 17'!F17</f>
        <v>0</v>
      </c>
      <c r="I17" s="1"/>
    </row>
    <row r="18" spans="1:9">
      <c r="A18" s="1">
        <f t="shared" si="0"/>
        <v>2035</v>
      </c>
      <c r="B18" s="1">
        <f t="shared" si="1"/>
        <v>65</v>
      </c>
      <c r="C18" s="1">
        <v>16</v>
      </c>
      <c r="D18" s="1">
        <f>IF(Summary!$G$18="M",VLOOKUP(B:B,'male g'!A:V,IF(A18&gt;2033,22,MATCH(A18,'male g'!$A$1:$V$1,0)),FALSE),VLOOKUP(B:B,'female g'!A:V,IF(A18&gt;2033,22,MATCH(A18,'female g'!$A$1:$V$1,0)),FALSE))</f>
        <v>7.247748E-3</v>
      </c>
      <c r="E18" s="1">
        <f t="shared" si="2"/>
        <v>0.99275225199999995</v>
      </c>
      <c r="F18" s="1">
        <f t="shared" si="3"/>
        <v>0.99331599299999995</v>
      </c>
      <c r="G18" s="1">
        <f>1/(1+Summary!$O$2)^$C18</f>
        <v>0.45811152199140021</v>
      </c>
      <c r="H18" s="1">
        <f>IF(B18&gt;64, Summary!$J$2, 0)*'TV 17'!G18*'TV 17'!F18</f>
        <v>3707.0091160750462</v>
      </c>
      <c r="I18" s="1"/>
    </row>
    <row r="19" spans="1:9">
      <c r="A19" s="1">
        <f t="shared" si="0"/>
        <v>2036</v>
      </c>
      <c r="B19" s="1">
        <f t="shared" si="1"/>
        <v>66</v>
      </c>
      <c r="C19" s="1">
        <v>17</v>
      </c>
      <c r="D19" s="1">
        <f>IF(Summary!$G$18="M",VLOOKUP(B:B,'male g'!A:V,IF(A19&gt;2033,22,MATCH(A19,'male g'!$A$1:$V$1,0)),FALSE),VLOOKUP(B:B,'female g'!A:V,IF(A19&gt;2033,22,MATCH(A19,'female g'!$A$1:$V$1,0)),FALSE))</f>
        <v>7.8640140000000008E-3</v>
      </c>
      <c r="E19" s="1">
        <f t="shared" si="2"/>
        <v>0.99213598599999997</v>
      </c>
      <c r="F19" s="1">
        <f t="shared" si="3"/>
        <v>0.99275225199999995</v>
      </c>
      <c r="G19" s="1">
        <f>1/(1+Summary!$O$2)^$C19</f>
        <v>0.43629668761085727</v>
      </c>
      <c r="H19" s="1">
        <f>IF(B19&gt;64, Summary!$J$2, 0)*'TV 17'!G19*'TV 17'!F19</f>
        <v>3528.4812008247582</v>
      </c>
      <c r="I19" s="1"/>
    </row>
    <row r="20" spans="1:9">
      <c r="A20" s="1">
        <f t="shared" si="0"/>
        <v>2037</v>
      </c>
      <c r="B20" s="1">
        <f t="shared" si="1"/>
        <v>67</v>
      </c>
      <c r="C20" s="1">
        <v>18</v>
      </c>
      <c r="D20" s="1">
        <f>IF(Summary!$G$18="M",VLOOKUP(B:B,'male g'!A:V,IF(A20&gt;2033,22,MATCH(A20,'male g'!$A$1:$V$1,0)),FALSE),VLOOKUP(B:B,'female g'!A:V,IF(A20&gt;2033,22,MATCH(A20,'female g'!$A$1:$V$1,0)),FALSE))</f>
        <v>8.5402580000000002E-3</v>
      </c>
      <c r="E20" s="1">
        <f t="shared" si="2"/>
        <v>0.99145974199999998</v>
      </c>
      <c r="F20" s="1">
        <f t="shared" si="3"/>
        <v>0.99213598599999997</v>
      </c>
      <c r="G20" s="1">
        <f>1/(1+Summary!$O$2)^$C20</f>
        <v>0.41552065486748313</v>
      </c>
      <c r="H20" s="1">
        <f>IF(B20&gt;64, Summary!$J$2, 0)*'TV 17'!G20*'TV 17'!F20</f>
        <v>3358.3722311095999</v>
      </c>
      <c r="I20" s="1"/>
    </row>
    <row r="21" spans="1:9">
      <c r="A21" s="1">
        <f t="shared" si="0"/>
        <v>2038</v>
      </c>
      <c r="B21" s="1">
        <f t="shared" si="1"/>
        <v>68</v>
      </c>
      <c r="C21" s="1">
        <v>19</v>
      </c>
      <c r="D21" s="1">
        <f>IF(Summary!$G$18="M",VLOOKUP(B:B,'male g'!A:V,IF(A21&gt;2033,22,MATCH(A21,'male g'!$A$1:$V$1,0)),FALSE),VLOOKUP(B:B,'female g'!A:V,IF(A21&gt;2033,22,MATCH(A21,'female g'!$A$1:$V$1,0)),FALSE))</f>
        <v>9.291054E-3</v>
      </c>
      <c r="E21" s="1">
        <f t="shared" si="2"/>
        <v>0.99070894600000003</v>
      </c>
      <c r="F21" s="1">
        <f t="shared" si="3"/>
        <v>0.99145974199999998</v>
      </c>
      <c r="G21" s="1">
        <f>1/(1+Summary!$O$2)^$C21</f>
        <v>0.39573395701665059</v>
      </c>
      <c r="H21" s="1">
        <f>IF(B21&gt;64, Summary!$J$2, 0)*'TV 17'!G21*'TV 17'!F21</f>
        <v>3196.2696673123655</v>
      </c>
      <c r="I21" s="1"/>
    </row>
    <row r="22" spans="1:9">
      <c r="A22" s="1">
        <f t="shared" si="0"/>
        <v>2039</v>
      </c>
      <c r="B22" s="1">
        <f t="shared" si="1"/>
        <v>69</v>
      </c>
      <c r="C22" s="1">
        <v>20</v>
      </c>
      <c r="D22" s="1">
        <f>IF(Summary!$G$18="M",VLOOKUP(B:B,'male g'!A:V,IF(A22&gt;2033,22,MATCH(A22,'male g'!$A$1:$V$1,0)),FALSE),VLOOKUP(B:B,'female g'!A:V,IF(A22&gt;2033,22,MATCH(A22,'female g'!$A$1:$V$1,0)),FALSE))</f>
        <v>1.0121299E-2</v>
      </c>
      <c r="E22" s="1">
        <f t="shared" si="2"/>
        <v>0.98987870099999997</v>
      </c>
      <c r="F22" s="1">
        <f t="shared" si="3"/>
        <v>0.99070894600000003</v>
      </c>
      <c r="G22" s="1">
        <f>1/(1+Summary!$O$2)^$C22</f>
        <v>0.37688948287300061</v>
      </c>
      <c r="H22" s="1">
        <f>IF(B22&gt;64, Summary!$J$2, 0)*'TV 17'!G22*'TV 17'!F22</f>
        <v>3041.7611903252937</v>
      </c>
      <c r="I22" s="1"/>
    </row>
    <row r="23" spans="1:9">
      <c r="A23" s="1">
        <f t="shared" si="0"/>
        <v>2040</v>
      </c>
      <c r="B23" s="1">
        <f t="shared" si="1"/>
        <v>70</v>
      </c>
      <c r="C23" s="1">
        <v>21</v>
      </c>
      <c r="D23" s="1">
        <f>IF(Summary!$G$18="M",VLOOKUP(B:B,'male g'!A:V,IF(A23&gt;2033,22,MATCH(A23,'male g'!$A$1:$V$1,0)),FALSE),VLOOKUP(B:B,'female g'!A:V,IF(A23&gt;2033,22,MATCH(A23,'female g'!$A$1:$V$1,0)),FALSE))</f>
        <v>1.1050012E-2</v>
      </c>
      <c r="E23" s="1">
        <f t="shared" si="2"/>
        <v>0.988949988</v>
      </c>
      <c r="F23" s="1">
        <f t="shared" si="3"/>
        <v>0.98987870099999997</v>
      </c>
      <c r="G23" s="1">
        <f>1/(1+Summary!$O$2)^$C23</f>
        <v>0.35894236464095297</v>
      </c>
      <c r="H23" s="1">
        <f>IF(B23&gt;64, Summary!$J$2, 0)*'TV 17'!G23*'TV 17'!F23</f>
        <v>2894.4877138723195</v>
      </c>
      <c r="I23" s="1"/>
    </row>
    <row r="24" spans="1:9">
      <c r="A24" s="1">
        <f t="shared" si="0"/>
        <v>2041</v>
      </c>
      <c r="B24" s="1">
        <f t="shared" si="1"/>
        <v>71</v>
      </c>
      <c r="C24" s="1">
        <v>22</v>
      </c>
      <c r="D24" s="1">
        <f>IF(Summary!$G$18="M",VLOOKUP(B:B,'male g'!A:V,IF(A24&gt;2033,22,MATCH(A24,'male g'!$A$1:$V$1,0)),FALSE),VLOOKUP(B:B,'female g'!A:V,IF(A24&gt;2033,22,MATCH(A24,'female g'!$A$1:$V$1,0)),FALSE))</f>
        <v>1.2082262999999999E-2</v>
      </c>
      <c r="E24" s="1">
        <f t="shared" si="2"/>
        <v>0.98791773699999996</v>
      </c>
      <c r="F24" s="1">
        <f t="shared" si="3"/>
        <v>0.988949988</v>
      </c>
      <c r="G24" s="1">
        <f>1/(1+Summary!$O$2)^$C24</f>
        <v>0.3418498710866219</v>
      </c>
      <c r="H24" s="1">
        <f>IF(B24&gt;64, Summary!$J$2, 0)*'TV 17'!G24*'TV 17'!F24</f>
        <v>2754.0686473897849</v>
      </c>
      <c r="I24" s="1"/>
    </row>
    <row r="25" spans="1:9">
      <c r="A25" s="1">
        <f t="shared" si="0"/>
        <v>2042</v>
      </c>
      <c r="B25" s="1">
        <f t="shared" si="1"/>
        <v>72</v>
      </c>
      <c r="C25" s="1">
        <v>23</v>
      </c>
      <c r="D25" s="1">
        <f>IF(Summary!$G$18="M",VLOOKUP(B:B,'male g'!A:V,IF(A25&gt;2033,22,MATCH(A25,'male g'!$A$1:$V$1,0)),FALSE),VLOOKUP(B:B,'female g'!A:V,IF(A25&gt;2033,22,MATCH(A25,'female g'!$A$1:$V$1,0)),FALSE))</f>
        <v>1.3232393E-2</v>
      </c>
      <c r="E25" s="1">
        <f t="shared" si="2"/>
        <v>0.98676760699999999</v>
      </c>
      <c r="F25" s="1">
        <f t="shared" si="3"/>
        <v>0.98791773699999996</v>
      </c>
      <c r="G25" s="1">
        <f>1/(1+Summary!$O$2)^$C25</f>
        <v>0.32557130579678267</v>
      </c>
      <c r="H25" s="1">
        <f>IF(B25&gt;64, Summary!$J$2, 0)*'TV 17'!G25*'TV 17'!F25</f>
        <v>2620.1847545725927</v>
      </c>
      <c r="I25" s="1"/>
    </row>
    <row r="26" spans="1:9">
      <c r="A26" s="1">
        <f t="shared" si="0"/>
        <v>2043</v>
      </c>
      <c r="B26" s="1">
        <f t="shared" si="1"/>
        <v>73</v>
      </c>
      <c r="C26" s="1">
        <v>24</v>
      </c>
      <c r="D26" s="1">
        <f>IF(Summary!$G$18="M",VLOOKUP(B:B,'male g'!A:V,IF(A26&gt;2033,22,MATCH(A26,'male g'!$A$1:$V$1,0)),FALSE),VLOOKUP(B:B,'female g'!A:V,IF(A26&gt;2033,22,MATCH(A26,'female g'!$A$1:$V$1,0)),FALSE))</f>
        <v>1.4520474E-2</v>
      </c>
      <c r="E26" s="1">
        <f t="shared" si="2"/>
        <v>0.98547952599999999</v>
      </c>
      <c r="F26" s="1">
        <f t="shared" si="3"/>
        <v>0.98676760699999999</v>
      </c>
      <c r="G26" s="1">
        <f>1/(1+Summary!$O$2)^$C26</f>
        <v>0.31006791028265024</v>
      </c>
      <c r="H26" s="1">
        <f>IF(B26&gt;64, Summary!$J$2, 0)*'TV 17'!G26*'TV 17'!F26</f>
        <v>2492.5089006074372</v>
      </c>
      <c r="I26" s="1"/>
    </row>
    <row r="27" spans="1:9">
      <c r="A27" s="1">
        <f t="shared" si="0"/>
        <v>2044</v>
      </c>
      <c r="B27" s="1">
        <f t="shared" si="1"/>
        <v>74</v>
      </c>
      <c r="C27" s="1">
        <v>25</v>
      </c>
      <c r="D27" s="1">
        <f>IF(Summary!$G$18="M",VLOOKUP(B:B,'male g'!A:V,IF(A27&gt;2033,22,MATCH(A27,'male g'!$A$1:$V$1,0)),FALSE),VLOOKUP(B:B,'female g'!A:V,IF(A27&gt;2033,22,MATCH(A27,'female g'!$A$1:$V$1,0)),FALSE))</f>
        <v>1.5945328000000002E-2</v>
      </c>
      <c r="E27" s="1">
        <f t="shared" si="2"/>
        <v>0.98405467199999996</v>
      </c>
      <c r="F27" s="1">
        <f t="shared" si="3"/>
        <v>0.98547952599999999</v>
      </c>
      <c r="G27" s="1">
        <f>1/(1+Summary!$O$2)^$C27</f>
        <v>0.29530277169776209</v>
      </c>
      <c r="H27" s="1">
        <f>IF(B27&gt;64, Summary!$J$2, 0)*'TV 17'!G27*'TV 17'!F27</f>
        <v>2370.7193278593095</v>
      </c>
      <c r="I27" s="1"/>
    </row>
    <row r="28" spans="1:9">
      <c r="A28" s="1">
        <f t="shared" si="0"/>
        <v>2045</v>
      </c>
      <c r="B28" s="1">
        <f t="shared" si="1"/>
        <v>75</v>
      </c>
      <c r="C28" s="1">
        <v>26</v>
      </c>
      <c r="D28" s="1">
        <f>IF(Summary!$G$18="M",VLOOKUP(B:B,'male g'!A:V,IF(A28&gt;2033,22,MATCH(A28,'male g'!$A$1:$V$1,0)),FALSE),VLOOKUP(B:B,'female g'!A:V,IF(A28&gt;2033,22,MATCH(A28,'female g'!$A$1:$V$1,0)),FALSE))</f>
        <v>1.7550544000000001E-2</v>
      </c>
      <c r="E28" s="1">
        <f t="shared" si="2"/>
        <v>0.982449456</v>
      </c>
      <c r="F28" s="1">
        <f t="shared" si="3"/>
        <v>0.98405467199999996</v>
      </c>
      <c r="G28" s="1">
        <f>1/(1+Summary!$O$2)^$C28</f>
        <v>0.28124073495024959</v>
      </c>
      <c r="H28" s="1">
        <f>IF(B28&gt;64, Summary!$J$2, 0)*'TV 17'!G28*'TV 17'!F28</f>
        <v>2254.5634543832489</v>
      </c>
      <c r="I28" s="1"/>
    </row>
    <row r="29" spans="1:9">
      <c r="A29" s="1">
        <f t="shared" si="0"/>
        <v>2046</v>
      </c>
      <c r="B29" s="1">
        <f t="shared" si="1"/>
        <v>76</v>
      </c>
      <c r="C29" s="1">
        <v>27</v>
      </c>
      <c r="D29" s="1">
        <f>IF(Summary!$G$18="M",VLOOKUP(B:B,'male g'!A:V,IF(A29&gt;2033,22,MATCH(A29,'male g'!$A$1:$V$1,0)),FALSE),VLOOKUP(B:B,'female g'!A:V,IF(A29&gt;2033,22,MATCH(A29,'female g'!$A$1:$V$1,0)),FALSE))</f>
        <v>1.9346596000000001E-2</v>
      </c>
      <c r="E29" s="1">
        <f t="shared" si="2"/>
        <v>0.98065340400000001</v>
      </c>
      <c r="F29" s="1">
        <f t="shared" si="3"/>
        <v>0.982449456</v>
      </c>
      <c r="G29" s="1">
        <f>1/(1+Summary!$O$2)^$C29</f>
        <v>0.2678483190002377</v>
      </c>
      <c r="H29" s="1">
        <f>IF(B29&gt;64, Summary!$J$2, 0)*'TV 17'!G29*'TV 17'!F29</f>
        <v>2143.7007151089165</v>
      </c>
      <c r="I29" s="1"/>
    </row>
    <row r="30" spans="1:9">
      <c r="A30" s="1">
        <f t="shared" si="0"/>
        <v>2047</v>
      </c>
      <c r="B30" s="1">
        <f t="shared" si="1"/>
        <v>77</v>
      </c>
      <c r="C30" s="1">
        <v>28</v>
      </c>
      <c r="D30" s="1">
        <f>IF(Summary!$G$18="M",VLOOKUP(B:B,'male g'!A:V,IF(A30&gt;2033,22,MATCH(A30,'male g'!$A$1:$V$1,0)),FALSE),VLOOKUP(B:B,'female g'!A:V,IF(A30&gt;2033,22,MATCH(A30,'female g'!$A$1:$V$1,0)),FALSE))</f>
        <v>2.1378668999999999E-2</v>
      </c>
      <c r="E30" s="1">
        <f t="shared" si="2"/>
        <v>0.97862133100000004</v>
      </c>
      <c r="F30" s="1">
        <f t="shared" si="3"/>
        <v>0.98065340400000001</v>
      </c>
      <c r="G30" s="1">
        <f>1/(1+Summary!$O$2)^$C30</f>
        <v>0.25509363714308358</v>
      </c>
      <c r="H30" s="1">
        <f>IF(B30&gt;64, Summary!$J$2, 0)*'TV 17'!G30*'TV 17'!F30</f>
        <v>2037.8873685272326</v>
      </c>
      <c r="I30" s="1"/>
    </row>
    <row r="31" spans="1:9">
      <c r="A31" s="1">
        <f t="shared" si="0"/>
        <v>2048</v>
      </c>
      <c r="B31" s="1">
        <f t="shared" si="1"/>
        <v>78</v>
      </c>
      <c r="C31" s="1">
        <v>29</v>
      </c>
      <c r="D31" s="1">
        <f>IF(Summary!$G$18="M",VLOOKUP(B:B,'male g'!A:V,IF(A31&gt;2033,22,MATCH(A31,'male g'!$A$1:$V$1,0)),FALSE),VLOOKUP(B:B,'female g'!A:V,IF(A31&gt;2033,22,MATCH(A31,'female g'!$A$1:$V$1,0)),FALSE))</f>
        <v>2.3682564E-2</v>
      </c>
      <c r="E31" s="1">
        <f t="shared" si="2"/>
        <v>0.97631743599999998</v>
      </c>
      <c r="F31" s="1">
        <f t="shared" si="3"/>
        <v>0.97862133100000004</v>
      </c>
      <c r="G31" s="1">
        <f>1/(1+Summary!$O$2)^$C31</f>
        <v>0.24294632108865097</v>
      </c>
      <c r="H31" s="1">
        <f>IF(B31&gt;64, Summary!$J$2, 0)*'TV 17'!G31*'TV 17'!F31</f>
        <v>1936.8233668360194</v>
      </c>
      <c r="I31" s="1"/>
    </row>
    <row r="32" spans="1:9">
      <c r="A32" s="1">
        <f t="shared" si="0"/>
        <v>2049</v>
      </c>
      <c r="B32" s="1">
        <f t="shared" si="1"/>
        <v>79</v>
      </c>
      <c r="C32" s="1">
        <v>30</v>
      </c>
      <c r="D32" s="1">
        <f>IF(Summary!$G$18="M",VLOOKUP(B:B,'male g'!A:V,IF(A32&gt;2033,22,MATCH(A32,'male g'!$A$1:$V$1,0)),FALSE),VLOOKUP(B:B,'female g'!A:V,IF(A32&gt;2033,22,MATCH(A32,'female g'!$A$1:$V$1,0)),FALSE))</f>
        <v>2.6301709E-2</v>
      </c>
      <c r="E32" s="1">
        <f t="shared" si="2"/>
        <v>0.97369829100000005</v>
      </c>
      <c r="F32" s="1">
        <f t="shared" si="3"/>
        <v>0.97631743599999998</v>
      </c>
      <c r="G32" s="1">
        <f>1/(1+Summary!$O$2)^$C32</f>
        <v>0.23137744865585813</v>
      </c>
      <c r="H32" s="1">
        <f>IF(B32&gt;64, Summary!$J$2, 0)*'TV 17'!G32*'TV 17'!F32</f>
        <v>1840.2510937669413</v>
      </c>
      <c r="I32" s="1"/>
    </row>
    <row r="33" spans="1:9">
      <c r="A33" s="1">
        <f t="shared" si="0"/>
        <v>2050</v>
      </c>
      <c r="B33" s="1">
        <f t="shared" si="1"/>
        <v>80</v>
      </c>
      <c r="C33" s="1">
        <v>31</v>
      </c>
      <c r="D33" s="1">
        <f>IF(Summary!$G$18="M",VLOOKUP(B:B,'male g'!A:V,IF(A33&gt;2033,22,MATCH(A33,'male g'!$A$1:$V$1,0)),FALSE),VLOOKUP(B:B,'female g'!A:V,IF(A33&gt;2033,22,MATCH(A33,'female g'!$A$1:$V$1,0)),FALSE))</f>
        <v>2.9285830999999998E-2</v>
      </c>
      <c r="E33" s="1">
        <f t="shared" si="2"/>
        <v>0.97071416899999996</v>
      </c>
      <c r="F33" s="1">
        <f t="shared" si="3"/>
        <v>0.97369829100000005</v>
      </c>
      <c r="G33" s="1">
        <f>1/(1+Summary!$O$2)^$C33</f>
        <v>0.220359474910341</v>
      </c>
      <c r="H33" s="1">
        <f>IF(B33&gt;64, Summary!$J$2, 0)*'TV 17'!G33*'TV 17'!F33</f>
        <v>1747.9183744962609</v>
      </c>
      <c r="I33" s="1"/>
    </row>
    <row r="34" spans="1:9">
      <c r="A34" s="1">
        <f t="shared" si="0"/>
        <v>2051</v>
      </c>
      <c r="B34" s="1">
        <f t="shared" si="1"/>
        <v>81</v>
      </c>
      <c r="C34" s="1">
        <v>32</v>
      </c>
      <c r="D34" s="1">
        <f>IF(Summary!$G$18="M",VLOOKUP(B:B,'male g'!A:V,IF(A34&gt;2033,22,MATCH(A34,'male g'!$A$1:$V$1,0)),FALSE),VLOOKUP(B:B,'female g'!A:V,IF(A34&gt;2033,22,MATCH(A34,'female g'!$A$1:$V$1,0)),FALSE))</f>
        <v>3.2681842000000003E-2</v>
      </c>
      <c r="E34" s="1">
        <f t="shared" si="2"/>
        <v>0.96731815799999998</v>
      </c>
      <c r="F34" s="1">
        <f t="shared" si="3"/>
        <v>0.97071416899999996</v>
      </c>
      <c r="G34" s="1">
        <f>1/(1+Summary!$O$2)^$C34</f>
        <v>0.20986616658127716</v>
      </c>
      <c r="H34" s="1">
        <f>IF(B34&gt;64, Summary!$J$2, 0)*'TV 17'!G34*'TV 17'!F34</f>
        <v>1659.5823593035236</v>
      </c>
      <c r="I34" s="1"/>
    </row>
    <row r="35" spans="1:9">
      <c r="A35" s="1">
        <f>$A$2+C35</f>
        <v>2052</v>
      </c>
      <c r="B35" s="1">
        <f>$B$2+C35</f>
        <v>82</v>
      </c>
      <c r="C35" s="1">
        <v>33</v>
      </c>
      <c r="D35" s="1">
        <f>IF(Summary!$G$18="M",VLOOKUP(B:B,'male g'!A:V,IF(A35&gt;2033,22,MATCH(A35,'male g'!$A$1:$V$1,0)),FALSE),VLOOKUP(B:B,'female g'!A:V,IF(A35&gt;2033,22,MATCH(A35,'female g'!$A$1:$V$1,0)),FALSE))</f>
        <v>3.6549238999999997E-2</v>
      </c>
      <c r="E35" s="1">
        <f t="shared" si="2"/>
        <v>0.96345076100000004</v>
      </c>
      <c r="F35" s="1">
        <f t="shared" si="3"/>
        <v>0.96731815799999998</v>
      </c>
      <c r="G35" s="1">
        <f>1/(1+Summary!$O$2)^$C35</f>
        <v>0.19987253960121634</v>
      </c>
      <c r="H35" s="1">
        <f>IF(B35&gt;64, Summary!$J$2, 0)*'TV 17'!G35*'TV 17'!F35</f>
        <v>1575.0251104931135</v>
      </c>
      <c r="I35" s="1"/>
    </row>
    <row r="36" spans="1:9">
      <c r="A36" s="1">
        <f t="shared" ref="A36:A47" si="4">$A$2+C36</f>
        <v>2053</v>
      </c>
      <c r="B36" s="1">
        <f t="shared" si="1"/>
        <v>83</v>
      </c>
      <c r="C36" s="1">
        <v>34</v>
      </c>
      <c r="D36" s="1">
        <f>IF(Summary!$G$18="M",VLOOKUP(B:B,'male g'!A:V,IF(A36&gt;2033,22,MATCH(A36,'male g'!$A$1:$V$1,0)),FALSE),VLOOKUP(B:B,'female g'!A:V,IF(A36&gt;2033,22,MATCH(A36,'female g'!$A$1:$V$1,0)),FALSE))</f>
        <v>4.0956563000000001E-2</v>
      </c>
      <c r="E36" s="1">
        <f t="shared" si="2"/>
        <v>0.95904343700000005</v>
      </c>
      <c r="F36" s="1">
        <f t="shared" si="3"/>
        <v>0.96345076100000004</v>
      </c>
      <c r="G36" s="1">
        <f>1/(1+Summary!$O$2)^$C36</f>
        <v>0.19035479962020604</v>
      </c>
      <c r="H36" s="1">
        <f>IF(B36&gt;64, Summary!$J$2, 0)*'TV 17'!G36*'TV 17'!F36</f>
        <v>1494.0267276459394</v>
      </c>
      <c r="I36" s="1"/>
    </row>
    <row r="37" spans="1:9">
      <c r="A37" s="1">
        <f t="shared" si="4"/>
        <v>2054</v>
      </c>
      <c r="B37" s="1">
        <f t="shared" si="1"/>
        <v>84</v>
      </c>
      <c r="C37" s="1">
        <v>35</v>
      </c>
      <c r="D37" s="1">
        <f>IF(Summary!$G$18="M",VLOOKUP(B:B,'male g'!A:V,IF(A37&gt;2033,22,MATCH(A37,'male g'!$A$1:$V$1,0)),FALSE),VLOOKUP(B:B,'female g'!A:V,IF(A37&gt;2033,22,MATCH(A37,'female g'!$A$1:$V$1,0)),FALSE))</f>
        <v>4.5960176999999998E-2</v>
      </c>
      <c r="E37" s="1">
        <f t="shared" si="2"/>
        <v>0.95403982300000001</v>
      </c>
      <c r="F37" s="1">
        <f t="shared" si="3"/>
        <v>0.95904343700000005</v>
      </c>
      <c r="G37" s="1">
        <f>1/(1+Summary!$O$2)^$C37</f>
        <v>0.18129028535257716</v>
      </c>
      <c r="H37" s="1">
        <f>IF(B37&gt;64, Summary!$J$2, 0)*'TV 17'!G37*'TV 17'!F37</f>
        <v>1416.373594001818</v>
      </c>
      <c r="I37" s="1"/>
    </row>
    <row r="38" spans="1:9">
      <c r="A38" s="1">
        <f t="shared" si="4"/>
        <v>2055</v>
      </c>
      <c r="B38" s="1">
        <f t="shared" si="1"/>
        <v>85</v>
      </c>
      <c r="C38" s="1">
        <v>36</v>
      </c>
      <c r="D38" s="1">
        <f>IF(Summary!$G$18="M",VLOOKUP(B:B,'male g'!A:V,IF(A38&gt;2033,22,MATCH(A38,'male g'!$A$1:$V$1,0)),FALSE),VLOOKUP(B:B,'female g'!A:V,IF(A38&gt;2033,22,MATCH(A38,'female g'!$A$1:$V$1,0)),FALSE))</f>
        <v>5.1631459999999997E-2</v>
      </c>
      <c r="E38" s="1">
        <f t="shared" si="2"/>
        <v>0.94836854000000004</v>
      </c>
      <c r="F38" s="1">
        <f t="shared" si="3"/>
        <v>0.95403982300000001</v>
      </c>
      <c r="G38" s="1">
        <f>1/(1+Summary!$O$2)^$C38</f>
        <v>0.17265741462150208</v>
      </c>
      <c r="H38" s="1">
        <f>IF(B38&gt;64, Summary!$J$2, 0)*'TV 17'!G38*'TV 17'!F38</f>
        <v>1341.8894790082961</v>
      </c>
      <c r="I38" s="1"/>
    </row>
    <row r="39" spans="1:9">
      <c r="A39" s="1">
        <f t="shared" si="4"/>
        <v>2056</v>
      </c>
      <c r="B39" s="1">
        <f t="shared" si="1"/>
        <v>86</v>
      </c>
      <c r="C39" s="1">
        <v>37</v>
      </c>
      <c r="D39" s="1">
        <f>IF(Summary!$G$18="M",VLOOKUP(B:B,'male g'!A:V,IF(A39&gt;2033,22,MATCH(A39,'male g'!$A$1:$V$1,0)),FALSE),VLOOKUP(B:B,'female g'!A:V,IF(A39&gt;2033,22,MATCH(A39,'female g'!$A$1:$V$1,0)),FALSE))</f>
        <v>5.8086306999999997E-2</v>
      </c>
      <c r="E39" s="1">
        <f t="shared" si="2"/>
        <v>0.94191369300000005</v>
      </c>
      <c r="F39" s="1">
        <f t="shared" si="3"/>
        <v>0.94836854000000004</v>
      </c>
      <c r="G39" s="1">
        <f>1/(1+Summary!$O$2)^$C39</f>
        <v>0.1644356329728591</v>
      </c>
      <c r="H39" s="1">
        <f>IF(B39&gt;64, Summary!$J$2, 0)*'TV 17'!G39*'TV 17'!F39</f>
        <v>1270.3929775840418</v>
      </c>
      <c r="I39" s="1"/>
    </row>
    <row r="40" spans="1:9">
      <c r="A40" s="1">
        <f t="shared" si="4"/>
        <v>2057</v>
      </c>
      <c r="B40" s="1">
        <f t="shared" si="1"/>
        <v>87</v>
      </c>
      <c r="C40" s="1">
        <v>38</v>
      </c>
      <c r="D40" s="1">
        <f>IF(Summary!$G$18="M",VLOOKUP(B:B,'male g'!A:V,IF(A40&gt;2033,22,MATCH(A40,'male g'!$A$1:$V$1,0)),FALSE),VLOOKUP(B:B,'female g'!A:V,IF(A40&gt;2033,22,MATCH(A40,'female g'!$A$1:$V$1,0)),FALSE))</f>
        <v>6.5370790999999998E-2</v>
      </c>
      <c r="E40" s="1">
        <f t="shared" si="2"/>
        <v>0.93462920900000002</v>
      </c>
      <c r="F40" s="1">
        <f t="shared" si="3"/>
        <v>0.94191369300000005</v>
      </c>
      <c r="G40" s="1">
        <f>1/(1+Summary!$O$2)^$C40</f>
        <v>0.15660536473605632</v>
      </c>
      <c r="H40" s="1">
        <f>IF(B40&gt;64, Summary!$J$2, 0)*'TV 17'!G40*'TV 17'!F40</f>
        <v>1201.6631877422949</v>
      </c>
      <c r="I40" s="1"/>
    </row>
    <row r="41" spans="1:9">
      <c r="A41" s="1">
        <f t="shared" si="4"/>
        <v>2058</v>
      </c>
      <c r="B41" s="1">
        <f t="shared" si="1"/>
        <v>88</v>
      </c>
      <c r="C41" s="1">
        <v>39</v>
      </c>
      <c r="D41" s="1">
        <f>IF(Summary!$G$18="M",VLOOKUP(B:B,'male g'!A:V,IF(A41&gt;2033,22,MATCH(A41,'male g'!$A$1:$V$1,0)),FALSE),VLOOKUP(B:B,'female g'!A:V,IF(A41&gt;2033,22,MATCH(A41,'female g'!$A$1:$V$1,0)),FALSE))</f>
        <v>7.3564853999999999E-2</v>
      </c>
      <c r="E41" s="1">
        <f t="shared" si="2"/>
        <v>0.92643514599999999</v>
      </c>
      <c r="F41" s="1">
        <f t="shared" si="3"/>
        <v>0.93462920900000002</v>
      </c>
      <c r="G41" s="1">
        <f>1/(1+Summary!$O$2)^$C41</f>
        <v>0.14914796641529171</v>
      </c>
      <c r="H41" s="1">
        <f>IF(B41&gt;64, Summary!$J$2, 0)*'TV 17'!G41*'TV 17'!F41</f>
        <v>1135.5903594287818</v>
      </c>
      <c r="I41" s="1"/>
    </row>
    <row r="42" spans="1:9">
      <c r="A42" s="1">
        <f t="shared" si="4"/>
        <v>2059</v>
      </c>
      <c r="B42" s="1">
        <f t="shared" si="1"/>
        <v>89</v>
      </c>
      <c r="C42" s="1">
        <v>40</v>
      </c>
      <c r="D42" s="1">
        <f>IF(Summary!$G$18="M",VLOOKUP(B:B,'male g'!A:V,IF(A42&gt;2033,22,MATCH(A42,'male g'!$A$1:$V$1,0)),FALSE),VLOOKUP(B:B,'female g'!A:V,IF(A42&gt;2033,22,MATCH(A42,'female g'!$A$1:$V$1,0)),FALSE))</f>
        <v>8.2758546000000002E-2</v>
      </c>
      <c r="E42" s="1">
        <f t="shared" si="2"/>
        <v>0.91724145400000001</v>
      </c>
      <c r="F42" s="1">
        <f t="shared" si="3"/>
        <v>0.92643514599999999</v>
      </c>
      <c r="G42" s="1">
        <f>1/(1+Summary!$O$2)^$C42</f>
        <v>0.14204568230027784</v>
      </c>
      <c r="H42" s="1">
        <f>IF(B42&gt;64, Summary!$J$2, 0)*'TV 17'!G42*'TV 17'!F42</f>
        <v>1072.0327940421885</v>
      </c>
      <c r="I42" s="1"/>
    </row>
    <row r="43" spans="1:9">
      <c r="A43" s="1">
        <f t="shared" si="4"/>
        <v>2060</v>
      </c>
      <c r="B43" s="1">
        <f t="shared" si="1"/>
        <v>90</v>
      </c>
      <c r="C43" s="1">
        <v>41</v>
      </c>
      <c r="D43" s="1">
        <f>IF(Summary!$G$18="M",VLOOKUP(B:B,'male g'!A:V,IF(A43&gt;2033,22,MATCH(A43,'male g'!$A$1:$V$1,0)),FALSE),VLOOKUP(B:B,'female g'!A:V,IF(A43&gt;2033,22,MATCH(A43,'female g'!$A$1:$V$1,0)),FALSE))</f>
        <v>9.3062779999999998E-2</v>
      </c>
      <c r="E43" s="1">
        <f t="shared" si="2"/>
        <v>0.90693721999999999</v>
      </c>
      <c r="F43" s="1">
        <f t="shared" si="3"/>
        <v>0.91724145400000001</v>
      </c>
      <c r="G43" s="1">
        <f>1/(1+Summary!$O$2)^$C43</f>
        <v>0.13528160219074079</v>
      </c>
      <c r="H43" s="1">
        <f>IF(B43&gt;64, Summary!$J$2, 0)*'TV 17'!G43*'TV 17'!F43</f>
        <v>1010.8516479370425</v>
      </c>
      <c r="I43" s="1"/>
    </row>
    <row r="44" spans="1:9">
      <c r="A44" s="1">
        <f t="shared" si="4"/>
        <v>2061</v>
      </c>
      <c r="B44" s="1">
        <f t="shared" si="1"/>
        <v>91</v>
      </c>
      <c r="C44" s="1">
        <v>42</v>
      </c>
      <c r="D44" s="1">
        <f>IF(Summary!$G$18="M",VLOOKUP(B:B,'male g'!A:V,IF(A44&gt;2033,22,MATCH(A44,'male g'!$A$1:$V$1,0)),FALSE),VLOOKUP(B:B,'female g'!A:V,IF(A44&gt;2033,22,MATCH(A44,'female g'!$A$1:$V$1,0)),FALSE))</f>
        <v>0.104297588</v>
      </c>
      <c r="E44" s="1">
        <f t="shared" si="2"/>
        <v>0.895702412</v>
      </c>
      <c r="F44" s="1">
        <f t="shared" si="3"/>
        <v>0.90693721999999999</v>
      </c>
      <c r="G44" s="1">
        <f>1/(1+Summary!$O$2)^$C44</f>
        <v>0.12883962113403885</v>
      </c>
      <c r="H44" s="1">
        <f>IF(B44&gt;64, Summary!$J$2, 0)*'TV 17'!G44*'TV 17'!F44</f>
        <v>951.90076455613519</v>
      </c>
      <c r="I44" s="1"/>
    </row>
    <row r="45" spans="1:9">
      <c r="A45" s="1">
        <f t="shared" si="4"/>
        <v>2062</v>
      </c>
      <c r="B45" s="1">
        <f t="shared" si="1"/>
        <v>92</v>
      </c>
      <c r="C45" s="1">
        <v>43</v>
      </c>
      <c r="D45" s="1">
        <f>IF(Summary!$G$18="M",VLOOKUP(B:B,'male g'!A:V,IF(A45&gt;2033,22,MATCH(A45,'male g'!$A$1:$V$1,0)),FALSE),VLOOKUP(B:B,'female g'!A:V,IF(A45&gt;2033,22,MATCH(A45,'female g'!$A$1:$V$1,0)),FALSE))</f>
        <v>0.116397271</v>
      </c>
      <c r="E45" s="1">
        <f t="shared" si="2"/>
        <v>0.88360272900000003</v>
      </c>
      <c r="F45" s="1">
        <f t="shared" si="3"/>
        <v>0.895702412</v>
      </c>
      <c r="G45" s="1">
        <f>1/(1+Summary!$O$2)^$C45</f>
        <v>0.12270440108003698</v>
      </c>
      <c r="H45" s="1">
        <f>IF(B45&gt;64, Summary!$J$2, 0)*'TV 17'!G45*'TV 17'!F45</f>
        <v>895.34187099109374</v>
      </c>
      <c r="I45" s="1"/>
    </row>
    <row r="46" spans="1:9">
      <c r="A46" s="1">
        <f t="shared" si="4"/>
        <v>2063</v>
      </c>
      <c r="B46" s="1">
        <f t="shared" si="1"/>
        <v>93</v>
      </c>
      <c r="C46" s="1">
        <v>44</v>
      </c>
      <c r="D46" s="1">
        <f>IF(Summary!$G$18="M",VLOOKUP(B:B,'male g'!A:V,IF(A46&gt;2033,22,MATCH(A46,'male g'!$A$1:$V$1,0)),FALSE),VLOOKUP(B:B,'female g'!A:V,IF(A46&gt;2033,22,MATCH(A46,'female g'!$A$1:$V$1,0)),FALSE))</f>
        <v>0.12927651700000001</v>
      </c>
      <c r="E46" s="1">
        <f t="shared" si="2"/>
        <v>0.87072348300000002</v>
      </c>
      <c r="F46" s="1">
        <f t="shared" si="3"/>
        <v>0.88360272900000003</v>
      </c>
      <c r="G46" s="1">
        <f>1/(1+Summary!$O$2)^$C46</f>
        <v>0.11686133436193999</v>
      </c>
      <c r="H46" s="1">
        <f>IF(B46&gt;64, Summary!$J$2, 0)*'TV 17'!G46*'TV 17'!F46</f>
        <v>841.18767466125632</v>
      </c>
      <c r="I46" s="1"/>
    </row>
    <row r="47" spans="1:9">
      <c r="A47" s="1">
        <f t="shared" si="4"/>
        <v>2064</v>
      </c>
      <c r="B47" s="1">
        <f t="shared" si="1"/>
        <v>94</v>
      </c>
      <c r="C47" s="1">
        <v>45</v>
      </c>
      <c r="D47" s="1">
        <f>IF(Summary!$G$18="M",VLOOKUP(B:B,'male g'!A:V,IF(A47&gt;2033,22,MATCH(A47,'male g'!$A$1:$V$1,0)),FALSE),VLOOKUP(B:B,'female g'!A:V,IF(A47&gt;2033,22,MATCH(A47,'female g'!$A$1:$V$1,0)),FALSE))</f>
        <v>0.14283962</v>
      </c>
      <c r="E47" s="1">
        <f t="shared" si="2"/>
        <v>0.85716038000000006</v>
      </c>
      <c r="F47" s="1">
        <f t="shared" si="3"/>
        <v>0.87072348300000002</v>
      </c>
      <c r="G47" s="1">
        <f>1/(1+Summary!$O$2)^$C47</f>
        <v>0.1112965089161333</v>
      </c>
      <c r="H47" s="1">
        <f>IF(B47&gt;64, Summary!$J$2, 0)*'TV 17'!G47*'TV 17'!F47</f>
        <v>789.45396516076573</v>
      </c>
      <c r="I47" s="1"/>
    </row>
    <row r="48" spans="1:9">
      <c r="A48" s="1">
        <f>$A$2+C48</f>
        <v>2065</v>
      </c>
      <c r="B48" s="1">
        <f>$B$2+C48</f>
        <v>95</v>
      </c>
      <c r="C48" s="1">
        <v>46</v>
      </c>
      <c r="D48" s="1">
        <f>IF(Summary!$G$18="M",VLOOKUP(B:B,'male g'!A:V,IF(A48&gt;2033,22,MATCH(A48,'male g'!$A$1:$V$1,0)),FALSE),VLOOKUP(B:B,'female g'!A:V,IF(A48&gt;2033,22,MATCH(A48,'female g'!$A$1:$V$1,0)),FALSE))</f>
        <v>0.15715622100000001</v>
      </c>
      <c r="E48" s="1">
        <f t="shared" si="2"/>
        <v>0.84284377899999996</v>
      </c>
      <c r="F48" s="1">
        <f t="shared" si="3"/>
        <v>0.85716038000000006</v>
      </c>
      <c r="G48" s="1">
        <f>1/(1+Summary!$O$2)^$C48</f>
        <v>0.10599667515822221</v>
      </c>
      <c r="H48" s="1">
        <f>IF(B48&gt;64, Summary!$J$2, 0)*'TV 17'!G48*'TV 17'!F48</f>
        <v>740.14931696662029</v>
      </c>
      <c r="I48" s="1"/>
    </row>
    <row r="49" spans="1:9">
      <c r="A49" s="1">
        <f t="shared" ref="A49:A73" si="5">$A$2+C49</f>
        <v>2066</v>
      </c>
      <c r="B49" s="1">
        <f t="shared" si="1"/>
        <v>96</v>
      </c>
      <c r="C49" s="1">
        <v>47</v>
      </c>
      <c r="D49" s="1">
        <f>IF(Summary!$G$18="M",VLOOKUP(B:B,'male g'!A:V,IF(A49&gt;2033,22,MATCH(A49,'male g'!$A$1:$V$1,0)),FALSE),VLOOKUP(B:B,'female g'!A:V,IF(A49&gt;2033,22,MATCH(A49,'female g'!$A$1:$V$1,0)),FALSE))</f>
        <v>0.173075216</v>
      </c>
      <c r="E49" s="1">
        <f t="shared" si="2"/>
        <v>0.82692478400000002</v>
      </c>
      <c r="F49" s="1">
        <f t="shared" si="3"/>
        <v>0.84284377899999996</v>
      </c>
      <c r="G49" s="1">
        <f>1/(1+Summary!$O$2)^$C49</f>
        <v>0.10094921443640208</v>
      </c>
      <c r="H49" s="1">
        <f>IF(B49&gt;64, Summary!$J$2, 0)*'TV 17'!G49*'TV 17'!F49</f>
        <v>693.13054936381889</v>
      </c>
      <c r="I49" s="1"/>
    </row>
    <row r="50" spans="1:9">
      <c r="A50" s="1">
        <f t="shared" si="5"/>
        <v>2067</v>
      </c>
      <c r="B50" s="1">
        <f t="shared" si="1"/>
        <v>97</v>
      </c>
      <c r="C50" s="1">
        <v>48</v>
      </c>
      <c r="D50" s="1">
        <f>IF(Summary!$G$18="M",VLOOKUP(B:B,'male g'!A:V,IF(A50&gt;2033,22,MATCH(A50,'male g'!$A$1:$V$1,0)),FALSE),VLOOKUP(B:B,'female g'!A:V,IF(A50&gt;2033,22,MATCH(A50,'female g'!$A$1:$V$1,0)),FALSE))</f>
        <v>0.18989809799999999</v>
      </c>
      <c r="E50" s="1">
        <f t="shared" si="2"/>
        <v>0.81010190199999998</v>
      </c>
      <c r="F50" s="1">
        <f t="shared" si="3"/>
        <v>0.82692478400000002</v>
      </c>
      <c r="G50" s="1">
        <f>1/(1+Summary!$O$2)^$C50</f>
        <v>9.6142108987049613E-2</v>
      </c>
      <c r="H50" s="1">
        <f>IF(B50&gt;64, Summary!$J$2, 0)*'TV 17'!G50*'TV 17'!F50</f>
        <v>647.65640425257027</v>
      </c>
      <c r="I50" s="1"/>
    </row>
    <row r="51" spans="1:9">
      <c r="A51" s="1">
        <f t="shared" si="5"/>
        <v>2068</v>
      </c>
      <c r="B51" s="1">
        <f t="shared" si="1"/>
        <v>98</v>
      </c>
      <c r="C51" s="1">
        <v>49</v>
      </c>
      <c r="D51" s="1">
        <f>IF(Summary!$G$18="M",VLOOKUP(B:B,'male g'!A:V,IF(A51&gt;2033,22,MATCH(A51,'male g'!$A$1:$V$1,0)),FALSE),VLOOKUP(B:B,'female g'!A:V,IF(A51&gt;2033,22,MATCH(A51,'female g'!$A$1:$V$1,0)),FALSE))</f>
        <v>0.2077398</v>
      </c>
      <c r="E51" s="1">
        <f t="shared" si="2"/>
        <v>0.79226019999999997</v>
      </c>
      <c r="F51" s="1">
        <f t="shared" si="3"/>
        <v>0.81010190199999998</v>
      </c>
      <c r="G51" s="1">
        <f>1/(1+Summary!$O$2)^$C51</f>
        <v>9.1563913320999626E-2</v>
      </c>
      <c r="H51" s="1">
        <f>IF(B51&gt;64, Summary!$J$2, 0)*'TV 17'!G51*'TV 17'!F51</f>
        <v>604.26718260599455</v>
      </c>
      <c r="I51" s="1"/>
    </row>
    <row r="52" spans="1:9">
      <c r="A52" s="1">
        <f t="shared" si="5"/>
        <v>2069</v>
      </c>
      <c r="B52" s="1">
        <f t="shared" si="1"/>
        <v>99</v>
      </c>
      <c r="C52" s="1">
        <v>50</v>
      </c>
      <c r="D52" s="1">
        <f>IF(Summary!$G$18="M",VLOOKUP(B:B,'male g'!A:V,IF(A52&gt;2033,22,MATCH(A52,'male g'!$A$1:$V$1,0)),FALSE),VLOOKUP(B:B,'female g'!A:V,IF(A52&gt;2033,22,MATCH(A52,'female g'!$A$1:$V$1,0)),FALSE))</f>
        <v>0.22627810600000001</v>
      </c>
      <c r="E52" s="1">
        <f t="shared" si="2"/>
        <v>0.77372189400000002</v>
      </c>
      <c r="F52" s="1">
        <f t="shared" si="3"/>
        <v>0.79226019999999997</v>
      </c>
      <c r="G52" s="1">
        <f>1/(1+Summary!$O$2)^$C52</f>
        <v>8.7203726972380588E-2</v>
      </c>
      <c r="H52" s="1">
        <f>IF(B52&gt;64, Summary!$J$2, 0)*'TV 17'!G52*'TV 17'!F52</f>
        <v>562.81789425320221</v>
      </c>
      <c r="I52" s="1"/>
    </row>
    <row r="53" spans="1:9">
      <c r="A53" s="1">
        <f t="shared" si="5"/>
        <v>2070</v>
      </c>
      <c r="B53" s="1">
        <f t="shared" si="1"/>
        <v>100</v>
      </c>
      <c r="C53" s="1">
        <v>51</v>
      </c>
      <c r="D53" s="1">
        <f>IF(Summary!$G$18="M",VLOOKUP(B:B,'male g'!A:V,IF(A53&gt;2033,22,MATCH(A53,'male g'!$A$1:$V$1,0)),FALSE),VLOOKUP(B:B,'female g'!A:V,IF(A53&gt;2033,22,MATCH(A53,'female g'!$A$1:$V$1,0)),FALSE))</f>
        <v>0.245586414</v>
      </c>
      <c r="E53" s="1">
        <f t="shared" si="2"/>
        <v>0.75441358599999997</v>
      </c>
      <c r="F53" s="1">
        <f t="shared" si="3"/>
        <v>0.77372189400000002</v>
      </c>
      <c r="G53" s="1">
        <f>1/(1+Summary!$O$2)^$C53</f>
        <v>8.3051168545124371E-2</v>
      </c>
      <c r="H53" s="1">
        <f>IF(B53&gt;64, Summary!$J$2, 0)*'TV 17'!G53*'TV 17'!F53</f>
        <v>523.47463758170466</v>
      </c>
      <c r="I53" s="1"/>
    </row>
    <row r="54" spans="1:9">
      <c r="A54" s="1">
        <f t="shared" si="5"/>
        <v>2071</v>
      </c>
      <c r="B54" s="1">
        <f t="shared" si="1"/>
        <v>101</v>
      </c>
      <c r="C54" s="1">
        <v>52</v>
      </c>
      <c r="D54" s="1">
        <f>IF(Summary!$G$18="M",VLOOKUP(B:B,'male g'!A:V,IF(A54&gt;2033,22,MATCH(A54,'male g'!$A$1:$V$1,0)),FALSE),VLOOKUP(B:B,'female g'!A:V,IF(A54&gt;2033,22,MATCH(A54,'female g'!$A$1:$V$1,0)),FALSE))</f>
        <v>0.26569467200000002</v>
      </c>
      <c r="E54" s="1">
        <f t="shared" si="2"/>
        <v>0.73430532800000003</v>
      </c>
      <c r="F54" s="1">
        <f t="shared" si="3"/>
        <v>0.75441358599999997</v>
      </c>
      <c r="G54" s="1">
        <f>1/(1+Summary!$O$2)^$C54</f>
        <v>7.9096350995356543E-2</v>
      </c>
      <c r="H54" s="1">
        <f>IF(B54&gt;64, Summary!$J$2, 0)*'TV 17'!G54*'TV 17'!F54</f>
        <v>486.10597632108704</v>
      </c>
      <c r="I54" s="1"/>
    </row>
    <row r="55" spans="1:9">
      <c r="A55" s="1">
        <f t="shared" si="5"/>
        <v>2072</v>
      </c>
      <c r="B55" s="1">
        <f t="shared" si="1"/>
        <v>102</v>
      </c>
      <c r="C55" s="1">
        <v>53</v>
      </c>
      <c r="D55" s="1">
        <f>IF(Summary!$G$18="M",VLOOKUP(B:B,'male g'!A:V,IF(A55&gt;2033,22,MATCH(A55,'male g'!$A$1:$V$1,0)),FALSE),VLOOKUP(B:B,'female g'!A:V,IF(A55&gt;2033,22,MATCH(A55,'female g'!$A$1:$V$1,0)),FALSE))</f>
        <v>0.28621307499999998</v>
      </c>
      <c r="E55" s="1">
        <f t="shared" si="2"/>
        <v>0.71378692499999996</v>
      </c>
      <c r="F55" s="1">
        <f t="shared" si="3"/>
        <v>0.73430532800000003</v>
      </c>
      <c r="G55" s="1">
        <f>1/(1+Summary!$O$2)^$C55</f>
        <v>7.5329858090815757E-2</v>
      </c>
      <c r="H55" s="1">
        <f>IF(B55&gt;64, Summary!$J$2, 0)*'TV 17'!G55*'TV 17'!F55</f>
        <v>450.61831563368946</v>
      </c>
      <c r="I55" s="1"/>
    </row>
    <row r="56" spans="1:9">
      <c r="A56" s="1">
        <f t="shared" si="5"/>
        <v>2073</v>
      </c>
      <c r="B56" s="1">
        <f t="shared" si="1"/>
        <v>103</v>
      </c>
      <c r="C56" s="1">
        <v>54</v>
      </c>
      <c r="D56" s="1">
        <f>IF(Summary!$G$18="M",VLOOKUP(B:B,'male g'!A:V,IF(A56&gt;2033,22,MATCH(A56,'male g'!$A$1:$V$1,0)),FALSE),VLOOKUP(B:B,'female g'!A:V,IF(A56&gt;2033,22,MATCH(A56,'female g'!$A$1:$V$1,0)),FALSE))</f>
        <v>0.306855239</v>
      </c>
      <c r="E56" s="1">
        <f t="shared" si="2"/>
        <v>0.693144761</v>
      </c>
      <c r="F56" s="1">
        <f t="shared" si="3"/>
        <v>0.71378692499999996</v>
      </c>
      <c r="G56" s="1">
        <f>1/(1+Summary!$O$2)^$C56</f>
        <v>7.1742721991253117E-2</v>
      </c>
      <c r="H56" s="1">
        <f>IF(B56&gt;64, Summary!$J$2, 0)*'TV 17'!G56*'TV 17'!F56</f>
        <v>417.16844426853703</v>
      </c>
      <c r="I56" s="1"/>
    </row>
    <row r="57" spans="1:9">
      <c r="A57" s="1">
        <f t="shared" si="5"/>
        <v>2074</v>
      </c>
      <c r="B57" s="1">
        <f t="shared" si="1"/>
        <v>104</v>
      </c>
      <c r="C57" s="1">
        <v>55</v>
      </c>
      <c r="D57" s="1">
        <f>IF(Summary!$G$18="M",VLOOKUP(B:B,'male g'!A:V,IF(A57&gt;2033,22,MATCH(A57,'male g'!$A$1:$V$1,0)),FALSE),VLOOKUP(B:B,'female g'!A:V,IF(A57&gt;2033,22,MATCH(A57,'female g'!$A$1:$V$1,0)),FALSE))</f>
        <v>0.32781771999999998</v>
      </c>
      <c r="E57" s="1">
        <f t="shared" si="2"/>
        <v>0.67218228000000002</v>
      </c>
      <c r="F57" s="1">
        <f t="shared" si="3"/>
        <v>0.693144761</v>
      </c>
      <c r="G57" s="1">
        <f>1/(1+Summary!$O$2)^$C57</f>
        <v>6.8326401896431521E-2</v>
      </c>
      <c r="H57" s="1">
        <f>IF(B57&gt;64, Summary!$J$2, 0)*'TV 17'!G57*'TV 17'!F57</f>
        <v>385.81357768270618</v>
      </c>
      <c r="I57" s="1"/>
    </row>
    <row r="58" spans="1:9">
      <c r="A58" s="1">
        <f t="shared" si="5"/>
        <v>2075</v>
      </c>
      <c r="B58" s="1">
        <f t="shared" si="1"/>
        <v>105</v>
      </c>
      <c r="C58" s="1">
        <v>56</v>
      </c>
      <c r="D58" s="1">
        <f>IF(Summary!$G$18="M",VLOOKUP(B:B,'male g'!A:V,IF(A58&gt;2033,22,MATCH(A58,'male g'!$A$1:$V$1,0)),FALSE),VLOOKUP(B:B,'female g'!A:V,IF(A58&gt;2033,22,MATCH(A58,'female g'!$A$1:$V$1,0)),FALSE))</f>
        <v>0.34877203800000001</v>
      </c>
      <c r="E58" s="1">
        <f t="shared" si="2"/>
        <v>0.65122796199999999</v>
      </c>
      <c r="F58" s="1">
        <f t="shared" si="3"/>
        <v>0.67218228000000002</v>
      </c>
      <c r="G58" s="1">
        <f>1/(1+Summary!$O$2)^$C58</f>
        <v>6.5072763710887174E-2</v>
      </c>
      <c r="H58" s="1">
        <f>IF(B58&gt;64, Summary!$J$2, 0)*'TV 17'!G58*'TV 17'!F58</f>
        <v>356.32912610879237</v>
      </c>
      <c r="I58" s="1"/>
    </row>
    <row r="59" spans="1:9">
      <c r="A59" s="1">
        <f t="shared" si="5"/>
        <v>2076</v>
      </c>
      <c r="B59" s="1">
        <f t="shared" si="1"/>
        <v>106</v>
      </c>
      <c r="C59" s="1">
        <v>57</v>
      </c>
      <c r="D59" s="1">
        <f>IF(Summary!$G$18="M",VLOOKUP(B:B,'male g'!A:V,IF(A59&gt;2033,22,MATCH(A59,'male g'!$A$1:$V$1,0)),FALSE),VLOOKUP(B:B,'female g'!A:V,IF(A59&gt;2033,22,MATCH(A59,'female g'!$A$1:$V$1,0)),FALSE))</f>
        <v>0.36963544999999998</v>
      </c>
      <c r="E59" s="1">
        <f t="shared" si="2"/>
        <v>0.63036455000000002</v>
      </c>
      <c r="F59" s="1">
        <f t="shared" si="3"/>
        <v>0.65122796199999999</v>
      </c>
      <c r="G59" s="1">
        <f>1/(1+Summary!$O$2)^$C59</f>
        <v>6.1974060677035397E-2</v>
      </c>
      <c r="H59" s="1">
        <f>IF(B59&gt;64, Summary!$J$2, 0)*'TV 17'!G59*'TV 17'!F59</f>
        <v>328.78197803169837</v>
      </c>
      <c r="I59" s="1"/>
    </row>
    <row r="60" spans="1:9">
      <c r="A60" s="1">
        <f t="shared" si="5"/>
        <v>2077</v>
      </c>
      <c r="B60" s="1">
        <f t="shared" si="1"/>
        <v>107</v>
      </c>
      <c r="C60" s="1">
        <v>58</v>
      </c>
      <c r="D60" s="1">
        <f>IF(Summary!$G$18="M",VLOOKUP(B:B,'male g'!A:V,IF(A60&gt;2033,22,MATCH(A60,'male g'!$A$1:$V$1,0)),FALSE),VLOOKUP(B:B,'female g'!A:V,IF(A60&gt;2033,22,MATCH(A60,'female g'!$A$1:$V$1,0)),FALSE))</f>
        <v>0.39012102100000001</v>
      </c>
      <c r="E60" s="1">
        <f t="shared" si="2"/>
        <v>0.60987897899999999</v>
      </c>
      <c r="F60" s="1">
        <f t="shared" si="3"/>
        <v>0.63036455000000002</v>
      </c>
      <c r="G60" s="1">
        <f>1/(1+Summary!$O$2)^$C60</f>
        <v>5.9022914930509894E-2</v>
      </c>
      <c r="H60" s="1">
        <f>IF(B60&gt;64, Summary!$J$2, 0)*'TV 17'!G60*'TV 17'!F60</f>
        <v>303.09407505222367</v>
      </c>
      <c r="I60" s="1"/>
    </row>
    <row r="61" spans="1:9">
      <c r="A61" s="1">
        <f t="shared" si="5"/>
        <v>2078</v>
      </c>
      <c r="B61" s="1">
        <f t="shared" si="1"/>
        <v>108</v>
      </c>
      <c r="C61" s="1">
        <v>59</v>
      </c>
      <c r="D61" s="1">
        <f>IF(Summary!$G$18="M",VLOOKUP(B:B,'male g'!A:V,IF(A61&gt;2033,22,MATCH(A61,'male g'!$A$1:$V$1,0)),FALSE),VLOOKUP(B:B,'female g'!A:V,IF(A61&gt;2033,22,MATCH(A61,'female g'!$A$1:$V$1,0)),FALSE))</f>
        <v>0.40992095000000001</v>
      </c>
      <c r="E61" s="1">
        <f t="shared" si="2"/>
        <v>0.59007904999999994</v>
      </c>
      <c r="F61" s="1">
        <f t="shared" si="3"/>
        <v>0.60987897899999999</v>
      </c>
      <c r="G61" s="1">
        <f>1/(1+Summary!$O$2)^$C61</f>
        <v>5.6212299933818946E-2</v>
      </c>
      <c r="H61" s="1">
        <f>IF(B61&gt;64, Summary!$J$2, 0)*'TV 17'!G61*'TV 17'!F61</f>
        <v>279.28012529952792</v>
      </c>
      <c r="I61" s="1"/>
    </row>
    <row r="62" spans="1:9">
      <c r="A62" s="1">
        <f t="shared" si="5"/>
        <v>2079</v>
      </c>
      <c r="B62" s="1">
        <f t="shared" si="1"/>
        <v>109</v>
      </c>
      <c r="C62" s="1">
        <v>60</v>
      </c>
      <c r="D62" s="1">
        <f>IF(Summary!$G$18="M",VLOOKUP(B:B,'male g'!A:V,IF(A62&gt;2033,22,MATCH(A62,'male g'!$A$1:$V$1,0)),FALSE),VLOOKUP(B:B,'female g'!A:V,IF(A62&gt;2033,22,MATCH(A62,'female g'!$A$1:$V$1,0)),FALSE))</f>
        <v>0.42944720199999997</v>
      </c>
      <c r="E62" s="1">
        <f t="shared" si="2"/>
        <v>0.57055279800000003</v>
      </c>
      <c r="F62" s="1">
        <f t="shared" si="3"/>
        <v>0.59007904999999994</v>
      </c>
      <c r="G62" s="1">
        <f>1/(1+Summary!$O$2)^$C62</f>
        <v>5.3535523746494243E-2</v>
      </c>
      <c r="H62" s="1">
        <f>IF(B62&gt;64, Summary!$J$2, 0)*'TV 17'!G62*'TV 17'!F62</f>
        <v>257.34590553068119</v>
      </c>
      <c r="I62" s="1"/>
    </row>
    <row r="63" spans="1:9">
      <c r="A63" s="1">
        <f t="shared" si="5"/>
        <v>2080</v>
      </c>
      <c r="B63" s="1">
        <f t="shared" si="1"/>
        <v>110</v>
      </c>
      <c r="C63" s="1">
        <v>61</v>
      </c>
      <c r="D63" s="1">
        <f>IF(Summary!$G$18="M",VLOOKUP(B:B,'male g'!A:V,IF(A63&gt;2033,22,MATCH(A63,'male g'!$A$1:$V$1,0)),FALSE),VLOOKUP(B:B,'female g'!A:V,IF(A63&gt;2033,22,MATCH(A63,'female g'!$A$1:$V$1,0)),FALSE))</f>
        <v>0.44824126199999997</v>
      </c>
      <c r="E63" s="1">
        <f t="shared" si="2"/>
        <v>0.55175873799999997</v>
      </c>
      <c r="F63" s="1">
        <f t="shared" si="3"/>
        <v>0.57055279800000003</v>
      </c>
      <c r="G63" s="1">
        <f>1/(1+Summary!$O$2)^$C63</f>
        <v>5.0986213091899268E-2</v>
      </c>
      <c r="H63" s="1">
        <f>IF(B63&gt;64, Summary!$J$2, 0)*'TV 17'!G63*'TV 17'!F63</f>
        <v>236.98104347911612</v>
      </c>
      <c r="I63" s="1"/>
    </row>
    <row r="64" spans="1:9">
      <c r="A64" s="1">
        <f t="shared" si="5"/>
        <v>2081</v>
      </c>
      <c r="B64" s="1">
        <f t="shared" si="1"/>
        <v>111</v>
      </c>
      <c r="C64" s="1">
        <v>62</v>
      </c>
      <c r="D64" s="1">
        <f>IF(Summary!$G$18="M",VLOOKUP(B:B,'male g'!A:V,IF(A64&gt;2033,22,MATCH(A64,'male g'!$A$1:$V$1,0)),FALSE),VLOOKUP(B:B,'female g'!A:V,IF(A64&gt;2033,22,MATCH(A64,'female g'!$A$1:$V$1,0)),FALSE))</f>
        <v>0.46617251599999998</v>
      </c>
      <c r="E64" s="1">
        <f t="shared" si="2"/>
        <v>0.53382748400000002</v>
      </c>
      <c r="F64" s="1">
        <f t="shared" si="3"/>
        <v>0.55175873799999997</v>
      </c>
      <c r="G64" s="1">
        <f>1/(1+Summary!$O$2)^$C64</f>
        <v>4.855829818276123E-2</v>
      </c>
      <c r="H64" s="1">
        <f>IF(B64&gt;64, Summary!$J$2, 0)*'TV 17'!G64*'TV 17'!F64</f>
        <v>218.26177789798982</v>
      </c>
      <c r="I64" s="1"/>
    </row>
    <row r="65" spans="1:9">
      <c r="A65" s="1">
        <f t="shared" si="5"/>
        <v>2082</v>
      </c>
      <c r="B65" s="1">
        <f t="shared" si="1"/>
        <v>112</v>
      </c>
      <c r="C65" s="1">
        <v>63</v>
      </c>
      <c r="D65" s="1">
        <f>IF(Summary!$G$18="M",VLOOKUP(B:B,'male g'!A:V,IF(A65&gt;2033,22,MATCH(A65,'male g'!$A$1:$V$1,0)),FALSE),VLOOKUP(B:B,'female g'!A:V,IF(A65&gt;2033,22,MATCH(A65,'female g'!$A$1:$V$1,0)),FALSE))</f>
        <v>0.48365765799999999</v>
      </c>
      <c r="E65" s="1">
        <f t="shared" si="2"/>
        <v>0.51634234199999995</v>
      </c>
      <c r="F65" s="1">
        <f t="shared" si="3"/>
        <v>0.53382748400000002</v>
      </c>
      <c r="G65" s="1">
        <f>1/(1+Summary!$O$2)^$C65</f>
        <v>4.6245998269296387E-2</v>
      </c>
      <c r="H65" s="1">
        <f>IF(B65&gt;64, Summary!$J$2, 0)*'TV 17'!G65*'TV 17'!F65</f>
        <v>201.11297914804115</v>
      </c>
      <c r="I65" s="1"/>
    </row>
    <row r="66" spans="1:9">
      <c r="A66" s="1">
        <f t="shared" si="5"/>
        <v>2083</v>
      </c>
      <c r="B66" s="1">
        <f t="shared" si="1"/>
        <v>113</v>
      </c>
      <c r="C66" s="1">
        <v>64</v>
      </c>
      <c r="D66" s="1">
        <f>IF(Summary!$G$18="M",VLOOKUP(B:B,'male g'!A:V,IF(A66&gt;2033,22,MATCH(A66,'male g'!$A$1:$V$1,0)),FALSE),VLOOKUP(B:B,'female g'!A:V,IF(A66&gt;2033,22,MATCH(A66,'female g'!$A$1:$V$1,0)),FALSE))</f>
        <v>0.49353991000000003</v>
      </c>
      <c r="E66" s="1">
        <f t="shared" si="2"/>
        <v>0.50646009000000003</v>
      </c>
      <c r="F66" s="1">
        <f t="shared" si="3"/>
        <v>0.51634234199999995</v>
      </c>
      <c r="G66" s="1">
        <f>1/(1+Summary!$O$2)^$C66</f>
        <v>4.4043807875520369E-2</v>
      </c>
      <c r="H66" s="1">
        <f>IF(B66&gt;64, Summary!$J$2, 0)*'TV 17'!G66*'TV 17'!F66</f>
        <v>185.26253870096232</v>
      </c>
      <c r="I66" s="1"/>
    </row>
    <row r="67" spans="1:9">
      <c r="A67" s="1">
        <f t="shared" si="5"/>
        <v>2084</v>
      </c>
      <c r="B67" s="1">
        <f t="shared" si="1"/>
        <v>114</v>
      </c>
      <c r="C67" s="1">
        <v>65</v>
      </c>
      <c r="D67" s="1">
        <f>IF(Summary!$G$18="M",VLOOKUP(B:B,'male g'!A:V,IF(A67&gt;2033,22,MATCH(A67,'male g'!$A$1:$V$1,0)),FALSE),VLOOKUP(B:B,'female g'!A:V,IF(A67&gt;2033,22,MATCH(A67,'female g'!$A$1:$V$1,0)),FALSE))</f>
        <v>0.49666062900000002</v>
      </c>
      <c r="E67" s="1">
        <f t="shared" si="2"/>
        <v>0.50333937100000004</v>
      </c>
      <c r="F67" s="1">
        <f t="shared" si="3"/>
        <v>0.50646009000000003</v>
      </c>
      <c r="G67" s="1">
        <f>1/(1+Summary!$O$2)^$C67</f>
        <v>4.1946483690971779E-2</v>
      </c>
      <c r="H67" s="1">
        <f>IF(B67&gt;64, Summary!$J$2, 0)*'TV 17'!G67*'TV 17'!F67</f>
        <v>173.06362629894005</v>
      </c>
      <c r="I67" s="1"/>
    </row>
    <row r="68" spans="1:9">
      <c r="A68" s="1">
        <f t="shared" si="5"/>
        <v>2085</v>
      </c>
      <c r="B68" s="1">
        <f t="shared" ref="B68:B73" si="6">$B$2+C68</f>
        <v>115</v>
      </c>
      <c r="C68" s="1">
        <v>66</v>
      </c>
      <c r="D68" s="1">
        <f>IF(Summary!$G$18="M",VLOOKUP(B:B,'male g'!A:V,IF(A68&gt;2033,22,MATCH(A68,'male g'!$A$1:$V$1,0)),FALSE),VLOOKUP(B:B,'female g'!A:V,IF(A68&gt;2033,22,MATCH(A68,'female g'!$A$1:$V$1,0)),FALSE))</f>
        <v>0.5</v>
      </c>
      <c r="E68" s="1">
        <f t="shared" ref="E68:E73" si="7">1-D68</f>
        <v>0.5</v>
      </c>
      <c r="F68" s="1">
        <f t="shared" ref="F68:F73" si="8">E67</f>
        <v>0.50333937100000004</v>
      </c>
      <c r="G68" s="1">
        <f>1/(1+Summary!$O$2)^$C68</f>
        <v>3.9949032086639788E-2</v>
      </c>
      <c r="H68" s="1">
        <f>IF(B68&gt;64, Summary!$J$2, 0)*'TV 17'!G68*'TV 17'!F68</f>
        <v>163.80689364747667</v>
      </c>
      <c r="I68" s="1"/>
    </row>
    <row r="69" spans="1:9">
      <c r="A69" s="1">
        <f t="shared" si="5"/>
        <v>2086</v>
      </c>
      <c r="B69" s="1">
        <f t="shared" si="6"/>
        <v>116</v>
      </c>
      <c r="C69" s="1">
        <v>67</v>
      </c>
      <c r="D69" s="1">
        <f>IF(Summary!$G$18="M",VLOOKUP(B:B,'male g'!A:V,IF(A69&gt;2033,22,MATCH(A69,'male g'!$A$1:$V$1,0)),FALSE),VLOOKUP(B:B,'female g'!A:V,IF(A69&gt;2033,22,MATCH(A69,'female g'!$A$1:$V$1,0)),FALSE))</f>
        <v>0.5</v>
      </c>
      <c r="E69" s="1">
        <f t="shared" si="7"/>
        <v>0.5</v>
      </c>
      <c r="F69" s="1">
        <f t="shared" si="8"/>
        <v>0.5</v>
      </c>
      <c r="G69" s="1">
        <f>1/(1+Summary!$O$2)^$C69</f>
        <v>3.8046697225371226E-2</v>
      </c>
      <c r="H69" s="1">
        <f>IF(B69&gt;64, Summary!$J$2, 0)*'TV 17'!G69*'TV 17'!F69</f>
        <v>154.97155037624626</v>
      </c>
      <c r="I69" s="1"/>
    </row>
    <row r="70" spans="1:9">
      <c r="A70" s="1">
        <f t="shared" si="5"/>
        <v>2087</v>
      </c>
      <c r="B70" s="1">
        <f t="shared" si="6"/>
        <v>117</v>
      </c>
      <c r="C70" s="1">
        <v>68</v>
      </c>
      <c r="D70" s="1">
        <f>IF(Summary!$G$18="M",VLOOKUP(B:B,'male g'!A:V,IF(A70&gt;2033,22,MATCH(A70,'male g'!$A$1:$V$1,0)),FALSE),VLOOKUP(B:B,'female g'!A:V,IF(A70&gt;2033,22,MATCH(A70,'female g'!$A$1:$V$1,0)),FALSE))</f>
        <v>0.5</v>
      </c>
      <c r="E70" s="1">
        <f t="shared" si="7"/>
        <v>0.5</v>
      </c>
      <c r="F70" s="1">
        <f t="shared" si="8"/>
        <v>0.5</v>
      </c>
      <c r="G70" s="1">
        <f>1/(1+Summary!$O$2)^$C70</f>
        <v>3.6234949738448791E-2</v>
      </c>
      <c r="H70" s="1">
        <f>IF(B70&gt;64, Summary!$J$2, 0)*'TV 17'!G70*'TV 17'!F70</f>
        <v>147.59195273928216</v>
      </c>
      <c r="I70" s="1"/>
    </row>
    <row r="71" spans="1:9">
      <c r="A71" s="1">
        <f t="shared" si="5"/>
        <v>2088</v>
      </c>
      <c r="B71" s="1">
        <f t="shared" si="6"/>
        <v>118</v>
      </c>
      <c r="C71" s="1">
        <v>69</v>
      </c>
      <c r="D71" s="1">
        <f>IF(Summary!$G$18="M",VLOOKUP(B:B,'male g'!A:V,IF(A71&gt;2033,22,MATCH(A71,'male g'!$A$1:$V$1,0)),FALSE),VLOOKUP(B:B,'female g'!A:V,IF(A71&gt;2033,22,MATCH(A71,'female g'!$A$1:$V$1,0)),FALSE))</f>
        <v>0.5</v>
      </c>
      <c r="E71" s="1">
        <f t="shared" si="7"/>
        <v>0.5</v>
      </c>
      <c r="F71" s="1">
        <f t="shared" si="8"/>
        <v>0.5</v>
      </c>
      <c r="G71" s="1">
        <f>1/(1+Summary!$O$2)^$C71</f>
        <v>3.4509475941379798E-2</v>
      </c>
      <c r="H71" s="1">
        <f>IF(B71&gt;64, Summary!$J$2, 0)*'TV 17'!G71*'TV 17'!F71</f>
        <v>140.56376451360205</v>
      </c>
      <c r="I71" s="1"/>
    </row>
    <row r="72" spans="1:9">
      <c r="A72" s="1">
        <f t="shared" si="5"/>
        <v>2089</v>
      </c>
      <c r="B72" s="1">
        <f t="shared" si="6"/>
        <v>119</v>
      </c>
      <c r="C72" s="1">
        <v>70</v>
      </c>
      <c r="D72" s="1">
        <f>IF(Summary!$G$18="M",VLOOKUP(B:B,'male g'!A:V,IF(A72&gt;2033,22,MATCH(A72,'male g'!$A$1:$V$1,0)),FALSE),VLOOKUP(B:B,'female g'!A:V,IF(A72&gt;2033,22,MATCH(A72,'female g'!$A$1:$V$1,0)),FALSE))</f>
        <v>0.5</v>
      </c>
      <c r="E72" s="1">
        <f t="shared" si="7"/>
        <v>0.5</v>
      </c>
      <c r="F72" s="1">
        <f t="shared" si="8"/>
        <v>0.5</v>
      </c>
      <c r="G72" s="1">
        <f>1/(1+Summary!$O$2)^$C72</f>
        <v>3.2866167563218862E-2</v>
      </c>
      <c r="H72" s="1">
        <f>IF(B72&gt;64, Summary!$J$2, 0)*'TV 17'!G72*'TV 17'!F72</f>
        <v>133.87025191771627</v>
      </c>
      <c r="I72" s="1"/>
    </row>
    <row r="73" spans="1:9">
      <c r="A73" s="1">
        <f t="shared" si="5"/>
        <v>2090</v>
      </c>
      <c r="B73" s="1">
        <f t="shared" si="6"/>
        <v>120</v>
      </c>
      <c r="C73" s="1">
        <v>71</v>
      </c>
      <c r="D73" s="1">
        <f>IF(Summary!$G$18="M",VLOOKUP(B:B,'male g'!A:V,IF(A73&gt;2033,22,MATCH(A73,'male g'!$A$1:$V$1,0)),FALSE),VLOOKUP(B:B,'female g'!A:V,IF(A73&gt;2033,22,MATCH(A73,'female g'!$A$1:$V$1,0)),FALSE))</f>
        <v>1</v>
      </c>
      <c r="E73" s="1">
        <f t="shared" si="7"/>
        <v>0</v>
      </c>
      <c r="F73" s="1">
        <f t="shared" si="8"/>
        <v>0.5</v>
      </c>
      <c r="G73" s="1">
        <f>1/(1+Summary!$O$2)^$C73</f>
        <v>3.1301111964970339E-2</v>
      </c>
      <c r="H73" s="1">
        <f>IF(B73&gt;64, Summary!$J$2, 0)*'TV 17'!G73*'TV 17'!F73</f>
        <v>127.49547801687262</v>
      </c>
      <c r="I73" s="1"/>
    </row>
    <row r="74" spans="1:9">
      <c r="A74" s="1"/>
    </row>
    <row r="75" spans="1:9">
      <c r="A75" s="1"/>
    </row>
    <row r="76" spans="1:9">
      <c r="A76" s="1"/>
    </row>
    <row r="77" spans="1:9">
      <c r="A77" s="1"/>
    </row>
    <row r="78" spans="1:9">
      <c r="A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98"/>
  <sheetViews>
    <sheetView workbookViewId="0">
      <selection activeCell="B2" sqref="B2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Summary!H19</f>
        <v>49</v>
      </c>
      <c r="C2" s="1">
        <v>0</v>
      </c>
      <c r="D2" s="1">
        <f>IF(Summary!$G$19="M",VLOOKUP(B:B,'male g'!A:V,IF(A2&gt;2033,22,MATCH(A2,'male g'!$A$1:$V$1,0)),FALSE),VLOOKUP(B:B,'female g'!A:V,IF(A2&gt;2033,22,MATCH(A2,'female g'!$A$1:$V$1,0)),FALSE))</f>
        <v>9.776959999999999E-4</v>
      </c>
      <c r="E2" s="1">
        <f>1-D2</f>
        <v>0.99902230400000003</v>
      </c>
      <c r="F2" s="1">
        <v>1</v>
      </c>
      <c r="G2" s="1">
        <f>1/(1+Summary!$O$2)^$C2</f>
        <v>1</v>
      </c>
      <c r="H2" s="1">
        <f>IF(B2&gt;64, Summary!$J$19, 0)*'TV 18'!G2*'TV 18'!F2</f>
        <v>0</v>
      </c>
      <c r="I2" s="1">
        <f>SUM(H2:H73)</f>
        <v>122732.10887283651</v>
      </c>
    </row>
    <row r="3" spans="1:9">
      <c r="A3" s="1">
        <f>$A$2+C3</f>
        <v>2020</v>
      </c>
      <c r="B3" s="1">
        <f>$B$2+C3</f>
        <v>50</v>
      </c>
      <c r="C3" s="1">
        <v>1</v>
      </c>
      <c r="D3" s="1">
        <f>IF(Summary!$G$19="M",VLOOKUP(B:B,'male g'!A:V,IF(A3&gt;2033,22,MATCH(A3,'male g'!$A$1:$V$1,0)),FALSE),VLOOKUP(B:B,'female g'!A:V,IF(A3&gt;2033,22,MATCH(A3,'female g'!$A$1:$V$1,0)),FALSE))</f>
        <v>2.6962610000000001E-3</v>
      </c>
      <c r="E3" s="1">
        <f>1-D3</f>
        <v>0.99730373900000002</v>
      </c>
      <c r="F3" s="1">
        <f>E2</f>
        <v>0.99902230400000003</v>
      </c>
      <c r="G3" s="1">
        <f>1/(1+Summary!$O$2)^$C3</f>
        <v>0.95238095238095233</v>
      </c>
      <c r="H3" s="1">
        <f>IF(B3&gt;64, Summary!$J$19, 0)*'TV 18'!G3*'TV 18'!F3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51</v>
      </c>
      <c r="C4" s="1">
        <v>2</v>
      </c>
      <c r="D4" s="1">
        <f>IF(Summary!$G$19="M",VLOOKUP(B:B,'male g'!A:V,IF(A4&gt;2033,22,MATCH(A4,'male g'!$A$1:$V$1,0)),FALSE),VLOOKUP(B:B,'female g'!A:V,IF(A4&gt;2033,22,MATCH(A4,'female g'!$A$1:$V$1,0)),FALSE))</f>
        <v>2.8265920000000002E-3</v>
      </c>
      <c r="E4" s="1">
        <f t="shared" ref="E4:E67" si="2">1-D4</f>
        <v>0.99717340799999998</v>
      </c>
      <c r="F4" s="1">
        <f t="shared" ref="F4:F67" si="3">E3</f>
        <v>0.99730373900000002</v>
      </c>
      <c r="G4" s="1">
        <f>1/(1+Summary!$O$2)^$C4</f>
        <v>0.90702947845804982</v>
      </c>
      <c r="H4" s="1">
        <f>IF(B4&gt;64, Summary!$J$19, 0)*'TV 18'!G4*'TV 18'!F4</f>
        <v>0</v>
      </c>
      <c r="I4" s="1"/>
    </row>
    <row r="5" spans="1:9">
      <c r="A5" s="1">
        <f t="shared" si="0"/>
        <v>2022</v>
      </c>
      <c r="B5" s="1">
        <f t="shared" si="1"/>
        <v>52</v>
      </c>
      <c r="C5" s="1">
        <v>3</v>
      </c>
      <c r="D5" s="1">
        <f>IF(Summary!$G$19="M",VLOOKUP(B:B,'male g'!A:V,IF(A5&gt;2033,22,MATCH(A5,'male g'!$A$1:$V$1,0)),FALSE),VLOOKUP(B:B,'female g'!A:V,IF(A5&gt;2033,22,MATCH(A5,'female g'!$A$1:$V$1,0)),FALSE))</f>
        <v>2.9762410000000001E-3</v>
      </c>
      <c r="E5" s="1">
        <f t="shared" si="2"/>
        <v>0.99702375899999995</v>
      </c>
      <c r="F5" s="1">
        <f t="shared" si="3"/>
        <v>0.99717340799999998</v>
      </c>
      <c r="G5" s="1">
        <f>1/(1+Summary!$O$2)^$C5</f>
        <v>0.86383759853147601</v>
      </c>
      <c r="H5" s="1">
        <f>IF(B5&gt;64, Summary!$J$19, 0)*'TV 18'!G5*'TV 18'!F5</f>
        <v>0</v>
      </c>
      <c r="I5" s="1"/>
    </row>
    <row r="6" spans="1:9">
      <c r="A6" s="1">
        <f t="shared" si="0"/>
        <v>2023</v>
      </c>
      <c r="B6" s="1">
        <f t="shared" si="1"/>
        <v>53</v>
      </c>
      <c r="C6" s="1">
        <v>4</v>
      </c>
      <c r="D6" s="1">
        <f>IF(Summary!$G$19="M",VLOOKUP(B:B,'male g'!A:V,IF(A6&gt;2033,22,MATCH(A6,'male g'!$A$1:$V$1,0)),FALSE),VLOOKUP(B:B,'female g'!A:V,IF(A6&gt;2033,22,MATCH(A6,'female g'!$A$1:$V$1,0)),FALSE))</f>
        <v>3.1447369999999999E-3</v>
      </c>
      <c r="E6" s="1">
        <f t="shared" si="2"/>
        <v>0.99685526300000005</v>
      </c>
      <c r="F6" s="1">
        <f t="shared" si="3"/>
        <v>0.99702375899999995</v>
      </c>
      <c r="G6" s="1">
        <f>1/(1+Summary!$O$2)^$C6</f>
        <v>0.82270247479188197</v>
      </c>
      <c r="H6" s="1">
        <f>IF(B6&gt;64, Summary!$J$19, 0)*'TV 18'!G6*'TV 18'!F6</f>
        <v>0</v>
      </c>
      <c r="I6" s="1"/>
    </row>
    <row r="7" spans="1:9">
      <c r="A7" s="1">
        <f t="shared" si="0"/>
        <v>2024</v>
      </c>
      <c r="B7" s="1">
        <f t="shared" si="1"/>
        <v>54</v>
      </c>
      <c r="C7" s="1">
        <v>5</v>
      </c>
      <c r="D7" s="1">
        <f>IF(Summary!$G$19="M",VLOOKUP(B:B,'male g'!A:V,IF(A7&gt;2033,22,MATCH(A7,'male g'!$A$1:$V$1,0)),FALSE),VLOOKUP(B:B,'female g'!A:V,IF(A7&gt;2033,22,MATCH(A7,'female g'!$A$1:$V$1,0)),FALSE))</f>
        <v>3.3325659999999999E-3</v>
      </c>
      <c r="E7" s="1">
        <f t="shared" si="2"/>
        <v>0.99666743400000002</v>
      </c>
      <c r="F7" s="1">
        <f t="shared" si="3"/>
        <v>0.99685526300000005</v>
      </c>
      <c r="G7" s="1">
        <f>1/(1+Summary!$O$2)^$C7</f>
        <v>0.78352616646845896</v>
      </c>
      <c r="H7" s="1">
        <f>IF(B7&gt;64, Summary!$J$19, 0)*'TV 18'!G7*'TV 18'!F7</f>
        <v>0</v>
      </c>
      <c r="I7" s="1"/>
    </row>
    <row r="8" spans="1:9">
      <c r="A8" s="1">
        <f t="shared" si="0"/>
        <v>2025</v>
      </c>
      <c r="B8" s="1">
        <f t="shared" si="1"/>
        <v>55</v>
      </c>
      <c r="C8" s="1">
        <v>6</v>
      </c>
      <c r="D8" s="1">
        <f>IF(Summary!$G$19="M",VLOOKUP(B:B,'male g'!A:V,IF(A8&gt;2033,22,MATCH(A8,'male g'!$A$1:$V$1,0)),FALSE),VLOOKUP(B:B,'female g'!A:V,IF(A8&gt;2033,22,MATCH(A8,'female g'!$A$1:$V$1,0)),FALSE))</f>
        <v>3.5437979999999999E-3</v>
      </c>
      <c r="E8" s="1">
        <f t="shared" si="2"/>
        <v>0.99645620199999996</v>
      </c>
      <c r="F8" s="1">
        <f t="shared" si="3"/>
        <v>0.99666743400000002</v>
      </c>
      <c r="G8" s="1">
        <f>1/(1+Summary!$O$2)^$C8</f>
        <v>0.74621539663662761</v>
      </c>
      <c r="H8" s="1">
        <f>IF(B8&gt;64, Summary!$J$19, 0)*'TV 18'!G8*'TV 18'!F8</f>
        <v>0</v>
      </c>
      <c r="I8" s="1"/>
    </row>
    <row r="9" spans="1:9">
      <c r="A9" s="1">
        <f t="shared" si="0"/>
        <v>2026</v>
      </c>
      <c r="B9" s="1">
        <f t="shared" si="1"/>
        <v>56</v>
      </c>
      <c r="C9" s="1">
        <v>7</v>
      </c>
      <c r="D9" s="1">
        <f>IF(Summary!$G$19="M",VLOOKUP(B:B,'male g'!A:V,IF(A9&gt;2033,22,MATCH(A9,'male g'!$A$1:$V$1,0)),FALSE),VLOOKUP(B:B,'female g'!A:V,IF(A9&gt;2033,22,MATCH(A9,'female g'!$A$1:$V$1,0)),FALSE))</f>
        <v>3.7789210000000002E-3</v>
      </c>
      <c r="E9" s="1">
        <f t="shared" si="2"/>
        <v>0.99622107900000001</v>
      </c>
      <c r="F9" s="1">
        <f t="shared" si="3"/>
        <v>0.99645620199999996</v>
      </c>
      <c r="G9" s="1">
        <f>1/(1+Summary!$O$2)^$C9</f>
        <v>0.71068133013012147</v>
      </c>
      <c r="H9" s="1">
        <f>IF(B9&gt;64, Summary!$J$19, 0)*'TV 18'!G9*'TV 18'!F9</f>
        <v>0</v>
      </c>
      <c r="I9" s="1"/>
    </row>
    <row r="10" spans="1:9">
      <c r="A10" s="1">
        <f t="shared" si="0"/>
        <v>2027</v>
      </c>
      <c r="B10" s="1">
        <f t="shared" si="1"/>
        <v>57</v>
      </c>
      <c r="C10" s="1">
        <v>8</v>
      </c>
      <c r="D10" s="1">
        <f>IF(Summary!$G$19="M",VLOOKUP(B:B,'male g'!A:V,IF(A10&gt;2033,22,MATCH(A10,'male g'!$A$1:$V$1,0)),FALSE),VLOOKUP(B:B,'female g'!A:V,IF(A10&gt;2033,22,MATCH(A10,'female g'!$A$1:$V$1,0)),FALSE))</f>
        <v>4.0422619999999996E-3</v>
      </c>
      <c r="E10" s="1">
        <f t="shared" si="2"/>
        <v>0.99595773799999998</v>
      </c>
      <c r="F10" s="1">
        <f t="shared" si="3"/>
        <v>0.99622107900000001</v>
      </c>
      <c r="G10" s="1">
        <f>1/(1+Summary!$O$2)^$C10</f>
        <v>0.67683936202868722</v>
      </c>
      <c r="H10" s="1">
        <f>IF(B10&gt;64, Summary!$J$19, 0)*'TV 18'!G10*'TV 18'!F10</f>
        <v>0</v>
      </c>
      <c r="I10" s="1"/>
    </row>
    <row r="11" spans="1:9">
      <c r="A11" s="1">
        <f t="shared" si="0"/>
        <v>2028</v>
      </c>
      <c r="B11" s="1">
        <f t="shared" si="1"/>
        <v>58</v>
      </c>
      <c r="C11" s="1">
        <v>9</v>
      </c>
      <c r="D11" s="1">
        <f>IF(Summary!$G$19="M",VLOOKUP(B:B,'male g'!A:V,IF(A11&gt;2033,22,MATCH(A11,'male g'!$A$1:$V$1,0)),FALSE),VLOOKUP(B:B,'female g'!A:V,IF(A11&gt;2033,22,MATCH(A11,'female g'!$A$1:$V$1,0)),FALSE))</f>
        <v>4.3327410000000002E-3</v>
      </c>
      <c r="E11" s="1">
        <f t="shared" si="2"/>
        <v>0.99566725899999997</v>
      </c>
      <c r="F11" s="1">
        <f t="shared" si="3"/>
        <v>0.99595773799999998</v>
      </c>
      <c r="G11" s="1">
        <f>1/(1+Summary!$O$2)^$C11</f>
        <v>0.64460891621779726</v>
      </c>
      <c r="H11" s="1">
        <f>IF(B11&gt;64, Summary!$J$19, 0)*'TV 18'!G11*'TV 18'!F11</f>
        <v>0</v>
      </c>
      <c r="I11" s="1"/>
    </row>
    <row r="12" spans="1:9">
      <c r="A12" s="1">
        <f t="shared" si="0"/>
        <v>2029</v>
      </c>
      <c r="B12" s="1">
        <f t="shared" si="1"/>
        <v>59</v>
      </c>
      <c r="C12" s="1">
        <v>10</v>
      </c>
      <c r="D12" s="1">
        <f>IF(Summary!$G$19="M",VLOOKUP(B:B,'male g'!A:V,IF(A12&gt;2033,22,MATCH(A12,'male g'!$A$1:$V$1,0)),FALSE),VLOOKUP(B:B,'female g'!A:V,IF(A12&gt;2033,22,MATCH(A12,'female g'!$A$1:$V$1,0)),FALSE))</f>
        <v>4.6544810000000002E-3</v>
      </c>
      <c r="E12" s="1">
        <f t="shared" si="2"/>
        <v>0.99534551900000001</v>
      </c>
      <c r="F12" s="1">
        <f t="shared" si="3"/>
        <v>0.99566725899999997</v>
      </c>
      <c r="G12" s="1">
        <f>1/(1+Summary!$O$2)^$C12</f>
        <v>0.61391325354075932</v>
      </c>
      <c r="H12" s="1">
        <f>IF(B12&gt;64, Summary!$J$19, 0)*'TV 18'!G12*'TV 18'!F12</f>
        <v>0</v>
      </c>
      <c r="I12" s="1"/>
    </row>
    <row r="13" spans="1:9">
      <c r="A13" s="1">
        <f t="shared" si="0"/>
        <v>2030</v>
      </c>
      <c r="B13" s="1">
        <f t="shared" si="1"/>
        <v>60</v>
      </c>
      <c r="C13" s="1">
        <v>11</v>
      </c>
      <c r="D13" s="1">
        <f>IF(Summary!$G$19="M",VLOOKUP(B:B,'male g'!A:V,IF(A13&gt;2033,22,MATCH(A13,'male g'!$A$1:$V$1,0)),FALSE),VLOOKUP(B:B,'female g'!A:V,IF(A13&gt;2033,22,MATCH(A13,'female g'!$A$1:$V$1,0)),FALSE))</f>
        <v>5.0054289999999996E-3</v>
      </c>
      <c r="E13" s="1">
        <f t="shared" si="2"/>
        <v>0.99499457099999999</v>
      </c>
      <c r="F13" s="1">
        <f t="shared" si="3"/>
        <v>0.99534551900000001</v>
      </c>
      <c r="G13" s="1">
        <f>1/(1+Summary!$O$2)^$C13</f>
        <v>0.5846792890864374</v>
      </c>
      <c r="H13" s="1">
        <f>IF(B13&gt;64, Summary!$J$19, 0)*'TV 18'!G13*'TV 18'!F13</f>
        <v>0</v>
      </c>
      <c r="I13" s="1"/>
    </row>
    <row r="14" spans="1:9">
      <c r="A14" s="1">
        <f t="shared" si="0"/>
        <v>2031</v>
      </c>
      <c r="B14" s="1">
        <f t="shared" si="1"/>
        <v>61</v>
      </c>
      <c r="C14" s="1">
        <v>12</v>
      </c>
      <c r="D14" s="1">
        <f>IF(Summary!$G$19="M",VLOOKUP(B:B,'male g'!A:V,IF(A14&gt;2033,22,MATCH(A14,'male g'!$A$1:$V$1,0)),FALSE),VLOOKUP(B:B,'female g'!A:V,IF(A14&gt;2033,22,MATCH(A14,'female g'!$A$1:$V$1,0)),FALSE))</f>
        <v>5.3846629999999996E-3</v>
      </c>
      <c r="E14" s="1">
        <f t="shared" si="2"/>
        <v>0.99461533700000004</v>
      </c>
      <c r="F14" s="1">
        <f t="shared" si="3"/>
        <v>0.99499457099999999</v>
      </c>
      <c r="G14" s="1">
        <f>1/(1+Summary!$O$2)^$C14</f>
        <v>0.5568374181775595</v>
      </c>
      <c r="H14" s="1">
        <f>IF(B14&gt;64, Summary!$J$19, 0)*'TV 18'!G14*'TV 18'!F14</f>
        <v>0</v>
      </c>
      <c r="I14" s="1"/>
    </row>
    <row r="15" spans="1:9">
      <c r="A15" s="1">
        <f t="shared" si="0"/>
        <v>2032</v>
      </c>
      <c r="B15" s="1">
        <f t="shared" si="1"/>
        <v>62</v>
      </c>
      <c r="C15" s="1">
        <v>13</v>
      </c>
      <c r="D15" s="1">
        <f>IF(Summary!$G$19="M",VLOOKUP(B:B,'male g'!A:V,IF(A15&gt;2033,22,MATCH(A15,'male g'!$A$1:$V$1,0)),FALSE),VLOOKUP(B:B,'female g'!A:V,IF(A15&gt;2033,22,MATCH(A15,'female g'!$A$1:$V$1,0)),FALSE))</f>
        <v>5.7912959999999996E-3</v>
      </c>
      <c r="E15" s="1">
        <f t="shared" si="2"/>
        <v>0.99420870400000005</v>
      </c>
      <c r="F15" s="1">
        <f t="shared" si="3"/>
        <v>0.99461533700000004</v>
      </c>
      <c r="G15" s="1">
        <f>1/(1+Summary!$O$2)^$C15</f>
        <v>0.53032135064529462</v>
      </c>
      <c r="H15" s="1">
        <f>IF(B15&gt;64, Summary!$J$19, 0)*'TV 18'!G15*'TV 18'!F15</f>
        <v>0</v>
      </c>
      <c r="I15" s="1"/>
    </row>
    <row r="16" spans="1:9">
      <c r="A16" s="1">
        <f t="shared" si="0"/>
        <v>2033</v>
      </c>
      <c r="B16" s="1">
        <f t="shared" si="1"/>
        <v>63</v>
      </c>
      <c r="C16" s="1">
        <v>14</v>
      </c>
      <c r="D16" s="1">
        <f>IF(Summary!$G$19="M",VLOOKUP(B:B,'male g'!A:V,IF(A16&gt;2033,22,MATCH(A16,'male g'!$A$1:$V$1,0)),FALSE),VLOOKUP(B:B,'female g'!A:V,IF(A16&gt;2033,22,MATCH(A16,'female g'!$A$1:$V$1,0)),FALSE))</f>
        <v>6.2244240000000001E-3</v>
      </c>
      <c r="E16" s="1">
        <f t="shared" si="2"/>
        <v>0.99377557599999999</v>
      </c>
      <c r="F16" s="1">
        <f t="shared" si="3"/>
        <v>0.99420870400000005</v>
      </c>
      <c r="G16" s="1">
        <f>1/(1+Summary!$O$2)^$C16</f>
        <v>0.50506795299551888</v>
      </c>
      <c r="H16" s="1">
        <f>IF(B16&gt;64, Summary!$J$19, 0)*'TV 18'!G16*'TV 18'!F16</f>
        <v>0</v>
      </c>
      <c r="I16" s="1"/>
    </row>
    <row r="17" spans="1:9">
      <c r="A17" s="1">
        <f t="shared" si="0"/>
        <v>2034</v>
      </c>
      <c r="B17" s="1">
        <f t="shared" si="1"/>
        <v>64</v>
      </c>
      <c r="C17" s="1">
        <v>15</v>
      </c>
      <c r="D17" s="1">
        <f>IF(Summary!$G$19="M",VLOOKUP(B:B,'male g'!A:V,IF(A17&gt;2033,22,MATCH(A17,'male g'!$A$1:$V$1,0)),FALSE),VLOOKUP(B:B,'female g'!A:V,IF(A17&gt;2033,22,MATCH(A17,'female g'!$A$1:$V$1,0)),FALSE))</f>
        <v>6.6840069999999996E-3</v>
      </c>
      <c r="E17" s="1">
        <f t="shared" si="2"/>
        <v>0.99331599299999995</v>
      </c>
      <c r="F17" s="1">
        <f t="shared" si="3"/>
        <v>0.99377557599999999</v>
      </c>
      <c r="G17" s="1">
        <f>1/(1+Summary!$O$2)^$C17</f>
        <v>0.48101709809097021</v>
      </c>
      <c r="H17" s="1">
        <f>IF(B17&gt;64, Summary!$J$19, 0)*'TV 18'!G17*'TV 18'!F17</f>
        <v>0</v>
      </c>
      <c r="I17" s="1"/>
    </row>
    <row r="18" spans="1:9">
      <c r="A18" s="1">
        <f t="shared" si="0"/>
        <v>2035</v>
      </c>
      <c r="B18" s="1">
        <f t="shared" si="1"/>
        <v>65</v>
      </c>
      <c r="C18" s="1">
        <v>16</v>
      </c>
      <c r="D18" s="1">
        <f>IF(Summary!$G$19="M",VLOOKUP(B:B,'male g'!A:V,IF(A18&gt;2033,22,MATCH(A18,'male g'!$A$1:$V$1,0)),FALSE),VLOOKUP(B:B,'female g'!A:V,IF(A18&gt;2033,22,MATCH(A18,'female g'!$A$1:$V$1,0)),FALSE))</f>
        <v>7.247748E-3</v>
      </c>
      <c r="E18" s="1">
        <f t="shared" si="2"/>
        <v>0.99275225199999995</v>
      </c>
      <c r="F18" s="1">
        <f t="shared" si="3"/>
        <v>0.99331599299999995</v>
      </c>
      <c r="G18" s="1">
        <f>1/(1+Summary!$O$2)^$C18</f>
        <v>0.45811152199140021</v>
      </c>
      <c r="H18" s="1">
        <f>IF(B18&gt;64, Summary!$J$19, 0)*'TV 18'!G18*'TV 18'!F18</f>
        <v>6740.3485740692595</v>
      </c>
      <c r="I18" s="1"/>
    </row>
    <row r="19" spans="1:9">
      <c r="A19" s="1">
        <f t="shared" si="0"/>
        <v>2036</v>
      </c>
      <c r="B19" s="1">
        <f t="shared" si="1"/>
        <v>66</v>
      </c>
      <c r="C19" s="1">
        <v>17</v>
      </c>
      <c r="D19" s="1">
        <f>IF(Summary!$G$19="M",VLOOKUP(B:B,'male g'!A:V,IF(A19&gt;2033,22,MATCH(A19,'male g'!$A$1:$V$1,0)),FALSE),VLOOKUP(B:B,'female g'!A:V,IF(A19&gt;2033,22,MATCH(A19,'female g'!$A$1:$V$1,0)),FALSE))</f>
        <v>7.8640140000000008E-3</v>
      </c>
      <c r="E19" s="1">
        <f t="shared" si="2"/>
        <v>0.99213598599999997</v>
      </c>
      <c r="F19" s="1">
        <f t="shared" si="3"/>
        <v>0.99275225199999995</v>
      </c>
      <c r="G19" s="1">
        <f>1/(1+Summary!$O$2)^$C19</f>
        <v>0.43629668761085727</v>
      </c>
      <c r="H19" s="1">
        <f>IF(B19&gt;64, Summary!$J$19, 0)*'TV 18'!G19*'TV 18'!F19</f>
        <v>6415.7363755800025</v>
      </c>
      <c r="I19" s="1"/>
    </row>
    <row r="20" spans="1:9">
      <c r="A20" s="1">
        <f t="shared" si="0"/>
        <v>2037</v>
      </c>
      <c r="B20" s="1">
        <f t="shared" si="1"/>
        <v>67</v>
      </c>
      <c r="C20" s="1">
        <v>18</v>
      </c>
      <c r="D20" s="1">
        <f>IF(Summary!$G$19="M",VLOOKUP(B:B,'male g'!A:V,IF(A20&gt;2033,22,MATCH(A20,'male g'!$A$1:$V$1,0)),FALSE),VLOOKUP(B:B,'female g'!A:V,IF(A20&gt;2033,22,MATCH(A20,'female g'!$A$1:$V$1,0)),FALSE))</f>
        <v>8.5402580000000002E-3</v>
      </c>
      <c r="E20" s="1">
        <f t="shared" si="2"/>
        <v>0.99145974199999998</v>
      </c>
      <c r="F20" s="1">
        <f t="shared" si="3"/>
        <v>0.99213598599999997</v>
      </c>
      <c r="G20" s="1">
        <f>1/(1+Summary!$O$2)^$C20</f>
        <v>0.41552065486748313</v>
      </c>
      <c r="H20" s="1">
        <f>IF(B20&gt;64, Summary!$J$19, 0)*'TV 18'!G20*'TV 18'!F20</f>
        <v>6106.4321047909507</v>
      </c>
      <c r="I20" s="1"/>
    </row>
    <row r="21" spans="1:9">
      <c r="A21" s="1">
        <f t="shared" si="0"/>
        <v>2038</v>
      </c>
      <c r="B21" s="1">
        <f t="shared" si="1"/>
        <v>68</v>
      </c>
      <c r="C21" s="1">
        <v>19</v>
      </c>
      <c r="D21" s="1">
        <f>IF(Summary!$G$19="M",VLOOKUP(B:B,'male g'!A:V,IF(A21&gt;2033,22,MATCH(A21,'male g'!$A$1:$V$1,0)),FALSE),VLOOKUP(B:B,'female g'!A:V,IF(A21&gt;2033,22,MATCH(A21,'female g'!$A$1:$V$1,0)),FALSE))</f>
        <v>9.291054E-3</v>
      </c>
      <c r="E21" s="1">
        <f t="shared" si="2"/>
        <v>0.99070894600000003</v>
      </c>
      <c r="F21" s="1">
        <f t="shared" si="3"/>
        <v>0.99145974199999998</v>
      </c>
      <c r="G21" s="1">
        <f>1/(1+Summary!$O$2)^$C21</f>
        <v>0.39573395701665059</v>
      </c>
      <c r="H21" s="1">
        <f>IF(B21&gt;64, Summary!$J$19, 0)*'TV 18'!G21*'TV 18'!F21</f>
        <v>5811.6856527238124</v>
      </c>
      <c r="I21" s="1"/>
    </row>
    <row r="22" spans="1:9">
      <c r="A22" s="1">
        <f t="shared" si="0"/>
        <v>2039</v>
      </c>
      <c r="B22" s="1">
        <f t="shared" si="1"/>
        <v>69</v>
      </c>
      <c r="C22" s="1">
        <v>20</v>
      </c>
      <c r="D22" s="1">
        <f>IF(Summary!$G$19="M",VLOOKUP(B:B,'male g'!A:V,IF(A22&gt;2033,22,MATCH(A22,'male g'!$A$1:$V$1,0)),FALSE),VLOOKUP(B:B,'female g'!A:V,IF(A22&gt;2033,22,MATCH(A22,'female g'!$A$1:$V$1,0)),FALSE))</f>
        <v>1.0121299E-2</v>
      </c>
      <c r="E22" s="1">
        <f t="shared" si="2"/>
        <v>0.98987870099999997</v>
      </c>
      <c r="F22" s="1">
        <f t="shared" si="3"/>
        <v>0.99070894600000003</v>
      </c>
      <c r="G22" s="1">
        <f>1/(1+Summary!$O$2)^$C22</f>
        <v>0.37688948287300061</v>
      </c>
      <c r="H22" s="1">
        <f>IF(B22&gt;64, Summary!$J$19, 0)*'TV 18'!G22*'TV 18'!F22</f>
        <v>5530.7473113463047</v>
      </c>
      <c r="I22" s="1"/>
    </row>
    <row r="23" spans="1:9">
      <c r="A23" s="1">
        <f t="shared" si="0"/>
        <v>2040</v>
      </c>
      <c r="B23" s="1">
        <f t="shared" si="1"/>
        <v>70</v>
      </c>
      <c r="C23" s="1">
        <v>21</v>
      </c>
      <c r="D23" s="1">
        <f>IF(Summary!$G$19="M",VLOOKUP(B:B,'male g'!A:V,IF(A23&gt;2033,22,MATCH(A23,'male g'!$A$1:$V$1,0)),FALSE),VLOOKUP(B:B,'female g'!A:V,IF(A23&gt;2033,22,MATCH(A23,'female g'!$A$1:$V$1,0)),FALSE))</f>
        <v>1.1050012E-2</v>
      </c>
      <c r="E23" s="1">
        <f t="shared" si="2"/>
        <v>0.988949988</v>
      </c>
      <c r="F23" s="1">
        <f t="shared" si="3"/>
        <v>0.98987870099999997</v>
      </c>
      <c r="G23" s="1">
        <f>1/(1+Summary!$O$2)^$C23</f>
        <v>0.35894236464095297</v>
      </c>
      <c r="H23" s="1">
        <f>IF(B23&gt;64, Summary!$J$19, 0)*'TV 18'!G23*'TV 18'!F23</f>
        <v>5262.9641643603973</v>
      </c>
      <c r="I23" s="1"/>
    </row>
    <row r="24" spans="1:9">
      <c r="A24" s="1">
        <f t="shared" si="0"/>
        <v>2041</v>
      </c>
      <c r="B24" s="1">
        <f t="shared" si="1"/>
        <v>71</v>
      </c>
      <c r="C24" s="1">
        <v>22</v>
      </c>
      <c r="D24" s="1">
        <f>IF(Summary!$G$19="M",VLOOKUP(B:B,'male g'!A:V,IF(A24&gt;2033,22,MATCH(A24,'male g'!$A$1:$V$1,0)),FALSE),VLOOKUP(B:B,'female g'!A:V,IF(A24&gt;2033,22,MATCH(A24,'female g'!$A$1:$V$1,0)),FALSE))</f>
        <v>1.2082262999999999E-2</v>
      </c>
      <c r="E24" s="1">
        <f t="shared" si="2"/>
        <v>0.98791773699999996</v>
      </c>
      <c r="F24" s="1">
        <f t="shared" si="3"/>
        <v>0.988949988</v>
      </c>
      <c r="G24" s="1">
        <f>1/(1+Summary!$O$2)^$C24</f>
        <v>0.3418498710866219</v>
      </c>
      <c r="H24" s="1">
        <f>IF(B24&gt;64, Summary!$J$19, 0)*'TV 18'!G24*'TV 18'!F24</f>
        <v>5007.6441948374159</v>
      </c>
      <c r="I24" s="1"/>
    </row>
    <row r="25" spans="1:9">
      <c r="A25" s="1">
        <f t="shared" si="0"/>
        <v>2042</v>
      </c>
      <c r="B25" s="1">
        <f t="shared" si="1"/>
        <v>72</v>
      </c>
      <c r="C25" s="1">
        <v>23</v>
      </c>
      <c r="D25" s="1">
        <f>IF(Summary!$G$19="M",VLOOKUP(B:B,'male g'!A:V,IF(A25&gt;2033,22,MATCH(A25,'male g'!$A$1:$V$1,0)),FALSE),VLOOKUP(B:B,'female g'!A:V,IF(A25&gt;2033,22,MATCH(A25,'female g'!$A$1:$V$1,0)),FALSE))</f>
        <v>1.3232393E-2</v>
      </c>
      <c r="E25" s="1">
        <f t="shared" si="2"/>
        <v>0.98676760699999999</v>
      </c>
      <c r="F25" s="1">
        <f t="shared" si="3"/>
        <v>0.98791773699999996</v>
      </c>
      <c r="G25" s="1">
        <f>1/(1+Summary!$O$2)^$C25</f>
        <v>0.32557130579678267</v>
      </c>
      <c r="H25" s="1">
        <f>IF(B25&gt;64, Summary!$J$19, 0)*'TV 18'!G25*'TV 18'!F25</f>
        <v>4764.2069445409616</v>
      </c>
      <c r="I25" s="1"/>
    </row>
    <row r="26" spans="1:9">
      <c r="A26" s="1">
        <f t="shared" si="0"/>
        <v>2043</v>
      </c>
      <c r="B26" s="1">
        <f t="shared" si="1"/>
        <v>73</v>
      </c>
      <c r="C26" s="1">
        <v>24</v>
      </c>
      <c r="D26" s="1">
        <f>IF(Summary!$G$19="M",VLOOKUP(B:B,'male g'!A:V,IF(A26&gt;2033,22,MATCH(A26,'male g'!$A$1:$V$1,0)),FALSE),VLOOKUP(B:B,'female g'!A:V,IF(A26&gt;2033,22,MATCH(A26,'female g'!$A$1:$V$1,0)),FALSE))</f>
        <v>1.4520474E-2</v>
      </c>
      <c r="E26" s="1">
        <f t="shared" si="2"/>
        <v>0.98547952599999999</v>
      </c>
      <c r="F26" s="1">
        <f t="shared" si="3"/>
        <v>0.98676760699999999</v>
      </c>
      <c r="G26" s="1">
        <f>1/(1+Summary!$O$2)^$C26</f>
        <v>0.31006791028265024</v>
      </c>
      <c r="H26" s="1">
        <f>IF(B26&gt;64, Summary!$J$19, 0)*'TV 18'!G26*'TV 18'!F26</f>
        <v>4532.057593603221</v>
      </c>
      <c r="I26" s="1"/>
    </row>
    <row r="27" spans="1:9">
      <c r="A27" s="1">
        <f t="shared" si="0"/>
        <v>2044</v>
      </c>
      <c r="B27" s="1">
        <f t="shared" si="1"/>
        <v>74</v>
      </c>
      <c r="C27" s="1">
        <v>25</v>
      </c>
      <c r="D27" s="1">
        <f>IF(Summary!$G$19="M",VLOOKUP(B:B,'male g'!A:V,IF(A27&gt;2033,22,MATCH(A27,'male g'!$A$1:$V$1,0)),FALSE),VLOOKUP(B:B,'female g'!A:V,IF(A27&gt;2033,22,MATCH(A27,'female g'!$A$1:$V$1,0)),FALSE))</f>
        <v>1.5945328000000002E-2</v>
      </c>
      <c r="E27" s="1">
        <f t="shared" si="2"/>
        <v>0.98405467199999996</v>
      </c>
      <c r="F27" s="1">
        <f t="shared" si="3"/>
        <v>0.98547952599999999</v>
      </c>
      <c r="G27" s="1">
        <f>1/(1+Summary!$O$2)^$C27</f>
        <v>0.29530277169776209</v>
      </c>
      <c r="H27" s="1">
        <f>IF(B27&gt;64, Summary!$J$19, 0)*'TV 18'!G27*'TV 18'!F27</f>
        <v>4310.6110993257762</v>
      </c>
      <c r="I27" s="1"/>
    </row>
    <row r="28" spans="1:9">
      <c r="A28" s="1">
        <f t="shared" si="0"/>
        <v>2045</v>
      </c>
      <c r="B28" s="1">
        <f t="shared" si="1"/>
        <v>75</v>
      </c>
      <c r="C28" s="1">
        <v>26</v>
      </c>
      <c r="D28" s="1">
        <f>IF(Summary!$G$19="M",VLOOKUP(B:B,'male g'!A:V,IF(A28&gt;2033,22,MATCH(A28,'male g'!$A$1:$V$1,0)),FALSE),VLOOKUP(B:B,'female g'!A:V,IF(A28&gt;2033,22,MATCH(A28,'female g'!$A$1:$V$1,0)),FALSE))</f>
        <v>1.7550544000000001E-2</v>
      </c>
      <c r="E28" s="1">
        <f t="shared" si="2"/>
        <v>0.982449456</v>
      </c>
      <c r="F28" s="1">
        <f t="shared" si="3"/>
        <v>0.98405467199999996</v>
      </c>
      <c r="G28" s="1">
        <f>1/(1+Summary!$O$2)^$C28</f>
        <v>0.28124073495024959</v>
      </c>
      <c r="H28" s="1">
        <f>IF(B28&gt;64, Summary!$J$19, 0)*'TV 18'!G28*'TV 18'!F28</f>
        <v>4099.4081991874846</v>
      </c>
      <c r="I28" s="1"/>
    </row>
    <row r="29" spans="1:9">
      <c r="A29" s="1">
        <f t="shared" si="0"/>
        <v>2046</v>
      </c>
      <c r="B29" s="1">
        <f t="shared" si="1"/>
        <v>76</v>
      </c>
      <c r="C29" s="1">
        <v>27</v>
      </c>
      <c r="D29" s="1">
        <f>IF(Summary!$G$19="M",VLOOKUP(B:B,'male g'!A:V,IF(A29&gt;2033,22,MATCH(A29,'male g'!$A$1:$V$1,0)),FALSE),VLOOKUP(B:B,'female g'!A:V,IF(A29&gt;2033,22,MATCH(A29,'female g'!$A$1:$V$1,0)),FALSE))</f>
        <v>1.9346596000000001E-2</v>
      </c>
      <c r="E29" s="1">
        <f t="shared" si="2"/>
        <v>0.98065340400000001</v>
      </c>
      <c r="F29" s="1">
        <f t="shared" si="3"/>
        <v>0.982449456</v>
      </c>
      <c r="G29" s="1">
        <f>1/(1+Summary!$O$2)^$C29</f>
        <v>0.2678483190002377</v>
      </c>
      <c r="H29" s="1">
        <f>IF(B29&gt;64, Summary!$J$19, 0)*'TV 18'!G29*'TV 18'!F29</f>
        <v>3897.8296534685719</v>
      </c>
      <c r="I29" s="1"/>
    </row>
    <row r="30" spans="1:9">
      <c r="A30" s="1">
        <f t="shared" si="0"/>
        <v>2047</v>
      </c>
      <c r="B30" s="1">
        <f t="shared" si="1"/>
        <v>77</v>
      </c>
      <c r="C30" s="1">
        <v>28</v>
      </c>
      <c r="D30" s="1">
        <f>IF(Summary!$G$19="M",VLOOKUP(B:B,'male g'!A:V,IF(A30&gt;2033,22,MATCH(A30,'male g'!$A$1:$V$1,0)),FALSE),VLOOKUP(B:B,'female g'!A:V,IF(A30&gt;2033,22,MATCH(A30,'female g'!$A$1:$V$1,0)),FALSE))</f>
        <v>2.1378668999999999E-2</v>
      </c>
      <c r="E30" s="1">
        <f t="shared" si="2"/>
        <v>0.97862133100000004</v>
      </c>
      <c r="F30" s="1">
        <f t="shared" si="3"/>
        <v>0.98065340400000001</v>
      </c>
      <c r="G30" s="1">
        <f>1/(1+Summary!$O$2)^$C30</f>
        <v>0.25509363714308358</v>
      </c>
      <c r="H30" s="1">
        <f>IF(B30&gt;64, Summary!$J$19, 0)*'TV 18'!G30*'TV 18'!F30</f>
        <v>3705.4322739594277</v>
      </c>
      <c r="I30" s="1"/>
    </row>
    <row r="31" spans="1:9">
      <c r="A31" s="1">
        <f t="shared" si="0"/>
        <v>2048</v>
      </c>
      <c r="B31" s="1">
        <f t="shared" si="1"/>
        <v>78</v>
      </c>
      <c r="C31" s="1">
        <v>29</v>
      </c>
      <c r="D31" s="1">
        <f>IF(Summary!$G$19="M",VLOOKUP(B:B,'male g'!A:V,IF(A31&gt;2033,22,MATCH(A31,'male g'!$A$1:$V$1,0)),FALSE),VLOOKUP(B:B,'female g'!A:V,IF(A31&gt;2033,22,MATCH(A31,'female g'!$A$1:$V$1,0)),FALSE))</f>
        <v>2.3682564E-2</v>
      </c>
      <c r="E31" s="1">
        <f t="shared" si="2"/>
        <v>0.97631743599999998</v>
      </c>
      <c r="F31" s="1">
        <f t="shared" si="3"/>
        <v>0.97862133100000004</v>
      </c>
      <c r="G31" s="1">
        <f>1/(1+Summary!$O$2)^$C31</f>
        <v>0.24294632108865097</v>
      </c>
      <c r="H31" s="1">
        <f>IF(B31&gt;64, Summary!$J$19, 0)*'TV 18'!G31*'TV 18'!F31</f>
        <v>3521.6704923292928</v>
      </c>
      <c r="I31" s="1"/>
    </row>
    <row r="32" spans="1:9">
      <c r="A32" s="1">
        <f t="shared" si="0"/>
        <v>2049</v>
      </c>
      <c r="B32" s="1">
        <f t="shared" si="1"/>
        <v>79</v>
      </c>
      <c r="C32" s="1">
        <v>30</v>
      </c>
      <c r="D32" s="1">
        <f>IF(Summary!$G$19="M",VLOOKUP(B:B,'male g'!A:V,IF(A32&gt;2033,22,MATCH(A32,'male g'!$A$1:$V$1,0)),FALSE),VLOOKUP(B:B,'female g'!A:V,IF(A32&gt;2033,22,MATCH(A32,'female g'!$A$1:$V$1,0)),FALSE))</f>
        <v>2.6301709E-2</v>
      </c>
      <c r="E32" s="1">
        <f t="shared" si="2"/>
        <v>0.97369829100000005</v>
      </c>
      <c r="F32" s="1">
        <f t="shared" si="3"/>
        <v>0.97631743599999998</v>
      </c>
      <c r="G32" s="1">
        <f>1/(1+Summary!$O$2)^$C32</f>
        <v>0.23137744865585813</v>
      </c>
      <c r="H32" s="1">
        <f>IF(B32&gt;64, Summary!$J$19, 0)*'TV 18'!G32*'TV 18'!F32</f>
        <v>3346.0758922909231</v>
      </c>
      <c r="I32" s="1"/>
    </row>
    <row r="33" spans="1:9">
      <c r="A33" s="1">
        <f t="shared" si="0"/>
        <v>2050</v>
      </c>
      <c r="B33" s="1">
        <f t="shared" si="1"/>
        <v>80</v>
      </c>
      <c r="C33" s="1">
        <v>31</v>
      </c>
      <c r="D33" s="1">
        <f>IF(Summary!$G$19="M",VLOOKUP(B:B,'male g'!A:V,IF(A33&gt;2033,22,MATCH(A33,'male g'!$A$1:$V$1,0)),FALSE),VLOOKUP(B:B,'female g'!A:V,IF(A33&gt;2033,22,MATCH(A33,'female g'!$A$1:$V$1,0)),FALSE))</f>
        <v>2.9285830999999998E-2</v>
      </c>
      <c r="E33" s="1">
        <f t="shared" si="2"/>
        <v>0.97071416899999996</v>
      </c>
      <c r="F33" s="1">
        <f t="shared" si="3"/>
        <v>0.97369829100000005</v>
      </c>
      <c r="G33" s="1">
        <f>1/(1+Summary!$O$2)^$C33</f>
        <v>0.220359474910341</v>
      </c>
      <c r="H33" s="1">
        <f>IF(B33&gt;64, Summary!$J$19, 0)*'TV 18'!G33*'TV 18'!F33</f>
        <v>3178.1899515800424</v>
      </c>
      <c r="I33" s="1"/>
    </row>
    <row r="34" spans="1:9">
      <c r="A34" s="1">
        <f t="shared" si="0"/>
        <v>2051</v>
      </c>
      <c r="B34" s="1">
        <f t="shared" si="1"/>
        <v>81</v>
      </c>
      <c r="C34" s="1">
        <v>32</v>
      </c>
      <c r="D34" s="1">
        <f>IF(Summary!$G$19="M",VLOOKUP(B:B,'male g'!A:V,IF(A34&gt;2033,22,MATCH(A34,'male g'!$A$1:$V$1,0)),FALSE),VLOOKUP(B:B,'female g'!A:V,IF(A34&gt;2033,22,MATCH(A34,'female g'!$A$1:$V$1,0)),FALSE))</f>
        <v>3.2681842000000003E-2</v>
      </c>
      <c r="E34" s="1">
        <f t="shared" si="2"/>
        <v>0.96731815799999998</v>
      </c>
      <c r="F34" s="1">
        <f t="shared" si="3"/>
        <v>0.97071416899999996</v>
      </c>
      <c r="G34" s="1">
        <f>1/(1+Summary!$O$2)^$C34</f>
        <v>0.20986616658127716</v>
      </c>
      <c r="H34" s="1">
        <f>IF(B34&gt;64, Summary!$J$19, 0)*'TV 18'!G34*'TV 18'!F34</f>
        <v>3017.571103500773</v>
      </c>
      <c r="I34" s="1"/>
    </row>
    <row r="35" spans="1:9">
      <c r="A35" s="1">
        <f>$A$2+C35</f>
        <v>2052</v>
      </c>
      <c r="B35" s="1">
        <f>$B$2+C35</f>
        <v>82</v>
      </c>
      <c r="C35" s="1">
        <v>33</v>
      </c>
      <c r="D35" s="1">
        <f>IF(Summary!$G$19="M",VLOOKUP(B:B,'male g'!A:V,IF(A35&gt;2033,22,MATCH(A35,'male g'!$A$1:$V$1,0)),FALSE),VLOOKUP(B:B,'female g'!A:V,IF(A35&gt;2033,22,MATCH(A35,'female g'!$A$1:$V$1,0)),FALSE))</f>
        <v>3.6549238999999997E-2</v>
      </c>
      <c r="E35" s="1">
        <f t="shared" si="2"/>
        <v>0.96345076100000004</v>
      </c>
      <c r="F35" s="1">
        <f t="shared" si="3"/>
        <v>0.96731815799999998</v>
      </c>
      <c r="G35" s="1">
        <f>1/(1+Summary!$O$2)^$C35</f>
        <v>0.19987253960121634</v>
      </c>
      <c r="H35" s="1">
        <f>IF(B35&gt;64, Summary!$J$19, 0)*'TV 18'!G35*'TV 18'!F35</f>
        <v>2863.8230781789684</v>
      </c>
      <c r="I35" s="1"/>
    </row>
    <row r="36" spans="1:9">
      <c r="A36" s="1">
        <f t="shared" ref="A36:A47" si="4">$A$2+C36</f>
        <v>2053</v>
      </c>
      <c r="B36" s="1">
        <f t="shared" si="1"/>
        <v>83</v>
      </c>
      <c r="C36" s="1">
        <v>34</v>
      </c>
      <c r="D36" s="1">
        <f>IF(Summary!$G$19="M",VLOOKUP(B:B,'male g'!A:V,IF(A36&gt;2033,22,MATCH(A36,'male g'!$A$1:$V$1,0)),FALSE),VLOOKUP(B:B,'female g'!A:V,IF(A36&gt;2033,22,MATCH(A36,'female g'!$A$1:$V$1,0)),FALSE))</f>
        <v>4.0956563000000001E-2</v>
      </c>
      <c r="E36" s="1">
        <f t="shared" si="2"/>
        <v>0.95904343700000005</v>
      </c>
      <c r="F36" s="1">
        <f t="shared" si="3"/>
        <v>0.96345076100000004</v>
      </c>
      <c r="G36" s="1">
        <f>1/(1+Summary!$O$2)^$C36</f>
        <v>0.19035479962020604</v>
      </c>
      <c r="H36" s="1">
        <f>IF(B36&gt;64, Summary!$J$19, 0)*'TV 18'!G36*'TV 18'!F36</f>
        <v>2716.5460369765656</v>
      </c>
      <c r="I36" s="1"/>
    </row>
    <row r="37" spans="1:9">
      <c r="A37" s="1">
        <f t="shared" si="4"/>
        <v>2054</v>
      </c>
      <c r="B37" s="1">
        <f t="shared" si="1"/>
        <v>84</v>
      </c>
      <c r="C37" s="1">
        <v>35</v>
      </c>
      <c r="D37" s="1">
        <f>IF(Summary!$G$19="M",VLOOKUP(B:B,'male g'!A:V,IF(A37&gt;2033,22,MATCH(A37,'male g'!$A$1:$V$1,0)),FALSE),VLOOKUP(B:B,'female g'!A:V,IF(A37&gt;2033,22,MATCH(A37,'female g'!$A$1:$V$1,0)),FALSE))</f>
        <v>4.5960176999999998E-2</v>
      </c>
      <c r="E37" s="1">
        <f t="shared" si="2"/>
        <v>0.95403982300000001</v>
      </c>
      <c r="F37" s="1">
        <f t="shared" si="3"/>
        <v>0.95904343700000005</v>
      </c>
      <c r="G37" s="1">
        <f>1/(1+Summary!$O$2)^$C37</f>
        <v>0.18129028535257716</v>
      </c>
      <c r="H37" s="1">
        <f>IF(B37&gt;64, Summary!$J$19, 0)*'TV 18'!G37*'TV 18'!F37</f>
        <v>2575.3515666526446</v>
      </c>
      <c r="I37" s="1"/>
    </row>
    <row r="38" spans="1:9">
      <c r="A38" s="1">
        <f t="shared" si="4"/>
        <v>2055</v>
      </c>
      <c r="B38" s="1">
        <f t="shared" si="1"/>
        <v>85</v>
      </c>
      <c r="C38" s="1">
        <v>36</v>
      </c>
      <c r="D38" s="1">
        <f>IF(Summary!$G$19="M",VLOOKUP(B:B,'male g'!A:V,IF(A38&gt;2033,22,MATCH(A38,'male g'!$A$1:$V$1,0)),FALSE),VLOOKUP(B:B,'female g'!A:V,IF(A38&gt;2033,22,MATCH(A38,'female g'!$A$1:$V$1,0)),FALSE))</f>
        <v>5.1631459999999997E-2</v>
      </c>
      <c r="E38" s="1">
        <f t="shared" si="2"/>
        <v>0.94836854000000004</v>
      </c>
      <c r="F38" s="1">
        <f t="shared" si="3"/>
        <v>0.95403982300000001</v>
      </c>
      <c r="G38" s="1">
        <f>1/(1+Summary!$O$2)^$C38</f>
        <v>0.17265741462150208</v>
      </c>
      <c r="H38" s="1">
        <f>IF(B38&gt;64, Summary!$J$19, 0)*'TV 18'!G38*'TV 18'!F38</f>
        <v>2439.9192322377344</v>
      </c>
      <c r="I38" s="1"/>
    </row>
    <row r="39" spans="1:9">
      <c r="A39" s="1">
        <f t="shared" si="4"/>
        <v>2056</v>
      </c>
      <c r="B39" s="1">
        <f t="shared" si="1"/>
        <v>86</v>
      </c>
      <c r="C39" s="1">
        <v>37</v>
      </c>
      <c r="D39" s="1">
        <f>IF(Summary!$G$19="M",VLOOKUP(B:B,'male g'!A:V,IF(A39&gt;2033,22,MATCH(A39,'male g'!$A$1:$V$1,0)),FALSE),VLOOKUP(B:B,'female g'!A:V,IF(A39&gt;2033,22,MATCH(A39,'female g'!$A$1:$V$1,0)),FALSE))</f>
        <v>5.8086306999999997E-2</v>
      </c>
      <c r="E39" s="1">
        <f t="shared" si="2"/>
        <v>0.94191369300000005</v>
      </c>
      <c r="F39" s="1">
        <f t="shared" si="3"/>
        <v>0.94836854000000004</v>
      </c>
      <c r="G39" s="1">
        <f>1/(1+Summary!$O$2)^$C39</f>
        <v>0.1644356329728591</v>
      </c>
      <c r="H39" s="1">
        <f>IF(B39&gt;64, Summary!$J$19, 0)*'TV 18'!G39*'TV 18'!F39</f>
        <v>2309.9191900646097</v>
      </c>
      <c r="I39" s="1"/>
    </row>
    <row r="40" spans="1:9">
      <c r="A40" s="1">
        <f t="shared" si="4"/>
        <v>2057</v>
      </c>
      <c r="B40" s="1">
        <f t="shared" si="1"/>
        <v>87</v>
      </c>
      <c r="C40" s="1">
        <v>38</v>
      </c>
      <c r="D40" s="1">
        <f>IF(Summary!$G$19="M",VLOOKUP(B:B,'male g'!A:V,IF(A40&gt;2033,22,MATCH(A40,'male g'!$A$1:$V$1,0)),FALSE),VLOOKUP(B:B,'female g'!A:V,IF(A40&gt;2033,22,MATCH(A40,'female g'!$A$1:$V$1,0)),FALSE))</f>
        <v>6.5370790999999998E-2</v>
      </c>
      <c r="E40" s="1">
        <f t="shared" si="2"/>
        <v>0.93462920900000002</v>
      </c>
      <c r="F40" s="1">
        <f t="shared" si="3"/>
        <v>0.94191369300000005</v>
      </c>
      <c r="G40" s="1">
        <f>1/(1+Summary!$O$2)^$C40</f>
        <v>0.15660536473605632</v>
      </c>
      <c r="H40" s="1">
        <f>IF(B40&gt;64, Summary!$J$19, 0)*'TV 18'!G40*'TV 18'!F40</f>
        <v>2184.9497803733821</v>
      </c>
      <c r="I40" s="1"/>
    </row>
    <row r="41" spans="1:9">
      <c r="A41" s="1">
        <f t="shared" si="4"/>
        <v>2058</v>
      </c>
      <c r="B41" s="1">
        <f t="shared" si="1"/>
        <v>88</v>
      </c>
      <c r="C41" s="1">
        <v>39</v>
      </c>
      <c r="D41" s="1">
        <f>IF(Summary!$G$19="M",VLOOKUP(B:B,'male g'!A:V,IF(A41&gt;2033,22,MATCH(A41,'male g'!$A$1:$V$1,0)),FALSE),VLOOKUP(B:B,'female g'!A:V,IF(A41&gt;2033,22,MATCH(A41,'female g'!$A$1:$V$1,0)),FALSE))</f>
        <v>7.3564853999999999E-2</v>
      </c>
      <c r="E41" s="1">
        <f t="shared" si="2"/>
        <v>0.92643514599999999</v>
      </c>
      <c r="F41" s="1">
        <f t="shared" si="3"/>
        <v>0.93462920900000002</v>
      </c>
      <c r="G41" s="1">
        <f>1/(1+Summary!$O$2)^$C41</f>
        <v>0.14914796641529171</v>
      </c>
      <c r="H41" s="1">
        <f>IF(B41&gt;64, Summary!$J$19, 0)*'TV 18'!G41*'TV 18'!F41</f>
        <v>2064.8114477816221</v>
      </c>
      <c r="I41" s="1"/>
    </row>
    <row r="42" spans="1:9">
      <c r="A42" s="1">
        <f t="shared" si="4"/>
        <v>2059</v>
      </c>
      <c r="B42" s="1">
        <f t="shared" si="1"/>
        <v>89</v>
      </c>
      <c r="C42" s="1">
        <v>40</v>
      </c>
      <c r="D42" s="1">
        <f>IF(Summary!$G$19="M",VLOOKUP(B:B,'male g'!A:V,IF(A42&gt;2033,22,MATCH(A42,'male g'!$A$1:$V$1,0)),FALSE),VLOOKUP(B:B,'female g'!A:V,IF(A42&gt;2033,22,MATCH(A42,'female g'!$A$1:$V$1,0)),FALSE))</f>
        <v>8.2758546000000002E-2</v>
      </c>
      <c r="E42" s="1">
        <f t="shared" si="2"/>
        <v>0.91724145400000001</v>
      </c>
      <c r="F42" s="1">
        <f t="shared" si="3"/>
        <v>0.92643514599999999</v>
      </c>
      <c r="G42" s="1">
        <f>1/(1+Summary!$O$2)^$C42</f>
        <v>0.14204568230027784</v>
      </c>
      <c r="H42" s="1">
        <f>IF(B42&gt;64, Summary!$J$19, 0)*'TV 18'!G42*'TV 18'!F42</f>
        <v>1949.2465457782448</v>
      </c>
      <c r="I42" s="1"/>
    </row>
    <row r="43" spans="1:9">
      <c r="A43" s="1">
        <f t="shared" si="4"/>
        <v>2060</v>
      </c>
      <c r="B43" s="1">
        <f t="shared" si="1"/>
        <v>90</v>
      </c>
      <c r="C43" s="1">
        <v>41</v>
      </c>
      <c r="D43" s="1">
        <f>IF(Summary!$G$19="M",VLOOKUP(B:B,'male g'!A:V,IF(A43&gt;2033,22,MATCH(A43,'male g'!$A$1:$V$1,0)),FALSE),VLOOKUP(B:B,'female g'!A:V,IF(A43&gt;2033,22,MATCH(A43,'female g'!$A$1:$V$1,0)),FALSE))</f>
        <v>9.3062779999999998E-2</v>
      </c>
      <c r="E43" s="1">
        <f t="shared" si="2"/>
        <v>0.90693721999999999</v>
      </c>
      <c r="F43" s="1">
        <f t="shared" si="3"/>
        <v>0.91724145400000001</v>
      </c>
      <c r="G43" s="1">
        <f>1/(1+Summary!$O$2)^$C43</f>
        <v>0.13528160219074079</v>
      </c>
      <c r="H43" s="1">
        <f>IF(B43&gt;64, Summary!$J$19, 0)*'TV 18'!G43*'TV 18'!F43</f>
        <v>1838.0026189366595</v>
      </c>
      <c r="I43" s="1"/>
    </row>
    <row r="44" spans="1:9">
      <c r="A44" s="1">
        <f t="shared" si="4"/>
        <v>2061</v>
      </c>
      <c r="B44" s="1">
        <f t="shared" si="1"/>
        <v>91</v>
      </c>
      <c r="C44" s="1">
        <v>42</v>
      </c>
      <c r="D44" s="1">
        <f>IF(Summary!$G$19="M",VLOOKUP(B:B,'male g'!A:V,IF(A44&gt;2033,22,MATCH(A44,'male g'!$A$1:$V$1,0)),FALSE),VLOOKUP(B:B,'female g'!A:V,IF(A44&gt;2033,22,MATCH(A44,'female g'!$A$1:$V$1,0)),FALSE))</f>
        <v>0.104297588</v>
      </c>
      <c r="E44" s="1">
        <f t="shared" si="2"/>
        <v>0.895702412</v>
      </c>
      <c r="F44" s="1">
        <f t="shared" si="3"/>
        <v>0.90693721999999999</v>
      </c>
      <c r="G44" s="1">
        <f>1/(1+Summary!$O$2)^$C44</f>
        <v>0.12883962113403885</v>
      </c>
      <c r="H44" s="1">
        <f>IF(B44&gt;64, Summary!$J$19, 0)*'TV 18'!G44*'TV 18'!F44</f>
        <v>1730.8139149721724</v>
      </c>
      <c r="I44" s="1"/>
    </row>
    <row r="45" spans="1:9">
      <c r="A45" s="1">
        <f t="shared" si="4"/>
        <v>2062</v>
      </c>
      <c r="B45" s="1">
        <f t="shared" si="1"/>
        <v>92</v>
      </c>
      <c r="C45" s="1">
        <v>43</v>
      </c>
      <c r="D45" s="1">
        <f>IF(Summary!$G$19="M",VLOOKUP(B:B,'male g'!A:V,IF(A45&gt;2033,22,MATCH(A45,'male g'!$A$1:$V$1,0)),FALSE),VLOOKUP(B:B,'female g'!A:V,IF(A45&gt;2033,22,MATCH(A45,'female g'!$A$1:$V$1,0)),FALSE))</f>
        <v>0.116397271</v>
      </c>
      <c r="E45" s="1">
        <f t="shared" si="2"/>
        <v>0.88360272900000003</v>
      </c>
      <c r="F45" s="1">
        <f t="shared" si="3"/>
        <v>0.895702412</v>
      </c>
      <c r="G45" s="1">
        <f>1/(1+Summary!$O$2)^$C45</f>
        <v>0.12270440108003698</v>
      </c>
      <c r="H45" s="1">
        <f>IF(B45&gt;64, Summary!$J$19, 0)*'TV 18'!G45*'TV 18'!F45</f>
        <v>1627.9744976265517</v>
      </c>
      <c r="I45" s="1"/>
    </row>
    <row r="46" spans="1:9">
      <c r="A46" s="1">
        <f t="shared" si="4"/>
        <v>2063</v>
      </c>
      <c r="B46" s="1">
        <f t="shared" si="1"/>
        <v>93</v>
      </c>
      <c r="C46" s="1">
        <v>44</v>
      </c>
      <c r="D46" s="1">
        <f>IF(Summary!$G$19="M",VLOOKUP(B:B,'male g'!A:V,IF(A46&gt;2033,22,MATCH(A46,'male g'!$A$1:$V$1,0)),FALSE),VLOOKUP(B:B,'female g'!A:V,IF(A46&gt;2033,22,MATCH(A46,'female g'!$A$1:$V$1,0)),FALSE))</f>
        <v>0.12927651700000001</v>
      </c>
      <c r="E46" s="1">
        <f t="shared" si="2"/>
        <v>0.87072348300000002</v>
      </c>
      <c r="F46" s="1">
        <f t="shared" si="3"/>
        <v>0.88360272900000003</v>
      </c>
      <c r="G46" s="1">
        <f>1/(1+Summary!$O$2)^$C46</f>
        <v>0.11686133436193999</v>
      </c>
      <c r="H46" s="1">
        <f>IF(B46&gt;64, Summary!$J$19, 0)*'TV 18'!G46*'TV 18'!F46</f>
        <v>1529.5074724366689</v>
      </c>
      <c r="I46" s="1"/>
    </row>
    <row r="47" spans="1:9">
      <c r="A47" s="1">
        <f t="shared" si="4"/>
        <v>2064</v>
      </c>
      <c r="B47" s="1">
        <f t="shared" si="1"/>
        <v>94</v>
      </c>
      <c r="C47" s="1">
        <v>45</v>
      </c>
      <c r="D47" s="1">
        <f>IF(Summary!$G$19="M",VLOOKUP(B:B,'male g'!A:V,IF(A47&gt;2033,22,MATCH(A47,'male g'!$A$1:$V$1,0)),FALSE),VLOOKUP(B:B,'female g'!A:V,IF(A47&gt;2033,22,MATCH(A47,'female g'!$A$1:$V$1,0)),FALSE))</f>
        <v>0.14283962</v>
      </c>
      <c r="E47" s="1">
        <f t="shared" si="2"/>
        <v>0.85716038000000006</v>
      </c>
      <c r="F47" s="1">
        <f t="shared" si="3"/>
        <v>0.87072348300000002</v>
      </c>
      <c r="G47" s="1">
        <f>1/(1+Summary!$O$2)^$C47</f>
        <v>0.1112965089161333</v>
      </c>
      <c r="H47" s="1">
        <f>IF(B47&gt;64, Summary!$J$19, 0)*'TV 18'!G47*'TV 18'!F47</f>
        <v>1435.4415491696259</v>
      </c>
      <c r="I47" s="1"/>
    </row>
    <row r="48" spans="1:9">
      <c r="A48" s="1">
        <f>$A$2+C48</f>
        <v>2065</v>
      </c>
      <c r="B48" s="1">
        <f>$B$2+C48</f>
        <v>95</v>
      </c>
      <c r="C48" s="1">
        <v>46</v>
      </c>
      <c r="D48" s="1">
        <f>IF(Summary!$G$19="M",VLOOKUP(B:B,'male g'!A:V,IF(A48&gt;2033,22,MATCH(A48,'male g'!$A$1:$V$1,0)),FALSE),VLOOKUP(B:B,'female g'!A:V,IF(A48&gt;2033,22,MATCH(A48,'female g'!$A$1:$V$1,0)),FALSE))</f>
        <v>0.15715622100000001</v>
      </c>
      <c r="E48" s="1">
        <f t="shared" si="2"/>
        <v>0.84284377899999996</v>
      </c>
      <c r="F48" s="1">
        <f t="shared" si="3"/>
        <v>0.85716038000000006</v>
      </c>
      <c r="G48" s="1">
        <f>1/(1+Summary!$O$2)^$C48</f>
        <v>0.10599667515822221</v>
      </c>
      <c r="H48" s="1">
        <f>IF(B48&gt;64, Summary!$J$19, 0)*'TV 18'!G48*'TV 18'!F48</f>
        <v>1345.7923185515301</v>
      </c>
      <c r="I48" s="1"/>
    </row>
    <row r="49" spans="1:9">
      <c r="A49" s="1">
        <f t="shared" ref="A49:A73" si="5">$A$2+C49</f>
        <v>2066</v>
      </c>
      <c r="B49" s="1">
        <f t="shared" si="1"/>
        <v>96</v>
      </c>
      <c r="C49" s="1">
        <v>47</v>
      </c>
      <c r="D49" s="1">
        <f>IF(Summary!$G$19="M",VLOOKUP(B:B,'male g'!A:V,IF(A49&gt;2033,22,MATCH(A49,'male g'!$A$1:$V$1,0)),FALSE),VLOOKUP(B:B,'female g'!A:V,IF(A49&gt;2033,22,MATCH(A49,'female g'!$A$1:$V$1,0)),FALSE))</f>
        <v>0.173075216</v>
      </c>
      <c r="E49" s="1">
        <f t="shared" si="2"/>
        <v>0.82692478400000002</v>
      </c>
      <c r="F49" s="1">
        <f t="shared" si="3"/>
        <v>0.84284377899999996</v>
      </c>
      <c r="G49" s="1">
        <f>1/(1+Summary!$O$2)^$C49</f>
        <v>0.10094921443640208</v>
      </c>
      <c r="H49" s="1">
        <f>IF(B49&gt;64, Summary!$J$19, 0)*'TV 18'!G49*'TV 18'!F49</f>
        <v>1260.2994391864015</v>
      </c>
      <c r="I49" s="1"/>
    </row>
    <row r="50" spans="1:9">
      <c r="A50" s="1">
        <f t="shared" si="5"/>
        <v>2067</v>
      </c>
      <c r="B50" s="1">
        <f t="shared" si="1"/>
        <v>97</v>
      </c>
      <c r="C50" s="1">
        <v>48</v>
      </c>
      <c r="D50" s="1">
        <f>IF(Summary!$G$19="M",VLOOKUP(B:B,'male g'!A:V,IF(A50&gt;2033,22,MATCH(A50,'male g'!$A$1:$V$1,0)),FALSE),VLOOKUP(B:B,'female g'!A:V,IF(A50&gt;2033,22,MATCH(A50,'female g'!$A$1:$V$1,0)),FALSE))</f>
        <v>0.18989809799999999</v>
      </c>
      <c r="E50" s="1">
        <f t="shared" si="2"/>
        <v>0.81010190199999998</v>
      </c>
      <c r="F50" s="1">
        <f t="shared" si="3"/>
        <v>0.82692478400000002</v>
      </c>
      <c r="G50" s="1">
        <f>1/(1+Summary!$O$2)^$C50</f>
        <v>9.6142108987049613E-2</v>
      </c>
      <c r="H50" s="1">
        <f>IF(B50&gt;64, Summary!$J$19, 0)*'TV 18'!G50*'TV 18'!F50</f>
        <v>1177.6151026876137</v>
      </c>
      <c r="I50" s="1"/>
    </row>
    <row r="51" spans="1:9">
      <c r="A51" s="1">
        <f t="shared" si="5"/>
        <v>2068</v>
      </c>
      <c r="B51" s="1">
        <f t="shared" si="1"/>
        <v>98</v>
      </c>
      <c r="C51" s="1">
        <v>49</v>
      </c>
      <c r="D51" s="1">
        <f>IF(Summary!$G$19="M",VLOOKUP(B:B,'male g'!A:V,IF(A51&gt;2033,22,MATCH(A51,'male g'!$A$1:$V$1,0)),FALSE),VLOOKUP(B:B,'female g'!A:V,IF(A51&gt;2033,22,MATCH(A51,'female g'!$A$1:$V$1,0)),FALSE))</f>
        <v>0.2077398</v>
      </c>
      <c r="E51" s="1">
        <f t="shared" si="2"/>
        <v>0.79226019999999997</v>
      </c>
      <c r="F51" s="1">
        <f t="shared" si="3"/>
        <v>0.81010190199999998</v>
      </c>
      <c r="G51" s="1">
        <f>1/(1+Summary!$O$2)^$C51</f>
        <v>9.1563913320999626E-2</v>
      </c>
      <c r="H51" s="1">
        <f>IF(B51&gt;64, Summary!$J$19, 0)*'TV 18'!G51*'TV 18'!F51</f>
        <v>1098.7217228501438</v>
      </c>
      <c r="I51" s="1"/>
    </row>
    <row r="52" spans="1:9">
      <c r="A52" s="1">
        <f t="shared" si="5"/>
        <v>2069</v>
      </c>
      <c r="B52" s="1">
        <f t="shared" si="1"/>
        <v>99</v>
      </c>
      <c r="C52" s="1">
        <v>50</v>
      </c>
      <c r="D52" s="1">
        <f>IF(Summary!$G$19="M",VLOOKUP(B:B,'male g'!A:V,IF(A52&gt;2033,22,MATCH(A52,'male g'!$A$1:$V$1,0)),FALSE),VLOOKUP(B:B,'female g'!A:V,IF(A52&gt;2033,22,MATCH(A52,'female g'!$A$1:$V$1,0)),FALSE))</f>
        <v>0.22627810600000001</v>
      </c>
      <c r="E52" s="1">
        <f t="shared" si="2"/>
        <v>0.77372189400000002</v>
      </c>
      <c r="F52" s="1">
        <f t="shared" si="3"/>
        <v>0.79226019999999997</v>
      </c>
      <c r="G52" s="1">
        <f>1/(1+Summary!$O$2)^$C52</f>
        <v>8.7203726972380588E-2</v>
      </c>
      <c r="H52" s="1">
        <f>IF(B52&gt;64, Summary!$J$19, 0)*'TV 18'!G52*'TV 18'!F52</f>
        <v>1023.3556681961597</v>
      </c>
      <c r="I52" s="1"/>
    </row>
    <row r="53" spans="1:9">
      <c r="A53" s="1">
        <f t="shared" si="5"/>
        <v>2070</v>
      </c>
      <c r="B53" s="1">
        <f t="shared" si="1"/>
        <v>100</v>
      </c>
      <c r="C53" s="1">
        <v>51</v>
      </c>
      <c r="D53" s="1">
        <f>IF(Summary!$G$19="M",VLOOKUP(B:B,'male g'!A:V,IF(A53&gt;2033,22,MATCH(A53,'male g'!$A$1:$V$1,0)),FALSE),VLOOKUP(B:B,'female g'!A:V,IF(A53&gt;2033,22,MATCH(A53,'female g'!$A$1:$V$1,0)),FALSE))</f>
        <v>0.245586414</v>
      </c>
      <c r="E53" s="1">
        <f t="shared" si="2"/>
        <v>0.75441358599999997</v>
      </c>
      <c r="F53" s="1">
        <f t="shared" si="3"/>
        <v>0.77372189400000002</v>
      </c>
      <c r="G53" s="1">
        <f>1/(1+Summary!$O$2)^$C53</f>
        <v>8.3051168545124371E-2</v>
      </c>
      <c r="H53" s="1">
        <f>IF(B53&gt;64, Summary!$J$19, 0)*'TV 18'!G53*'TV 18'!F53</f>
        <v>951.81895066961977</v>
      </c>
      <c r="I53" s="1"/>
    </row>
    <row r="54" spans="1:9">
      <c r="A54" s="1">
        <f t="shared" si="5"/>
        <v>2071</v>
      </c>
      <c r="B54" s="1">
        <f t="shared" si="1"/>
        <v>101</v>
      </c>
      <c r="C54" s="1">
        <v>52</v>
      </c>
      <c r="D54" s="1">
        <f>IF(Summary!$G$19="M",VLOOKUP(B:B,'male g'!A:V,IF(A54&gt;2033,22,MATCH(A54,'male g'!$A$1:$V$1,0)),FALSE),VLOOKUP(B:B,'female g'!A:V,IF(A54&gt;2033,22,MATCH(A54,'female g'!$A$1:$V$1,0)),FALSE))</f>
        <v>0.26569467200000002</v>
      </c>
      <c r="E54" s="1">
        <f t="shared" si="2"/>
        <v>0.73430532800000003</v>
      </c>
      <c r="F54" s="1">
        <f t="shared" si="3"/>
        <v>0.75441358599999997</v>
      </c>
      <c r="G54" s="1">
        <f>1/(1+Summary!$O$2)^$C54</f>
        <v>7.9096350995356543E-2</v>
      </c>
      <c r="H54" s="1">
        <f>IF(B54&gt;64, Summary!$J$19, 0)*'TV 18'!G54*'TV 18'!F54</f>
        <v>883.8725834619861</v>
      </c>
      <c r="I54" s="1"/>
    </row>
    <row r="55" spans="1:9">
      <c r="A55" s="1">
        <f t="shared" si="5"/>
        <v>2072</v>
      </c>
      <c r="B55" s="1">
        <f t="shared" si="1"/>
        <v>102</v>
      </c>
      <c r="C55" s="1">
        <v>53</v>
      </c>
      <c r="D55" s="1">
        <f>IF(Summary!$G$19="M",VLOOKUP(B:B,'male g'!A:V,IF(A55&gt;2033,22,MATCH(A55,'male g'!$A$1:$V$1,0)),FALSE),VLOOKUP(B:B,'female g'!A:V,IF(A55&gt;2033,22,MATCH(A55,'female g'!$A$1:$V$1,0)),FALSE))</f>
        <v>0.28621307499999998</v>
      </c>
      <c r="E55" s="1">
        <f t="shared" si="2"/>
        <v>0.71378692499999996</v>
      </c>
      <c r="F55" s="1">
        <f t="shared" si="3"/>
        <v>0.73430532800000003</v>
      </c>
      <c r="G55" s="1">
        <f>1/(1+Summary!$O$2)^$C55</f>
        <v>7.5329858090815757E-2</v>
      </c>
      <c r="H55" s="1">
        <f>IF(B55&gt;64, Summary!$J$19, 0)*'TV 18'!G55*'TV 18'!F55</f>
        <v>819.34638575880456</v>
      </c>
      <c r="I55" s="1"/>
    </row>
    <row r="56" spans="1:9">
      <c r="A56" s="1">
        <f t="shared" si="5"/>
        <v>2073</v>
      </c>
      <c r="B56" s="1">
        <f t="shared" si="1"/>
        <v>103</v>
      </c>
      <c r="C56" s="1">
        <v>54</v>
      </c>
      <c r="D56" s="1">
        <f>IF(Summary!$G$19="M",VLOOKUP(B:B,'male g'!A:V,IF(A56&gt;2033,22,MATCH(A56,'male g'!$A$1:$V$1,0)),FALSE),VLOOKUP(B:B,'female g'!A:V,IF(A56&gt;2033,22,MATCH(A56,'female g'!$A$1:$V$1,0)),FALSE))</f>
        <v>0.306855239</v>
      </c>
      <c r="E56" s="1">
        <f t="shared" si="2"/>
        <v>0.693144761</v>
      </c>
      <c r="F56" s="1">
        <f t="shared" si="3"/>
        <v>0.71378692499999996</v>
      </c>
      <c r="G56" s="1">
        <f>1/(1+Summary!$O$2)^$C56</f>
        <v>7.1742721991253117E-2</v>
      </c>
      <c r="H56" s="1">
        <f>IF(B56&gt;64, Summary!$J$19, 0)*'TV 18'!G56*'TV 18'!F56</f>
        <v>758.52544205483412</v>
      </c>
      <c r="I56" s="1"/>
    </row>
    <row r="57" spans="1:9">
      <c r="A57" s="1">
        <f t="shared" si="5"/>
        <v>2074</v>
      </c>
      <c r="B57" s="1">
        <f t="shared" si="1"/>
        <v>104</v>
      </c>
      <c r="C57" s="1">
        <v>55</v>
      </c>
      <c r="D57" s="1">
        <f>IF(Summary!$G$19="M",VLOOKUP(B:B,'male g'!A:V,IF(A57&gt;2033,22,MATCH(A57,'male g'!$A$1:$V$1,0)),FALSE),VLOOKUP(B:B,'female g'!A:V,IF(A57&gt;2033,22,MATCH(A57,'female g'!$A$1:$V$1,0)),FALSE))</f>
        <v>0.32781771999999998</v>
      </c>
      <c r="E57" s="1">
        <f t="shared" si="2"/>
        <v>0.67218228000000002</v>
      </c>
      <c r="F57" s="1">
        <f t="shared" si="3"/>
        <v>0.693144761</v>
      </c>
      <c r="G57" s="1">
        <f>1/(1+Summary!$O$2)^$C57</f>
        <v>6.8326401896431521E-2</v>
      </c>
      <c r="H57" s="1">
        <f>IF(B57&gt;64, Summary!$J$19, 0)*'TV 18'!G57*'TV 18'!F57</f>
        <v>701.51378557806117</v>
      </c>
      <c r="I57" s="1"/>
    </row>
    <row r="58" spans="1:9">
      <c r="A58" s="1">
        <f t="shared" si="5"/>
        <v>2075</v>
      </c>
      <c r="B58" s="1">
        <f t="shared" si="1"/>
        <v>105</v>
      </c>
      <c r="C58" s="1">
        <v>56</v>
      </c>
      <c r="D58" s="1">
        <f>IF(Summary!$G$19="M",VLOOKUP(B:B,'male g'!A:V,IF(A58&gt;2033,22,MATCH(A58,'male g'!$A$1:$V$1,0)),FALSE),VLOOKUP(B:B,'female g'!A:V,IF(A58&gt;2033,22,MATCH(A58,'female g'!$A$1:$V$1,0)),FALSE))</f>
        <v>0.34877203800000001</v>
      </c>
      <c r="E58" s="1">
        <f t="shared" si="2"/>
        <v>0.65122796199999999</v>
      </c>
      <c r="F58" s="1">
        <f t="shared" si="3"/>
        <v>0.67218228000000002</v>
      </c>
      <c r="G58" s="1">
        <f>1/(1+Summary!$O$2)^$C58</f>
        <v>6.5072763710887174E-2</v>
      </c>
      <c r="H58" s="1">
        <f>IF(B58&gt;64, Summary!$J$19, 0)*'TV 18'!G58*'TV 18'!F58</f>
        <v>647.9030511826021</v>
      </c>
      <c r="I58" s="1"/>
    </row>
    <row r="59" spans="1:9">
      <c r="A59" s="1">
        <f t="shared" si="5"/>
        <v>2076</v>
      </c>
      <c r="B59" s="1">
        <f t="shared" si="1"/>
        <v>106</v>
      </c>
      <c r="C59" s="1">
        <v>57</v>
      </c>
      <c r="D59" s="1">
        <f>IF(Summary!$G$19="M",VLOOKUP(B:B,'male g'!A:V,IF(A59&gt;2033,22,MATCH(A59,'male g'!$A$1:$V$1,0)),FALSE),VLOOKUP(B:B,'female g'!A:V,IF(A59&gt;2033,22,MATCH(A59,'female g'!$A$1:$V$1,0)),FALSE))</f>
        <v>0.36963544999999998</v>
      </c>
      <c r="E59" s="1">
        <f t="shared" si="2"/>
        <v>0.63036455000000002</v>
      </c>
      <c r="F59" s="1">
        <f t="shared" si="3"/>
        <v>0.65122796199999999</v>
      </c>
      <c r="G59" s="1">
        <f>1/(1+Summary!$O$2)^$C59</f>
        <v>6.1974060677035397E-2</v>
      </c>
      <c r="H59" s="1">
        <f>IF(B59&gt;64, Summary!$J$19, 0)*'TV 18'!G59*'TV 18'!F59</f>
        <v>597.81486028608003</v>
      </c>
      <c r="I59" s="1"/>
    </row>
    <row r="60" spans="1:9">
      <c r="A60" s="1">
        <f t="shared" si="5"/>
        <v>2077</v>
      </c>
      <c r="B60" s="1">
        <f t="shared" si="1"/>
        <v>107</v>
      </c>
      <c r="C60" s="1">
        <v>58</v>
      </c>
      <c r="D60" s="1">
        <f>IF(Summary!$G$19="M",VLOOKUP(B:B,'male g'!A:V,IF(A60&gt;2033,22,MATCH(A60,'male g'!$A$1:$V$1,0)),FALSE),VLOOKUP(B:B,'female g'!A:V,IF(A60&gt;2033,22,MATCH(A60,'female g'!$A$1:$V$1,0)),FALSE))</f>
        <v>0.39012102100000001</v>
      </c>
      <c r="E60" s="1">
        <f t="shared" si="2"/>
        <v>0.60987897899999999</v>
      </c>
      <c r="F60" s="1">
        <f t="shared" si="3"/>
        <v>0.63036455000000002</v>
      </c>
      <c r="G60" s="1">
        <f>1/(1+Summary!$O$2)^$C60</f>
        <v>5.9022914930509894E-2</v>
      </c>
      <c r="H60" s="1">
        <f>IF(B60&gt;64, Summary!$J$19, 0)*'TV 18'!G60*'TV 18'!F60</f>
        <v>551.10728153540867</v>
      </c>
      <c r="I60" s="1"/>
    </row>
    <row r="61" spans="1:9">
      <c r="A61" s="1">
        <f t="shared" si="5"/>
        <v>2078</v>
      </c>
      <c r="B61" s="1">
        <f t="shared" si="1"/>
        <v>108</v>
      </c>
      <c r="C61" s="1">
        <v>59</v>
      </c>
      <c r="D61" s="1">
        <f>IF(Summary!$G$19="M",VLOOKUP(B:B,'male g'!A:V,IF(A61&gt;2033,22,MATCH(A61,'male g'!$A$1:$V$1,0)),FALSE),VLOOKUP(B:B,'female g'!A:V,IF(A61&gt;2033,22,MATCH(A61,'female g'!$A$1:$V$1,0)),FALSE))</f>
        <v>0.40992095000000001</v>
      </c>
      <c r="E61" s="1">
        <f t="shared" si="2"/>
        <v>0.59007904999999994</v>
      </c>
      <c r="F61" s="1">
        <f t="shared" si="3"/>
        <v>0.60987897899999999</v>
      </c>
      <c r="G61" s="1">
        <f>1/(1+Summary!$O$2)^$C61</f>
        <v>5.6212299933818946E-2</v>
      </c>
      <c r="H61" s="1">
        <f>IF(B61&gt;64, Summary!$J$19, 0)*'TV 18'!G61*'TV 18'!F61</f>
        <v>507.80705830086441</v>
      </c>
      <c r="I61" s="1"/>
    </row>
    <row r="62" spans="1:9">
      <c r="A62" s="1">
        <f t="shared" si="5"/>
        <v>2079</v>
      </c>
      <c r="B62" s="1">
        <f t="shared" si="1"/>
        <v>109</v>
      </c>
      <c r="C62" s="1">
        <v>60</v>
      </c>
      <c r="D62" s="1">
        <f>IF(Summary!$G$19="M",VLOOKUP(B:B,'male g'!A:V,IF(A62&gt;2033,22,MATCH(A62,'male g'!$A$1:$V$1,0)),FALSE),VLOOKUP(B:B,'female g'!A:V,IF(A62&gt;2033,22,MATCH(A62,'female g'!$A$1:$V$1,0)),FALSE))</f>
        <v>0.42944720199999997</v>
      </c>
      <c r="E62" s="1">
        <f t="shared" si="2"/>
        <v>0.57055279800000003</v>
      </c>
      <c r="F62" s="1">
        <f t="shared" si="3"/>
        <v>0.59007904999999994</v>
      </c>
      <c r="G62" s="1">
        <f>1/(1+Summary!$O$2)^$C62</f>
        <v>5.3535523746494243E-2</v>
      </c>
      <c r="H62" s="1">
        <f>IF(B62&gt;64, Summary!$J$19, 0)*'TV 18'!G62*'TV 18'!F62</f>
        <v>467.92469429448607</v>
      </c>
      <c r="I62" s="1"/>
    </row>
    <row r="63" spans="1:9">
      <c r="A63" s="1">
        <f t="shared" si="5"/>
        <v>2080</v>
      </c>
      <c r="B63" s="1">
        <f t="shared" si="1"/>
        <v>110</v>
      </c>
      <c r="C63" s="1">
        <v>61</v>
      </c>
      <c r="D63" s="1">
        <f>IF(Summary!$G$19="M",VLOOKUP(B:B,'male g'!A:V,IF(A63&gt;2033,22,MATCH(A63,'male g'!$A$1:$V$1,0)),FALSE),VLOOKUP(B:B,'female g'!A:V,IF(A63&gt;2033,22,MATCH(A63,'female g'!$A$1:$V$1,0)),FALSE))</f>
        <v>0.44824126199999997</v>
      </c>
      <c r="E63" s="1">
        <f t="shared" si="2"/>
        <v>0.55175873799999997</v>
      </c>
      <c r="F63" s="1">
        <f t="shared" si="3"/>
        <v>0.57055279800000003</v>
      </c>
      <c r="G63" s="1">
        <f>1/(1+Summary!$O$2)^$C63</f>
        <v>5.0986213091899268E-2</v>
      </c>
      <c r="H63" s="1">
        <f>IF(B63&gt;64, Summary!$J$19, 0)*'TV 18'!G63*'TV 18'!F63</f>
        <v>430.89584850742199</v>
      </c>
      <c r="I63" s="1"/>
    </row>
    <row r="64" spans="1:9">
      <c r="A64" s="1">
        <f t="shared" si="5"/>
        <v>2081</v>
      </c>
      <c r="B64" s="1">
        <f t="shared" si="1"/>
        <v>111</v>
      </c>
      <c r="C64" s="1">
        <v>62</v>
      </c>
      <c r="D64" s="1">
        <f>IF(Summary!$G$19="M",VLOOKUP(B:B,'male g'!A:V,IF(A64&gt;2033,22,MATCH(A64,'male g'!$A$1:$V$1,0)),FALSE),VLOOKUP(B:B,'female g'!A:V,IF(A64&gt;2033,22,MATCH(A64,'female g'!$A$1:$V$1,0)),FALSE))</f>
        <v>0.46617251599999998</v>
      </c>
      <c r="E64" s="1">
        <f t="shared" si="2"/>
        <v>0.53382748400000002</v>
      </c>
      <c r="F64" s="1">
        <f t="shared" si="3"/>
        <v>0.55175873799999997</v>
      </c>
      <c r="G64" s="1">
        <f>1/(1+Summary!$O$2)^$C64</f>
        <v>4.855829818276123E-2</v>
      </c>
      <c r="H64" s="1">
        <f>IF(B64&gt;64, Summary!$J$19, 0)*'TV 18'!G64*'TV 18'!F64</f>
        <v>396.85914368243874</v>
      </c>
      <c r="I64" s="1"/>
    </row>
    <row r="65" spans="1:9">
      <c r="A65" s="1">
        <f t="shared" si="5"/>
        <v>2082</v>
      </c>
      <c r="B65" s="1">
        <f t="shared" si="1"/>
        <v>112</v>
      </c>
      <c r="C65" s="1">
        <v>63</v>
      </c>
      <c r="D65" s="1">
        <f>IF(Summary!$G$19="M",VLOOKUP(B:B,'male g'!A:V,IF(A65&gt;2033,22,MATCH(A65,'male g'!$A$1:$V$1,0)),FALSE),VLOOKUP(B:B,'female g'!A:V,IF(A65&gt;2033,22,MATCH(A65,'female g'!$A$1:$V$1,0)),FALSE))</f>
        <v>0.48365765799999999</v>
      </c>
      <c r="E65" s="1">
        <f t="shared" si="2"/>
        <v>0.51634234199999995</v>
      </c>
      <c r="F65" s="1">
        <f t="shared" si="3"/>
        <v>0.53382748400000002</v>
      </c>
      <c r="G65" s="1">
        <f>1/(1+Summary!$O$2)^$C65</f>
        <v>4.6245998269296387E-2</v>
      </c>
      <c r="H65" s="1">
        <f>IF(B65&gt;64, Summary!$J$19, 0)*'TV 18'!G65*'TV 18'!F65</f>
        <v>365.67797374682175</v>
      </c>
      <c r="I65" s="1"/>
    </row>
    <row r="66" spans="1:9">
      <c r="A66" s="1">
        <f t="shared" si="5"/>
        <v>2083</v>
      </c>
      <c r="B66" s="1">
        <f t="shared" si="1"/>
        <v>113</v>
      </c>
      <c r="C66" s="1">
        <v>64</v>
      </c>
      <c r="D66" s="1">
        <f>IF(Summary!$G$19="M",VLOOKUP(B:B,'male g'!A:V,IF(A66&gt;2033,22,MATCH(A66,'male g'!$A$1:$V$1,0)),FALSE),VLOOKUP(B:B,'female g'!A:V,IF(A66&gt;2033,22,MATCH(A66,'female g'!$A$1:$V$1,0)),FALSE))</f>
        <v>0.49353991000000003</v>
      </c>
      <c r="E66" s="1">
        <f t="shared" si="2"/>
        <v>0.50646009000000003</v>
      </c>
      <c r="F66" s="1">
        <f t="shared" si="3"/>
        <v>0.51634234199999995</v>
      </c>
      <c r="G66" s="1">
        <f>1/(1+Summary!$O$2)^$C66</f>
        <v>4.4043807875520369E-2</v>
      </c>
      <c r="H66" s="1">
        <f>IF(B66&gt;64, Summary!$J$19, 0)*'TV 18'!G66*'TV 18'!F66</f>
        <v>336.85757155181557</v>
      </c>
      <c r="I66" s="1"/>
    </row>
    <row r="67" spans="1:9">
      <c r="A67" s="1">
        <f t="shared" si="5"/>
        <v>2084</v>
      </c>
      <c r="B67" s="1">
        <f t="shared" si="1"/>
        <v>114</v>
      </c>
      <c r="C67" s="1">
        <v>65</v>
      </c>
      <c r="D67" s="1">
        <f>IF(Summary!$G$19="M",VLOOKUP(B:B,'male g'!A:V,IF(A67&gt;2033,22,MATCH(A67,'male g'!$A$1:$V$1,0)),FALSE),VLOOKUP(B:B,'female g'!A:V,IF(A67&gt;2033,22,MATCH(A67,'female g'!$A$1:$V$1,0)),FALSE))</f>
        <v>0.49666062900000002</v>
      </c>
      <c r="E67" s="1">
        <f t="shared" si="2"/>
        <v>0.50333937100000004</v>
      </c>
      <c r="F67" s="1">
        <f t="shared" si="3"/>
        <v>0.50646009000000003</v>
      </c>
      <c r="G67" s="1">
        <f>1/(1+Summary!$O$2)^$C67</f>
        <v>4.1946483690971779E-2</v>
      </c>
      <c r="H67" s="1">
        <f>IF(B67&gt;64, Summary!$J$19, 0)*'TV 18'!G67*'TV 18'!F67</f>
        <v>314.67663828742002</v>
      </c>
      <c r="I67" s="1"/>
    </row>
    <row r="68" spans="1:9">
      <c r="A68" s="1">
        <f t="shared" si="5"/>
        <v>2085</v>
      </c>
      <c r="B68" s="1">
        <f t="shared" ref="B68:B73" si="6">$B$2+C68</f>
        <v>115</v>
      </c>
      <c r="C68" s="1">
        <v>66</v>
      </c>
      <c r="D68" s="1">
        <f>IF(Summary!$G$19="M",VLOOKUP(B:B,'male g'!A:V,IF(A68&gt;2033,22,MATCH(A68,'male g'!$A$1:$V$1,0)),FALSE),VLOOKUP(B:B,'female g'!A:V,IF(A68&gt;2033,22,MATCH(A68,'female g'!$A$1:$V$1,0)),FALSE))</f>
        <v>0.5</v>
      </c>
      <c r="E68" s="1">
        <f t="shared" ref="E68:E73" si="7">1-D68</f>
        <v>0.5</v>
      </c>
      <c r="F68" s="1">
        <f t="shared" ref="F68:F73" si="8">E67</f>
        <v>0.50333937100000004</v>
      </c>
      <c r="G68" s="1">
        <f>1/(1+Summary!$O$2)^$C68</f>
        <v>3.9949032086639788E-2</v>
      </c>
      <c r="H68" s="1">
        <f>IF(B68&gt;64, Summary!$J$19, 0)*'TV 18'!G68*'TV 18'!F68</f>
        <v>297.84538625265469</v>
      </c>
      <c r="I68" s="1"/>
    </row>
    <row r="69" spans="1:9">
      <c r="A69" s="1">
        <f t="shared" si="5"/>
        <v>2086</v>
      </c>
      <c r="B69" s="1">
        <f t="shared" si="6"/>
        <v>116</v>
      </c>
      <c r="C69" s="1">
        <v>67</v>
      </c>
      <c r="D69" s="1">
        <f>IF(Summary!$G$19="M",VLOOKUP(B:B,'male g'!A:V,IF(A69&gt;2033,22,MATCH(A69,'male g'!$A$1:$V$1,0)),FALSE),VLOOKUP(B:B,'female g'!A:V,IF(A69&gt;2033,22,MATCH(A69,'female g'!$A$1:$V$1,0)),FALSE))</f>
        <v>0.5</v>
      </c>
      <c r="E69" s="1">
        <f t="shared" si="7"/>
        <v>0.5</v>
      </c>
      <c r="F69" s="1">
        <f t="shared" si="8"/>
        <v>0.5</v>
      </c>
      <c r="G69" s="1">
        <f>1/(1+Summary!$O$2)^$C69</f>
        <v>3.8046697225371226E-2</v>
      </c>
      <c r="H69" s="1">
        <f>IF(B69&gt;64, Summary!$J$19, 0)*'TV 18'!G69*'TV 18'!F69</f>
        <v>281.78033446699709</v>
      </c>
      <c r="I69" s="1"/>
    </row>
    <row r="70" spans="1:9">
      <c r="A70" s="1">
        <f t="shared" si="5"/>
        <v>2087</v>
      </c>
      <c r="B70" s="1">
        <f t="shared" si="6"/>
        <v>117</v>
      </c>
      <c r="C70" s="1">
        <v>68</v>
      </c>
      <c r="D70" s="1">
        <f>IF(Summary!$G$19="M",VLOOKUP(B:B,'male g'!A:V,IF(A70&gt;2033,22,MATCH(A70,'male g'!$A$1:$V$1,0)),FALSE),VLOOKUP(B:B,'female g'!A:V,IF(A70&gt;2033,22,MATCH(A70,'female g'!$A$1:$V$1,0)),FALSE))</f>
        <v>0.5</v>
      </c>
      <c r="E70" s="1">
        <f t="shared" si="7"/>
        <v>0.5</v>
      </c>
      <c r="F70" s="1">
        <f t="shared" si="8"/>
        <v>0.5</v>
      </c>
      <c r="G70" s="1">
        <f>1/(1+Summary!$O$2)^$C70</f>
        <v>3.6234949738448791E-2</v>
      </c>
      <c r="H70" s="1">
        <f>IF(B70&gt;64, Summary!$J$19, 0)*'TV 18'!G70*'TV 18'!F70</f>
        <v>268.36222330190202</v>
      </c>
      <c r="I70" s="1"/>
    </row>
    <row r="71" spans="1:9">
      <c r="A71" s="1">
        <f t="shared" si="5"/>
        <v>2088</v>
      </c>
      <c r="B71" s="1">
        <f t="shared" si="6"/>
        <v>118</v>
      </c>
      <c r="C71" s="1">
        <v>69</v>
      </c>
      <c r="D71" s="1">
        <f>IF(Summary!$G$19="M",VLOOKUP(B:B,'male g'!A:V,IF(A71&gt;2033,22,MATCH(A71,'male g'!$A$1:$V$1,0)),FALSE),VLOOKUP(B:B,'female g'!A:V,IF(A71&gt;2033,22,MATCH(A71,'female g'!$A$1:$V$1,0)),FALSE))</f>
        <v>0.5</v>
      </c>
      <c r="E71" s="1">
        <f t="shared" si="7"/>
        <v>0.5</v>
      </c>
      <c r="F71" s="1">
        <f t="shared" si="8"/>
        <v>0.5</v>
      </c>
      <c r="G71" s="1">
        <f>1/(1+Summary!$O$2)^$C71</f>
        <v>3.4509475941379798E-2</v>
      </c>
      <c r="H71" s="1">
        <f>IF(B71&gt;64, Summary!$J$19, 0)*'TV 18'!G71*'TV 18'!F71</f>
        <v>255.58306981133526</v>
      </c>
      <c r="I71" s="1"/>
    </row>
    <row r="72" spans="1:9">
      <c r="A72" s="1">
        <f t="shared" si="5"/>
        <v>2089</v>
      </c>
      <c r="B72" s="1">
        <f t="shared" si="6"/>
        <v>119</v>
      </c>
      <c r="C72" s="1">
        <v>70</v>
      </c>
      <c r="D72" s="1">
        <f>IF(Summary!$G$19="M",VLOOKUP(B:B,'male g'!A:V,IF(A72&gt;2033,22,MATCH(A72,'male g'!$A$1:$V$1,0)),FALSE),VLOOKUP(B:B,'female g'!A:V,IF(A72&gt;2033,22,MATCH(A72,'female g'!$A$1:$V$1,0)),FALSE))</f>
        <v>0.5</v>
      </c>
      <c r="E72" s="1">
        <f t="shared" si="7"/>
        <v>0.5</v>
      </c>
      <c r="F72" s="1">
        <f t="shared" si="8"/>
        <v>0.5</v>
      </c>
      <c r="G72" s="1">
        <f>1/(1+Summary!$O$2)^$C72</f>
        <v>3.2866167563218862E-2</v>
      </c>
      <c r="H72" s="1">
        <f>IF(B72&gt;64, Summary!$J$19, 0)*'TV 18'!G72*'TV 18'!F72</f>
        <v>243.41244743936696</v>
      </c>
      <c r="I72" s="1"/>
    </row>
    <row r="73" spans="1:9">
      <c r="A73" s="1">
        <f t="shared" si="5"/>
        <v>2090</v>
      </c>
      <c r="B73" s="1">
        <f t="shared" si="6"/>
        <v>120</v>
      </c>
      <c r="C73" s="1">
        <v>71</v>
      </c>
      <c r="D73" s="1">
        <f>IF(Summary!$G$19="M",VLOOKUP(B:B,'male g'!A:V,IF(A73&gt;2033,22,MATCH(A73,'male g'!$A$1:$V$1,0)),FALSE),VLOOKUP(B:B,'female g'!A:V,IF(A73&gt;2033,22,MATCH(A73,'female g'!$A$1:$V$1,0)),FALSE))</f>
        <v>1</v>
      </c>
      <c r="E73" s="1">
        <f t="shared" si="7"/>
        <v>0</v>
      </c>
      <c r="F73" s="1">
        <f t="shared" si="8"/>
        <v>0.5</v>
      </c>
      <c r="G73" s="1">
        <f>1/(1+Summary!$O$2)^$C73</f>
        <v>3.1301111964970339E-2</v>
      </c>
      <c r="H73" s="1">
        <f>IF(B73&gt;64, Summary!$J$19, 0)*'TV 18'!G73*'TV 18'!F73</f>
        <v>231.82137851368279</v>
      </c>
      <c r="I73" s="1"/>
    </row>
    <row r="74" spans="1:9">
      <c r="A74" s="1"/>
    </row>
    <row r="75" spans="1:9">
      <c r="A75" s="1"/>
    </row>
    <row r="76" spans="1:9">
      <c r="A76" s="1"/>
    </row>
    <row r="77" spans="1:9">
      <c r="A77" s="1"/>
    </row>
    <row r="78" spans="1:9">
      <c r="A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98"/>
  <sheetViews>
    <sheetView workbookViewId="0">
      <selection activeCell="H70" sqref="H70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Summary!H20</f>
        <v>49</v>
      </c>
      <c r="C2" s="1">
        <v>0</v>
      </c>
      <c r="D2" s="1">
        <f>IF(Summary!$G$20="M",VLOOKUP(B:B,'male g'!A:V,IF(A2&gt;2033,22,MATCH(A2,'male g'!$A$1:$V$1,0)),FALSE),VLOOKUP(B:B,'female g'!A:V,IF(A2&gt;2033,22,MATCH(A2,'female g'!$A$1:$V$1,0)),FALSE))</f>
        <v>9.776959999999999E-4</v>
      </c>
      <c r="E2" s="1">
        <f>1-D2</f>
        <v>0.99902230400000003</v>
      </c>
      <c r="F2" s="1">
        <v>1</v>
      </c>
      <c r="G2" s="1">
        <f>1/(1+Summary!$O$2)^$C2</f>
        <v>1</v>
      </c>
      <c r="H2" s="1">
        <f>IF(B2&gt;64, Summary!$J$20, 0)*'TV 19'!G2*'TV 19'!F2</f>
        <v>0</v>
      </c>
      <c r="I2" s="1">
        <f>SUM(H2:H73)</f>
        <v>55586.93086722929</v>
      </c>
    </row>
    <row r="3" spans="1:9">
      <c r="A3" s="1">
        <f>$A$2+C3</f>
        <v>2020</v>
      </c>
      <c r="B3" s="1">
        <f>$B$2+C3</f>
        <v>50</v>
      </c>
      <c r="C3" s="1">
        <v>1</v>
      </c>
      <c r="D3" s="1">
        <f>IF(Summary!$G$20="M",VLOOKUP(B:B,'male g'!A:V,IF(A3&gt;2033,22,MATCH(A3,'male g'!$A$1:$V$1,0)),FALSE),VLOOKUP(B:B,'female g'!A:V,IF(A3&gt;2033,22,MATCH(A3,'female g'!$A$1:$V$1,0)),FALSE))</f>
        <v>2.6962610000000001E-3</v>
      </c>
      <c r="E3" s="1">
        <f>1-D3</f>
        <v>0.99730373900000002</v>
      </c>
      <c r="F3" s="1">
        <f>E2</f>
        <v>0.99902230400000003</v>
      </c>
      <c r="G3" s="1">
        <f>1/(1+Summary!$O$2)^$C3</f>
        <v>0.95238095238095233</v>
      </c>
      <c r="H3" s="1">
        <f>IF(B3&gt;64, Summary!$J$20, 0)*'TV 19'!G3*'TV 19'!F3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51</v>
      </c>
      <c r="C4" s="1">
        <v>2</v>
      </c>
      <c r="D4" s="1">
        <f>IF(Summary!$G$20="M",VLOOKUP(B:B,'male g'!A:V,IF(A4&gt;2033,22,MATCH(A4,'male g'!$A$1:$V$1,0)),FALSE),VLOOKUP(B:B,'female g'!A:V,IF(A4&gt;2033,22,MATCH(A4,'female g'!$A$1:$V$1,0)),FALSE))</f>
        <v>2.8265920000000002E-3</v>
      </c>
      <c r="E4" s="1">
        <f t="shared" ref="E4:E67" si="2">1-D4</f>
        <v>0.99717340799999998</v>
      </c>
      <c r="F4" s="1">
        <f t="shared" ref="F4:F67" si="3">E3</f>
        <v>0.99730373900000002</v>
      </c>
      <c r="G4" s="1">
        <f>1/(1+Summary!$O$2)^$C4</f>
        <v>0.90702947845804982</v>
      </c>
      <c r="H4" s="1">
        <f>IF(B4&gt;64, Summary!$J$20, 0)*'TV 19'!G4*'TV 19'!F4</f>
        <v>0</v>
      </c>
      <c r="I4" s="1"/>
    </row>
    <row r="5" spans="1:9">
      <c r="A5" s="1">
        <f t="shared" si="0"/>
        <v>2022</v>
      </c>
      <c r="B5" s="1">
        <f t="shared" si="1"/>
        <v>52</v>
      </c>
      <c r="C5" s="1">
        <v>3</v>
      </c>
      <c r="D5" s="1">
        <f>IF(Summary!$G$20="M",VLOOKUP(B:B,'male g'!A:V,IF(A5&gt;2033,22,MATCH(A5,'male g'!$A$1:$V$1,0)),FALSE),VLOOKUP(B:B,'female g'!A:V,IF(A5&gt;2033,22,MATCH(A5,'female g'!$A$1:$V$1,0)),FALSE))</f>
        <v>2.9762410000000001E-3</v>
      </c>
      <c r="E5" s="1">
        <f t="shared" si="2"/>
        <v>0.99702375899999995</v>
      </c>
      <c r="F5" s="1">
        <f t="shared" si="3"/>
        <v>0.99717340799999998</v>
      </c>
      <c r="G5" s="1">
        <f>1/(1+Summary!$O$2)^$C5</f>
        <v>0.86383759853147601</v>
      </c>
      <c r="H5" s="1">
        <f>IF(B5&gt;64, Summary!$J$20, 0)*'TV 19'!G5*'TV 19'!F5</f>
        <v>0</v>
      </c>
      <c r="I5" s="1"/>
    </row>
    <row r="6" spans="1:9">
      <c r="A6" s="1">
        <f t="shared" si="0"/>
        <v>2023</v>
      </c>
      <c r="B6" s="1">
        <f t="shared" si="1"/>
        <v>53</v>
      </c>
      <c r="C6" s="1">
        <v>4</v>
      </c>
      <c r="D6" s="1">
        <f>IF(Summary!$G$20="M",VLOOKUP(B:B,'male g'!A:V,IF(A6&gt;2033,22,MATCH(A6,'male g'!$A$1:$V$1,0)),FALSE),VLOOKUP(B:B,'female g'!A:V,IF(A6&gt;2033,22,MATCH(A6,'female g'!$A$1:$V$1,0)),FALSE))</f>
        <v>3.1447369999999999E-3</v>
      </c>
      <c r="E6" s="1">
        <f t="shared" si="2"/>
        <v>0.99685526300000005</v>
      </c>
      <c r="F6" s="1">
        <f t="shared" si="3"/>
        <v>0.99702375899999995</v>
      </c>
      <c r="G6" s="1">
        <f>1/(1+Summary!$O$2)^$C6</f>
        <v>0.82270247479188197</v>
      </c>
      <c r="H6" s="1">
        <f>IF(B6&gt;64, Summary!$J$20, 0)*'TV 19'!G6*'TV 19'!F6</f>
        <v>0</v>
      </c>
      <c r="I6" s="1"/>
    </row>
    <row r="7" spans="1:9">
      <c r="A7" s="1">
        <f t="shared" si="0"/>
        <v>2024</v>
      </c>
      <c r="B7" s="1">
        <f t="shared" si="1"/>
        <v>54</v>
      </c>
      <c r="C7" s="1">
        <v>5</v>
      </c>
      <c r="D7" s="1">
        <f>IF(Summary!$G$20="M",VLOOKUP(B:B,'male g'!A:V,IF(A7&gt;2033,22,MATCH(A7,'male g'!$A$1:$V$1,0)),FALSE),VLOOKUP(B:B,'female g'!A:V,IF(A7&gt;2033,22,MATCH(A7,'female g'!$A$1:$V$1,0)),FALSE))</f>
        <v>3.3325659999999999E-3</v>
      </c>
      <c r="E7" s="1">
        <f t="shared" si="2"/>
        <v>0.99666743400000002</v>
      </c>
      <c r="F7" s="1">
        <f t="shared" si="3"/>
        <v>0.99685526300000005</v>
      </c>
      <c r="G7" s="1">
        <f>1/(1+Summary!$O$2)^$C7</f>
        <v>0.78352616646845896</v>
      </c>
      <c r="H7" s="1">
        <f>IF(B7&gt;64, Summary!$J$20, 0)*'TV 19'!G7*'TV 19'!F7</f>
        <v>0</v>
      </c>
      <c r="I7" s="1"/>
    </row>
    <row r="8" spans="1:9">
      <c r="A8" s="1">
        <f t="shared" si="0"/>
        <v>2025</v>
      </c>
      <c r="B8" s="1">
        <f t="shared" si="1"/>
        <v>55</v>
      </c>
      <c r="C8" s="1">
        <v>6</v>
      </c>
      <c r="D8" s="1">
        <f>IF(Summary!$G$20="M",VLOOKUP(B:B,'male g'!A:V,IF(A8&gt;2033,22,MATCH(A8,'male g'!$A$1:$V$1,0)),FALSE),VLOOKUP(B:B,'female g'!A:V,IF(A8&gt;2033,22,MATCH(A8,'female g'!$A$1:$V$1,0)),FALSE))</f>
        <v>3.5437979999999999E-3</v>
      </c>
      <c r="E8" s="1">
        <f t="shared" si="2"/>
        <v>0.99645620199999996</v>
      </c>
      <c r="F8" s="1">
        <f t="shared" si="3"/>
        <v>0.99666743400000002</v>
      </c>
      <c r="G8" s="1">
        <f>1/(1+Summary!$O$2)^$C8</f>
        <v>0.74621539663662761</v>
      </c>
      <c r="H8" s="1">
        <f>IF(B8&gt;64, Summary!$J$20, 0)*'TV 19'!G8*'TV 19'!F8</f>
        <v>0</v>
      </c>
      <c r="I8" s="1"/>
    </row>
    <row r="9" spans="1:9">
      <c r="A9" s="1">
        <f t="shared" si="0"/>
        <v>2026</v>
      </c>
      <c r="B9" s="1">
        <f t="shared" si="1"/>
        <v>56</v>
      </c>
      <c r="C9" s="1">
        <v>7</v>
      </c>
      <c r="D9" s="1">
        <f>IF(Summary!$G$20="M",VLOOKUP(B:B,'male g'!A:V,IF(A9&gt;2033,22,MATCH(A9,'male g'!$A$1:$V$1,0)),FALSE),VLOOKUP(B:B,'female g'!A:V,IF(A9&gt;2033,22,MATCH(A9,'female g'!$A$1:$V$1,0)),FALSE))</f>
        <v>3.7789210000000002E-3</v>
      </c>
      <c r="E9" s="1">
        <f t="shared" si="2"/>
        <v>0.99622107900000001</v>
      </c>
      <c r="F9" s="1">
        <f t="shared" si="3"/>
        <v>0.99645620199999996</v>
      </c>
      <c r="G9" s="1">
        <f>1/(1+Summary!$O$2)^$C9</f>
        <v>0.71068133013012147</v>
      </c>
      <c r="H9" s="1">
        <f>IF(B9&gt;64, Summary!$J$20, 0)*'TV 19'!G9*'TV 19'!F9</f>
        <v>0</v>
      </c>
      <c r="I9" s="1"/>
    </row>
    <row r="10" spans="1:9">
      <c r="A10" s="1">
        <f t="shared" si="0"/>
        <v>2027</v>
      </c>
      <c r="B10" s="1">
        <f t="shared" si="1"/>
        <v>57</v>
      </c>
      <c r="C10" s="1">
        <v>8</v>
      </c>
      <c r="D10" s="1">
        <f>IF(Summary!$G$20="M",VLOOKUP(B:B,'male g'!A:V,IF(A10&gt;2033,22,MATCH(A10,'male g'!$A$1:$V$1,0)),FALSE),VLOOKUP(B:B,'female g'!A:V,IF(A10&gt;2033,22,MATCH(A10,'female g'!$A$1:$V$1,0)),FALSE))</f>
        <v>4.0422619999999996E-3</v>
      </c>
      <c r="E10" s="1">
        <f t="shared" si="2"/>
        <v>0.99595773799999998</v>
      </c>
      <c r="F10" s="1">
        <f t="shared" si="3"/>
        <v>0.99622107900000001</v>
      </c>
      <c r="G10" s="1">
        <f>1/(1+Summary!$O$2)^$C10</f>
        <v>0.67683936202868722</v>
      </c>
      <c r="H10" s="1">
        <f>IF(B10&gt;64, Summary!$J$20, 0)*'TV 19'!G10*'TV 19'!F10</f>
        <v>0</v>
      </c>
      <c r="I10" s="1"/>
    </row>
    <row r="11" spans="1:9">
      <c r="A11" s="1">
        <f t="shared" si="0"/>
        <v>2028</v>
      </c>
      <c r="B11" s="1">
        <f t="shared" si="1"/>
        <v>58</v>
      </c>
      <c r="C11" s="1">
        <v>9</v>
      </c>
      <c r="D11" s="1">
        <f>IF(Summary!$G$20="M",VLOOKUP(B:B,'male g'!A:V,IF(A11&gt;2033,22,MATCH(A11,'male g'!$A$1:$V$1,0)),FALSE),VLOOKUP(B:B,'female g'!A:V,IF(A11&gt;2033,22,MATCH(A11,'female g'!$A$1:$V$1,0)),FALSE))</f>
        <v>4.3327410000000002E-3</v>
      </c>
      <c r="E11" s="1">
        <f t="shared" si="2"/>
        <v>0.99566725899999997</v>
      </c>
      <c r="F11" s="1">
        <f t="shared" si="3"/>
        <v>0.99595773799999998</v>
      </c>
      <c r="G11" s="1">
        <f>1/(1+Summary!$O$2)^$C11</f>
        <v>0.64460891621779726</v>
      </c>
      <c r="H11" s="1">
        <f>IF(B11&gt;64, Summary!$J$20, 0)*'TV 19'!G11*'TV 19'!F11</f>
        <v>0</v>
      </c>
      <c r="I11" s="1"/>
    </row>
    <row r="12" spans="1:9">
      <c r="A12" s="1">
        <f t="shared" si="0"/>
        <v>2029</v>
      </c>
      <c r="B12" s="1">
        <f t="shared" si="1"/>
        <v>59</v>
      </c>
      <c r="C12" s="1">
        <v>10</v>
      </c>
      <c r="D12" s="1">
        <f>IF(Summary!$G$20="M",VLOOKUP(B:B,'male g'!A:V,IF(A12&gt;2033,22,MATCH(A12,'male g'!$A$1:$V$1,0)),FALSE),VLOOKUP(B:B,'female g'!A:V,IF(A12&gt;2033,22,MATCH(A12,'female g'!$A$1:$V$1,0)),FALSE))</f>
        <v>4.6544810000000002E-3</v>
      </c>
      <c r="E12" s="1">
        <f t="shared" si="2"/>
        <v>0.99534551900000001</v>
      </c>
      <c r="F12" s="1">
        <f t="shared" si="3"/>
        <v>0.99566725899999997</v>
      </c>
      <c r="G12" s="1">
        <f>1/(1+Summary!$O$2)^$C12</f>
        <v>0.61391325354075932</v>
      </c>
      <c r="H12" s="1">
        <f>IF(B12&gt;64, Summary!$J$20, 0)*'TV 19'!G12*'TV 19'!F12</f>
        <v>0</v>
      </c>
      <c r="I12" s="1"/>
    </row>
    <row r="13" spans="1:9">
      <c r="A13" s="1">
        <f t="shared" si="0"/>
        <v>2030</v>
      </c>
      <c r="B13" s="1">
        <f t="shared" si="1"/>
        <v>60</v>
      </c>
      <c r="C13" s="1">
        <v>11</v>
      </c>
      <c r="D13" s="1">
        <f>IF(Summary!$G$20="M",VLOOKUP(B:B,'male g'!A:V,IF(A13&gt;2033,22,MATCH(A13,'male g'!$A$1:$V$1,0)),FALSE),VLOOKUP(B:B,'female g'!A:V,IF(A13&gt;2033,22,MATCH(A13,'female g'!$A$1:$V$1,0)),FALSE))</f>
        <v>5.0054289999999996E-3</v>
      </c>
      <c r="E13" s="1">
        <f t="shared" si="2"/>
        <v>0.99499457099999999</v>
      </c>
      <c r="F13" s="1">
        <f t="shared" si="3"/>
        <v>0.99534551900000001</v>
      </c>
      <c r="G13" s="1">
        <f>1/(1+Summary!$O$2)^$C13</f>
        <v>0.5846792890864374</v>
      </c>
      <c r="H13" s="1">
        <f>IF(B13&gt;64, Summary!$J$20, 0)*'TV 19'!G13*'TV 19'!F13</f>
        <v>0</v>
      </c>
      <c r="I13" s="1"/>
    </row>
    <row r="14" spans="1:9">
      <c r="A14" s="1">
        <f t="shared" si="0"/>
        <v>2031</v>
      </c>
      <c r="B14" s="1">
        <f t="shared" si="1"/>
        <v>61</v>
      </c>
      <c r="C14" s="1">
        <v>12</v>
      </c>
      <c r="D14" s="1">
        <f>IF(Summary!$G$20="M",VLOOKUP(B:B,'male g'!A:V,IF(A14&gt;2033,22,MATCH(A14,'male g'!$A$1:$V$1,0)),FALSE),VLOOKUP(B:B,'female g'!A:V,IF(A14&gt;2033,22,MATCH(A14,'female g'!$A$1:$V$1,0)),FALSE))</f>
        <v>5.3846629999999996E-3</v>
      </c>
      <c r="E14" s="1">
        <f t="shared" si="2"/>
        <v>0.99461533700000004</v>
      </c>
      <c r="F14" s="1">
        <f t="shared" si="3"/>
        <v>0.99499457099999999</v>
      </c>
      <c r="G14" s="1">
        <f>1/(1+Summary!$O$2)^$C14</f>
        <v>0.5568374181775595</v>
      </c>
      <c r="H14" s="1">
        <f>IF(B14&gt;64, Summary!$J$20, 0)*'TV 19'!G14*'TV 19'!F14</f>
        <v>0</v>
      </c>
      <c r="I14" s="1"/>
    </row>
    <row r="15" spans="1:9">
      <c r="A15" s="1">
        <f t="shared" si="0"/>
        <v>2032</v>
      </c>
      <c r="B15" s="1">
        <f t="shared" si="1"/>
        <v>62</v>
      </c>
      <c r="C15" s="1">
        <v>13</v>
      </c>
      <c r="D15" s="1">
        <f>IF(Summary!$G$20="M",VLOOKUP(B:B,'male g'!A:V,IF(A15&gt;2033,22,MATCH(A15,'male g'!$A$1:$V$1,0)),FALSE),VLOOKUP(B:B,'female g'!A:V,IF(A15&gt;2033,22,MATCH(A15,'female g'!$A$1:$V$1,0)),FALSE))</f>
        <v>5.7912959999999996E-3</v>
      </c>
      <c r="E15" s="1">
        <f t="shared" si="2"/>
        <v>0.99420870400000005</v>
      </c>
      <c r="F15" s="1">
        <f t="shared" si="3"/>
        <v>0.99461533700000004</v>
      </c>
      <c r="G15" s="1">
        <f>1/(1+Summary!$O$2)^$C15</f>
        <v>0.53032135064529462</v>
      </c>
      <c r="H15" s="1">
        <f>IF(B15&gt;64, Summary!$J$20, 0)*'TV 19'!G15*'TV 19'!F15</f>
        <v>0</v>
      </c>
      <c r="I15" s="1"/>
    </row>
    <row r="16" spans="1:9">
      <c r="A16" s="1">
        <f t="shared" si="0"/>
        <v>2033</v>
      </c>
      <c r="B16" s="1">
        <f t="shared" si="1"/>
        <v>63</v>
      </c>
      <c r="C16" s="1">
        <v>14</v>
      </c>
      <c r="D16" s="1">
        <f>IF(Summary!$G$20="M",VLOOKUP(B:B,'male g'!A:V,IF(A16&gt;2033,22,MATCH(A16,'male g'!$A$1:$V$1,0)),FALSE),VLOOKUP(B:B,'female g'!A:V,IF(A16&gt;2033,22,MATCH(A16,'female g'!$A$1:$V$1,0)),FALSE))</f>
        <v>6.2244240000000001E-3</v>
      </c>
      <c r="E16" s="1">
        <f t="shared" si="2"/>
        <v>0.99377557599999999</v>
      </c>
      <c r="F16" s="1">
        <f t="shared" si="3"/>
        <v>0.99420870400000005</v>
      </c>
      <c r="G16" s="1">
        <f>1/(1+Summary!$O$2)^$C16</f>
        <v>0.50506795299551888</v>
      </c>
      <c r="H16" s="1">
        <f>IF(B16&gt;64, Summary!$J$20, 0)*'TV 19'!G16*'TV 19'!F16</f>
        <v>0</v>
      </c>
      <c r="I16" s="1"/>
    </row>
    <row r="17" spans="1:9">
      <c r="A17" s="1">
        <f t="shared" si="0"/>
        <v>2034</v>
      </c>
      <c r="B17" s="1">
        <f t="shared" si="1"/>
        <v>64</v>
      </c>
      <c r="C17" s="1">
        <v>15</v>
      </c>
      <c r="D17" s="1">
        <f>IF(Summary!$G$20="M",VLOOKUP(B:B,'male g'!A:V,IF(A17&gt;2033,22,MATCH(A17,'male g'!$A$1:$V$1,0)),FALSE),VLOOKUP(B:B,'female g'!A:V,IF(A17&gt;2033,22,MATCH(A17,'female g'!$A$1:$V$1,0)),FALSE))</f>
        <v>6.6840069999999996E-3</v>
      </c>
      <c r="E17" s="1">
        <f t="shared" si="2"/>
        <v>0.99331599299999995</v>
      </c>
      <c r="F17" s="1">
        <f t="shared" si="3"/>
        <v>0.99377557599999999</v>
      </c>
      <c r="G17" s="1">
        <f>1/(1+Summary!$O$2)^$C17</f>
        <v>0.48101709809097021</v>
      </c>
      <c r="H17" s="1">
        <f>IF(B17&gt;64, Summary!$J$20, 0)*'TV 19'!G17*'TV 19'!F17</f>
        <v>0</v>
      </c>
      <c r="I17" s="1"/>
    </row>
    <row r="18" spans="1:9">
      <c r="A18" s="1">
        <f t="shared" si="0"/>
        <v>2035</v>
      </c>
      <c r="B18" s="1">
        <f t="shared" si="1"/>
        <v>65</v>
      </c>
      <c r="C18" s="1">
        <v>16</v>
      </c>
      <c r="D18" s="1">
        <f>IF(Summary!$G$20="M",VLOOKUP(B:B,'male g'!A:V,IF(A18&gt;2033,22,MATCH(A18,'male g'!$A$1:$V$1,0)),FALSE),VLOOKUP(B:B,'female g'!A:V,IF(A18&gt;2033,22,MATCH(A18,'female g'!$A$1:$V$1,0)),FALSE))</f>
        <v>7.247748E-3</v>
      </c>
      <c r="E18" s="1">
        <f t="shared" si="2"/>
        <v>0.99275225199999995</v>
      </c>
      <c r="F18" s="1">
        <f t="shared" si="3"/>
        <v>0.99331599299999995</v>
      </c>
      <c r="G18" s="1">
        <f>1/(1+Summary!$O$2)^$C18</f>
        <v>0.45811152199140021</v>
      </c>
      <c r="H18" s="1">
        <f>IF(B18&gt;64, Summary!$J$20, 0)*'TV 19'!G18*'TV 19'!F18</f>
        <v>3052.7894749695765</v>
      </c>
      <c r="I18" s="1"/>
    </row>
    <row r="19" spans="1:9">
      <c r="A19" s="1">
        <f t="shared" si="0"/>
        <v>2036</v>
      </c>
      <c r="B19" s="1">
        <f t="shared" si="1"/>
        <v>66</v>
      </c>
      <c r="C19" s="1">
        <v>17</v>
      </c>
      <c r="D19" s="1">
        <f>IF(Summary!$G$20="M",VLOOKUP(B:B,'male g'!A:V,IF(A19&gt;2033,22,MATCH(A19,'male g'!$A$1:$V$1,0)),FALSE),VLOOKUP(B:B,'female g'!A:V,IF(A19&gt;2033,22,MATCH(A19,'female g'!$A$1:$V$1,0)),FALSE))</f>
        <v>7.8640140000000008E-3</v>
      </c>
      <c r="E19" s="1">
        <f t="shared" si="2"/>
        <v>0.99213598599999997</v>
      </c>
      <c r="F19" s="1">
        <f t="shared" si="3"/>
        <v>0.99275225199999995</v>
      </c>
      <c r="G19" s="1">
        <f>1/(1+Summary!$O$2)^$C19</f>
        <v>0.43629668761085727</v>
      </c>
      <c r="H19" s="1">
        <f>IF(B19&gt;64, Summary!$J$20, 0)*'TV 19'!G19*'TV 19'!F19</f>
        <v>2905.7684875376949</v>
      </c>
      <c r="I19" s="1"/>
    </row>
    <row r="20" spans="1:9">
      <c r="A20" s="1">
        <f t="shared" si="0"/>
        <v>2037</v>
      </c>
      <c r="B20" s="1">
        <f t="shared" si="1"/>
        <v>67</v>
      </c>
      <c r="C20" s="1">
        <v>18</v>
      </c>
      <c r="D20" s="1">
        <f>IF(Summary!$G$20="M",VLOOKUP(B:B,'male g'!A:V,IF(A20&gt;2033,22,MATCH(A20,'male g'!$A$1:$V$1,0)),FALSE),VLOOKUP(B:B,'female g'!A:V,IF(A20&gt;2033,22,MATCH(A20,'female g'!$A$1:$V$1,0)),FALSE))</f>
        <v>8.5402580000000002E-3</v>
      </c>
      <c r="E20" s="1">
        <f t="shared" si="2"/>
        <v>0.99145974199999998</v>
      </c>
      <c r="F20" s="1">
        <f t="shared" si="3"/>
        <v>0.99213598599999997</v>
      </c>
      <c r="G20" s="1">
        <f>1/(1+Summary!$O$2)^$C20</f>
        <v>0.41552065486748313</v>
      </c>
      <c r="H20" s="1">
        <f>IF(B20&gt;64, Summary!$J$20, 0)*'TV 19'!G20*'TV 19'!F20</f>
        <v>2765.6806549795187</v>
      </c>
      <c r="I20" s="1"/>
    </row>
    <row r="21" spans="1:9">
      <c r="A21" s="1">
        <f t="shared" si="0"/>
        <v>2038</v>
      </c>
      <c r="B21" s="1">
        <f t="shared" si="1"/>
        <v>68</v>
      </c>
      <c r="C21" s="1">
        <v>19</v>
      </c>
      <c r="D21" s="1">
        <f>IF(Summary!$G$20="M",VLOOKUP(B:B,'male g'!A:V,IF(A21&gt;2033,22,MATCH(A21,'male g'!$A$1:$V$1,0)),FALSE),VLOOKUP(B:B,'female g'!A:V,IF(A21&gt;2033,22,MATCH(A21,'female g'!$A$1:$V$1,0)),FALSE))</f>
        <v>9.291054E-3</v>
      </c>
      <c r="E21" s="1">
        <f t="shared" si="2"/>
        <v>0.99070894600000003</v>
      </c>
      <c r="F21" s="1">
        <f t="shared" si="3"/>
        <v>0.99145974199999998</v>
      </c>
      <c r="G21" s="1">
        <f>1/(1+Summary!$O$2)^$C21</f>
        <v>0.39573395701665059</v>
      </c>
      <c r="H21" s="1">
        <f>IF(B21&gt;64, Summary!$J$20, 0)*'TV 19'!G21*'TV 19'!F21</f>
        <v>2632.1862434120226</v>
      </c>
      <c r="I21" s="1"/>
    </row>
    <row r="22" spans="1:9">
      <c r="A22" s="1">
        <f t="shared" si="0"/>
        <v>2039</v>
      </c>
      <c r="B22" s="1">
        <f t="shared" si="1"/>
        <v>69</v>
      </c>
      <c r="C22" s="1">
        <v>20</v>
      </c>
      <c r="D22" s="1">
        <f>IF(Summary!$G$20="M",VLOOKUP(B:B,'male g'!A:V,IF(A22&gt;2033,22,MATCH(A22,'male g'!$A$1:$V$1,0)),FALSE),VLOOKUP(B:B,'female g'!A:V,IF(A22&gt;2033,22,MATCH(A22,'female g'!$A$1:$V$1,0)),FALSE))</f>
        <v>1.0121299E-2</v>
      </c>
      <c r="E22" s="1">
        <f t="shared" si="2"/>
        <v>0.98987870099999997</v>
      </c>
      <c r="F22" s="1">
        <f t="shared" si="3"/>
        <v>0.99070894600000003</v>
      </c>
      <c r="G22" s="1">
        <f>1/(1+Summary!$O$2)^$C22</f>
        <v>0.37688948287300061</v>
      </c>
      <c r="H22" s="1">
        <f>IF(B22&gt;64, Summary!$J$20, 0)*'TV 19'!G22*'TV 19'!F22</f>
        <v>2504.945700545723</v>
      </c>
      <c r="I22" s="1"/>
    </row>
    <row r="23" spans="1:9">
      <c r="A23" s="1">
        <f t="shared" si="0"/>
        <v>2040</v>
      </c>
      <c r="B23" s="1">
        <f t="shared" si="1"/>
        <v>70</v>
      </c>
      <c r="C23" s="1">
        <v>21</v>
      </c>
      <c r="D23" s="1">
        <f>IF(Summary!$G$20="M",VLOOKUP(B:B,'male g'!A:V,IF(A23&gt;2033,22,MATCH(A23,'male g'!$A$1:$V$1,0)),FALSE),VLOOKUP(B:B,'female g'!A:V,IF(A23&gt;2033,22,MATCH(A23,'female g'!$A$1:$V$1,0)),FALSE))</f>
        <v>1.1050012E-2</v>
      </c>
      <c r="E23" s="1">
        <f t="shared" si="2"/>
        <v>0.988949988</v>
      </c>
      <c r="F23" s="1">
        <f t="shared" si="3"/>
        <v>0.98987870099999997</v>
      </c>
      <c r="G23" s="1">
        <f>1/(1+Summary!$O$2)^$C23</f>
        <v>0.35894236464095297</v>
      </c>
      <c r="H23" s="1">
        <f>IF(B23&gt;64, Summary!$J$20, 0)*'TV 19'!G23*'TV 19'!F23</f>
        <v>2383.6633122968783</v>
      </c>
      <c r="I23" s="1"/>
    </row>
    <row r="24" spans="1:9">
      <c r="A24" s="1">
        <f t="shared" si="0"/>
        <v>2041</v>
      </c>
      <c r="B24" s="1">
        <f t="shared" si="1"/>
        <v>71</v>
      </c>
      <c r="C24" s="1">
        <v>22</v>
      </c>
      <c r="D24" s="1">
        <f>IF(Summary!$G$20="M",VLOOKUP(B:B,'male g'!A:V,IF(A24&gt;2033,22,MATCH(A24,'male g'!$A$1:$V$1,0)),FALSE),VLOOKUP(B:B,'female g'!A:V,IF(A24&gt;2033,22,MATCH(A24,'female g'!$A$1:$V$1,0)),FALSE))</f>
        <v>1.2082262999999999E-2</v>
      </c>
      <c r="E24" s="1">
        <f t="shared" si="2"/>
        <v>0.98791773699999996</v>
      </c>
      <c r="F24" s="1">
        <f t="shared" si="3"/>
        <v>0.988949988</v>
      </c>
      <c r="G24" s="1">
        <f>1/(1+Summary!$O$2)^$C24</f>
        <v>0.3418498710866219</v>
      </c>
      <c r="H24" s="1">
        <f>IF(B24&gt;64, Summary!$J$20, 0)*'TV 19'!G24*'TV 19'!F24</f>
        <v>2268.0256554095358</v>
      </c>
      <c r="I24" s="1"/>
    </row>
    <row r="25" spans="1:9">
      <c r="A25" s="1">
        <f t="shared" si="0"/>
        <v>2042</v>
      </c>
      <c r="B25" s="1">
        <f t="shared" si="1"/>
        <v>72</v>
      </c>
      <c r="C25" s="1">
        <v>23</v>
      </c>
      <c r="D25" s="1">
        <f>IF(Summary!$G$20="M",VLOOKUP(B:B,'male g'!A:V,IF(A25&gt;2033,22,MATCH(A25,'male g'!$A$1:$V$1,0)),FALSE),VLOOKUP(B:B,'female g'!A:V,IF(A25&gt;2033,22,MATCH(A25,'female g'!$A$1:$V$1,0)),FALSE))</f>
        <v>1.3232393E-2</v>
      </c>
      <c r="E25" s="1">
        <f t="shared" si="2"/>
        <v>0.98676760699999999</v>
      </c>
      <c r="F25" s="1">
        <f t="shared" si="3"/>
        <v>0.98791773699999996</v>
      </c>
      <c r="G25" s="1">
        <f>1/(1+Summary!$O$2)^$C25</f>
        <v>0.32557130579678267</v>
      </c>
      <c r="H25" s="1">
        <f>IF(B25&gt;64, Summary!$J$20, 0)*'TV 19'!G25*'TV 19'!F25</f>
        <v>2157.769832976322</v>
      </c>
      <c r="I25" s="1"/>
    </row>
    <row r="26" spans="1:9">
      <c r="A26" s="1">
        <f t="shared" si="0"/>
        <v>2043</v>
      </c>
      <c r="B26" s="1">
        <f t="shared" si="1"/>
        <v>73</v>
      </c>
      <c r="C26" s="1">
        <v>24</v>
      </c>
      <c r="D26" s="1">
        <f>IF(Summary!$G$20="M",VLOOKUP(B:B,'male g'!A:V,IF(A26&gt;2033,22,MATCH(A26,'male g'!$A$1:$V$1,0)),FALSE),VLOOKUP(B:B,'female g'!A:V,IF(A26&gt;2033,22,MATCH(A26,'female g'!$A$1:$V$1,0)),FALSE))</f>
        <v>1.4520474E-2</v>
      </c>
      <c r="E26" s="1">
        <f t="shared" si="2"/>
        <v>0.98547952599999999</v>
      </c>
      <c r="F26" s="1">
        <f t="shared" si="3"/>
        <v>0.98676760699999999</v>
      </c>
      <c r="G26" s="1">
        <f>1/(1+Summary!$O$2)^$C26</f>
        <v>0.31006791028265024</v>
      </c>
      <c r="H26" s="1">
        <f>IF(B26&gt;64, Summary!$J$20, 0)*'TV 19'!G26*'TV 19'!F26</f>
        <v>2052.6264435245953</v>
      </c>
      <c r="I26" s="1"/>
    </row>
    <row r="27" spans="1:9">
      <c r="A27" s="1">
        <f t="shared" si="0"/>
        <v>2044</v>
      </c>
      <c r="B27" s="1">
        <f t="shared" si="1"/>
        <v>74</v>
      </c>
      <c r="C27" s="1">
        <v>25</v>
      </c>
      <c r="D27" s="1">
        <f>IF(Summary!$G$20="M",VLOOKUP(B:B,'male g'!A:V,IF(A27&gt;2033,22,MATCH(A27,'male g'!$A$1:$V$1,0)),FALSE),VLOOKUP(B:B,'female g'!A:V,IF(A27&gt;2033,22,MATCH(A27,'female g'!$A$1:$V$1,0)),FALSE))</f>
        <v>1.5945328000000002E-2</v>
      </c>
      <c r="E27" s="1">
        <f t="shared" si="2"/>
        <v>0.98405467199999996</v>
      </c>
      <c r="F27" s="1">
        <f t="shared" si="3"/>
        <v>0.98547952599999999</v>
      </c>
      <c r="G27" s="1">
        <f>1/(1+Summary!$O$2)^$C27</f>
        <v>0.29530277169776209</v>
      </c>
      <c r="H27" s="1">
        <f>IF(B27&gt;64, Summary!$J$20, 0)*'TV 19'!G27*'TV 19'!F27</f>
        <v>1952.3305137859106</v>
      </c>
      <c r="I27" s="1"/>
    </row>
    <row r="28" spans="1:9">
      <c r="A28" s="1">
        <f t="shared" si="0"/>
        <v>2045</v>
      </c>
      <c r="B28" s="1">
        <f t="shared" si="1"/>
        <v>75</v>
      </c>
      <c r="C28" s="1">
        <v>26</v>
      </c>
      <c r="D28" s="1">
        <f>IF(Summary!$G$20="M",VLOOKUP(B:B,'male g'!A:V,IF(A28&gt;2033,22,MATCH(A28,'male g'!$A$1:$V$1,0)),FALSE),VLOOKUP(B:B,'female g'!A:V,IF(A28&gt;2033,22,MATCH(A28,'female g'!$A$1:$V$1,0)),FALSE))</f>
        <v>1.7550544000000001E-2</v>
      </c>
      <c r="E28" s="1">
        <f t="shared" si="2"/>
        <v>0.982449456</v>
      </c>
      <c r="F28" s="1">
        <f t="shared" si="3"/>
        <v>0.98405467199999996</v>
      </c>
      <c r="G28" s="1">
        <f>1/(1+Summary!$O$2)^$C28</f>
        <v>0.28124073495024959</v>
      </c>
      <c r="H28" s="1">
        <f>IF(B28&gt;64, Summary!$J$20, 0)*'TV 19'!G28*'TV 19'!F28</f>
        <v>1856.6740379315802</v>
      </c>
      <c r="I28" s="1"/>
    </row>
    <row r="29" spans="1:9">
      <c r="A29" s="1">
        <f t="shared" si="0"/>
        <v>2046</v>
      </c>
      <c r="B29" s="1">
        <f t="shared" si="1"/>
        <v>76</v>
      </c>
      <c r="C29" s="1">
        <v>27</v>
      </c>
      <c r="D29" s="1">
        <f>IF(Summary!$G$20="M",VLOOKUP(B:B,'male g'!A:V,IF(A29&gt;2033,22,MATCH(A29,'male g'!$A$1:$V$1,0)),FALSE),VLOOKUP(B:B,'female g'!A:V,IF(A29&gt;2033,22,MATCH(A29,'female g'!$A$1:$V$1,0)),FALSE))</f>
        <v>1.9346596000000001E-2</v>
      </c>
      <c r="E29" s="1">
        <f t="shared" si="2"/>
        <v>0.98065340400000001</v>
      </c>
      <c r="F29" s="1">
        <f t="shared" si="3"/>
        <v>0.982449456</v>
      </c>
      <c r="G29" s="1">
        <f>1/(1+Summary!$O$2)^$C29</f>
        <v>0.2678483190002377</v>
      </c>
      <c r="H29" s="1">
        <f>IF(B29&gt;64, Summary!$J$20, 0)*'TV 19'!G29*'TV 19'!F29</f>
        <v>1765.3765544278663</v>
      </c>
      <c r="I29" s="1"/>
    </row>
    <row r="30" spans="1:9">
      <c r="A30" s="1">
        <f t="shared" si="0"/>
        <v>2047</v>
      </c>
      <c r="B30" s="1">
        <f t="shared" si="1"/>
        <v>77</v>
      </c>
      <c r="C30" s="1">
        <v>28</v>
      </c>
      <c r="D30" s="1">
        <f>IF(Summary!$G$20="M",VLOOKUP(B:B,'male g'!A:V,IF(A30&gt;2033,22,MATCH(A30,'male g'!$A$1:$V$1,0)),FALSE),VLOOKUP(B:B,'female g'!A:V,IF(A30&gt;2033,22,MATCH(A30,'female g'!$A$1:$V$1,0)),FALSE))</f>
        <v>2.1378668999999999E-2</v>
      </c>
      <c r="E30" s="1">
        <f t="shared" si="2"/>
        <v>0.97862133100000004</v>
      </c>
      <c r="F30" s="1">
        <f t="shared" si="3"/>
        <v>0.98065340400000001</v>
      </c>
      <c r="G30" s="1">
        <f>1/(1+Summary!$O$2)^$C30</f>
        <v>0.25509363714308358</v>
      </c>
      <c r="H30" s="1">
        <f>IF(B30&gt;64, Summary!$J$20, 0)*'TV 19'!G30*'TV 19'!F30</f>
        <v>1678.2373377059257</v>
      </c>
      <c r="I30" s="1"/>
    </row>
    <row r="31" spans="1:9">
      <c r="A31" s="1">
        <f t="shared" si="0"/>
        <v>2048</v>
      </c>
      <c r="B31" s="1">
        <f t="shared" si="1"/>
        <v>78</v>
      </c>
      <c r="C31" s="1">
        <v>29</v>
      </c>
      <c r="D31" s="1">
        <f>IF(Summary!$G$20="M",VLOOKUP(B:B,'male g'!A:V,IF(A31&gt;2033,22,MATCH(A31,'male g'!$A$1:$V$1,0)),FALSE),VLOOKUP(B:B,'female g'!A:V,IF(A31&gt;2033,22,MATCH(A31,'female g'!$A$1:$V$1,0)),FALSE))</f>
        <v>2.3682564E-2</v>
      </c>
      <c r="E31" s="1">
        <f t="shared" si="2"/>
        <v>0.97631743599999998</v>
      </c>
      <c r="F31" s="1">
        <f t="shared" si="3"/>
        <v>0.97862133100000004</v>
      </c>
      <c r="G31" s="1">
        <f>1/(1+Summary!$O$2)^$C31</f>
        <v>0.24294632108865097</v>
      </c>
      <c r="H31" s="1">
        <f>IF(B31&gt;64, Summary!$J$20, 0)*'TV 19'!G31*'TV 19'!F31</f>
        <v>1595.0092929397695</v>
      </c>
      <c r="I31" s="1"/>
    </row>
    <row r="32" spans="1:9">
      <c r="A32" s="1">
        <f t="shared" si="0"/>
        <v>2049</v>
      </c>
      <c r="B32" s="1">
        <f t="shared" si="1"/>
        <v>79</v>
      </c>
      <c r="C32" s="1">
        <v>30</v>
      </c>
      <c r="D32" s="1">
        <f>IF(Summary!$G$20="M",VLOOKUP(B:B,'male g'!A:V,IF(A32&gt;2033,22,MATCH(A32,'male g'!$A$1:$V$1,0)),FALSE),VLOOKUP(B:B,'female g'!A:V,IF(A32&gt;2033,22,MATCH(A32,'female g'!$A$1:$V$1,0)),FALSE))</f>
        <v>2.6301709E-2</v>
      </c>
      <c r="E32" s="1">
        <f t="shared" si="2"/>
        <v>0.97369829100000005</v>
      </c>
      <c r="F32" s="1">
        <f t="shared" si="3"/>
        <v>0.97631743599999998</v>
      </c>
      <c r="G32" s="1">
        <f>1/(1+Summary!$O$2)^$C32</f>
        <v>0.23137744865585813</v>
      </c>
      <c r="H32" s="1">
        <f>IF(B32&gt;64, Summary!$J$20, 0)*'TV 19'!G32*'TV 19'!F32</f>
        <v>1515.4802684437852</v>
      </c>
      <c r="I32" s="1"/>
    </row>
    <row r="33" spans="1:9">
      <c r="A33" s="1">
        <f t="shared" si="0"/>
        <v>2050</v>
      </c>
      <c r="B33" s="1">
        <f t="shared" si="1"/>
        <v>80</v>
      </c>
      <c r="C33" s="1">
        <v>31</v>
      </c>
      <c r="D33" s="1">
        <f>IF(Summary!$G$20="M",VLOOKUP(B:B,'male g'!A:V,IF(A33&gt;2033,22,MATCH(A33,'male g'!$A$1:$V$1,0)),FALSE),VLOOKUP(B:B,'female g'!A:V,IF(A33&gt;2033,22,MATCH(A33,'female g'!$A$1:$V$1,0)),FALSE))</f>
        <v>2.9285830999999998E-2</v>
      </c>
      <c r="E33" s="1">
        <f t="shared" si="2"/>
        <v>0.97071416899999996</v>
      </c>
      <c r="F33" s="1">
        <f t="shared" si="3"/>
        <v>0.97369829100000005</v>
      </c>
      <c r="G33" s="1">
        <f>1/(1+Summary!$O$2)^$C33</f>
        <v>0.220359474910341</v>
      </c>
      <c r="H33" s="1">
        <f>IF(B33&gt;64, Summary!$J$20, 0)*'TV 19'!G33*'TV 19'!F33</f>
        <v>1439.4425936610214</v>
      </c>
      <c r="I33" s="1"/>
    </row>
    <row r="34" spans="1:9">
      <c r="A34" s="1">
        <f t="shared" si="0"/>
        <v>2051</v>
      </c>
      <c r="B34" s="1">
        <f t="shared" si="1"/>
        <v>81</v>
      </c>
      <c r="C34" s="1">
        <v>32</v>
      </c>
      <c r="D34" s="1">
        <f>IF(Summary!$G$20="M",VLOOKUP(B:B,'male g'!A:V,IF(A34&gt;2033,22,MATCH(A34,'male g'!$A$1:$V$1,0)),FALSE),VLOOKUP(B:B,'female g'!A:V,IF(A34&gt;2033,22,MATCH(A34,'female g'!$A$1:$V$1,0)),FALSE))</f>
        <v>3.2681842000000003E-2</v>
      </c>
      <c r="E34" s="1">
        <f t="shared" si="2"/>
        <v>0.96731815799999998</v>
      </c>
      <c r="F34" s="1">
        <f t="shared" si="3"/>
        <v>0.97071416899999996</v>
      </c>
      <c r="G34" s="1">
        <f>1/(1+Summary!$O$2)^$C34</f>
        <v>0.20986616658127716</v>
      </c>
      <c r="H34" s="1">
        <f>IF(B34&gt;64, Summary!$J$20, 0)*'TV 19'!G34*'TV 19'!F34</f>
        <v>1366.6962774267993</v>
      </c>
      <c r="I34" s="1"/>
    </row>
    <row r="35" spans="1:9">
      <c r="A35" s="1">
        <f>$A$2+C35</f>
        <v>2052</v>
      </c>
      <c r="B35" s="1">
        <f>$B$2+C35</f>
        <v>82</v>
      </c>
      <c r="C35" s="1">
        <v>33</v>
      </c>
      <c r="D35" s="1">
        <f>IF(Summary!$G$20="M",VLOOKUP(B:B,'male g'!A:V,IF(A35&gt;2033,22,MATCH(A35,'male g'!$A$1:$V$1,0)),FALSE),VLOOKUP(B:B,'female g'!A:V,IF(A35&gt;2033,22,MATCH(A35,'female g'!$A$1:$V$1,0)),FALSE))</f>
        <v>3.6549238999999997E-2</v>
      </c>
      <c r="E35" s="1">
        <f t="shared" si="2"/>
        <v>0.96345076100000004</v>
      </c>
      <c r="F35" s="1">
        <f t="shared" si="3"/>
        <v>0.96731815799999998</v>
      </c>
      <c r="G35" s="1">
        <f>1/(1+Summary!$O$2)^$C35</f>
        <v>0.19987253960121634</v>
      </c>
      <c r="H35" s="1">
        <f>IF(B35&gt;64, Summary!$J$20, 0)*'TV 19'!G35*'TV 19'!F35</f>
        <v>1297.0618440822934</v>
      </c>
      <c r="I35" s="1"/>
    </row>
    <row r="36" spans="1:9">
      <c r="A36" s="1">
        <f t="shared" ref="A36:A47" si="4">$A$2+C36</f>
        <v>2053</v>
      </c>
      <c r="B36" s="1">
        <f t="shared" si="1"/>
        <v>83</v>
      </c>
      <c r="C36" s="1">
        <v>34</v>
      </c>
      <c r="D36" s="1">
        <f>IF(Summary!$G$20="M",VLOOKUP(B:B,'male g'!A:V,IF(A36&gt;2033,22,MATCH(A36,'male g'!$A$1:$V$1,0)),FALSE),VLOOKUP(B:B,'female g'!A:V,IF(A36&gt;2033,22,MATCH(A36,'female g'!$A$1:$V$1,0)),FALSE))</f>
        <v>4.0956563000000001E-2</v>
      </c>
      <c r="E36" s="1">
        <f t="shared" si="2"/>
        <v>0.95904343700000005</v>
      </c>
      <c r="F36" s="1">
        <f t="shared" si="3"/>
        <v>0.96345076100000004</v>
      </c>
      <c r="G36" s="1">
        <f>1/(1+Summary!$O$2)^$C36</f>
        <v>0.19035479962020604</v>
      </c>
      <c r="H36" s="1">
        <f>IF(B36&gt;64, Summary!$J$20, 0)*'TV 19'!G36*'TV 19'!F36</f>
        <v>1230.3582016301759</v>
      </c>
      <c r="I36" s="1"/>
    </row>
    <row r="37" spans="1:9">
      <c r="A37" s="1">
        <f t="shared" si="4"/>
        <v>2054</v>
      </c>
      <c r="B37" s="1">
        <f t="shared" si="1"/>
        <v>84</v>
      </c>
      <c r="C37" s="1">
        <v>35</v>
      </c>
      <c r="D37" s="1">
        <f>IF(Summary!$G$20="M",VLOOKUP(B:B,'male g'!A:V,IF(A37&gt;2033,22,MATCH(A37,'male g'!$A$1:$V$1,0)),FALSE),VLOOKUP(B:B,'female g'!A:V,IF(A37&gt;2033,22,MATCH(A37,'female g'!$A$1:$V$1,0)),FALSE))</f>
        <v>4.5960176999999998E-2</v>
      </c>
      <c r="E37" s="1">
        <f t="shared" si="2"/>
        <v>0.95403982300000001</v>
      </c>
      <c r="F37" s="1">
        <f t="shared" si="3"/>
        <v>0.95904343700000005</v>
      </c>
      <c r="G37" s="1">
        <f>1/(1+Summary!$O$2)^$C37</f>
        <v>0.18129028535257716</v>
      </c>
      <c r="H37" s="1">
        <f>IF(B37&gt;64, Summary!$J$20, 0)*'TV 19'!G37*'TV 19'!F37</f>
        <v>1166.4094327805929</v>
      </c>
      <c r="I37" s="1"/>
    </row>
    <row r="38" spans="1:9">
      <c r="A38" s="1">
        <f t="shared" si="4"/>
        <v>2055</v>
      </c>
      <c r="B38" s="1">
        <f t="shared" si="1"/>
        <v>85</v>
      </c>
      <c r="C38" s="1">
        <v>36</v>
      </c>
      <c r="D38" s="1">
        <f>IF(Summary!$G$20="M",VLOOKUP(B:B,'male g'!A:V,IF(A38&gt;2033,22,MATCH(A38,'male g'!$A$1:$V$1,0)),FALSE),VLOOKUP(B:B,'female g'!A:V,IF(A38&gt;2033,22,MATCH(A38,'female g'!$A$1:$V$1,0)),FALSE))</f>
        <v>5.1631459999999997E-2</v>
      </c>
      <c r="E38" s="1">
        <f t="shared" si="2"/>
        <v>0.94836854000000004</v>
      </c>
      <c r="F38" s="1">
        <f t="shared" si="3"/>
        <v>0.95403982300000001</v>
      </c>
      <c r="G38" s="1">
        <f>1/(1+Summary!$O$2)^$C38</f>
        <v>0.17265741462150208</v>
      </c>
      <c r="H38" s="1">
        <f>IF(B38&gt;64, Summary!$J$20, 0)*'TV 19'!G38*'TV 19'!F38</f>
        <v>1105.0704084661882</v>
      </c>
      <c r="I38" s="1"/>
    </row>
    <row r="39" spans="1:9">
      <c r="A39" s="1">
        <f t="shared" si="4"/>
        <v>2056</v>
      </c>
      <c r="B39" s="1">
        <f t="shared" si="1"/>
        <v>86</v>
      </c>
      <c r="C39" s="1">
        <v>37</v>
      </c>
      <c r="D39" s="1">
        <f>IF(Summary!$G$20="M",VLOOKUP(B:B,'male g'!A:V,IF(A39&gt;2033,22,MATCH(A39,'male g'!$A$1:$V$1,0)),FALSE),VLOOKUP(B:B,'female g'!A:V,IF(A39&gt;2033,22,MATCH(A39,'female g'!$A$1:$V$1,0)),FALSE))</f>
        <v>5.8086306999999997E-2</v>
      </c>
      <c r="E39" s="1">
        <f t="shared" si="2"/>
        <v>0.94191369300000005</v>
      </c>
      <c r="F39" s="1">
        <f t="shared" si="3"/>
        <v>0.94836854000000004</v>
      </c>
      <c r="G39" s="1">
        <f>1/(1+Summary!$O$2)^$C39</f>
        <v>0.1644356329728591</v>
      </c>
      <c r="H39" s="1">
        <f>IF(B39&gt;64, Summary!$J$20, 0)*'TV 19'!G39*'TV 19'!F39</f>
        <v>1046.1917383008968</v>
      </c>
      <c r="I39" s="1"/>
    </row>
    <row r="40" spans="1:9">
      <c r="A40" s="1">
        <f t="shared" si="4"/>
        <v>2057</v>
      </c>
      <c r="B40" s="1">
        <f t="shared" si="1"/>
        <v>87</v>
      </c>
      <c r="C40" s="1">
        <v>38</v>
      </c>
      <c r="D40" s="1">
        <f>IF(Summary!$G$20="M",VLOOKUP(B:B,'male g'!A:V,IF(A40&gt;2033,22,MATCH(A40,'male g'!$A$1:$V$1,0)),FALSE),VLOOKUP(B:B,'female g'!A:V,IF(A40&gt;2033,22,MATCH(A40,'female g'!$A$1:$V$1,0)),FALSE))</f>
        <v>6.5370790999999998E-2</v>
      </c>
      <c r="E40" s="1">
        <f t="shared" si="2"/>
        <v>0.93462920900000002</v>
      </c>
      <c r="F40" s="1">
        <f t="shared" si="3"/>
        <v>0.94191369300000005</v>
      </c>
      <c r="G40" s="1">
        <f>1/(1+Summary!$O$2)^$C40</f>
        <v>0.15660536473605632</v>
      </c>
      <c r="H40" s="1">
        <f>IF(B40&gt;64, Summary!$J$20, 0)*'TV 19'!G40*'TV 19'!F40</f>
        <v>989.59150547818683</v>
      </c>
      <c r="I40" s="1"/>
    </row>
    <row r="41" spans="1:9">
      <c r="A41" s="1">
        <f t="shared" si="4"/>
        <v>2058</v>
      </c>
      <c r="B41" s="1">
        <f t="shared" si="1"/>
        <v>88</v>
      </c>
      <c r="C41" s="1">
        <v>39</v>
      </c>
      <c r="D41" s="1">
        <f>IF(Summary!$G$20="M",VLOOKUP(B:B,'male g'!A:V,IF(A41&gt;2033,22,MATCH(A41,'male g'!$A$1:$V$1,0)),FALSE),VLOOKUP(B:B,'female g'!A:V,IF(A41&gt;2033,22,MATCH(A41,'female g'!$A$1:$V$1,0)),FALSE))</f>
        <v>7.3564853999999999E-2</v>
      </c>
      <c r="E41" s="1">
        <f t="shared" si="2"/>
        <v>0.92643514599999999</v>
      </c>
      <c r="F41" s="1">
        <f t="shared" si="3"/>
        <v>0.93462920900000002</v>
      </c>
      <c r="G41" s="1">
        <f>1/(1+Summary!$O$2)^$C41</f>
        <v>0.14914796641529171</v>
      </c>
      <c r="H41" s="1">
        <f>IF(B41&gt;64, Summary!$J$20, 0)*'TV 19'!G41*'TV 19'!F41</f>
        <v>935.17932883090373</v>
      </c>
      <c r="I41" s="1"/>
    </row>
    <row r="42" spans="1:9">
      <c r="A42" s="1">
        <f t="shared" si="4"/>
        <v>2059</v>
      </c>
      <c r="B42" s="1">
        <f t="shared" si="1"/>
        <v>89</v>
      </c>
      <c r="C42" s="1">
        <v>40</v>
      </c>
      <c r="D42" s="1">
        <f>IF(Summary!$G$20="M",VLOOKUP(B:B,'male g'!A:V,IF(A42&gt;2033,22,MATCH(A42,'male g'!$A$1:$V$1,0)),FALSE),VLOOKUP(B:B,'female g'!A:V,IF(A42&gt;2033,22,MATCH(A42,'female g'!$A$1:$V$1,0)),FALSE))</f>
        <v>8.2758546000000002E-2</v>
      </c>
      <c r="E42" s="1">
        <f t="shared" si="2"/>
        <v>0.91724145400000001</v>
      </c>
      <c r="F42" s="1">
        <f t="shared" si="3"/>
        <v>0.92643514599999999</v>
      </c>
      <c r="G42" s="1">
        <f>1/(1+Summary!$O$2)^$C42</f>
        <v>0.14204568230027784</v>
      </c>
      <c r="H42" s="1">
        <f>IF(B42&gt;64, Summary!$J$20, 0)*'TV 19'!G42*'TV 19'!F42</f>
        <v>882.83851698193848</v>
      </c>
      <c r="I42" s="1"/>
    </row>
    <row r="43" spans="1:9">
      <c r="A43" s="1">
        <f t="shared" si="4"/>
        <v>2060</v>
      </c>
      <c r="B43" s="1">
        <f t="shared" si="1"/>
        <v>90</v>
      </c>
      <c r="C43" s="1">
        <v>41</v>
      </c>
      <c r="D43" s="1">
        <f>IF(Summary!$G$20="M",VLOOKUP(B:B,'male g'!A:V,IF(A43&gt;2033,22,MATCH(A43,'male g'!$A$1:$V$1,0)),FALSE),VLOOKUP(B:B,'female g'!A:V,IF(A43&gt;2033,22,MATCH(A43,'female g'!$A$1:$V$1,0)),FALSE))</f>
        <v>9.3062779999999998E-2</v>
      </c>
      <c r="E43" s="1">
        <f t="shared" si="2"/>
        <v>0.90693721999999999</v>
      </c>
      <c r="F43" s="1">
        <f t="shared" si="3"/>
        <v>0.91724145400000001</v>
      </c>
      <c r="G43" s="1">
        <f>1/(1+Summary!$O$2)^$C43</f>
        <v>0.13528160219074079</v>
      </c>
      <c r="H43" s="1">
        <f>IF(B43&gt;64, Summary!$J$20, 0)*'TV 19'!G43*'TV 19'!F43</f>
        <v>832.45472966227874</v>
      </c>
      <c r="I43" s="1"/>
    </row>
    <row r="44" spans="1:9">
      <c r="A44" s="1">
        <f t="shared" si="4"/>
        <v>2061</v>
      </c>
      <c r="B44" s="1">
        <f t="shared" si="1"/>
        <v>91</v>
      </c>
      <c r="C44" s="1">
        <v>42</v>
      </c>
      <c r="D44" s="1">
        <f>IF(Summary!$G$20="M",VLOOKUP(B:B,'male g'!A:V,IF(A44&gt;2033,22,MATCH(A44,'male g'!$A$1:$V$1,0)),FALSE),VLOOKUP(B:B,'female g'!A:V,IF(A44&gt;2033,22,MATCH(A44,'female g'!$A$1:$V$1,0)),FALSE))</f>
        <v>0.104297588</v>
      </c>
      <c r="E44" s="1">
        <f t="shared" si="2"/>
        <v>0.895702412</v>
      </c>
      <c r="F44" s="1">
        <f t="shared" si="3"/>
        <v>0.90693721999999999</v>
      </c>
      <c r="G44" s="1">
        <f>1/(1+Summary!$O$2)^$C44</f>
        <v>0.12883962113403885</v>
      </c>
      <c r="H44" s="1">
        <f>IF(B44&gt;64, Summary!$J$20, 0)*'TV 19'!G44*'TV 19'!F44</f>
        <v>783.90760428700094</v>
      </c>
      <c r="I44" s="1"/>
    </row>
    <row r="45" spans="1:9">
      <c r="A45" s="1">
        <f t="shared" si="4"/>
        <v>2062</v>
      </c>
      <c r="B45" s="1">
        <f t="shared" si="1"/>
        <v>92</v>
      </c>
      <c r="C45" s="1">
        <v>43</v>
      </c>
      <c r="D45" s="1">
        <f>IF(Summary!$G$20="M",VLOOKUP(B:B,'male g'!A:V,IF(A45&gt;2033,22,MATCH(A45,'male g'!$A$1:$V$1,0)),FALSE),VLOOKUP(B:B,'female g'!A:V,IF(A45&gt;2033,22,MATCH(A45,'female g'!$A$1:$V$1,0)),FALSE))</f>
        <v>0.116397271</v>
      </c>
      <c r="E45" s="1">
        <f t="shared" si="2"/>
        <v>0.88360272900000003</v>
      </c>
      <c r="F45" s="1">
        <f t="shared" si="3"/>
        <v>0.895702412</v>
      </c>
      <c r="G45" s="1">
        <f>1/(1+Summary!$O$2)^$C45</f>
        <v>0.12270440108003698</v>
      </c>
      <c r="H45" s="1">
        <f>IF(B45&gt;64, Summary!$J$20, 0)*'TV 19'!G45*'TV 19'!F45</f>
        <v>737.33032605950723</v>
      </c>
      <c r="I45" s="1"/>
    </row>
    <row r="46" spans="1:9">
      <c r="A46" s="1">
        <f t="shared" si="4"/>
        <v>2063</v>
      </c>
      <c r="B46" s="1">
        <f t="shared" si="1"/>
        <v>93</v>
      </c>
      <c r="C46" s="1">
        <v>44</v>
      </c>
      <c r="D46" s="1">
        <f>IF(Summary!$G$20="M",VLOOKUP(B:B,'male g'!A:V,IF(A46&gt;2033,22,MATCH(A46,'male g'!$A$1:$V$1,0)),FALSE),VLOOKUP(B:B,'female g'!A:V,IF(A46&gt;2033,22,MATCH(A46,'female g'!$A$1:$V$1,0)),FALSE))</f>
        <v>0.12927651700000001</v>
      </c>
      <c r="E46" s="1">
        <f t="shared" si="2"/>
        <v>0.87072348300000002</v>
      </c>
      <c r="F46" s="1">
        <f t="shared" si="3"/>
        <v>0.88360272900000003</v>
      </c>
      <c r="G46" s="1">
        <f>1/(1+Summary!$O$2)^$C46</f>
        <v>0.11686133436193999</v>
      </c>
      <c r="H46" s="1">
        <f>IF(B46&gt;64, Summary!$J$20, 0)*'TV 19'!G46*'TV 19'!F46</f>
        <v>692.73335977089846</v>
      </c>
      <c r="I46" s="1"/>
    </row>
    <row r="47" spans="1:9">
      <c r="A47" s="1">
        <f t="shared" si="4"/>
        <v>2064</v>
      </c>
      <c r="B47" s="1">
        <f t="shared" si="1"/>
        <v>94</v>
      </c>
      <c r="C47" s="1">
        <v>45</v>
      </c>
      <c r="D47" s="1">
        <f>IF(Summary!$G$20="M",VLOOKUP(B:B,'male g'!A:V,IF(A47&gt;2033,22,MATCH(A47,'male g'!$A$1:$V$1,0)),FALSE),VLOOKUP(B:B,'female g'!A:V,IF(A47&gt;2033,22,MATCH(A47,'female g'!$A$1:$V$1,0)),FALSE))</f>
        <v>0.14283962</v>
      </c>
      <c r="E47" s="1">
        <f t="shared" si="2"/>
        <v>0.85716038000000006</v>
      </c>
      <c r="F47" s="1">
        <f t="shared" si="3"/>
        <v>0.87072348300000002</v>
      </c>
      <c r="G47" s="1">
        <f>1/(1+Summary!$O$2)^$C47</f>
        <v>0.1112965089161333</v>
      </c>
      <c r="H47" s="1">
        <f>IF(B47&gt;64, Summary!$J$20, 0)*'TV 19'!G47*'TV 19'!F47</f>
        <v>650.12970843932362</v>
      </c>
      <c r="I47" s="1"/>
    </row>
    <row r="48" spans="1:9">
      <c r="A48" s="1">
        <f>$A$2+C48</f>
        <v>2065</v>
      </c>
      <c r="B48" s="1">
        <f>$B$2+C48</f>
        <v>95</v>
      </c>
      <c r="C48" s="1">
        <v>46</v>
      </c>
      <c r="D48" s="1">
        <f>IF(Summary!$G$20="M",VLOOKUP(B:B,'male g'!A:V,IF(A48&gt;2033,22,MATCH(A48,'male g'!$A$1:$V$1,0)),FALSE),VLOOKUP(B:B,'female g'!A:V,IF(A48&gt;2033,22,MATCH(A48,'female g'!$A$1:$V$1,0)),FALSE))</f>
        <v>0.15715622100000001</v>
      </c>
      <c r="E48" s="1">
        <f t="shared" si="2"/>
        <v>0.84284377899999996</v>
      </c>
      <c r="F48" s="1">
        <f t="shared" si="3"/>
        <v>0.85716038000000006</v>
      </c>
      <c r="G48" s="1">
        <f>1/(1+Summary!$O$2)^$C48</f>
        <v>0.10599667515822221</v>
      </c>
      <c r="H48" s="1">
        <f>IF(B48&gt;64, Summary!$J$20, 0)*'TV 19'!G48*'TV 19'!F48</f>
        <v>609.52643330264652</v>
      </c>
      <c r="I48" s="1"/>
    </row>
    <row r="49" spans="1:9">
      <c r="A49" s="1">
        <f t="shared" ref="A49:A73" si="5">$A$2+C49</f>
        <v>2066</v>
      </c>
      <c r="B49" s="1">
        <f t="shared" si="1"/>
        <v>96</v>
      </c>
      <c r="C49" s="1">
        <v>47</v>
      </c>
      <c r="D49" s="1">
        <f>IF(Summary!$G$20="M",VLOOKUP(B:B,'male g'!A:V,IF(A49&gt;2033,22,MATCH(A49,'male g'!$A$1:$V$1,0)),FALSE),VLOOKUP(B:B,'female g'!A:V,IF(A49&gt;2033,22,MATCH(A49,'female g'!$A$1:$V$1,0)),FALSE))</f>
        <v>0.173075216</v>
      </c>
      <c r="E49" s="1">
        <f t="shared" si="2"/>
        <v>0.82692478400000002</v>
      </c>
      <c r="F49" s="1">
        <f t="shared" si="3"/>
        <v>0.84284377899999996</v>
      </c>
      <c r="G49" s="1">
        <f>1/(1+Summary!$O$2)^$C49</f>
        <v>0.10094921443640208</v>
      </c>
      <c r="H49" s="1">
        <f>IF(B49&gt;64, Summary!$J$20, 0)*'TV 19'!G49*'TV 19'!F49</f>
        <v>570.80562243616293</v>
      </c>
      <c r="I49" s="1"/>
    </row>
    <row r="50" spans="1:9">
      <c r="A50" s="1">
        <f t="shared" si="5"/>
        <v>2067</v>
      </c>
      <c r="B50" s="1">
        <f t="shared" si="1"/>
        <v>97</v>
      </c>
      <c r="C50" s="1">
        <v>48</v>
      </c>
      <c r="D50" s="1">
        <f>IF(Summary!$G$20="M",VLOOKUP(B:B,'male g'!A:V,IF(A50&gt;2033,22,MATCH(A50,'male g'!$A$1:$V$1,0)),FALSE),VLOOKUP(B:B,'female g'!A:V,IF(A50&gt;2033,22,MATCH(A50,'female g'!$A$1:$V$1,0)),FALSE))</f>
        <v>0.18989809799999999</v>
      </c>
      <c r="E50" s="1">
        <f t="shared" si="2"/>
        <v>0.81010190199999998</v>
      </c>
      <c r="F50" s="1">
        <f t="shared" si="3"/>
        <v>0.82692478400000002</v>
      </c>
      <c r="G50" s="1">
        <f>1/(1+Summary!$O$2)^$C50</f>
        <v>9.6142108987049613E-2</v>
      </c>
      <c r="H50" s="1">
        <f>IF(B50&gt;64, Summary!$J$20, 0)*'TV 19'!G50*'TV 19'!F50</f>
        <v>533.35683630373399</v>
      </c>
      <c r="I50" s="1"/>
    </row>
    <row r="51" spans="1:9">
      <c r="A51" s="1">
        <f t="shared" si="5"/>
        <v>2068</v>
      </c>
      <c r="B51" s="1">
        <f t="shared" si="1"/>
        <v>98</v>
      </c>
      <c r="C51" s="1">
        <v>49</v>
      </c>
      <c r="D51" s="1">
        <f>IF(Summary!$G$20="M",VLOOKUP(B:B,'male g'!A:V,IF(A51&gt;2033,22,MATCH(A51,'male g'!$A$1:$V$1,0)),FALSE),VLOOKUP(B:B,'female g'!A:V,IF(A51&gt;2033,22,MATCH(A51,'female g'!$A$1:$V$1,0)),FALSE))</f>
        <v>0.2077398</v>
      </c>
      <c r="E51" s="1">
        <f t="shared" si="2"/>
        <v>0.79226019999999997</v>
      </c>
      <c r="F51" s="1">
        <f t="shared" si="3"/>
        <v>0.81010190199999998</v>
      </c>
      <c r="G51" s="1">
        <f>1/(1+Summary!$O$2)^$C51</f>
        <v>9.1563913320999626E-2</v>
      </c>
      <c r="H51" s="1">
        <f>IF(B51&gt;64, Summary!$J$20, 0)*'TV 19'!G51*'TV 19'!F51</f>
        <v>497.62502259024768</v>
      </c>
      <c r="I51" s="1"/>
    </row>
    <row r="52" spans="1:9">
      <c r="A52" s="1">
        <f t="shared" si="5"/>
        <v>2069</v>
      </c>
      <c r="B52" s="1">
        <f t="shared" si="1"/>
        <v>99</v>
      </c>
      <c r="C52" s="1">
        <v>50</v>
      </c>
      <c r="D52" s="1">
        <f>IF(Summary!$G$20="M",VLOOKUP(B:B,'male g'!A:V,IF(A52&gt;2033,22,MATCH(A52,'male g'!$A$1:$V$1,0)),FALSE),VLOOKUP(B:B,'female g'!A:V,IF(A52&gt;2033,22,MATCH(A52,'female g'!$A$1:$V$1,0)),FALSE))</f>
        <v>0.22627810600000001</v>
      </c>
      <c r="E52" s="1">
        <f t="shared" si="2"/>
        <v>0.77372189400000002</v>
      </c>
      <c r="F52" s="1">
        <f t="shared" si="3"/>
        <v>0.79226019999999997</v>
      </c>
      <c r="G52" s="1">
        <f>1/(1+Summary!$O$2)^$C52</f>
        <v>8.7203726972380588E-2</v>
      </c>
      <c r="H52" s="1">
        <f>IF(B52&gt;64, Summary!$J$20, 0)*'TV 19'!G52*'TV 19'!F52</f>
        <v>463.49077925114352</v>
      </c>
      <c r="I52" s="1"/>
    </row>
    <row r="53" spans="1:9">
      <c r="A53" s="1">
        <f t="shared" si="5"/>
        <v>2070</v>
      </c>
      <c r="B53" s="1">
        <f t="shared" si="1"/>
        <v>100</v>
      </c>
      <c r="C53" s="1">
        <v>51</v>
      </c>
      <c r="D53" s="1">
        <f>IF(Summary!$G$20="M",VLOOKUP(B:B,'male g'!A:V,IF(A53&gt;2033,22,MATCH(A53,'male g'!$A$1:$V$1,0)),FALSE),VLOOKUP(B:B,'female g'!A:V,IF(A53&gt;2033,22,MATCH(A53,'female g'!$A$1:$V$1,0)),FALSE))</f>
        <v>0.245586414</v>
      </c>
      <c r="E53" s="1">
        <f t="shared" si="2"/>
        <v>0.75441358599999997</v>
      </c>
      <c r="F53" s="1">
        <f t="shared" si="3"/>
        <v>0.77372189400000002</v>
      </c>
      <c r="G53" s="1">
        <f>1/(1+Summary!$O$2)^$C53</f>
        <v>8.3051168545124371E-2</v>
      </c>
      <c r="H53" s="1">
        <f>IF(B53&gt;64, Summary!$J$20, 0)*'TV 19'!G53*'TV 19'!F53</f>
        <v>431.09089133154157</v>
      </c>
      <c r="I53" s="1"/>
    </row>
    <row r="54" spans="1:9">
      <c r="A54" s="1">
        <f t="shared" si="5"/>
        <v>2071</v>
      </c>
      <c r="B54" s="1">
        <f t="shared" si="1"/>
        <v>101</v>
      </c>
      <c r="C54" s="1">
        <v>52</v>
      </c>
      <c r="D54" s="1">
        <f>IF(Summary!$G$20="M",VLOOKUP(B:B,'male g'!A:V,IF(A54&gt;2033,22,MATCH(A54,'male g'!$A$1:$V$1,0)),FALSE),VLOOKUP(B:B,'female g'!A:V,IF(A54&gt;2033,22,MATCH(A54,'female g'!$A$1:$V$1,0)),FALSE))</f>
        <v>0.26569467200000002</v>
      </c>
      <c r="E54" s="1">
        <f t="shared" si="2"/>
        <v>0.73430532800000003</v>
      </c>
      <c r="F54" s="1">
        <f t="shared" si="3"/>
        <v>0.75441358599999997</v>
      </c>
      <c r="G54" s="1">
        <f>1/(1+Summary!$O$2)^$C54</f>
        <v>7.9096350995356543E-2</v>
      </c>
      <c r="H54" s="1">
        <f>IF(B54&gt;64, Summary!$J$20, 0)*'TV 19'!G54*'TV 19'!F54</f>
        <v>400.31711867060392</v>
      </c>
      <c r="I54" s="1"/>
    </row>
    <row r="55" spans="1:9">
      <c r="A55" s="1">
        <f t="shared" si="5"/>
        <v>2072</v>
      </c>
      <c r="B55" s="1">
        <f t="shared" si="1"/>
        <v>102</v>
      </c>
      <c r="C55" s="1">
        <v>53</v>
      </c>
      <c r="D55" s="1">
        <f>IF(Summary!$G$20="M",VLOOKUP(B:B,'male g'!A:V,IF(A55&gt;2033,22,MATCH(A55,'male g'!$A$1:$V$1,0)),FALSE),VLOOKUP(B:B,'female g'!A:V,IF(A55&gt;2033,22,MATCH(A55,'female g'!$A$1:$V$1,0)),FALSE))</f>
        <v>0.28621307499999998</v>
      </c>
      <c r="E55" s="1">
        <f t="shared" si="2"/>
        <v>0.71378692499999996</v>
      </c>
      <c r="F55" s="1">
        <f t="shared" si="3"/>
        <v>0.73430532800000003</v>
      </c>
      <c r="G55" s="1">
        <f>1/(1+Summary!$O$2)^$C55</f>
        <v>7.5329858090815757E-2</v>
      </c>
      <c r="H55" s="1">
        <f>IF(B55&gt;64, Summary!$J$20, 0)*'TV 19'!G55*'TV 19'!F55</f>
        <v>371.0923842160837</v>
      </c>
      <c r="I55" s="1"/>
    </row>
    <row r="56" spans="1:9">
      <c r="A56" s="1">
        <f t="shared" si="5"/>
        <v>2073</v>
      </c>
      <c r="B56" s="1">
        <f t="shared" si="1"/>
        <v>103</v>
      </c>
      <c r="C56" s="1">
        <v>54</v>
      </c>
      <c r="D56" s="1">
        <f>IF(Summary!$G$20="M",VLOOKUP(B:B,'male g'!A:V,IF(A56&gt;2033,22,MATCH(A56,'male g'!$A$1:$V$1,0)),FALSE),VLOOKUP(B:B,'female g'!A:V,IF(A56&gt;2033,22,MATCH(A56,'female g'!$A$1:$V$1,0)),FALSE))</f>
        <v>0.306855239</v>
      </c>
      <c r="E56" s="1">
        <f t="shared" si="2"/>
        <v>0.693144761</v>
      </c>
      <c r="F56" s="1">
        <f t="shared" si="3"/>
        <v>0.71378692499999996</v>
      </c>
      <c r="G56" s="1">
        <f>1/(1+Summary!$O$2)^$C56</f>
        <v>7.1742721991253117E-2</v>
      </c>
      <c r="H56" s="1">
        <f>IF(B56&gt;64, Summary!$J$20, 0)*'TV 19'!G56*'TV 19'!F56</f>
        <v>343.5458063563716</v>
      </c>
      <c r="I56" s="1"/>
    </row>
    <row r="57" spans="1:9">
      <c r="A57" s="1">
        <f t="shared" si="5"/>
        <v>2074</v>
      </c>
      <c r="B57" s="1">
        <f t="shared" si="1"/>
        <v>104</v>
      </c>
      <c r="C57" s="1">
        <v>55</v>
      </c>
      <c r="D57" s="1">
        <f>IF(Summary!$G$20="M",VLOOKUP(B:B,'male g'!A:V,IF(A57&gt;2033,22,MATCH(A57,'male g'!$A$1:$V$1,0)),FALSE),VLOOKUP(B:B,'female g'!A:V,IF(A57&gt;2033,22,MATCH(A57,'female g'!$A$1:$V$1,0)),FALSE))</f>
        <v>0.32781771999999998</v>
      </c>
      <c r="E57" s="1">
        <f t="shared" si="2"/>
        <v>0.67218228000000002</v>
      </c>
      <c r="F57" s="1">
        <f t="shared" si="3"/>
        <v>0.693144761</v>
      </c>
      <c r="G57" s="1">
        <f>1/(1+Summary!$O$2)^$C57</f>
        <v>6.8326401896431521E-2</v>
      </c>
      <c r="H57" s="1">
        <f>IF(B57&gt;64, Summary!$J$20, 0)*'TV 19'!G57*'TV 19'!F57</f>
        <v>317.7245030616964</v>
      </c>
      <c r="I57" s="1"/>
    </row>
    <row r="58" spans="1:9">
      <c r="A58" s="1">
        <f t="shared" si="5"/>
        <v>2075</v>
      </c>
      <c r="B58" s="1">
        <f t="shared" si="1"/>
        <v>105</v>
      </c>
      <c r="C58" s="1">
        <v>56</v>
      </c>
      <c r="D58" s="1">
        <f>IF(Summary!$G$20="M",VLOOKUP(B:B,'male g'!A:V,IF(A58&gt;2033,22,MATCH(A58,'male g'!$A$1:$V$1,0)),FALSE),VLOOKUP(B:B,'female g'!A:V,IF(A58&gt;2033,22,MATCH(A58,'female g'!$A$1:$V$1,0)),FALSE))</f>
        <v>0.34877203800000001</v>
      </c>
      <c r="E58" s="1">
        <f t="shared" si="2"/>
        <v>0.65122796199999999</v>
      </c>
      <c r="F58" s="1">
        <f t="shared" si="3"/>
        <v>0.67218228000000002</v>
      </c>
      <c r="G58" s="1">
        <f>1/(1+Summary!$O$2)^$C58</f>
        <v>6.5072763710887174E-2</v>
      </c>
      <c r="H58" s="1">
        <f>IF(B58&gt;64, Summary!$J$20, 0)*'TV 19'!G58*'TV 19'!F58</f>
        <v>293.44352057104743</v>
      </c>
      <c r="I58" s="1"/>
    </row>
    <row r="59" spans="1:9">
      <c r="A59" s="1">
        <f t="shared" si="5"/>
        <v>2076</v>
      </c>
      <c r="B59" s="1">
        <f t="shared" si="1"/>
        <v>106</v>
      </c>
      <c r="C59" s="1">
        <v>57</v>
      </c>
      <c r="D59" s="1">
        <f>IF(Summary!$G$20="M",VLOOKUP(B:B,'male g'!A:V,IF(A59&gt;2033,22,MATCH(A59,'male g'!$A$1:$V$1,0)),FALSE),VLOOKUP(B:B,'female g'!A:V,IF(A59&gt;2033,22,MATCH(A59,'female g'!$A$1:$V$1,0)),FALSE))</f>
        <v>0.36963544999999998</v>
      </c>
      <c r="E59" s="1">
        <f t="shared" si="2"/>
        <v>0.63036455000000002</v>
      </c>
      <c r="F59" s="1">
        <f t="shared" si="3"/>
        <v>0.65122796199999999</v>
      </c>
      <c r="G59" s="1">
        <f>1/(1+Summary!$O$2)^$C59</f>
        <v>6.1974060677035397E-2</v>
      </c>
      <c r="H59" s="1">
        <f>IF(B59&gt;64, Summary!$J$20, 0)*'TV 19'!G59*'TV 19'!F59</f>
        <v>270.75794276911836</v>
      </c>
      <c r="I59" s="1"/>
    </row>
    <row r="60" spans="1:9">
      <c r="A60" s="1">
        <f t="shared" si="5"/>
        <v>2077</v>
      </c>
      <c r="B60" s="1">
        <f t="shared" si="1"/>
        <v>107</v>
      </c>
      <c r="C60" s="1">
        <v>58</v>
      </c>
      <c r="D60" s="1">
        <f>IF(Summary!$G$20="M",VLOOKUP(B:B,'male g'!A:V,IF(A60&gt;2033,22,MATCH(A60,'male g'!$A$1:$V$1,0)),FALSE),VLOOKUP(B:B,'female g'!A:V,IF(A60&gt;2033,22,MATCH(A60,'female g'!$A$1:$V$1,0)),FALSE))</f>
        <v>0.39012102100000001</v>
      </c>
      <c r="E60" s="1">
        <f t="shared" si="2"/>
        <v>0.60987897899999999</v>
      </c>
      <c r="F60" s="1">
        <f t="shared" si="3"/>
        <v>0.63036455000000002</v>
      </c>
      <c r="G60" s="1">
        <f>1/(1+Summary!$O$2)^$C60</f>
        <v>5.9022914930509894E-2</v>
      </c>
      <c r="H60" s="1">
        <f>IF(B60&gt;64, Summary!$J$20, 0)*'TV 19'!G60*'TV 19'!F60</f>
        <v>249.60348714349794</v>
      </c>
      <c r="I60" s="1"/>
    </row>
    <row r="61" spans="1:9">
      <c r="A61" s="1">
        <f t="shared" si="5"/>
        <v>2078</v>
      </c>
      <c r="B61" s="1">
        <f t="shared" si="1"/>
        <v>108</v>
      </c>
      <c r="C61" s="1">
        <v>59</v>
      </c>
      <c r="D61" s="1">
        <f>IF(Summary!$G$20="M",VLOOKUP(B:B,'male g'!A:V,IF(A61&gt;2033,22,MATCH(A61,'male g'!$A$1:$V$1,0)),FALSE),VLOOKUP(B:B,'female g'!A:V,IF(A61&gt;2033,22,MATCH(A61,'female g'!$A$1:$V$1,0)),FALSE))</f>
        <v>0.40992095000000001</v>
      </c>
      <c r="E61" s="1">
        <f t="shared" si="2"/>
        <v>0.59007904999999994</v>
      </c>
      <c r="F61" s="1">
        <f t="shared" si="3"/>
        <v>0.60987897899999999</v>
      </c>
      <c r="G61" s="1">
        <f>1/(1+Summary!$O$2)^$C61</f>
        <v>5.6212299933818946E-2</v>
      </c>
      <c r="H61" s="1">
        <f>IF(B61&gt;64, Summary!$J$20, 0)*'TV 19'!G61*'TV 19'!F61</f>
        <v>229.99226610623833</v>
      </c>
      <c r="I61" s="1"/>
    </row>
    <row r="62" spans="1:9">
      <c r="A62" s="1">
        <f t="shared" si="5"/>
        <v>2079</v>
      </c>
      <c r="B62" s="1">
        <f t="shared" si="1"/>
        <v>109</v>
      </c>
      <c r="C62" s="1">
        <v>60</v>
      </c>
      <c r="D62" s="1">
        <f>IF(Summary!$G$20="M",VLOOKUP(B:B,'male g'!A:V,IF(A62&gt;2033,22,MATCH(A62,'male g'!$A$1:$V$1,0)),FALSE),VLOOKUP(B:B,'female g'!A:V,IF(A62&gt;2033,22,MATCH(A62,'female g'!$A$1:$V$1,0)),FALSE))</f>
        <v>0.42944720199999997</v>
      </c>
      <c r="E62" s="1">
        <f t="shared" si="2"/>
        <v>0.57055279800000003</v>
      </c>
      <c r="F62" s="1">
        <f t="shared" si="3"/>
        <v>0.59007904999999994</v>
      </c>
      <c r="G62" s="1">
        <f>1/(1+Summary!$O$2)^$C62</f>
        <v>5.3535523746494243E-2</v>
      </c>
      <c r="H62" s="1">
        <f>IF(B62&gt;64, Summary!$J$20, 0)*'TV 19'!G62*'TV 19'!F62</f>
        <v>211.92903692192434</v>
      </c>
      <c r="I62" s="1"/>
    </row>
    <row r="63" spans="1:9">
      <c r="A63" s="1">
        <f t="shared" si="5"/>
        <v>2080</v>
      </c>
      <c r="B63" s="1">
        <f t="shared" si="1"/>
        <v>110</v>
      </c>
      <c r="C63" s="1">
        <v>61</v>
      </c>
      <c r="D63" s="1">
        <f>IF(Summary!$G$20="M",VLOOKUP(B:B,'male g'!A:V,IF(A63&gt;2033,22,MATCH(A63,'male g'!$A$1:$V$1,0)),FALSE),VLOOKUP(B:B,'female g'!A:V,IF(A63&gt;2033,22,MATCH(A63,'female g'!$A$1:$V$1,0)),FALSE))</f>
        <v>0.44824126199999997</v>
      </c>
      <c r="E63" s="1">
        <f t="shared" si="2"/>
        <v>0.55175873799999997</v>
      </c>
      <c r="F63" s="1">
        <f t="shared" si="3"/>
        <v>0.57055279800000003</v>
      </c>
      <c r="G63" s="1">
        <f>1/(1+Summary!$O$2)^$C63</f>
        <v>5.0986213091899268E-2</v>
      </c>
      <c r="H63" s="1">
        <f>IF(B63&gt;64, Summary!$J$20, 0)*'TV 19'!G63*'TV 19'!F63</f>
        <v>195.15820238023591</v>
      </c>
      <c r="I63" s="1"/>
    </row>
    <row r="64" spans="1:9">
      <c r="A64" s="1">
        <f t="shared" si="5"/>
        <v>2081</v>
      </c>
      <c r="B64" s="1">
        <f t="shared" si="1"/>
        <v>111</v>
      </c>
      <c r="C64" s="1">
        <v>62</v>
      </c>
      <c r="D64" s="1">
        <f>IF(Summary!$G$20="M",VLOOKUP(B:B,'male g'!A:V,IF(A64&gt;2033,22,MATCH(A64,'male g'!$A$1:$V$1,0)),FALSE),VLOOKUP(B:B,'female g'!A:V,IF(A64&gt;2033,22,MATCH(A64,'female g'!$A$1:$V$1,0)),FALSE))</f>
        <v>0.46617251599999998</v>
      </c>
      <c r="E64" s="1">
        <f t="shared" si="2"/>
        <v>0.53382748400000002</v>
      </c>
      <c r="F64" s="1">
        <f t="shared" si="3"/>
        <v>0.55175873799999997</v>
      </c>
      <c r="G64" s="1">
        <f>1/(1+Summary!$O$2)^$C64</f>
        <v>4.855829818276123E-2</v>
      </c>
      <c r="H64" s="1">
        <f>IF(B64&gt;64, Summary!$J$20, 0)*'TV 19'!G64*'TV 19'!F64</f>
        <v>179.74254648194983</v>
      </c>
      <c r="I64" s="1"/>
    </row>
    <row r="65" spans="1:9">
      <c r="A65" s="1">
        <f t="shared" si="5"/>
        <v>2082</v>
      </c>
      <c r="B65" s="1">
        <f t="shared" si="1"/>
        <v>112</v>
      </c>
      <c r="C65" s="1">
        <v>63</v>
      </c>
      <c r="D65" s="1">
        <f>IF(Summary!$G$20="M",VLOOKUP(B:B,'male g'!A:V,IF(A65&gt;2033,22,MATCH(A65,'male g'!$A$1:$V$1,0)),FALSE),VLOOKUP(B:B,'female g'!A:V,IF(A65&gt;2033,22,MATCH(A65,'female g'!$A$1:$V$1,0)),FALSE))</f>
        <v>0.48365765799999999</v>
      </c>
      <c r="E65" s="1">
        <f t="shared" si="2"/>
        <v>0.51634234199999995</v>
      </c>
      <c r="F65" s="1">
        <f t="shared" si="3"/>
        <v>0.53382748400000002</v>
      </c>
      <c r="G65" s="1">
        <f>1/(1+Summary!$O$2)^$C65</f>
        <v>4.6245998269296387E-2</v>
      </c>
      <c r="H65" s="1">
        <f>IF(B65&gt;64, Summary!$J$20, 0)*'TV 19'!G65*'TV 19'!F65</f>
        <v>165.62019860176864</v>
      </c>
      <c r="I65" s="1"/>
    </row>
    <row r="66" spans="1:9">
      <c r="A66" s="1">
        <f t="shared" si="5"/>
        <v>2083</v>
      </c>
      <c r="B66" s="1">
        <f t="shared" si="1"/>
        <v>113</v>
      </c>
      <c r="C66" s="1">
        <v>64</v>
      </c>
      <c r="D66" s="1">
        <f>IF(Summary!$G$20="M",VLOOKUP(B:B,'male g'!A:V,IF(A66&gt;2033,22,MATCH(A66,'male g'!$A$1:$V$1,0)),FALSE),VLOOKUP(B:B,'female g'!A:V,IF(A66&gt;2033,22,MATCH(A66,'female g'!$A$1:$V$1,0)),FALSE))</f>
        <v>0.49353991000000003</v>
      </c>
      <c r="E66" s="1">
        <f t="shared" si="2"/>
        <v>0.50646009000000003</v>
      </c>
      <c r="F66" s="1">
        <f t="shared" si="3"/>
        <v>0.51634234199999995</v>
      </c>
      <c r="G66" s="1">
        <f>1/(1+Summary!$O$2)^$C66</f>
        <v>4.4043807875520369E-2</v>
      </c>
      <c r="H66" s="1">
        <f>IF(B66&gt;64, Summary!$J$20, 0)*'TV 19'!G66*'TV 19'!F66</f>
        <v>152.56707241423254</v>
      </c>
      <c r="I66" s="1"/>
    </row>
    <row r="67" spans="1:9">
      <c r="A67" s="1">
        <f t="shared" si="5"/>
        <v>2084</v>
      </c>
      <c r="B67" s="1">
        <f t="shared" si="1"/>
        <v>114</v>
      </c>
      <c r="C67" s="1">
        <v>65</v>
      </c>
      <c r="D67" s="1">
        <f>IF(Summary!$G$20="M",VLOOKUP(B:B,'male g'!A:V,IF(A67&gt;2033,22,MATCH(A67,'male g'!$A$1:$V$1,0)),FALSE),VLOOKUP(B:B,'female g'!A:V,IF(A67&gt;2033,22,MATCH(A67,'female g'!$A$1:$V$1,0)),FALSE))</f>
        <v>0.49666062900000002</v>
      </c>
      <c r="E67" s="1">
        <f t="shared" si="2"/>
        <v>0.50333937100000004</v>
      </c>
      <c r="F67" s="1">
        <f t="shared" si="3"/>
        <v>0.50646009000000003</v>
      </c>
      <c r="G67" s="1">
        <f>1/(1+Summary!$O$2)^$C67</f>
        <v>4.1946483690971779E-2</v>
      </c>
      <c r="H67" s="1">
        <f>IF(B67&gt;64, Summary!$J$20, 0)*'TV 19'!G67*'TV 19'!F67</f>
        <v>142.52104602992202</v>
      </c>
      <c r="I67" s="1"/>
    </row>
    <row r="68" spans="1:9">
      <c r="A68" s="1">
        <f t="shared" si="5"/>
        <v>2085</v>
      </c>
      <c r="B68" s="1">
        <f t="shared" ref="B68:B73" si="6">$B$2+C68</f>
        <v>115</v>
      </c>
      <c r="C68" s="1">
        <v>66</v>
      </c>
      <c r="D68" s="1">
        <f>IF(Summary!$G$20="M",VLOOKUP(B:B,'male g'!A:V,IF(A68&gt;2033,22,MATCH(A68,'male g'!$A$1:$V$1,0)),FALSE),VLOOKUP(B:B,'female g'!A:V,IF(A68&gt;2033,22,MATCH(A68,'female g'!$A$1:$V$1,0)),FALSE))</f>
        <v>0.5</v>
      </c>
      <c r="E68" s="1">
        <f t="shared" ref="E68:E73" si="7">1-D68</f>
        <v>0.5</v>
      </c>
      <c r="F68" s="1">
        <f t="shared" ref="F68:F73" si="8">E67</f>
        <v>0.50333937100000004</v>
      </c>
      <c r="G68" s="1">
        <f>1/(1+Summary!$O$2)^$C68</f>
        <v>3.9949032086639788E-2</v>
      </c>
      <c r="H68" s="1">
        <f>IF(B68&gt;64, Summary!$J$20, 0)*'TV 19'!G68*'TV 19'!F68</f>
        <v>134.89795821811896</v>
      </c>
      <c r="I68" s="1"/>
    </row>
    <row r="69" spans="1:9">
      <c r="A69" s="1">
        <f t="shared" si="5"/>
        <v>2086</v>
      </c>
      <c r="B69" s="1">
        <f t="shared" si="6"/>
        <v>116</v>
      </c>
      <c r="C69" s="1">
        <v>67</v>
      </c>
      <c r="D69" s="1">
        <f>IF(Summary!$G$20="M",VLOOKUP(B:B,'male g'!A:V,IF(A69&gt;2033,22,MATCH(A69,'male g'!$A$1:$V$1,0)),FALSE),VLOOKUP(B:B,'female g'!A:V,IF(A69&gt;2033,22,MATCH(A69,'female g'!$A$1:$V$1,0)),FALSE))</f>
        <v>0.5</v>
      </c>
      <c r="E69" s="1">
        <f t="shared" si="7"/>
        <v>0.5</v>
      </c>
      <c r="F69" s="1">
        <f t="shared" si="8"/>
        <v>0.5</v>
      </c>
      <c r="G69" s="1">
        <f>1/(1+Summary!$O$2)^$C69</f>
        <v>3.8046697225371226E-2</v>
      </c>
      <c r="H69" s="1">
        <f>IF(B69&gt;64, Summary!$J$20, 0)*'TV 19'!G69*'TV 19'!F69</f>
        <v>127.62189223026031</v>
      </c>
      <c r="I69" s="1"/>
    </row>
    <row r="70" spans="1:9">
      <c r="A70" s="1">
        <f t="shared" si="5"/>
        <v>2087</v>
      </c>
      <c r="B70" s="1">
        <f t="shared" si="6"/>
        <v>117</v>
      </c>
      <c r="C70" s="1">
        <v>68</v>
      </c>
      <c r="D70" s="1">
        <f>IF(Summary!$G$20="M",VLOOKUP(B:B,'male g'!A:V,IF(A70&gt;2033,22,MATCH(A70,'male g'!$A$1:$V$1,0)),FALSE),VLOOKUP(B:B,'female g'!A:V,IF(A70&gt;2033,22,MATCH(A70,'female g'!$A$1:$V$1,0)),FALSE))</f>
        <v>0.5</v>
      </c>
      <c r="E70" s="1">
        <f t="shared" si="7"/>
        <v>0.5</v>
      </c>
      <c r="F70" s="1">
        <f t="shared" si="8"/>
        <v>0.5</v>
      </c>
      <c r="G70" s="1">
        <f>1/(1+Summary!$O$2)^$C70</f>
        <v>3.6234949738448791E-2</v>
      </c>
      <c r="H70" s="1">
        <f>IF(B70&gt;64, Summary!$J$20, 0)*'TV 19'!G70*'TV 19'!F70</f>
        <v>121.54465926691461</v>
      </c>
      <c r="I70" s="1"/>
    </row>
    <row r="71" spans="1:9">
      <c r="A71" s="1">
        <f t="shared" si="5"/>
        <v>2088</v>
      </c>
      <c r="B71" s="1">
        <f t="shared" si="6"/>
        <v>118</v>
      </c>
      <c r="C71" s="1">
        <v>69</v>
      </c>
      <c r="D71" s="1">
        <f>IF(Summary!$G$20="M",VLOOKUP(B:B,'male g'!A:V,IF(A71&gt;2033,22,MATCH(A71,'male g'!$A$1:$V$1,0)),FALSE),VLOOKUP(B:B,'female g'!A:V,IF(A71&gt;2033,22,MATCH(A71,'female g'!$A$1:$V$1,0)),FALSE))</f>
        <v>0.5</v>
      </c>
      <c r="E71" s="1">
        <f t="shared" si="7"/>
        <v>0.5</v>
      </c>
      <c r="F71" s="1">
        <f t="shared" si="8"/>
        <v>0.5</v>
      </c>
      <c r="G71" s="1">
        <f>1/(1+Summary!$O$2)^$C71</f>
        <v>3.4509475941379798E-2</v>
      </c>
      <c r="H71" s="1">
        <f>IF(B71&gt;64, Summary!$J$20, 0)*'TV 19'!G71*'TV 19'!F71</f>
        <v>115.75681834944247</v>
      </c>
      <c r="I71" s="1"/>
    </row>
    <row r="72" spans="1:9">
      <c r="A72" s="1">
        <f t="shared" si="5"/>
        <v>2089</v>
      </c>
      <c r="B72" s="1">
        <f t="shared" si="6"/>
        <v>119</v>
      </c>
      <c r="C72" s="1">
        <v>70</v>
      </c>
      <c r="D72" s="1">
        <f>IF(Summary!$G$20="M",VLOOKUP(B:B,'male g'!A:V,IF(A72&gt;2033,22,MATCH(A72,'male g'!$A$1:$V$1,0)),FALSE),VLOOKUP(B:B,'female g'!A:V,IF(A72&gt;2033,22,MATCH(A72,'female g'!$A$1:$V$1,0)),FALSE))</f>
        <v>0.5</v>
      </c>
      <c r="E72" s="1">
        <f t="shared" si="7"/>
        <v>0.5</v>
      </c>
      <c r="F72" s="1">
        <f t="shared" si="8"/>
        <v>0.5</v>
      </c>
      <c r="G72" s="1">
        <f>1/(1+Summary!$O$2)^$C72</f>
        <v>3.2866167563218862E-2</v>
      </c>
      <c r="H72" s="1">
        <f>IF(B72&gt;64, Summary!$J$20, 0)*'TV 19'!G72*'TV 19'!F72</f>
        <v>110.24458890423095</v>
      </c>
      <c r="I72" s="1"/>
    </row>
    <row r="73" spans="1:9">
      <c r="A73" s="1">
        <f t="shared" si="5"/>
        <v>2090</v>
      </c>
      <c r="B73" s="1">
        <f t="shared" si="6"/>
        <v>120</v>
      </c>
      <c r="C73" s="1">
        <v>71</v>
      </c>
      <c r="D73" s="1">
        <f>IF(Summary!$G$20="M",VLOOKUP(B:B,'male g'!A:V,IF(A73&gt;2033,22,MATCH(A73,'male g'!$A$1:$V$1,0)),FALSE),VLOOKUP(B:B,'female g'!A:V,IF(A73&gt;2033,22,MATCH(A73,'female g'!$A$1:$V$1,0)),FALSE))</f>
        <v>1</v>
      </c>
      <c r="E73" s="1">
        <f t="shared" si="7"/>
        <v>0</v>
      </c>
      <c r="F73" s="1">
        <f t="shared" si="8"/>
        <v>0.5</v>
      </c>
      <c r="G73" s="1">
        <f>1/(1+Summary!$O$2)^$C73</f>
        <v>3.1301111964970339E-2</v>
      </c>
      <c r="H73" s="1">
        <f>IF(B73&gt;64, Summary!$J$20, 0)*'TV 19'!G73*'TV 19'!F73</f>
        <v>104.99484657545803</v>
      </c>
      <c r="I73" s="1"/>
    </row>
    <row r="74" spans="1:9">
      <c r="A74" s="1"/>
    </row>
    <row r="75" spans="1:9">
      <c r="A75" s="1"/>
    </row>
    <row r="76" spans="1:9">
      <c r="A76" s="1"/>
    </row>
    <row r="77" spans="1:9">
      <c r="A77" s="1"/>
    </row>
    <row r="78" spans="1:9">
      <c r="A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98"/>
  <sheetViews>
    <sheetView workbookViewId="0">
      <selection activeCell="F72" sqref="F72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Summary!H21</f>
        <v>49</v>
      </c>
      <c r="C2" s="1">
        <v>0</v>
      </c>
      <c r="D2" s="1">
        <f>IF(Summary!$G$21="M",VLOOKUP(B:B,'male g'!A:V,IF(A2&gt;2033,22,MATCH(A2,'male g'!$A$1:$V$1,0)),FALSE),VLOOKUP(B:B,'female g'!A:V,IF(A2&gt;2033,22,MATCH(A2,'female g'!$A$1:$V$1,0)),FALSE))</f>
        <v>9.776959999999999E-4</v>
      </c>
      <c r="E2" s="1">
        <f>1-D2</f>
        <v>0.99902230400000003</v>
      </c>
      <c r="F2" s="1">
        <v>1</v>
      </c>
      <c r="G2" s="1">
        <f>1/(1+Summary!$O$2)^$C2</f>
        <v>1</v>
      </c>
      <c r="H2" s="1">
        <f>IF(B2&gt;64, Summary!$J$21, 0)*'TV 20'!G2*'TV 20'!F2</f>
        <v>0</v>
      </c>
      <c r="I2" s="1">
        <f>SUM(H2:H73)</f>
        <v>67499.335001312516</v>
      </c>
    </row>
    <row r="3" spans="1:9">
      <c r="A3" s="1">
        <f>$A$2+C3</f>
        <v>2020</v>
      </c>
      <c r="B3" s="1">
        <f>$B$2+C3</f>
        <v>50</v>
      </c>
      <c r="C3" s="1">
        <v>1</v>
      </c>
      <c r="D3" s="1">
        <f>IF(Summary!$G$21="M",VLOOKUP(B:B,'male g'!A:V,IF(A3&gt;2033,22,MATCH(A3,'male g'!$A$1:$V$1,0)),FALSE),VLOOKUP(B:B,'female g'!A:V,IF(A3&gt;2033,22,MATCH(A3,'female g'!$A$1:$V$1,0)),FALSE))</f>
        <v>2.6962610000000001E-3</v>
      </c>
      <c r="E3" s="1">
        <f>1-D3</f>
        <v>0.99730373900000002</v>
      </c>
      <c r="F3" s="1">
        <f>E2</f>
        <v>0.99902230400000003</v>
      </c>
      <c r="G3" s="1">
        <f>1/(1+Summary!$O$2)^$C3</f>
        <v>0.95238095238095233</v>
      </c>
      <c r="H3" s="1">
        <f>IF(B3&gt;64, Summary!$J$2, 0)*'TV 20'!G3*'TV 20'!F3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51</v>
      </c>
      <c r="C4" s="1">
        <v>2</v>
      </c>
      <c r="D4" s="1">
        <f>IF(Summary!$G$21="M",VLOOKUP(B:B,'male g'!A:V,IF(A4&gt;2033,22,MATCH(A4,'male g'!$A$1:$V$1,0)),FALSE),VLOOKUP(B:B,'female g'!A:V,IF(A4&gt;2033,22,MATCH(A4,'female g'!$A$1:$V$1,0)),FALSE))</f>
        <v>2.8265920000000002E-3</v>
      </c>
      <c r="E4" s="1">
        <f t="shared" ref="E4:E67" si="2">1-D4</f>
        <v>0.99717340799999998</v>
      </c>
      <c r="F4" s="1">
        <f t="shared" ref="F4:F67" si="3">E3</f>
        <v>0.99730373900000002</v>
      </c>
      <c r="G4" s="1">
        <f>1/(1+Summary!$O$2)^$C4</f>
        <v>0.90702947845804982</v>
      </c>
      <c r="H4" s="1">
        <f>IF(B4&gt;64, Summary!$J$2, 0)*'TV 20'!G4*'TV 20'!F4</f>
        <v>0</v>
      </c>
      <c r="I4" s="1"/>
    </row>
    <row r="5" spans="1:9">
      <c r="A5" s="1">
        <f t="shared" si="0"/>
        <v>2022</v>
      </c>
      <c r="B5" s="1">
        <f t="shared" si="1"/>
        <v>52</v>
      </c>
      <c r="C5" s="1">
        <v>3</v>
      </c>
      <c r="D5" s="1">
        <f>IF(Summary!$G$21="M",VLOOKUP(B:B,'male g'!A:V,IF(A5&gt;2033,22,MATCH(A5,'male g'!$A$1:$V$1,0)),FALSE),VLOOKUP(B:B,'female g'!A:V,IF(A5&gt;2033,22,MATCH(A5,'female g'!$A$1:$V$1,0)),FALSE))</f>
        <v>2.9762410000000001E-3</v>
      </c>
      <c r="E5" s="1">
        <f t="shared" si="2"/>
        <v>0.99702375899999995</v>
      </c>
      <c r="F5" s="1">
        <f t="shared" si="3"/>
        <v>0.99717340799999998</v>
      </c>
      <c r="G5" s="1">
        <f>1/(1+Summary!$O$2)^$C5</f>
        <v>0.86383759853147601</v>
      </c>
      <c r="H5" s="1">
        <f>IF(B5&gt;64, Summary!$J$2, 0)*'TV 20'!G5*'TV 20'!F5</f>
        <v>0</v>
      </c>
      <c r="I5" s="1"/>
    </row>
    <row r="6" spans="1:9">
      <c r="A6" s="1">
        <f t="shared" si="0"/>
        <v>2023</v>
      </c>
      <c r="B6" s="1">
        <f t="shared" si="1"/>
        <v>53</v>
      </c>
      <c r="C6" s="1">
        <v>4</v>
      </c>
      <c r="D6" s="1">
        <f>IF(Summary!$G$21="M",VLOOKUP(B:B,'male g'!A:V,IF(A6&gt;2033,22,MATCH(A6,'male g'!$A$1:$V$1,0)),FALSE),VLOOKUP(B:B,'female g'!A:V,IF(A6&gt;2033,22,MATCH(A6,'female g'!$A$1:$V$1,0)),FALSE))</f>
        <v>3.1447369999999999E-3</v>
      </c>
      <c r="E6" s="1">
        <f t="shared" si="2"/>
        <v>0.99685526300000005</v>
      </c>
      <c r="F6" s="1">
        <f t="shared" si="3"/>
        <v>0.99702375899999995</v>
      </c>
      <c r="G6" s="1">
        <f>1/(1+Summary!$O$2)^$C6</f>
        <v>0.82270247479188197</v>
      </c>
      <c r="H6" s="1">
        <f>IF(B6&gt;64, Summary!$J$2, 0)*'TV 20'!G6*'TV 20'!F6</f>
        <v>0</v>
      </c>
      <c r="I6" s="1"/>
    </row>
    <row r="7" spans="1:9">
      <c r="A7" s="1">
        <f t="shared" si="0"/>
        <v>2024</v>
      </c>
      <c r="B7" s="1">
        <f t="shared" si="1"/>
        <v>54</v>
      </c>
      <c r="C7" s="1">
        <v>5</v>
      </c>
      <c r="D7" s="1">
        <f>IF(Summary!$G$21="M",VLOOKUP(B:B,'male g'!A:V,IF(A7&gt;2033,22,MATCH(A7,'male g'!$A$1:$V$1,0)),FALSE),VLOOKUP(B:B,'female g'!A:V,IF(A7&gt;2033,22,MATCH(A7,'female g'!$A$1:$V$1,0)),FALSE))</f>
        <v>3.3325659999999999E-3</v>
      </c>
      <c r="E7" s="1">
        <f t="shared" si="2"/>
        <v>0.99666743400000002</v>
      </c>
      <c r="F7" s="1">
        <f t="shared" si="3"/>
        <v>0.99685526300000005</v>
      </c>
      <c r="G7" s="1">
        <f>1/(1+Summary!$O$2)^$C7</f>
        <v>0.78352616646845896</v>
      </c>
      <c r="H7" s="1">
        <f>IF(B7&gt;64, Summary!$J$2, 0)*'TV 20'!G7*'TV 20'!F7</f>
        <v>0</v>
      </c>
      <c r="I7" s="1"/>
    </row>
    <row r="8" spans="1:9">
      <c r="A8" s="1">
        <f t="shared" si="0"/>
        <v>2025</v>
      </c>
      <c r="B8" s="1">
        <f t="shared" si="1"/>
        <v>55</v>
      </c>
      <c r="C8" s="1">
        <v>6</v>
      </c>
      <c r="D8" s="1">
        <f>IF(Summary!$G$21="M",VLOOKUP(B:B,'male g'!A:V,IF(A8&gt;2033,22,MATCH(A8,'male g'!$A$1:$V$1,0)),FALSE),VLOOKUP(B:B,'female g'!A:V,IF(A8&gt;2033,22,MATCH(A8,'female g'!$A$1:$V$1,0)),FALSE))</f>
        <v>3.5437979999999999E-3</v>
      </c>
      <c r="E8" s="1">
        <f t="shared" si="2"/>
        <v>0.99645620199999996</v>
      </c>
      <c r="F8" s="1">
        <f t="shared" si="3"/>
        <v>0.99666743400000002</v>
      </c>
      <c r="G8" s="1">
        <f>1/(1+Summary!$O$2)^$C8</f>
        <v>0.74621539663662761</v>
      </c>
      <c r="H8" s="1">
        <f>IF(B8&gt;64, Summary!$J$2, 0)*'TV 20'!G8*'TV 20'!F8</f>
        <v>0</v>
      </c>
      <c r="I8" s="1"/>
    </row>
    <row r="9" spans="1:9">
      <c r="A9" s="1">
        <f t="shared" si="0"/>
        <v>2026</v>
      </c>
      <c r="B9" s="1">
        <f t="shared" si="1"/>
        <v>56</v>
      </c>
      <c r="C9" s="1">
        <v>7</v>
      </c>
      <c r="D9" s="1">
        <f>IF(Summary!$G$21="M",VLOOKUP(B:B,'male g'!A:V,IF(A9&gt;2033,22,MATCH(A9,'male g'!$A$1:$V$1,0)),FALSE),VLOOKUP(B:B,'female g'!A:V,IF(A9&gt;2033,22,MATCH(A9,'female g'!$A$1:$V$1,0)),FALSE))</f>
        <v>3.7789210000000002E-3</v>
      </c>
      <c r="E9" s="1">
        <f t="shared" si="2"/>
        <v>0.99622107900000001</v>
      </c>
      <c r="F9" s="1">
        <f t="shared" si="3"/>
        <v>0.99645620199999996</v>
      </c>
      <c r="G9" s="1">
        <f>1/(1+Summary!$O$2)^$C9</f>
        <v>0.71068133013012147</v>
      </c>
      <c r="H9" s="1">
        <f>IF(B9&gt;64, Summary!$J$2, 0)*'TV 20'!G9*'TV 20'!F9</f>
        <v>0</v>
      </c>
      <c r="I9" s="1"/>
    </row>
    <row r="10" spans="1:9">
      <c r="A10" s="1">
        <f t="shared" si="0"/>
        <v>2027</v>
      </c>
      <c r="B10" s="1">
        <f t="shared" si="1"/>
        <v>57</v>
      </c>
      <c r="C10" s="1">
        <v>8</v>
      </c>
      <c r="D10" s="1">
        <f>IF(Summary!$G$21="M",VLOOKUP(B:B,'male g'!A:V,IF(A10&gt;2033,22,MATCH(A10,'male g'!$A$1:$V$1,0)),FALSE),VLOOKUP(B:B,'female g'!A:V,IF(A10&gt;2033,22,MATCH(A10,'female g'!$A$1:$V$1,0)),FALSE))</f>
        <v>4.0422619999999996E-3</v>
      </c>
      <c r="E10" s="1">
        <f t="shared" si="2"/>
        <v>0.99595773799999998</v>
      </c>
      <c r="F10" s="1">
        <f t="shared" si="3"/>
        <v>0.99622107900000001</v>
      </c>
      <c r="G10" s="1">
        <f>1/(1+Summary!$O$2)^$C10</f>
        <v>0.67683936202868722</v>
      </c>
      <c r="H10" s="1">
        <f>IF(B10&gt;64, Summary!$J$2, 0)*'TV 20'!G10*'TV 20'!F10</f>
        <v>0</v>
      </c>
      <c r="I10" s="1"/>
    </row>
    <row r="11" spans="1:9">
      <c r="A11" s="1">
        <f t="shared" si="0"/>
        <v>2028</v>
      </c>
      <c r="B11" s="1">
        <f t="shared" si="1"/>
        <v>58</v>
      </c>
      <c r="C11" s="1">
        <v>9</v>
      </c>
      <c r="D11" s="1">
        <f>IF(Summary!$G$21="M",VLOOKUP(B:B,'male g'!A:V,IF(A11&gt;2033,22,MATCH(A11,'male g'!$A$1:$V$1,0)),FALSE),VLOOKUP(B:B,'female g'!A:V,IF(A11&gt;2033,22,MATCH(A11,'female g'!$A$1:$V$1,0)),FALSE))</f>
        <v>4.3327410000000002E-3</v>
      </c>
      <c r="E11" s="1">
        <f t="shared" si="2"/>
        <v>0.99566725899999997</v>
      </c>
      <c r="F11" s="1">
        <f t="shared" si="3"/>
        <v>0.99595773799999998</v>
      </c>
      <c r="G11" s="1">
        <f>1/(1+Summary!$O$2)^$C11</f>
        <v>0.64460891621779726</v>
      </c>
      <c r="H11" s="1">
        <f>IF(B11&gt;64, Summary!$J$2, 0)*'TV 20'!G11*'TV 20'!F11</f>
        <v>0</v>
      </c>
      <c r="I11" s="1"/>
    </row>
    <row r="12" spans="1:9">
      <c r="A12" s="1">
        <f t="shared" si="0"/>
        <v>2029</v>
      </c>
      <c r="B12" s="1">
        <f t="shared" si="1"/>
        <v>59</v>
      </c>
      <c r="C12" s="1">
        <v>10</v>
      </c>
      <c r="D12" s="1">
        <f>IF(Summary!$G$21="M",VLOOKUP(B:B,'male g'!A:V,IF(A12&gt;2033,22,MATCH(A12,'male g'!$A$1:$V$1,0)),FALSE),VLOOKUP(B:B,'female g'!A:V,IF(A12&gt;2033,22,MATCH(A12,'female g'!$A$1:$V$1,0)),FALSE))</f>
        <v>4.6544810000000002E-3</v>
      </c>
      <c r="E12" s="1">
        <f t="shared" si="2"/>
        <v>0.99534551900000001</v>
      </c>
      <c r="F12" s="1">
        <f t="shared" si="3"/>
        <v>0.99566725899999997</v>
      </c>
      <c r="G12" s="1">
        <f>1/(1+Summary!$O$2)^$C12</f>
        <v>0.61391325354075932</v>
      </c>
      <c r="H12" s="1">
        <f>IF(B12&gt;64, Summary!$J$2, 0)*'TV 20'!G12*'TV 20'!F12</f>
        <v>0</v>
      </c>
      <c r="I12" s="1"/>
    </row>
    <row r="13" spans="1:9">
      <c r="A13" s="1">
        <f t="shared" si="0"/>
        <v>2030</v>
      </c>
      <c r="B13" s="1">
        <f t="shared" si="1"/>
        <v>60</v>
      </c>
      <c r="C13" s="1">
        <v>11</v>
      </c>
      <c r="D13" s="1">
        <f>IF(Summary!$G$21="M",VLOOKUP(B:B,'male g'!A:V,IF(A13&gt;2033,22,MATCH(A13,'male g'!$A$1:$V$1,0)),FALSE),VLOOKUP(B:B,'female g'!A:V,IF(A13&gt;2033,22,MATCH(A13,'female g'!$A$1:$V$1,0)),FALSE))</f>
        <v>5.0054289999999996E-3</v>
      </c>
      <c r="E13" s="1">
        <f t="shared" si="2"/>
        <v>0.99499457099999999</v>
      </c>
      <c r="F13" s="1">
        <f t="shared" si="3"/>
        <v>0.99534551900000001</v>
      </c>
      <c r="G13" s="1">
        <f>1/(1+Summary!$O$2)^$C13</f>
        <v>0.5846792890864374</v>
      </c>
      <c r="H13" s="1">
        <f>IF(B13&gt;64, Summary!$J$2, 0)*'TV 20'!G13*'TV 20'!F13</f>
        <v>0</v>
      </c>
      <c r="I13" s="1"/>
    </row>
    <row r="14" spans="1:9">
      <c r="A14" s="1">
        <f t="shared" si="0"/>
        <v>2031</v>
      </c>
      <c r="B14" s="1">
        <f t="shared" si="1"/>
        <v>61</v>
      </c>
      <c r="C14" s="1">
        <v>12</v>
      </c>
      <c r="D14" s="1">
        <f>IF(Summary!$G$21="M",VLOOKUP(B:B,'male g'!A:V,IF(A14&gt;2033,22,MATCH(A14,'male g'!$A$1:$V$1,0)),FALSE),VLOOKUP(B:B,'female g'!A:V,IF(A14&gt;2033,22,MATCH(A14,'female g'!$A$1:$V$1,0)),FALSE))</f>
        <v>5.3846629999999996E-3</v>
      </c>
      <c r="E14" s="1">
        <f t="shared" si="2"/>
        <v>0.99461533700000004</v>
      </c>
      <c r="F14" s="1">
        <f t="shared" si="3"/>
        <v>0.99499457099999999</v>
      </c>
      <c r="G14" s="1">
        <f>1/(1+Summary!$O$2)^$C14</f>
        <v>0.5568374181775595</v>
      </c>
      <c r="H14" s="1">
        <f>IF(B14&gt;64, Summary!$J$2, 0)*'TV 20'!G14*'TV 20'!F14</f>
        <v>0</v>
      </c>
      <c r="I14" s="1"/>
    </row>
    <row r="15" spans="1:9">
      <c r="A15" s="1">
        <f t="shared" si="0"/>
        <v>2032</v>
      </c>
      <c r="B15" s="1">
        <f t="shared" si="1"/>
        <v>62</v>
      </c>
      <c r="C15" s="1">
        <v>13</v>
      </c>
      <c r="D15" s="1">
        <f>IF(Summary!$G$21="M",VLOOKUP(B:B,'male g'!A:V,IF(A15&gt;2033,22,MATCH(A15,'male g'!$A$1:$V$1,0)),FALSE),VLOOKUP(B:B,'female g'!A:V,IF(A15&gt;2033,22,MATCH(A15,'female g'!$A$1:$V$1,0)),FALSE))</f>
        <v>5.7912959999999996E-3</v>
      </c>
      <c r="E15" s="1">
        <f t="shared" si="2"/>
        <v>0.99420870400000005</v>
      </c>
      <c r="F15" s="1">
        <f t="shared" si="3"/>
        <v>0.99461533700000004</v>
      </c>
      <c r="G15" s="1">
        <f>1/(1+Summary!$O$2)^$C15</f>
        <v>0.53032135064529462</v>
      </c>
      <c r="H15" s="1">
        <f>IF(B15&gt;64, Summary!$J$2, 0)*'TV 20'!G15*'TV 20'!F15</f>
        <v>0</v>
      </c>
      <c r="I15" s="1"/>
    </row>
    <row r="16" spans="1:9">
      <c r="A16" s="1">
        <f t="shared" si="0"/>
        <v>2033</v>
      </c>
      <c r="B16" s="1">
        <f t="shared" si="1"/>
        <v>63</v>
      </c>
      <c r="C16" s="1">
        <v>14</v>
      </c>
      <c r="D16" s="1">
        <f>IF(Summary!$G$21="M",VLOOKUP(B:B,'male g'!A:V,IF(A16&gt;2033,22,MATCH(A16,'male g'!$A$1:$V$1,0)),FALSE),VLOOKUP(B:B,'female g'!A:V,IF(A16&gt;2033,22,MATCH(A16,'female g'!$A$1:$V$1,0)),FALSE))</f>
        <v>6.2244240000000001E-3</v>
      </c>
      <c r="E16" s="1">
        <f t="shared" si="2"/>
        <v>0.99377557599999999</v>
      </c>
      <c r="F16" s="1">
        <f t="shared" si="3"/>
        <v>0.99420870400000005</v>
      </c>
      <c r="G16" s="1">
        <f>1/(1+Summary!$O$2)^$C16</f>
        <v>0.50506795299551888</v>
      </c>
      <c r="H16" s="1">
        <f>IF(B16&gt;64, Summary!$J$2, 0)*'TV 20'!G16*'TV 20'!F16</f>
        <v>0</v>
      </c>
      <c r="I16" s="1"/>
    </row>
    <row r="17" spans="1:9">
      <c r="A17" s="1">
        <f t="shared" si="0"/>
        <v>2034</v>
      </c>
      <c r="B17" s="1">
        <f t="shared" si="1"/>
        <v>64</v>
      </c>
      <c r="C17" s="1">
        <v>15</v>
      </c>
      <c r="D17" s="1">
        <f>IF(Summary!$G$21="M",VLOOKUP(B:B,'male g'!A:V,IF(A17&gt;2033,22,MATCH(A17,'male g'!$A$1:$V$1,0)),FALSE),VLOOKUP(B:B,'female g'!A:V,IF(A17&gt;2033,22,MATCH(A17,'female g'!$A$1:$V$1,0)),FALSE))</f>
        <v>6.6840069999999996E-3</v>
      </c>
      <c r="E17" s="1">
        <f t="shared" si="2"/>
        <v>0.99331599299999995</v>
      </c>
      <c r="F17" s="1">
        <f t="shared" si="3"/>
        <v>0.99377557599999999</v>
      </c>
      <c r="G17" s="1">
        <f>1/(1+Summary!$O$2)^$C17</f>
        <v>0.48101709809097021</v>
      </c>
      <c r="H17" s="1">
        <f>IF(B17&gt;64, Summary!$J$2, 0)*'TV 20'!G17*'TV 20'!F17</f>
        <v>0</v>
      </c>
      <c r="I17" s="1"/>
    </row>
    <row r="18" spans="1:9">
      <c r="A18" s="1">
        <f t="shared" si="0"/>
        <v>2035</v>
      </c>
      <c r="B18" s="1">
        <f t="shared" si="1"/>
        <v>65</v>
      </c>
      <c r="C18" s="1">
        <v>16</v>
      </c>
      <c r="D18" s="1">
        <f>IF(Summary!$G$21="M",VLOOKUP(B:B,'male g'!A:V,IF(A18&gt;2033,22,MATCH(A18,'male g'!$A$1:$V$1,0)),FALSE),VLOOKUP(B:B,'female g'!A:V,IF(A18&gt;2033,22,MATCH(A18,'female g'!$A$1:$V$1,0)),FALSE))</f>
        <v>7.247748E-3</v>
      </c>
      <c r="E18" s="1">
        <f t="shared" si="2"/>
        <v>0.99275225199999995</v>
      </c>
      <c r="F18" s="1">
        <f t="shared" si="3"/>
        <v>0.99331599299999995</v>
      </c>
      <c r="G18" s="1">
        <f>1/(1+Summary!$O$2)^$C18</f>
        <v>0.45811152199140021</v>
      </c>
      <c r="H18" s="1">
        <f>IF(B18&gt;64, Summary!$J$2, 0)*'TV 20'!G18*'TV 20'!F18</f>
        <v>3707.0091160750462</v>
      </c>
      <c r="I18" s="1"/>
    </row>
    <row r="19" spans="1:9">
      <c r="A19" s="1">
        <f t="shared" si="0"/>
        <v>2036</v>
      </c>
      <c r="B19" s="1">
        <f t="shared" si="1"/>
        <v>66</v>
      </c>
      <c r="C19" s="1">
        <v>17</v>
      </c>
      <c r="D19" s="1">
        <f>IF(Summary!$G$21="M",VLOOKUP(B:B,'male g'!A:V,IF(A19&gt;2033,22,MATCH(A19,'male g'!$A$1:$V$1,0)),FALSE),VLOOKUP(B:B,'female g'!A:V,IF(A19&gt;2033,22,MATCH(A19,'female g'!$A$1:$V$1,0)),FALSE))</f>
        <v>7.8640140000000008E-3</v>
      </c>
      <c r="E19" s="1">
        <f t="shared" si="2"/>
        <v>0.99213598599999997</v>
      </c>
      <c r="F19" s="1">
        <f t="shared" si="3"/>
        <v>0.99275225199999995</v>
      </c>
      <c r="G19" s="1">
        <f>1/(1+Summary!$O$2)^$C19</f>
        <v>0.43629668761085727</v>
      </c>
      <c r="H19" s="1">
        <f>IF(B19&gt;64, Summary!$J$2, 0)*'TV 20'!G19*'TV 20'!F19</f>
        <v>3528.4812008247582</v>
      </c>
      <c r="I19" s="1"/>
    </row>
    <row r="20" spans="1:9">
      <c r="A20" s="1">
        <f t="shared" si="0"/>
        <v>2037</v>
      </c>
      <c r="B20" s="1">
        <f t="shared" si="1"/>
        <v>67</v>
      </c>
      <c r="C20" s="1">
        <v>18</v>
      </c>
      <c r="D20" s="1">
        <f>IF(Summary!$G$21="M",VLOOKUP(B:B,'male g'!A:V,IF(A20&gt;2033,22,MATCH(A20,'male g'!$A$1:$V$1,0)),FALSE),VLOOKUP(B:B,'female g'!A:V,IF(A20&gt;2033,22,MATCH(A20,'female g'!$A$1:$V$1,0)),FALSE))</f>
        <v>8.5402580000000002E-3</v>
      </c>
      <c r="E20" s="1">
        <f t="shared" si="2"/>
        <v>0.99145974199999998</v>
      </c>
      <c r="F20" s="1">
        <f t="shared" si="3"/>
        <v>0.99213598599999997</v>
      </c>
      <c r="G20" s="1">
        <f>1/(1+Summary!$O$2)^$C20</f>
        <v>0.41552065486748313</v>
      </c>
      <c r="H20" s="1">
        <f>IF(B20&gt;64, Summary!$J$2, 0)*'TV 20'!G20*'TV 20'!F20</f>
        <v>3358.3722311095999</v>
      </c>
      <c r="I20" s="1"/>
    </row>
    <row r="21" spans="1:9">
      <c r="A21" s="1">
        <f t="shared" si="0"/>
        <v>2038</v>
      </c>
      <c r="B21" s="1">
        <f t="shared" si="1"/>
        <v>68</v>
      </c>
      <c r="C21" s="1">
        <v>19</v>
      </c>
      <c r="D21" s="1">
        <f>IF(Summary!$G$21="M",VLOOKUP(B:B,'male g'!A:V,IF(A21&gt;2033,22,MATCH(A21,'male g'!$A$1:$V$1,0)),FALSE),VLOOKUP(B:B,'female g'!A:V,IF(A21&gt;2033,22,MATCH(A21,'female g'!$A$1:$V$1,0)),FALSE))</f>
        <v>9.291054E-3</v>
      </c>
      <c r="E21" s="1">
        <f t="shared" si="2"/>
        <v>0.99070894600000003</v>
      </c>
      <c r="F21" s="1">
        <f t="shared" si="3"/>
        <v>0.99145974199999998</v>
      </c>
      <c r="G21" s="1">
        <f>1/(1+Summary!$O$2)^$C21</f>
        <v>0.39573395701665059</v>
      </c>
      <c r="H21" s="1">
        <f>IF(B21&gt;64, Summary!$J$2, 0)*'TV 20'!G21*'TV 20'!F21</f>
        <v>3196.2696673123655</v>
      </c>
      <c r="I21" s="1"/>
    </row>
    <row r="22" spans="1:9">
      <c r="A22" s="1">
        <f t="shared" si="0"/>
        <v>2039</v>
      </c>
      <c r="B22" s="1">
        <f t="shared" si="1"/>
        <v>69</v>
      </c>
      <c r="C22" s="1">
        <v>20</v>
      </c>
      <c r="D22" s="1">
        <f>IF(Summary!$G$21="M",VLOOKUP(B:B,'male g'!A:V,IF(A22&gt;2033,22,MATCH(A22,'male g'!$A$1:$V$1,0)),FALSE),VLOOKUP(B:B,'female g'!A:V,IF(A22&gt;2033,22,MATCH(A22,'female g'!$A$1:$V$1,0)),FALSE))</f>
        <v>1.0121299E-2</v>
      </c>
      <c r="E22" s="1">
        <f t="shared" si="2"/>
        <v>0.98987870099999997</v>
      </c>
      <c r="F22" s="1">
        <f t="shared" si="3"/>
        <v>0.99070894600000003</v>
      </c>
      <c r="G22" s="1">
        <f>1/(1+Summary!$O$2)^$C22</f>
        <v>0.37688948287300061</v>
      </c>
      <c r="H22" s="1">
        <f>IF(B22&gt;64, Summary!$J$2, 0)*'TV 20'!G22*'TV 20'!F22</f>
        <v>3041.7611903252937</v>
      </c>
      <c r="I22" s="1"/>
    </row>
    <row r="23" spans="1:9">
      <c r="A23" s="1">
        <f t="shared" si="0"/>
        <v>2040</v>
      </c>
      <c r="B23" s="1">
        <f t="shared" si="1"/>
        <v>70</v>
      </c>
      <c r="C23" s="1">
        <v>21</v>
      </c>
      <c r="D23" s="1">
        <f>IF(Summary!$G$21="M",VLOOKUP(B:B,'male g'!A:V,IF(A23&gt;2033,22,MATCH(A23,'male g'!$A$1:$V$1,0)),FALSE),VLOOKUP(B:B,'female g'!A:V,IF(A23&gt;2033,22,MATCH(A23,'female g'!$A$1:$V$1,0)),FALSE))</f>
        <v>1.1050012E-2</v>
      </c>
      <c r="E23" s="1">
        <f t="shared" si="2"/>
        <v>0.988949988</v>
      </c>
      <c r="F23" s="1">
        <f t="shared" si="3"/>
        <v>0.98987870099999997</v>
      </c>
      <c r="G23" s="1">
        <f>1/(1+Summary!$O$2)^$C23</f>
        <v>0.35894236464095297</v>
      </c>
      <c r="H23" s="1">
        <f>IF(B23&gt;64, Summary!$J$2, 0)*'TV 20'!G23*'TV 20'!F23</f>
        <v>2894.4877138723195</v>
      </c>
      <c r="I23" s="1"/>
    </row>
    <row r="24" spans="1:9">
      <c r="A24" s="1">
        <f t="shared" si="0"/>
        <v>2041</v>
      </c>
      <c r="B24" s="1">
        <f t="shared" si="1"/>
        <v>71</v>
      </c>
      <c r="C24" s="1">
        <v>22</v>
      </c>
      <c r="D24" s="1">
        <f>IF(Summary!$G$21="M",VLOOKUP(B:B,'male g'!A:V,IF(A24&gt;2033,22,MATCH(A24,'male g'!$A$1:$V$1,0)),FALSE),VLOOKUP(B:B,'female g'!A:V,IF(A24&gt;2033,22,MATCH(A24,'female g'!$A$1:$V$1,0)),FALSE))</f>
        <v>1.2082262999999999E-2</v>
      </c>
      <c r="E24" s="1">
        <f t="shared" si="2"/>
        <v>0.98791773699999996</v>
      </c>
      <c r="F24" s="1">
        <f t="shared" si="3"/>
        <v>0.988949988</v>
      </c>
      <c r="G24" s="1">
        <f>1/(1+Summary!$O$2)^$C24</f>
        <v>0.3418498710866219</v>
      </c>
      <c r="H24" s="1">
        <f>IF(B24&gt;64, Summary!$J$2, 0)*'TV 20'!G24*'TV 20'!F24</f>
        <v>2754.0686473897849</v>
      </c>
      <c r="I24" s="1"/>
    </row>
    <row r="25" spans="1:9">
      <c r="A25" s="1">
        <f t="shared" si="0"/>
        <v>2042</v>
      </c>
      <c r="B25" s="1">
        <f t="shared" si="1"/>
        <v>72</v>
      </c>
      <c r="C25" s="1">
        <v>23</v>
      </c>
      <c r="D25" s="1">
        <f>IF(Summary!$G$21="M",VLOOKUP(B:B,'male g'!A:V,IF(A25&gt;2033,22,MATCH(A25,'male g'!$A$1:$V$1,0)),FALSE),VLOOKUP(B:B,'female g'!A:V,IF(A25&gt;2033,22,MATCH(A25,'female g'!$A$1:$V$1,0)),FALSE))</f>
        <v>1.3232393E-2</v>
      </c>
      <c r="E25" s="1">
        <f t="shared" si="2"/>
        <v>0.98676760699999999</v>
      </c>
      <c r="F25" s="1">
        <f t="shared" si="3"/>
        <v>0.98791773699999996</v>
      </c>
      <c r="G25" s="1">
        <f>1/(1+Summary!$O$2)^$C25</f>
        <v>0.32557130579678267</v>
      </c>
      <c r="H25" s="1">
        <f>IF(B25&gt;64, Summary!$J$2, 0)*'TV 20'!G25*'TV 20'!F25</f>
        <v>2620.1847545725927</v>
      </c>
      <c r="I25" s="1"/>
    </row>
    <row r="26" spans="1:9">
      <c r="A26" s="1">
        <f t="shared" si="0"/>
        <v>2043</v>
      </c>
      <c r="B26" s="1">
        <f t="shared" si="1"/>
        <v>73</v>
      </c>
      <c r="C26" s="1">
        <v>24</v>
      </c>
      <c r="D26" s="1">
        <f>IF(Summary!$G$21="M",VLOOKUP(B:B,'male g'!A:V,IF(A26&gt;2033,22,MATCH(A26,'male g'!$A$1:$V$1,0)),FALSE),VLOOKUP(B:B,'female g'!A:V,IF(A26&gt;2033,22,MATCH(A26,'female g'!$A$1:$V$1,0)),FALSE))</f>
        <v>1.4520474E-2</v>
      </c>
      <c r="E26" s="1">
        <f t="shared" si="2"/>
        <v>0.98547952599999999</v>
      </c>
      <c r="F26" s="1">
        <f t="shared" si="3"/>
        <v>0.98676760699999999</v>
      </c>
      <c r="G26" s="1">
        <f>1/(1+Summary!$O$2)^$C26</f>
        <v>0.31006791028265024</v>
      </c>
      <c r="H26" s="1">
        <f>IF(B26&gt;64, Summary!$J$2, 0)*'TV 20'!G26*'TV 20'!F26</f>
        <v>2492.5089006074372</v>
      </c>
      <c r="I26" s="1"/>
    </row>
    <row r="27" spans="1:9">
      <c r="A27" s="1">
        <f t="shared" si="0"/>
        <v>2044</v>
      </c>
      <c r="B27" s="1">
        <f t="shared" si="1"/>
        <v>74</v>
      </c>
      <c r="C27" s="1">
        <v>25</v>
      </c>
      <c r="D27" s="1">
        <f>IF(Summary!$G$21="M",VLOOKUP(B:B,'male g'!A:V,IF(A27&gt;2033,22,MATCH(A27,'male g'!$A$1:$V$1,0)),FALSE),VLOOKUP(B:B,'female g'!A:V,IF(A27&gt;2033,22,MATCH(A27,'female g'!$A$1:$V$1,0)),FALSE))</f>
        <v>1.5945328000000002E-2</v>
      </c>
      <c r="E27" s="1">
        <f t="shared" si="2"/>
        <v>0.98405467199999996</v>
      </c>
      <c r="F27" s="1">
        <f t="shared" si="3"/>
        <v>0.98547952599999999</v>
      </c>
      <c r="G27" s="1">
        <f>1/(1+Summary!$O$2)^$C27</f>
        <v>0.29530277169776209</v>
      </c>
      <c r="H27" s="1">
        <f>IF(B27&gt;64, Summary!$J$2, 0)*'TV 20'!G27*'TV 20'!F27</f>
        <v>2370.7193278593095</v>
      </c>
      <c r="I27" s="1"/>
    </row>
    <row r="28" spans="1:9">
      <c r="A28" s="1">
        <f t="shared" si="0"/>
        <v>2045</v>
      </c>
      <c r="B28" s="1">
        <f t="shared" si="1"/>
        <v>75</v>
      </c>
      <c r="C28" s="1">
        <v>26</v>
      </c>
      <c r="D28" s="1">
        <f>IF(Summary!$G$21="M",VLOOKUP(B:B,'male g'!A:V,IF(A28&gt;2033,22,MATCH(A28,'male g'!$A$1:$V$1,0)),FALSE),VLOOKUP(B:B,'female g'!A:V,IF(A28&gt;2033,22,MATCH(A28,'female g'!$A$1:$V$1,0)),FALSE))</f>
        <v>1.7550544000000001E-2</v>
      </c>
      <c r="E28" s="1">
        <f t="shared" si="2"/>
        <v>0.982449456</v>
      </c>
      <c r="F28" s="1">
        <f t="shared" si="3"/>
        <v>0.98405467199999996</v>
      </c>
      <c r="G28" s="1">
        <f>1/(1+Summary!$O$2)^$C28</f>
        <v>0.28124073495024959</v>
      </c>
      <c r="H28" s="1">
        <f>IF(B28&gt;64, Summary!$J$2, 0)*'TV 20'!G28*'TV 20'!F28</f>
        <v>2254.5634543832489</v>
      </c>
      <c r="I28" s="1"/>
    </row>
    <row r="29" spans="1:9">
      <c r="A29" s="1">
        <f t="shared" si="0"/>
        <v>2046</v>
      </c>
      <c r="B29" s="1">
        <f t="shared" si="1"/>
        <v>76</v>
      </c>
      <c r="C29" s="1">
        <v>27</v>
      </c>
      <c r="D29" s="1">
        <f>IF(Summary!$G$21="M",VLOOKUP(B:B,'male g'!A:V,IF(A29&gt;2033,22,MATCH(A29,'male g'!$A$1:$V$1,0)),FALSE),VLOOKUP(B:B,'female g'!A:V,IF(A29&gt;2033,22,MATCH(A29,'female g'!$A$1:$V$1,0)),FALSE))</f>
        <v>1.9346596000000001E-2</v>
      </c>
      <c r="E29" s="1">
        <f t="shared" si="2"/>
        <v>0.98065340400000001</v>
      </c>
      <c r="F29" s="1">
        <f t="shared" si="3"/>
        <v>0.982449456</v>
      </c>
      <c r="G29" s="1">
        <f>1/(1+Summary!$O$2)^$C29</f>
        <v>0.2678483190002377</v>
      </c>
      <c r="H29" s="1">
        <f>IF(B29&gt;64, Summary!$J$2, 0)*'TV 20'!G29*'TV 20'!F29</f>
        <v>2143.7007151089165</v>
      </c>
      <c r="I29" s="1"/>
    </row>
    <row r="30" spans="1:9">
      <c r="A30" s="1">
        <f t="shared" si="0"/>
        <v>2047</v>
      </c>
      <c r="B30" s="1">
        <f t="shared" si="1"/>
        <v>77</v>
      </c>
      <c r="C30" s="1">
        <v>28</v>
      </c>
      <c r="D30" s="1">
        <f>IF(Summary!$G$21="M",VLOOKUP(B:B,'male g'!A:V,IF(A30&gt;2033,22,MATCH(A30,'male g'!$A$1:$V$1,0)),FALSE),VLOOKUP(B:B,'female g'!A:V,IF(A30&gt;2033,22,MATCH(A30,'female g'!$A$1:$V$1,0)),FALSE))</f>
        <v>2.1378668999999999E-2</v>
      </c>
      <c r="E30" s="1">
        <f t="shared" si="2"/>
        <v>0.97862133100000004</v>
      </c>
      <c r="F30" s="1">
        <f t="shared" si="3"/>
        <v>0.98065340400000001</v>
      </c>
      <c r="G30" s="1">
        <f>1/(1+Summary!$O$2)^$C30</f>
        <v>0.25509363714308358</v>
      </c>
      <c r="H30" s="1">
        <f>IF(B30&gt;64, Summary!$J$2, 0)*'TV 20'!G30*'TV 20'!F30</f>
        <v>2037.8873685272326</v>
      </c>
      <c r="I30" s="1"/>
    </row>
    <row r="31" spans="1:9">
      <c r="A31" s="1">
        <f t="shared" si="0"/>
        <v>2048</v>
      </c>
      <c r="B31" s="1">
        <f t="shared" si="1"/>
        <v>78</v>
      </c>
      <c r="C31" s="1">
        <v>29</v>
      </c>
      <c r="D31" s="1">
        <f>IF(Summary!$G$21="M",VLOOKUP(B:B,'male g'!A:V,IF(A31&gt;2033,22,MATCH(A31,'male g'!$A$1:$V$1,0)),FALSE),VLOOKUP(B:B,'female g'!A:V,IF(A31&gt;2033,22,MATCH(A31,'female g'!$A$1:$V$1,0)),FALSE))</f>
        <v>2.3682564E-2</v>
      </c>
      <c r="E31" s="1">
        <f t="shared" si="2"/>
        <v>0.97631743599999998</v>
      </c>
      <c r="F31" s="1">
        <f t="shared" si="3"/>
        <v>0.97862133100000004</v>
      </c>
      <c r="G31" s="1">
        <f>1/(1+Summary!$O$2)^$C31</f>
        <v>0.24294632108865097</v>
      </c>
      <c r="H31" s="1">
        <f>IF(B31&gt;64, Summary!$J$2, 0)*'TV 20'!G31*'TV 20'!F31</f>
        <v>1936.8233668360194</v>
      </c>
      <c r="I31" s="1"/>
    </row>
    <row r="32" spans="1:9">
      <c r="A32" s="1">
        <f t="shared" si="0"/>
        <v>2049</v>
      </c>
      <c r="B32" s="1">
        <f t="shared" si="1"/>
        <v>79</v>
      </c>
      <c r="C32" s="1">
        <v>30</v>
      </c>
      <c r="D32" s="1">
        <f>IF(Summary!$G$21="M",VLOOKUP(B:B,'male g'!A:V,IF(A32&gt;2033,22,MATCH(A32,'male g'!$A$1:$V$1,0)),FALSE),VLOOKUP(B:B,'female g'!A:V,IF(A32&gt;2033,22,MATCH(A32,'female g'!$A$1:$V$1,0)),FALSE))</f>
        <v>2.6301709E-2</v>
      </c>
      <c r="E32" s="1">
        <f t="shared" si="2"/>
        <v>0.97369829100000005</v>
      </c>
      <c r="F32" s="1">
        <f t="shared" si="3"/>
        <v>0.97631743599999998</v>
      </c>
      <c r="G32" s="1">
        <f>1/(1+Summary!$O$2)^$C32</f>
        <v>0.23137744865585813</v>
      </c>
      <c r="H32" s="1">
        <f>IF(B32&gt;64, Summary!$J$2, 0)*'TV 20'!G32*'TV 20'!F32</f>
        <v>1840.2510937669413</v>
      </c>
      <c r="I32" s="1"/>
    </row>
    <row r="33" spans="1:9">
      <c r="A33" s="1">
        <f t="shared" si="0"/>
        <v>2050</v>
      </c>
      <c r="B33" s="1">
        <f t="shared" si="1"/>
        <v>80</v>
      </c>
      <c r="C33" s="1">
        <v>31</v>
      </c>
      <c r="D33" s="1">
        <f>IF(Summary!$G$21="M",VLOOKUP(B:B,'male g'!A:V,IF(A33&gt;2033,22,MATCH(A33,'male g'!$A$1:$V$1,0)),FALSE),VLOOKUP(B:B,'female g'!A:V,IF(A33&gt;2033,22,MATCH(A33,'female g'!$A$1:$V$1,0)),FALSE))</f>
        <v>2.9285830999999998E-2</v>
      </c>
      <c r="E33" s="1">
        <f t="shared" si="2"/>
        <v>0.97071416899999996</v>
      </c>
      <c r="F33" s="1">
        <f t="shared" si="3"/>
        <v>0.97369829100000005</v>
      </c>
      <c r="G33" s="1">
        <f>1/(1+Summary!$O$2)^$C33</f>
        <v>0.220359474910341</v>
      </c>
      <c r="H33" s="1">
        <f>IF(B33&gt;64, Summary!$J$2, 0)*'TV 20'!G33*'TV 20'!F33</f>
        <v>1747.9183744962609</v>
      </c>
      <c r="I33" s="1"/>
    </row>
    <row r="34" spans="1:9">
      <c r="A34" s="1">
        <f t="shared" si="0"/>
        <v>2051</v>
      </c>
      <c r="B34" s="1">
        <f t="shared" si="1"/>
        <v>81</v>
      </c>
      <c r="C34" s="1">
        <v>32</v>
      </c>
      <c r="D34" s="1">
        <f>IF(Summary!$G$21="M",VLOOKUP(B:B,'male g'!A:V,IF(A34&gt;2033,22,MATCH(A34,'male g'!$A$1:$V$1,0)),FALSE),VLOOKUP(B:B,'female g'!A:V,IF(A34&gt;2033,22,MATCH(A34,'female g'!$A$1:$V$1,0)),FALSE))</f>
        <v>3.2681842000000003E-2</v>
      </c>
      <c r="E34" s="1">
        <f t="shared" si="2"/>
        <v>0.96731815799999998</v>
      </c>
      <c r="F34" s="1">
        <f t="shared" si="3"/>
        <v>0.97071416899999996</v>
      </c>
      <c r="G34" s="1">
        <f>1/(1+Summary!$O$2)^$C34</f>
        <v>0.20986616658127716</v>
      </c>
      <c r="H34" s="1">
        <f>IF(B34&gt;64, Summary!$J$2, 0)*'TV 20'!G34*'TV 20'!F34</f>
        <v>1659.5823593035236</v>
      </c>
      <c r="I34" s="1"/>
    </row>
    <row r="35" spans="1:9">
      <c r="A35" s="1">
        <f>$A$2+C35</f>
        <v>2052</v>
      </c>
      <c r="B35" s="1">
        <f>$B$2+C35</f>
        <v>82</v>
      </c>
      <c r="C35" s="1">
        <v>33</v>
      </c>
      <c r="D35" s="1">
        <f>IF(Summary!$G$21="M",VLOOKUP(B:B,'male g'!A:V,IF(A35&gt;2033,22,MATCH(A35,'male g'!$A$1:$V$1,0)),FALSE),VLOOKUP(B:B,'female g'!A:V,IF(A35&gt;2033,22,MATCH(A35,'female g'!$A$1:$V$1,0)),FALSE))</f>
        <v>3.6549238999999997E-2</v>
      </c>
      <c r="E35" s="1">
        <f t="shared" si="2"/>
        <v>0.96345076100000004</v>
      </c>
      <c r="F35" s="1">
        <f t="shared" si="3"/>
        <v>0.96731815799999998</v>
      </c>
      <c r="G35" s="1">
        <f>1/(1+Summary!$O$2)^$C35</f>
        <v>0.19987253960121634</v>
      </c>
      <c r="H35" s="1">
        <f>IF(B35&gt;64, Summary!$J$2, 0)*'TV 20'!G35*'TV 20'!F35</f>
        <v>1575.0251104931135</v>
      </c>
      <c r="I35" s="1"/>
    </row>
    <row r="36" spans="1:9">
      <c r="A36" s="1">
        <f t="shared" ref="A36:A47" si="4">$A$2+C36</f>
        <v>2053</v>
      </c>
      <c r="B36" s="1">
        <f t="shared" si="1"/>
        <v>83</v>
      </c>
      <c r="C36" s="1">
        <v>34</v>
      </c>
      <c r="D36" s="1">
        <f>IF(Summary!$G$21="M",VLOOKUP(B:B,'male g'!A:V,IF(A36&gt;2033,22,MATCH(A36,'male g'!$A$1:$V$1,0)),FALSE),VLOOKUP(B:B,'female g'!A:V,IF(A36&gt;2033,22,MATCH(A36,'female g'!$A$1:$V$1,0)),FALSE))</f>
        <v>4.0956563000000001E-2</v>
      </c>
      <c r="E36" s="1">
        <f t="shared" si="2"/>
        <v>0.95904343700000005</v>
      </c>
      <c r="F36" s="1">
        <f t="shared" si="3"/>
        <v>0.96345076100000004</v>
      </c>
      <c r="G36" s="1">
        <f>1/(1+Summary!$O$2)^$C36</f>
        <v>0.19035479962020604</v>
      </c>
      <c r="H36" s="1">
        <f>IF(B36&gt;64, Summary!$J$2, 0)*'TV 20'!G36*'TV 20'!F36</f>
        <v>1494.0267276459394</v>
      </c>
      <c r="I36" s="1"/>
    </row>
    <row r="37" spans="1:9">
      <c r="A37" s="1">
        <f t="shared" si="4"/>
        <v>2054</v>
      </c>
      <c r="B37" s="1">
        <f t="shared" si="1"/>
        <v>84</v>
      </c>
      <c r="C37" s="1">
        <v>35</v>
      </c>
      <c r="D37" s="1">
        <f>IF(Summary!$G$21="M",VLOOKUP(B:B,'male g'!A:V,IF(A37&gt;2033,22,MATCH(A37,'male g'!$A$1:$V$1,0)),FALSE),VLOOKUP(B:B,'female g'!A:V,IF(A37&gt;2033,22,MATCH(A37,'female g'!$A$1:$V$1,0)),FALSE))</f>
        <v>4.5960176999999998E-2</v>
      </c>
      <c r="E37" s="1">
        <f t="shared" si="2"/>
        <v>0.95403982300000001</v>
      </c>
      <c r="F37" s="1">
        <f t="shared" si="3"/>
        <v>0.95904343700000005</v>
      </c>
      <c r="G37" s="1">
        <f>1/(1+Summary!$O$2)^$C37</f>
        <v>0.18129028535257716</v>
      </c>
      <c r="H37" s="1">
        <f>IF(B37&gt;64, Summary!$J$2, 0)*'TV 20'!G37*'TV 20'!F37</f>
        <v>1416.373594001818</v>
      </c>
      <c r="I37" s="1"/>
    </row>
    <row r="38" spans="1:9">
      <c r="A38" s="1">
        <f t="shared" si="4"/>
        <v>2055</v>
      </c>
      <c r="B38" s="1">
        <f t="shared" si="1"/>
        <v>85</v>
      </c>
      <c r="C38" s="1">
        <v>36</v>
      </c>
      <c r="D38" s="1">
        <f>IF(Summary!$G$21="M",VLOOKUP(B:B,'male g'!A:V,IF(A38&gt;2033,22,MATCH(A38,'male g'!$A$1:$V$1,0)),FALSE),VLOOKUP(B:B,'female g'!A:V,IF(A38&gt;2033,22,MATCH(A38,'female g'!$A$1:$V$1,0)),FALSE))</f>
        <v>5.1631459999999997E-2</v>
      </c>
      <c r="E38" s="1">
        <f t="shared" si="2"/>
        <v>0.94836854000000004</v>
      </c>
      <c r="F38" s="1">
        <f t="shared" si="3"/>
        <v>0.95403982300000001</v>
      </c>
      <c r="G38" s="1">
        <f>1/(1+Summary!$O$2)^$C38</f>
        <v>0.17265741462150208</v>
      </c>
      <c r="H38" s="1">
        <f>IF(B38&gt;64, Summary!$J$2, 0)*'TV 20'!G38*'TV 20'!F38</f>
        <v>1341.8894790082961</v>
      </c>
      <c r="I38" s="1"/>
    </row>
    <row r="39" spans="1:9">
      <c r="A39" s="1">
        <f t="shared" si="4"/>
        <v>2056</v>
      </c>
      <c r="B39" s="1">
        <f t="shared" si="1"/>
        <v>86</v>
      </c>
      <c r="C39" s="1">
        <v>37</v>
      </c>
      <c r="D39" s="1">
        <f>IF(Summary!$G$21="M",VLOOKUP(B:B,'male g'!A:V,IF(A39&gt;2033,22,MATCH(A39,'male g'!$A$1:$V$1,0)),FALSE),VLOOKUP(B:B,'female g'!A:V,IF(A39&gt;2033,22,MATCH(A39,'female g'!$A$1:$V$1,0)),FALSE))</f>
        <v>5.8086306999999997E-2</v>
      </c>
      <c r="E39" s="1">
        <f t="shared" si="2"/>
        <v>0.94191369300000005</v>
      </c>
      <c r="F39" s="1">
        <f t="shared" si="3"/>
        <v>0.94836854000000004</v>
      </c>
      <c r="G39" s="1">
        <f>1/(1+Summary!$O$2)^$C39</f>
        <v>0.1644356329728591</v>
      </c>
      <c r="H39" s="1">
        <f>IF(B39&gt;64, Summary!$J$2, 0)*'TV 20'!G39*'TV 20'!F39</f>
        <v>1270.3929775840418</v>
      </c>
      <c r="I39" s="1"/>
    </row>
    <row r="40" spans="1:9">
      <c r="A40" s="1">
        <f t="shared" si="4"/>
        <v>2057</v>
      </c>
      <c r="B40" s="1">
        <f t="shared" si="1"/>
        <v>87</v>
      </c>
      <c r="C40" s="1">
        <v>38</v>
      </c>
      <c r="D40" s="1">
        <f>IF(Summary!$G$21="M",VLOOKUP(B:B,'male g'!A:V,IF(A40&gt;2033,22,MATCH(A40,'male g'!$A$1:$V$1,0)),FALSE),VLOOKUP(B:B,'female g'!A:V,IF(A40&gt;2033,22,MATCH(A40,'female g'!$A$1:$V$1,0)),FALSE))</f>
        <v>6.5370790999999998E-2</v>
      </c>
      <c r="E40" s="1">
        <f t="shared" si="2"/>
        <v>0.93462920900000002</v>
      </c>
      <c r="F40" s="1">
        <f t="shared" si="3"/>
        <v>0.94191369300000005</v>
      </c>
      <c r="G40" s="1">
        <f>1/(1+Summary!$O$2)^$C40</f>
        <v>0.15660536473605632</v>
      </c>
      <c r="H40" s="1">
        <f>IF(B40&gt;64, Summary!$J$2, 0)*'TV 20'!G40*'TV 20'!F40</f>
        <v>1201.6631877422949</v>
      </c>
      <c r="I40" s="1"/>
    </row>
    <row r="41" spans="1:9">
      <c r="A41" s="1">
        <f t="shared" si="4"/>
        <v>2058</v>
      </c>
      <c r="B41" s="1">
        <f t="shared" si="1"/>
        <v>88</v>
      </c>
      <c r="C41" s="1">
        <v>39</v>
      </c>
      <c r="D41" s="1">
        <f>IF(Summary!$G$21="M",VLOOKUP(B:B,'male g'!A:V,IF(A41&gt;2033,22,MATCH(A41,'male g'!$A$1:$V$1,0)),FALSE),VLOOKUP(B:B,'female g'!A:V,IF(A41&gt;2033,22,MATCH(A41,'female g'!$A$1:$V$1,0)),FALSE))</f>
        <v>7.3564853999999999E-2</v>
      </c>
      <c r="E41" s="1">
        <f t="shared" si="2"/>
        <v>0.92643514599999999</v>
      </c>
      <c r="F41" s="1">
        <f t="shared" si="3"/>
        <v>0.93462920900000002</v>
      </c>
      <c r="G41" s="1">
        <f>1/(1+Summary!$O$2)^$C41</f>
        <v>0.14914796641529171</v>
      </c>
      <c r="H41" s="1">
        <f>IF(B41&gt;64, Summary!$J$2, 0)*'TV 20'!G41*'TV 20'!F41</f>
        <v>1135.5903594287818</v>
      </c>
      <c r="I41" s="1"/>
    </row>
    <row r="42" spans="1:9">
      <c r="A42" s="1">
        <f t="shared" si="4"/>
        <v>2059</v>
      </c>
      <c r="B42" s="1">
        <f t="shared" si="1"/>
        <v>89</v>
      </c>
      <c r="C42" s="1">
        <v>40</v>
      </c>
      <c r="D42" s="1">
        <f>IF(Summary!$G$21="M",VLOOKUP(B:B,'male g'!A:V,IF(A42&gt;2033,22,MATCH(A42,'male g'!$A$1:$V$1,0)),FALSE),VLOOKUP(B:B,'female g'!A:V,IF(A42&gt;2033,22,MATCH(A42,'female g'!$A$1:$V$1,0)),FALSE))</f>
        <v>8.2758546000000002E-2</v>
      </c>
      <c r="E42" s="1">
        <f t="shared" si="2"/>
        <v>0.91724145400000001</v>
      </c>
      <c r="F42" s="1">
        <f t="shared" si="3"/>
        <v>0.92643514599999999</v>
      </c>
      <c r="G42" s="1">
        <f>1/(1+Summary!$O$2)^$C42</f>
        <v>0.14204568230027784</v>
      </c>
      <c r="H42" s="1">
        <f>IF(B42&gt;64, Summary!$J$2, 0)*'TV 20'!G42*'TV 20'!F42</f>
        <v>1072.0327940421885</v>
      </c>
      <c r="I42" s="1"/>
    </row>
    <row r="43" spans="1:9">
      <c r="A43" s="1">
        <f t="shared" si="4"/>
        <v>2060</v>
      </c>
      <c r="B43" s="1">
        <f t="shared" si="1"/>
        <v>90</v>
      </c>
      <c r="C43" s="1">
        <v>41</v>
      </c>
      <c r="D43" s="1">
        <f>IF(Summary!$G$21="M",VLOOKUP(B:B,'male g'!A:V,IF(A43&gt;2033,22,MATCH(A43,'male g'!$A$1:$V$1,0)),FALSE),VLOOKUP(B:B,'female g'!A:V,IF(A43&gt;2033,22,MATCH(A43,'female g'!$A$1:$V$1,0)),FALSE))</f>
        <v>9.3062779999999998E-2</v>
      </c>
      <c r="E43" s="1">
        <f t="shared" si="2"/>
        <v>0.90693721999999999</v>
      </c>
      <c r="F43" s="1">
        <f t="shared" si="3"/>
        <v>0.91724145400000001</v>
      </c>
      <c r="G43" s="1">
        <f>1/(1+Summary!$O$2)^$C43</f>
        <v>0.13528160219074079</v>
      </c>
      <c r="H43" s="1">
        <f>IF(B43&gt;64, Summary!$J$2, 0)*'TV 20'!G43*'TV 20'!F43</f>
        <v>1010.8516479370425</v>
      </c>
      <c r="I43" s="1"/>
    </row>
    <row r="44" spans="1:9">
      <c r="A44" s="1">
        <f t="shared" si="4"/>
        <v>2061</v>
      </c>
      <c r="B44" s="1">
        <f t="shared" si="1"/>
        <v>91</v>
      </c>
      <c r="C44" s="1">
        <v>42</v>
      </c>
      <c r="D44" s="1">
        <f>IF(Summary!$G$21="M",VLOOKUP(B:B,'male g'!A:V,IF(A44&gt;2033,22,MATCH(A44,'male g'!$A$1:$V$1,0)),FALSE),VLOOKUP(B:B,'female g'!A:V,IF(A44&gt;2033,22,MATCH(A44,'female g'!$A$1:$V$1,0)),FALSE))</f>
        <v>0.104297588</v>
      </c>
      <c r="E44" s="1">
        <f t="shared" si="2"/>
        <v>0.895702412</v>
      </c>
      <c r="F44" s="1">
        <f t="shared" si="3"/>
        <v>0.90693721999999999</v>
      </c>
      <c r="G44" s="1">
        <f>1/(1+Summary!$O$2)^$C44</f>
        <v>0.12883962113403885</v>
      </c>
      <c r="H44" s="1">
        <f>IF(B44&gt;64, Summary!$J$2, 0)*'TV 20'!G44*'TV 20'!F44</f>
        <v>951.90076455613519</v>
      </c>
      <c r="I44" s="1"/>
    </row>
    <row r="45" spans="1:9">
      <c r="A45" s="1">
        <f t="shared" si="4"/>
        <v>2062</v>
      </c>
      <c r="B45" s="1">
        <f t="shared" si="1"/>
        <v>92</v>
      </c>
      <c r="C45" s="1">
        <v>43</v>
      </c>
      <c r="D45" s="1">
        <f>IF(Summary!$G$21="M",VLOOKUP(B:B,'male g'!A:V,IF(A45&gt;2033,22,MATCH(A45,'male g'!$A$1:$V$1,0)),FALSE),VLOOKUP(B:B,'female g'!A:V,IF(A45&gt;2033,22,MATCH(A45,'female g'!$A$1:$V$1,0)),FALSE))</f>
        <v>0.116397271</v>
      </c>
      <c r="E45" s="1">
        <f t="shared" si="2"/>
        <v>0.88360272900000003</v>
      </c>
      <c r="F45" s="1">
        <f t="shared" si="3"/>
        <v>0.895702412</v>
      </c>
      <c r="G45" s="1">
        <f>1/(1+Summary!$O$2)^$C45</f>
        <v>0.12270440108003698</v>
      </c>
      <c r="H45" s="1">
        <f>IF(B45&gt;64, Summary!$J$2, 0)*'TV 20'!G45*'TV 20'!F45</f>
        <v>895.34187099109374</v>
      </c>
      <c r="I45" s="1"/>
    </row>
    <row r="46" spans="1:9">
      <c r="A46" s="1">
        <f t="shared" si="4"/>
        <v>2063</v>
      </c>
      <c r="B46" s="1">
        <f t="shared" si="1"/>
        <v>93</v>
      </c>
      <c r="C46" s="1">
        <v>44</v>
      </c>
      <c r="D46" s="1">
        <f>IF(Summary!$G$21="M",VLOOKUP(B:B,'male g'!A:V,IF(A46&gt;2033,22,MATCH(A46,'male g'!$A$1:$V$1,0)),FALSE),VLOOKUP(B:B,'female g'!A:V,IF(A46&gt;2033,22,MATCH(A46,'female g'!$A$1:$V$1,0)),FALSE))</f>
        <v>0.12927651700000001</v>
      </c>
      <c r="E46" s="1">
        <f t="shared" si="2"/>
        <v>0.87072348300000002</v>
      </c>
      <c r="F46" s="1">
        <f t="shared" si="3"/>
        <v>0.88360272900000003</v>
      </c>
      <c r="G46" s="1">
        <f>1/(1+Summary!$O$2)^$C46</f>
        <v>0.11686133436193999</v>
      </c>
      <c r="H46" s="1">
        <f>IF(B46&gt;64, Summary!$J$2, 0)*'TV 20'!G46*'TV 20'!F46</f>
        <v>841.18767466125632</v>
      </c>
      <c r="I46" s="1"/>
    </row>
    <row r="47" spans="1:9">
      <c r="A47" s="1">
        <f t="shared" si="4"/>
        <v>2064</v>
      </c>
      <c r="B47" s="1">
        <f t="shared" si="1"/>
        <v>94</v>
      </c>
      <c r="C47" s="1">
        <v>45</v>
      </c>
      <c r="D47" s="1">
        <f>IF(Summary!$G$21="M",VLOOKUP(B:B,'male g'!A:V,IF(A47&gt;2033,22,MATCH(A47,'male g'!$A$1:$V$1,0)),FALSE),VLOOKUP(B:B,'female g'!A:V,IF(A47&gt;2033,22,MATCH(A47,'female g'!$A$1:$V$1,0)),FALSE))</f>
        <v>0.14283962</v>
      </c>
      <c r="E47" s="1">
        <f t="shared" si="2"/>
        <v>0.85716038000000006</v>
      </c>
      <c r="F47" s="1">
        <f t="shared" si="3"/>
        <v>0.87072348300000002</v>
      </c>
      <c r="G47" s="1">
        <f>1/(1+Summary!$O$2)^$C47</f>
        <v>0.1112965089161333</v>
      </c>
      <c r="H47" s="1">
        <f>IF(B47&gt;64, Summary!$J$2, 0)*'TV 20'!G47*'TV 20'!F47</f>
        <v>789.45396516076573</v>
      </c>
      <c r="I47" s="1"/>
    </row>
    <row r="48" spans="1:9">
      <c r="A48" s="1">
        <f>$A$2+C48</f>
        <v>2065</v>
      </c>
      <c r="B48" s="1">
        <f>$B$2+C48</f>
        <v>95</v>
      </c>
      <c r="C48" s="1">
        <v>46</v>
      </c>
      <c r="D48" s="1">
        <f>IF(Summary!$G$21="M",VLOOKUP(B:B,'male g'!A:V,IF(A48&gt;2033,22,MATCH(A48,'male g'!$A$1:$V$1,0)),FALSE),VLOOKUP(B:B,'female g'!A:V,IF(A48&gt;2033,22,MATCH(A48,'female g'!$A$1:$V$1,0)),FALSE))</f>
        <v>0.15715622100000001</v>
      </c>
      <c r="E48" s="1">
        <f t="shared" si="2"/>
        <v>0.84284377899999996</v>
      </c>
      <c r="F48" s="1">
        <f t="shared" si="3"/>
        <v>0.85716038000000006</v>
      </c>
      <c r="G48" s="1">
        <f>1/(1+Summary!$O$2)^$C48</f>
        <v>0.10599667515822221</v>
      </c>
      <c r="H48" s="1">
        <f>IF(B48&gt;64, Summary!$J$2, 0)*'TV 20'!G48*'TV 20'!F48</f>
        <v>740.14931696662029</v>
      </c>
      <c r="I48" s="1"/>
    </row>
    <row r="49" spans="1:9">
      <c r="A49" s="1">
        <f t="shared" ref="A49:A73" si="5">$A$2+C49</f>
        <v>2066</v>
      </c>
      <c r="B49" s="1">
        <f t="shared" si="1"/>
        <v>96</v>
      </c>
      <c r="C49" s="1">
        <v>47</v>
      </c>
      <c r="D49" s="1">
        <f>IF(Summary!$G$21="M",VLOOKUP(B:B,'male g'!A:V,IF(A49&gt;2033,22,MATCH(A49,'male g'!$A$1:$V$1,0)),FALSE),VLOOKUP(B:B,'female g'!A:V,IF(A49&gt;2033,22,MATCH(A49,'female g'!$A$1:$V$1,0)),FALSE))</f>
        <v>0.173075216</v>
      </c>
      <c r="E49" s="1">
        <f t="shared" si="2"/>
        <v>0.82692478400000002</v>
      </c>
      <c r="F49" s="1">
        <f t="shared" si="3"/>
        <v>0.84284377899999996</v>
      </c>
      <c r="G49" s="1">
        <f>1/(1+Summary!$O$2)^$C49</f>
        <v>0.10094921443640208</v>
      </c>
      <c r="H49" s="1">
        <f>IF(B49&gt;64, Summary!$J$2, 0)*'TV 20'!G49*'TV 20'!F49</f>
        <v>693.13054936381889</v>
      </c>
      <c r="I49" s="1"/>
    </row>
    <row r="50" spans="1:9">
      <c r="A50" s="1">
        <f t="shared" si="5"/>
        <v>2067</v>
      </c>
      <c r="B50" s="1">
        <f t="shared" si="1"/>
        <v>97</v>
      </c>
      <c r="C50" s="1">
        <v>48</v>
      </c>
      <c r="D50" s="1">
        <f>IF(Summary!$G$21="M",VLOOKUP(B:B,'male g'!A:V,IF(A50&gt;2033,22,MATCH(A50,'male g'!$A$1:$V$1,0)),FALSE),VLOOKUP(B:B,'female g'!A:V,IF(A50&gt;2033,22,MATCH(A50,'female g'!$A$1:$V$1,0)),FALSE))</f>
        <v>0.18989809799999999</v>
      </c>
      <c r="E50" s="1">
        <f t="shared" si="2"/>
        <v>0.81010190199999998</v>
      </c>
      <c r="F50" s="1">
        <f t="shared" si="3"/>
        <v>0.82692478400000002</v>
      </c>
      <c r="G50" s="1">
        <f>1/(1+Summary!$O$2)^$C50</f>
        <v>9.6142108987049613E-2</v>
      </c>
      <c r="H50" s="1">
        <f>IF(B50&gt;64, Summary!$J$2, 0)*'TV 20'!G50*'TV 20'!F50</f>
        <v>647.65640425257027</v>
      </c>
      <c r="I50" s="1"/>
    </row>
    <row r="51" spans="1:9">
      <c r="A51" s="1">
        <f t="shared" si="5"/>
        <v>2068</v>
      </c>
      <c r="B51" s="1">
        <f t="shared" si="1"/>
        <v>98</v>
      </c>
      <c r="C51" s="1">
        <v>49</v>
      </c>
      <c r="D51" s="1">
        <f>IF(Summary!$G$21="M",VLOOKUP(B:B,'male g'!A:V,IF(A51&gt;2033,22,MATCH(A51,'male g'!$A$1:$V$1,0)),FALSE),VLOOKUP(B:B,'female g'!A:V,IF(A51&gt;2033,22,MATCH(A51,'female g'!$A$1:$V$1,0)),FALSE))</f>
        <v>0.2077398</v>
      </c>
      <c r="E51" s="1">
        <f t="shared" si="2"/>
        <v>0.79226019999999997</v>
      </c>
      <c r="F51" s="1">
        <f t="shared" si="3"/>
        <v>0.81010190199999998</v>
      </c>
      <c r="G51" s="1">
        <f>1/(1+Summary!$O$2)^$C51</f>
        <v>9.1563913320999626E-2</v>
      </c>
      <c r="H51" s="1">
        <f>IF(B51&gt;64, Summary!$J$2, 0)*'TV 20'!G51*'TV 20'!F51</f>
        <v>604.26718260599455</v>
      </c>
      <c r="I51" s="1"/>
    </row>
    <row r="52" spans="1:9">
      <c r="A52" s="1">
        <f t="shared" si="5"/>
        <v>2069</v>
      </c>
      <c r="B52" s="1">
        <f t="shared" si="1"/>
        <v>99</v>
      </c>
      <c r="C52" s="1">
        <v>50</v>
      </c>
      <c r="D52" s="1">
        <f>IF(Summary!$G$21="M",VLOOKUP(B:B,'male g'!A:V,IF(A52&gt;2033,22,MATCH(A52,'male g'!$A$1:$V$1,0)),FALSE),VLOOKUP(B:B,'female g'!A:V,IF(A52&gt;2033,22,MATCH(A52,'female g'!$A$1:$V$1,0)),FALSE))</f>
        <v>0.22627810600000001</v>
      </c>
      <c r="E52" s="1">
        <f t="shared" si="2"/>
        <v>0.77372189400000002</v>
      </c>
      <c r="F52" s="1">
        <f t="shared" si="3"/>
        <v>0.79226019999999997</v>
      </c>
      <c r="G52" s="1">
        <f>1/(1+Summary!$O$2)^$C52</f>
        <v>8.7203726972380588E-2</v>
      </c>
      <c r="H52" s="1">
        <f>IF(B52&gt;64, Summary!$J$2, 0)*'TV 20'!G52*'TV 20'!F52</f>
        <v>562.81789425320221</v>
      </c>
      <c r="I52" s="1"/>
    </row>
    <row r="53" spans="1:9">
      <c r="A53" s="1">
        <f t="shared" si="5"/>
        <v>2070</v>
      </c>
      <c r="B53" s="1">
        <f t="shared" si="1"/>
        <v>100</v>
      </c>
      <c r="C53" s="1">
        <v>51</v>
      </c>
      <c r="D53" s="1">
        <f>IF(Summary!$G$21="M",VLOOKUP(B:B,'male g'!A:V,IF(A53&gt;2033,22,MATCH(A53,'male g'!$A$1:$V$1,0)),FALSE),VLOOKUP(B:B,'female g'!A:V,IF(A53&gt;2033,22,MATCH(A53,'female g'!$A$1:$V$1,0)),FALSE))</f>
        <v>0.245586414</v>
      </c>
      <c r="E53" s="1">
        <f t="shared" si="2"/>
        <v>0.75441358599999997</v>
      </c>
      <c r="F53" s="1">
        <f t="shared" si="3"/>
        <v>0.77372189400000002</v>
      </c>
      <c r="G53" s="1">
        <f>1/(1+Summary!$O$2)^$C53</f>
        <v>8.3051168545124371E-2</v>
      </c>
      <c r="H53" s="1">
        <f>IF(B53&gt;64, Summary!$J$2, 0)*'TV 20'!G53*'TV 20'!F53</f>
        <v>523.47463758170466</v>
      </c>
      <c r="I53" s="1"/>
    </row>
    <row r="54" spans="1:9">
      <c r="A54" s="1">
        <f t="shared" si="5"/>
        <v>2071</v>
      </c>
      <c r="B54" s="1">
        <f t="shared" si="1"/>
        <v>101</v>
      </c>
      <c r="C54" s="1">
        <v>52</v>
      </c>
      <c r="D54" s="1">
        <f>IF(Summary!$G$21="M",VLOOKUP(B:B,'male g'!A:V,IF(A54&gt;2033,22,MATCH(A54,'male g'!$A$1:$V$1,0)),FALSE),VLOOKUP(B:B,'female g'!A:V,IF(A54&gt;2033,22,MATCH(A54,'female g'!$A$1:$V$1,0)),FALSE))</f>
        <v>0.26569467200000002</v>
      </c>
      <c r="E54" s="1">
        <f t="shared" si="2"/>
        <v>0.73430532800000003</v>
      </c>
      <c r="F54" s="1">
        <f t="shared" si="3"/>
        <v>0.75441358599999997</v>
      </c>
      <c r="G54" s="1">
        <f>1/(1+Summary!$O$2)^$C54</f>
        <v>7.9096350995356543E-2</v>
      </c>
      <c r="H54" s="1">
        <f>IF(B54&gt;64, Summary!$J$2, 0)*'TV 20'!G54*'TV 20'!F54</f>
        <v>486.10597632108704</v>
      </c>
      <c r="I54" s="1"/>
    </row>
    <row r="55" spans="1:9">
      <c r="A55" s="1">
        <f t="shared" si="5"/>
        <v>2072</v>
      </c>
      <c r="B55" s="1">
        <f t="shared" si="1"/>
        <v>102</v>
      </c>
      <c r="C55" s="1">
        <v>53</v>
      </c>
      <c r="D55" s="1">
        <f>IF(Summary!$G$21="M",VLOOKUP(B:B,'male g'!A:V,IF(A55&gt;2033,22,MATCH(A55,'male g'!$A$1:$V$1,0)),FALSE),VLOOKUP(B:B,'female g'!A:V,IF(A55&gt;2033,22,MATCH(A55,'female g'!$A$1:$V$1,0)),FALSE))</f>
        <v>0.28621307499999998</v>
      </c>
      <c r="E55" s="1">
        <f t="shared" si="2"/>
        <v>0.71378692499999996</v>
      </c>
      <c r="F55" s="1">
        <f t="shared" si="3"/>
        <v>0.73430532800000003</v>
      </c>
      <c r="G55" s="1">
        <f>1/(1+Summary!$O$2)^$C55</f>
        <v>7.5329858090815757E-2</v>
      </c>
      <c r="H55" s="1">
        <f>IF(B55&gt;64, Summary!$J$2, 0)*'TV 20'!G55*'TV 20'!F55</f>
        <v>450.61831563368946</v>
      </c>
      <c r="I55" s="1"/>
    </row>
    <row r="56" spans="1:9">
      <c r="A56" s="1">
        <f t="shared" si="5"/>
        <v>2073</v>
      </c>
      <c r="B56" s="1">
        <f t="shared" si="1"/>
        <v>103</v>
      </c>
      <c r="C56" s="1">
        <v>54</v>
      </c>
      <c r="D56" s="1">
        <f>IF(Summary!$G$21="M",VLOOKUP(B:B,'male g'!A:V,IF(A56&gt;2033,22,MATCH(A56,'male g'!$A$1:$V$1,0)),FALSE),VLOOKUP(B:B,'female g'!A:V,IF(A56&gt;2033,22,MATCH(A56,'female g'!$A$1:$V$1,0)),FALSE))</f>
        <v>0.306855239</v>
      </c>
      <c r="E56" s="1">
        <f t="shared" si="2"/>
        <v>0.693144761</v>
      </c>
      <c r="F56" s="1">
        <f t="shared" si="3"/>
        <v>0.71378692499999996</v>
      </c>
      <c r="G56" s="1">
        <f>1/(1+Summary!$O$2)^$C56</f>
        <v>7.1742721991253117E-2</v>
      </c>
      <c r="H56" s="1">
        <f>IF(B56&gt;64, Summary!$J$2, 0)*'TV 20'!G56*'TV 20'!F56</f>
        <v>417.16844426853703</v>
      </c>
      <c r="I56" s="1"/>
    </row>
    <row r="57" spans="1:9">
      <c r="A57" s="1">
        <f t="shared" si="5"/>
        <v>2074</v>
      </c>
      <c r="B57" s="1">
        <f t="shared" si="1"/>
        <v>104</v>
      </c>
      <c r="C57" s="1">
        <v>55</v>
      </c>
      <c r="D57" s="1">
        <f>IF(Summary!$G$21="M",VLOOKUP(B:B,'male g'!A:V,IF(A57&gt;2033,22,MATCH(A57,'male g'!$A$1:$V$1,0)),FALSE),VLOOKUP(B:B,'female g'!A:V,IF(A57&gt;2033,22,MATCH(A57,'female g'!$A$1:$V$1,0)),FALSE))</f>
        <v>0.32781771999999998</v>
      </c>
      <c r="E57" s="1">
        <f t="shared" si="2"/>
        <v>0.67218228000000002</v>
      </c>
      <c r="F57" s="1">
        <f t="shared" si="3"/>
        <v>0.693144761</v>
      </c>
      <c r="G57" s="1">
        <f>1/(1+Summary!$O$2)^$C57</f>
        <v>6.8326401896431521E-2</v>
      </c>
      <c r="H57" s="1">
        <f>IF(B57&gt;64, Summary!$J$2, 0)*'TV 20'!G57*'TV 20'!F57</f>
        <v>385.81357768270618</v>
      </c>
      <c r="I57" s="1"/>
    </row>
    <row r="58" spans="1:9">
      <c r="A58" s="1">
        <f t="shared" si="5"/>
        <v>2075</v>
      </c>
      <c r="B58" s="1">
        <f t="shared" si="1"/>
        <v>105</v>
      </c>
      <c r="C58" s="1">
        <v>56</v>
      </c>
      <c r="D58" s="1">
        <f>IF(Summary!$G$21="M",VLOOKUP(B:B,'male g'!A:V,IF(A58&gt;2033,22,MATCH(A58,'male g'!$A$1:$V$1,0)),FALSE),VLOOKUP(B:B,'female g'!A:V,IF(A58&gt;2033,22,MATCH(A58,'female g'!$A$1:$V$1,0)),FALSE))</f>
        <v>0.34877203800000001</v>
      </c>
      <c r="E58" s="1">
        <f t="shared" si="2"/>
        <v>0.65122796199999999</v>
      </c>
      <c r="F58" s="1">
        <f t="shared" si="3"/>
        <v>0.67218228000000002</v>
      </c>
      <c r="G58" s="1">
        <f>1/(1+Summary!$O$2)^$C58</f>
        <v>6.5072763710887174E-2</v>
      </c>
      <c r="H58" s="1">
        <f>IF(B58&gt;64, Summary!$J$2, 0)*'TV 20'!G58*'TV 20'!F58</f>
        <v>356.32912610879237</v>
      </c>
      <c r="I58" s="1"/>
    </row>
    <row r="59" spans="1:9">
      <c r="A59" s="1">
        <f t="shared" si="5"/>
        <v>2076</v>
      </c>
      <c r="B59" s="1">
        <f t="shared" si="1"/>
        <v>106</v>
      </c>
      <c r="C59" s="1">
        <v>57</v>
      </c>
      <c r="D59" s="1">
        <f>IF(Summary!$G$21="M",VLOOKUP(B:B,'male g'!A:V,IF(A59&gt;2033,22,MATCH(A59,'male g'!$A$1:$V$1,0)),FALSE),VLOOKUP(B:B,'female g'!A:V,IF(A59&gt;2033,22,MATCH(A59,'female g'!$A$1:$V$1,0)),FALSE))</f>
        <v>0.36963544999999998</v>
      </c>
      <c r="E59" s="1">
        <f t="shared" si="2"/>
        <v>0.63036455000000002</v>
      </c>
      <c r="F59" s="1">
        <f t="shared" si="3"/>
        <v>0.65122796199999999</v>
      </c>
      <c r="G59" s="1">
        <f>1/(1+Summary!$O$2)^$C59</f>
        <v>6.1974060677035397E-2</v>
      </c>
      <c r="H59" s="1">
        <f>IF(B59&gt;64, Summary!$J$2, 0)*'TV 20'!G59*'TV 20'!F59</f>
        <v>328.78197803169837</v>
      </c>
      <c r="I59" s="1"/>
    </row>
    <row r="60" spans="1:9">
      <c r="A60" s="1">
        <f t="shared" si="5"/>
        <v>2077</v>
      </c>
      <c r="B60" s="1">
        <f t="shared" si="1"/>
        <v>107</v>
      </c>
      <c r="C60" s="1">
        <v>58</v>
      </c>
      <c r="D60" s="1">
        <f>IF(Summary!$G$21="M",VLOOKUP(B:B,'male g'!A:V,IF(A60&gt;2033,22,MATCH(A60,'male g'!$A$1:$V$1,0)),FALSE),VLOOKUP(B:B,'female g'!A:V,IF(A60&gt;2033,22,MATCH(A60,'female g'!$A$1:$V$1,0)),FALSE))</f>
        <v>0.39012102100000001</v>
      </c>
      <c r="E60" s="1">
        <f t="shared" si="2"/>
        <v>0.60987897899999999</v>
      </c>
      <c r="F60" s="1">
        <f t="shared" si="3"/>
        <v>0.63036455000000002</v>
      </c>
      <c r="G60" s="1">
        <f>1/(1+Summary!$O$2)^$C60</f>
        <v>5.9022914930509894E-2</v>
      </c>
      <c r="H60" s="1">
        <f>IF(B60&gt;64, Summary!$J$2, 0)*'TV 20'!G60*'TV 20'!F60</f>
        <v>303.09407505222367</v>
      </c>
      <c r="I60" s="1"/>
    </row>
    <row r="61" spans="1:9">
      <c r="A61" s="1">
        <f t="shared" si="5"/>
        <v>2078</v>
      </c>
      <c r="B61" s="1">
        <f t="shared" si="1"/>
        <v>108</v>
      </c>
      <c r="C61" s="1">
        <v>59</v>
      </c>
      <c r="D61" s="1">
        <f>IF(Summary!$G$21="M",VLOOKUP(B:B,'male g'!A:V,IF(A61&gt;2033,22,MATCH(A61,'male g'!$A$1:$V$1,0)),FALSE),VLOOKUP(B:B,'female g'!A:V,IF(A61&gt;2033,22,MATCH(A61,'female g'!$A$1:$V$1,0)),FALSE))</f>
        <v>0.40992095000000001</v>
      </c>
      <c r="E61" s="1">
        <f t="shared" si="2"/>
        <v>0.59007904999999994</v>
      </c>
      <c r="F61" s="1">
        <f t="shared" si="3"/>
        <v>0.60987897899999999</v>
      </c>
      <c r="G61" s="1">
        <f>1/(1+Summary!$O$2)^$C61</f>
        <v>5.6212299933818946E-2</v>
      </c>
      <c r="H61" s="1">
        <f>IF(B61&gt;64, Summary!$J$2, 0)*'TV 20'!G61*'TV 20'!F61</f>
        <v>279.28012529952792</v>
      </c>
      <c r="I61" s="1"/>
    </row>
    <row r="62" spans="1:9">
      <c r="A62" s="1">
        <f t="shared" si="5"/>
        <v>2079</v>
      </c>
      <c r="B62" s="1">
        <f t="shared" si="1"/>
        <v>109</v>
      </c>
      <c r="C62" s="1">
        <v>60</v>
      </c>
      <c r="D62" s="1">
        <f>IF(Summary!$G$21="M",VLOOKUP(B:B,'male g'!A:V,IF(A62&gt;2033,22,MATCH(A62,'male g'!$A$1:$V$1,0)),FALSE),VLOOKUP(B:B,'female g'!A:V,IF(A62&gt;2033,22,MATCH(A62,'female g'!$A$1:$V$1,0)),FALSE))</f>
        <v>0.42944720199999997</v>
      </c>
      <c r="E62" s="1">
        <f t="shared" si="2"/>
        <v>0.57055279800000003</v>
      </c>
      <c r="F62" s="1">
        <f t="shared" si="3"/>
        <v>0.59007904999999994</v>
      </c>
      <c r="G62" s="1">
        <f>1/(1+Summary!$O$2)^$C62</f>
        <v>5.3535523746494243E-2</v>
      </c>
      <c r="H62" s="1">
        <f>IF(B62&gt;64, Summary!$J$2, 0)*'TV 20'!G62*'TV 20'!F62</f>
        <v>257.34590553068119</v>
      </c>
      <c r="I62" s="1"/>
    </row>
    <row r="63" spans="1:9">
      <c r="A63" s="1">
        <f t="shared" si="5"/>
        <v>2080</v>
      </c>
      <c r="B63" s="1">
        <f t="shared" si="1"/>
        <v>110</v>
      </c>
      <c r="C63" s="1">
        <v>61</v>
      </c>
      <c r="D63" s="1">
        <f>IF(Summary!$G$21="M",VLOOKUP(B:B,'male g'!A:V,IF(A63&gt;2033,22,MATCH(A63,'male g'!$A$1:$V$1,0)),FALSE),VLOOKUP(B:B,'female g'!A:V,IF(A63&gt;2033,22,MATCH(A63,'female g'!$A$1:$V$1,0)),FALSE))</f>
        <v>0.44824126199999997</v>
      </c>
      <c r="E63" s="1">
        <f t="shared" si="2"/>
        <v>0.55175873799999997</v>
      </c>
      <c r="F63" s="1">
        <f t="shared" si="3"/>
        <v>0.57055279800000003</v>
      </c>
      <c r="G63" s="1">
        <f>1/(1+Summary!$O$2)^$C63</f>
        <v>5.0986213091899268E-2</v>
      </c>
      <c r="H63" s="1">
        <f>IF(B63&gt;64, Summary!$J$2, 0)*'TV 20'!G63*'TV 20'!F63</f>
        <v>236.98104347911612</v>
      </c>
      <c r="I63" s="1"/>
    </row>
    <row r="64" spans="1:9">
      <c r="A64" s="1">
        <f t="shared" si="5"/>
        <v>2081</v>
      </c>
      <c r="B64" s="1">
        <f t="shared" si="1"/>
        <v>111</v>
      </c>
      <c r="C64" s="1">
        <v>62</v>
      </c>
      <c r="D64" s="1">
        <f>IF(Summary!$G$21="M",VLOOKUP(B:B,'male g'!A:V,IF(A64&gt;2033,22,MATCH(A64,'male g'!$A$1:$V$1,0)),FALSE),VLOOKUP(B:B,'female g'!A:V,IF(A64&gt;2033,22,MATCH(A64,'female g'!$A$1:$V$1,0)),FALSE))</f>
        <v>0.46617251599999998</v>
      </c>
      <c r="E64" s="1">
        <f t="shared" si="2"/>
        <v>0.53382748400000002</v>
      </c>
      <c r="F64" s="1">
        <f t="shared" si="3"/>
        <v>0.55175873799999997</v>
      </c>
      <c r="G64" s="1">
        <f>1/(1+Summary!$O$2)^$C64</f>
        <v>4.855829818276123E-2</v>
      </c>
      <c r="H64" s="1">
        <f>IF(B64&gt;64, Summary!$J$2, 0)*'TV 20'!G64*'TV 20'!F64</f>
        <v>218.26177789798982</v>
      </c>
      <c r="I64" s="1"/>
    </row>
    <row r="65" spans="1:9">
      <c r="A65" s="1">
        <f t="shared" si="5"/>
        <v>2082</v>
      </c>
      <c r="B65" s="1">
        <f t="shared" si="1"/>
        <v>112</v>
      </c>
      <c r="C65" s="1">
        <v>63</v>
      </c>
      <c r="D65" s="1">
        <f>IF(Summary!$G$21="M",VLOOKUP(B:B,'male g'!A:V,IF(A65&gt;2033,22,MATCH(A65,'male g'!$A$1:$V$1,0)),FALSE),VLOOKUP(B:B,'female g'!A:V,IF(A65&gt;2033,22,MATCH(A65,'female g'!$A$1:$V$1,0)),FALSE))</f>
        <v>0.48365765799999999</v>
      </c>
      <c r="E65" s="1">
        <f t="shared" si="2"/>
        <v>0.51634234199999995</v>
      </c>
      <c r="F65" s="1">
        <f t="shared" si="3"/>
        <v>0.53382748400000002</v>
      </c>
      <c r="G65" s="1">
        <f>1/(1+Summary!$O$2)^$C65</f>
        <v>4.6245998269296387E-2</v>
      </c>
      <c r="H65" s="1">
        <f>IF(B65&gt;64, Summary!$J$2, 0)*'TV 20'!G65*'TV 20'!F65</f>
        <v>201.11297914804115</v>
      </c>
      <c r="I65" s="1"/>
    </row>
    <row r="66" spans="1:9">
      <c r="A66" s="1">
        <f t="shared" si="5"/>
        <v>2083</v>
      </c>
      <c r="B66" s="1">
        <f t="shared" si="1"/>
        <v>113</v>
      </c>
      <c r="C66" s="1">
        <v>64</v>
      </c>
      <c r="D66" s="1">
        <f>IF(Summary!$G$21="M",VLOOKUP(B:B,'male g'!A:V,IF(A66&gt;2033,22,MATCH(A66,'male g'!$A$1:$V$1,0)),FALSE),VLOOKUP(B:B,'female g'!A:V,IF(A66&gt;2033,22,MATCH(A66,'female g'!$A$1:$V$1,0)),FALSE))</f>
        <v>0.49353991000000003</v>
      </c>
      <c r="E66" s="1">
        <f t="shared" si="2"/>
        <v>0.50646009000000003</v>
      </c>
      <c r="F66" s="1">
        <f t="shared" si="3"/>
        <v>0.51634234199999995</v>
      </c>
      <c r="G66" s="1">
        <f>1/(1+Summary!$O$2)^$C66</f>
        <v>4.4043807875520369E-2</v>
      </c>
      <c r="H66" s="1">
        <f>IF(B66&gt;64, Summary!$J$2, 0)*'TV 20'!G66*'TV 20'!F66</f>
        <v>185.26253870096232</v>
      </c>
      <c r="I66" s="1"/>
    </row>
    <row r="67" spans="1:9">
      <c r="A67" s="1">
        <f t="shared" si="5"/>
        <v>2084</v>
      </c>
      <c r="B67" s="1">
        <f t="shared" si="1"/>
        <v>114</v>
      </c>
      <c r="C67" s="1">
        <v>65</v>
      </c>
      <c r="D67" s="1">
        <f>IF(Summary!$G$21="M",VLOOKUP(B:B,'male g'!A:V,IF(A67&gt;2033,22,MATCH(A67,'male g'!$A$1:$V$1,0)),FALSE),VLOOKUP(B:B,'female g'!A:V,IF(A67&gt;2033,22,MATCH(A67,'female g'!$A$1:$V$1,0)),FALSE))</f>
        <v>0.49666062900000002</v>
      </c>
      <c r="E67" s="1">
        <f t="shared" si="2"/>
        <v>0.50333937100000004</v>
      </c>
      <c r="F67" s="1">
        <f t="shared" si="3"/>
        <v>0.50646009000000003</v>
      </c>
      <c r="G67" s="1">
        <f>1/(1+Summary!$O$2)^$C67</f>
        <v>4.1946483690971779E-2</v>
      </c>
      <c r="H67" s="1">
        <f>IF(B67&gt;64, Summary!$J$2, 0)*'TV 20'!G67*'TV 20'!F67</f>
        <v>173.06362629894005</v>
      </c>
      <c r="I67" s="1"/>
    </row>
    <row r="68" spans="1:9">
      <c r="A68" s="1">
        <f t="shared" si="5"/>
        <v>2085</v>
      </c>
      <c r="B68" s="1">
        <f t="shared" ref="B68:B73" si="6">$B$2+C68</f>
        <v>115</v>
      </c>
      <c r="C68" s="1">
        <v>66</v>
      </c>
      <c r="D68" s="1">
        <f>IF(Summary!$G$21="M",VLOOKUP(B:B,'male g'!A:V,IF(A68&gt;2033,22,MATCH(A68,'male g'!$A$1:$V$1,0)),FALSE),VLOOKUP(B:B,'female g'!A:V,IF(A68&gt;2033,22,MATCH(A68,'female g'!$A$1:$V$1,0)),FALSE))</f>
        <v>0.5</v>
      </c>
      <c r="E68" s="1">
        <f t="shared" ref="E68:E73" si="7">1-D68</f>
        <v>0.5</v>
      </c>
      <c r="F68" s="1">
        <f t="shared" ref="F68:F73" si="8">E67</f>
        <v>0.50333937100000004</v>
      </c>
      <c r="G68" s="1">
        <f>1/(1+Summary!$O$2)^$C68</f>
        <v>3.9949032086639788E-2</v>
      </c>
      <c r="H68" s="1">
        <f>IF(B68&gt;64, Summary!$J$2, 0)*'TV 20'!G68*'TV 20'!F68</f>
        <v>163.80689364747667</v>
      </c>
      <c r="I68" s="1"/>
    </row>
    <row r="69" spans="1:9">
      <c r="A69" s="1">
        <f t="shared" si="5"/>
        <v>2086</v>
      </c>
      <c r="B69" s="1">
        <f t="shared" si="6"/>
        <v>116</v>
      </c>
      <c r="C69" s="1">
        <v>67</v>
      </c>
      <c r="D69" s="1">
        <f>IF(Summary!$G$21="M",VLOOKUP(B:B,'male g'!A:V,IF(A69&gt;2033,22,MATCH(A69,'male g'!$A$1:$V$1,0)),FALSE),VLOOKUP(B:B,'female g'!A:V,IF(A69&gt;2033,22,MATCH(A69,'female g'!$A$1:$V$1,0)),FALSE))</f>
        <v>0.5</v>
      </c>
      <c r="E69" s="1">
        <f t="shared" si="7"/>
        <v>0.5</v>
      </c>
      <c r="F69" s="1">
        <f t="shared" si="8"/>
        <v>0.5</v>
      </c>
      <c r="G69" s="1">
        <f>1/(1+Summary!$O$2)^$C69</f>
        <v>3.8046697225371226E-2</v>
      </c>
      <c r="H69" s="1">
        <f>IF(B69&gt;64, Summary!$J$2, 0)*'TV 20'!G69*'TV 20'!F69</f>
        <v>154.97155037624626</v>
      </c>
      <c r="I69" s="1"/>
    </row>
    <row r="70" spans="1:9">
      <c r="A70" s="1">
        <f t="shared" si="5"/>
        <v>2087</v>
      </c>
      <c r="B70" s="1">
        <f t="shared" si="6"/>
        <v>117</v>
      </c>
      <c r="C70" s="1">
        <v>68</v>
      </c>
      <c r="D70" s="1">
        <f>IF(Summary!$G$21="M",VLOOKUP(B:B,'male g'!A:V,IF(A70&gt;2033,22,MATCH(A70,'male g'!$A$1:$V$1,0)),FALSE),VLOOKUP(B:B,'female g'!A:V,IF(A70&gt;2033,22,MATCH(A70,'female g'!$A$1:$V$1,0)),FALSE))</f>
        <v>0.5</v>
      </c>
      <c r="E70" s="1">
        <f t="shared" si="7"/>
        <v>0.5</v>
      </c>
      <c r="F70" s="1">
        <f t="shared" si="8"/>
        <v>0.5</v>
      </c>
      <c r="G70" s="1">
        <f>1/(1+Summary!$O$2)^$C70</f>
        <v>3.6234949738448791E-2</v>
      </c>
      <c r="H70" s="1">
        <f>IF(B70&gt;64, Summary!$J$2, 0)*'TV 20'!G70*'TV 20'!F70</f>
        <v>147.59195273928216</v>
      </c>
      <c r="I70" s="1"/>
    </row>
    <row r="71" spans="1:9">
      <c r="A71" s="1">
        <f t="shared" si="5"/>
        <v>2088</v>
      </c>
      <c r="B71" s="1">
        <f t="shared" si="6"/>
        <v>118</v>
      </c>
      <c r="C71" s="1">
        <v>69</v>
      </c>
      <c r="D71" s="1">
        <f>IF(Summary!$G$21="M",VLOOKUP(B:B,'male g'!A:V,IF(A71&gt;2033,22,MATCH(A71,'male g'!$A$1:$V$1,0)),FALSE),VLOOKUP(B:B,'female g'!A:V,IF(A71&gt;2033,22,MATCH(A71,'female g'!$A$1:$V$1,0)),FALSE))</f>
        <v>0.5</v>
      </c>
      <c r="E71" s="1">
        <f t="shared" si="7"/>
        <v>0.5</v>
      </c>
      <c r="F71" s="1">
        <f t="shared" si="8"/>
        <v>0.5</v>
      </c>
      <c r="G71" s="1">
        <f>1/(1+Summary!$O$2)^$C71</f>
        <v>3.4509475941379798E-2</v>
      </c>
      <c r="H71" s="1">
        <f>IF(B71&gt;64, Summary!$J$2, 0)*'TV 20'!G71*'TV 20'!F71</f>
        <v>140.56376451360205</v>
      </c>
      <c r="I71" s="1"/>
    </row>
    <row r="72" spans="1:9">
      <c r="A72" s="1">
        <f t="shared" si="5"/>
        <v>2089</v>
      </c>
      <c r="B72" s="1">
        <f t="shared" si="6"/>
        <v>119</v>
      </c>
      <c r="C72" s="1">
        <v>70</v>
      </c>
      <c r="D72" s="1">
        <f>IF(Summary!$G$21="M",VLOOKUP(B:B,'male g'!A:V,IF(A72&gt;2033,22,MATCH(A72,'male g'!$A$1:$V$1,0)),FALSE),VLOOKUP(B:B,'female g'!A:V,IF(A72&gt;2033,22,MATCH(A72,'female g'!$A$1:$V$1,0)),FALSE))</f>
        <v>0.5</v>
      </c>
      <c r="E72" s="1">
        <f t="shared" si="7"/>
        <v>0.5</v>
      </c>
      <c r="F72" s="1">
        <f t="shared" si="8"/>
        <v>0.5</v>
      </c>
      <c r="G72" s="1">
        <f>1/(1+Summary!$O$2)^$C72</f>
        <v>3.2866167563218862E-2</v>
      </c>
      <c r="H72" s="1">
        <f>IF(B72&gt;64, Summary!$J$2, 0)*'TV 20'!G72*'TV 20'!F72</f>
        <v>133.87025191771627</v>
      </c>
      <c r="I72" s="1"/>
    </row>
    <row r="73" spans="1:9">
      <c r="A73" s="1">
        <f t="shared" si="5"/>
        <v>2090</v>
      </c>
      <c r="B73" s="1">
        <f t="shared" si="6"/>
        <v>120</v>
      </c>
      <c r="C73" s="1">
        <v>71</v>
      </c>
      <c r="D73" s="1">
        <f>IF(Summary!$G$21="M",VLOOKUP(B:B,'male g'!A:V,IF(A73&gt;2033,22,MATCH(A73,'male g'!$A$1:$V$1,0)),FALSE),VLOOKUP(B:B,'female g'!A:V,IF(A73&gt;2033,22,MATCH(A73,'female g'!$A$1:$V$1,0)),FALSE))</f>
        <v>1</v>
      </c>
      <c r="E73" s="1">
        <f t="shared" si="7"/>
        <v>0</v>
      </c>
      <c r="F73" s="1">
        <f t="shared" si="8"/>
        <v>0.5</v>
      </c>
      <c r="G73" s="1">
        <f>1/(1+Summary!$O$2)^$C73</f>
        <v>3.1301111964970339E-2</v>
      </c>
      <c r="H73" s="1">
        <f>IF(B73&gt;64, Summary!$J$2, 0)*'TV 20'!G73*'TV 20'!F73</f>
        <v>127.49547801687262</v>
      </c>
      <c r="I73" s="1"/>
    </row>
    <row r="74" spans="1:9">
      <c r="A74" s="1"/>
    </row>
    <row r="75" spans="1:9">
      <c r="A75" s="1"/>
    </row>
    <row r="76" spans="1:9">
      <c r="A76" s="1"/>
    </row>
    <row r="77" spans="1:9">
      <c r="A77" s="1"/>
    </row>
    <row r="78" spans="1:9">
      <c r="A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98"/>
  <sheetViews>
    <sheetView workbookViewId="0">
      <selection activeCell="B2" sqref="B2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Summary!H22</f>
        <v>49</v>
      </c>
      <c r="C2" s="1">
        <v>0</v>
      </c>
      <c r="D2" s="1">
        <f>IF(Summary!$G$22="M",VLOOKUP(B:B,'male g'!A:V,IF(A2&gt;2033,22,MATCH(A2,'male g'!$A$1:$V$1,0)),FALSE),VLOOKUP(B:B,'female g'!A:V,IF(A2&gt;2033,22,MATCH(A2,'female g'!$A$1:$V$1,0)),FALSE))</f>
        <v>9.776959999999999E-4</v>
      </c>
      <c r="E2" s="1">
        <f>1-D2</f>
        <v>0.99902230400000003</v>
      </c>
      <c r="F2" s="1">
        <v>1</v>
      </c>
      <c r="G2" s="1">
        <f>1/(1+Summary!$O$2)^$C2</f>
        <v>1</v>
      </c>
      <c r="H2" s="1">
        <f>IF(B2&gt;64, Summary!$J$22, 0)*'TV 21'!G2*'TV 21'!F2</f>
        <v>0</v>
      </c>
      <c r="I2" s="1">
        <f>SUM(H2:H73)</f>
        <v>60979.045075879403</v>
      </c>
    </row>
    <row r="3" spans="1:9">
      <c r="A3" s="1">
        <f>$A$2+C3</f>
        <v>2020</v>
      </c>
      <c r="B3" s="1">
        <f>$B$2+C3</f>
        <v>50</v>
      </c>
      <c r="C3" s="1">
        <v>1</v>
      </c>
      <c r="D3" s="1">
        <f>IF(Summary!$G$22="M",VLOOKUP(B:B,'male g'!A:V,IF(A3&gt;2033,22,MATCH(A3,'male g'!$A$1:$V$1,0)),FALSE),VLOOKUP(B:B,'female g'!A:V,IF(A3&gt;2033,22,MATCH(A3,'female g'!$A$1:$V$1,0)),FALSE))</f>
        <v>2.6962610000000001E-3</v>
      </c>
      <c r="E3" s="1">
        <f>1-D3</f>
        <v>0.99730373900000002</v>
      </c>
      <c r="F3" s="1">
        <f>E2</f>
        <v>0.99902230400000003</v>
      </c>
      <c r="G3" s="1">
        <f>1/(1+Summary!$O$2)^$C3</f>
        <v>0.95238095238095233</v>
      </c>
      <c r="H3" s="1">
        <f>IF(B3&gt;64, Summary!$J$22, 0)*'TV 21'!G3*'TV 21'!F3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51</v>
      </c>
      <c r="C4" s="1">
        <v>2</v>
      </c>
      <c r="D4" s="1">
        <f>IF(Summary!$G$22="M",VLOOKUP(B:B,'male g'!A:V,IF(A4&gt;2033,22,MATCH(A4,'male g'!$A$1:$V$1,0)),FALSE),VLOOKUP(B:B,'female g'!A:V,IF(A4&gt;2033,22,MATCH(A4,'female g'!$A$1:$V$1,0)),FALSE))</f>
        <v>2.8265920000000002E-3</v>
      </c>
      <c r="E4" s="1">
        <f t="shared" ref="E4:E67" si="2">1-D4</f>
        <v>0.99717340799999998</v>
      </c>
      <c r="F4" s="1">
        <f t="shared" ref="F4:F67" si="3">E3</f>
        <v>0.99730373900000002</v>
      </c>
      <c r="G4" s="1">
        <f>1/(1+Summary!$O$2)^$C4</f>
        <v>0.90702947845804982</v>
      </c>
      <c r="H4" s="1">
        <f>IF(B4&gt;64, Summary!$J$22, 0)*'TV 21'!G4*'TV 21'!F4</f>
        <v>0</v>
      </c>
      <c r="I4" s="1"/>
    </row>
    <row r="5" spans="1:9">
      <c r="A5" s="1">
        <f t="shared" si="0"/>
        <v>2022</v>
      </c>
      <c r="B5" s="1">
        <f t="shared" si="1"/>
        <v>52</v>
      </c>
      <c r="C5" s="1">
        <v>3</v>
      </c>
      <c r="D5" s="1">
        <f>IF(Summary!$G$22="M",VLOOKUP(B:B,'male g'!A:V,IF(A5&gt;2033,22,MATCH(A5,'male g'!$A$1:$V$1,0)),FALSE),VLOOKUP(B:B,'female g'!A:V,IF(A5&gt;2033,22,MATCH(A5,'female g'!$A$1:$V$1,0)),FALSE))</f>
        <v>2.9762410000000001E-3</v>
      </c>
      <c r="E5" s="1">
        <f t="shared" si="2"/>
        <v>0.99702375899999995</v>
      </c>
      <c r="F5" s="1">
        <f t="shared" si="3"/>
        <v>0.99717340799999998</v>
      </c>
      <c r="G5" s="1">
        <f>1/(1+Summary!$O$2)^$C5</f>
        <v>0.86383759853147601</v>
      </c>
      <c r="H5" s="1">
        <f>IF(B5&gt;64, Summary!$J$22, 0)*'TV 21'!G5*'TV 21'!F5</f>
        <v>0</v>
      </c>
      <c r="I5" s="1"/>
    </row>
    <row r="6" spans="1:9">
      <c r="A6" s="1">
        <f t="shared" si="0"/>
        <v>2023</v>
      </c>
      <c r="B6" s="1">
        <f t="shared" si="1"/>
        <v>53</v>
      </c>
      <c r="C6" s="1">
        <v>4</v>
      </c>
      <c r="D6" s="1">
        <f>IF(Summary!$G$22="M",VLOOKUP(B:B,'male g'!A:V,IF(A6&gt;2033,22,MATCH(A6,'male g'!$A$1:$V$1,0)),FALSE),VLOOKUP(B:B,'female g'!A:V,IF(A6&gt;2033,22,MATCH(A6,'female g'!$A$1:$V$1,0)),FALSE))</f>
        <v>3.1447369999999999E-3</v>
      </c>
      <c r="E6" s="1">
        <f t="shared" si="2"/>
        <v>0.99685526300000005</v>
      </c>
      <c r="F6" s="1">
        <f t="shared" si="3"/>
        <v>0.99702375899999995</v>
      </c>
      <c r="G6" s="1">
        <f>1/(1+Summary!$O$2)^$C6</f>
        <v>0.82270247479188197</v>
      </c>
      <c r="H6" s="1">
        <f>IF(B6&gt;64, Summary!$J$22, 0)*'TV 21'!G6*'TV 21'!F6</f>
        <v>0</v>
      </c>
      <c r="I6" s="1"/>
    </row>
    <row r="7" spans="1:9">
      <c r="A7" s="1">
        <f t="shared" si="0"/>
        <v>2024</v>
      </c>
      <c r="B7" s="1">
        <f t="shared" si="1"/>
        <v>54</v>
      </c>
      <c r="C7" s="1">
        <v>5</v>
      </c>
      <c r="D7" s="1">
        <f>IF(Summary!$G$22="M",VLOOKUP(B:B,'male g'!A:V,IF(A7&gt;2033,22,MATCH(A7,'male g'!$A$1:$V$1,0)),FALSE),VLOOKUP(B:B,'female g'!A:V,IF(A7&gt;2033,22,MATCH(A7,'female g'!$A$1:$V$1,0)),FALSE))</f>
        <v>3.3325659999999999E-3</v>
      </c>
      <c r="E7" s="1">
        <f t="shared" si="2"/>
        <v>0.99666743400000002</v>
      </c>
      <c r="F7" s="1">
        <f t="shared" si="3"/>
        <v>0.99685526300000005</v>
      </c>
      <c r="G7" s="1">
        <f>1/(1+Summary!$O$2)^$C7</f>
        <v>0.78352616646845896</v>
      </c>
      <c r="H7" s="1">
        <f>IF(B7&gt;64, Summary!$J$22, 0)*'TV 21'!G7*'TV 21'!F7</f>
        <v>0</v>
      </c>
      <c r="I7" s="1"/>
    </row>
    <row r="8" spans="1:9">
      <c r="A8" s="1">
        <f t="shared" si="0"/>
        <v>2025</v>
      </c>
      <c r="B8" s="1">
        <f t="shared" si="1"/>
        <v>55</v>
      </c>
      <c r="C8" s="1">
        <v>6</v>
      </c>
      <c r="D8" s="1">
        <f>IF(Summary!$G$22="M",VLOOKUP(B:B,'male g'!A:V,IF(A8&gt;2033,22,MATCH(A8,'male g'!$A$1:$V$1,0)),FALSE),VLOOKUP(B:B,'female g'!A:V,IF(A8&gt;2033,22,MATCH(A8,'female g'!$A$1:$V$1,0)),FALSE))</f>
        <v>3.5437979999999999E-3</v>
      </c>
      <c r="E8" s="1">
        <f t="shared" si="2"/>
        <v>0.99645620199999996</v>
      </c>
      <c r="F8" s="1">
        <f t="shared" si="3"/>
        <v>0.99666743400000002</v>
      </c>
      <c r="G8" s="1">
        <f>1/(1+Summary!$O$2)^$C8</f>
        <v>0.74621539663662761</v>
      </c>
      <c r="H8" s="1">
        <f>IF(B8&gt;64, Summary!$J$22, 0)*'TV 21'!G8*'TV 21'!F8</f>
        <v>0</v>
      </c>
      <c r="I8" s="1"/>
    </row>
    <row r="9" spans="1:9">
      <c r="A9" s="1">
        <f t="shared" si="0"/>
        <v>2026</v>
      </c>
      <c r="B9" s="1">
        <f t="shared" si="1"/>
        <v>56</v>
      </c>
      <c r="C9" s="1">
        <v>7</v>
      </c>
      <c r="D9" s="1">
        <f>IF(Summary!$G$22="M",VLOOKUP(B:B,'male g'!A:V,IF(A9&gt;2033,22,MATCH(A9,'male g'!$A$1:$V$1,0)),FALSE),VLOOKUP(B:B,'female g'!A:V,IF(A9&gt;2033,22,MATCH(A9,'female g'!$A$1:$V$1,0)),FALSE))</f>
        <v>3.7789210000000002E-3</v>
      </c>
      <c r="E9" s="1">
        <f t="shared" si="2"/>
        <v>0.99622107900000001</v>
      </c>
      <c r="F9" s="1">
        <f t="shared" si="3"/>
        <v>0.99645620199999996</v>
      </c>
      <c r="G9" s="1">
        <f>1/(1+Summary!$O$2)^$C9</f>
        <v>0.71068133013012147</v>
      </c>
      <c r="H9" s="1">
        <f>IF(B9&gt;64, Summary!$J$22, 0)*'TV 21'!G9*'TV 21'!F9</f>
        <v>0</v>
      </c>
      <c r="I9" s="1"/>
    </row>
    <row r="10" spans="1:9">
      <c r="A10" s="1">
        <f t="shared" si="0"/>
        <v>2027</v>
      </c>
      <c r="B10" s="1">
        <f t="shared" si="1"/>
        <v>57</v>
      </c>
      <c r="C10" s="1">
        <v>8</v>
      </c>
      <c r="D10" s="1">
        <f>IF(Summary!$G$22="M",VLOOKUP(B:B,'male g'!A:V,IF(A10&gt;2033,22,MATCH(A10,'male g'!$A$1:$V$1,0)),FALSE),VLOOKUP(B:B,'female g'!A:V,IF(A10&gt;2033,22,MATCH(A10,'female g'!$A$1:$V$1,0)),FALSE))</f>
        <v>4.0422619999999996E-3</v>
      </c>
      <c r="E10" s="1">
        <f t="shared" si="2"/>
        <v>0.99595773799999998</v>
      </c>
      <c r="F10" s="1">
        <f t="shared" si="3"/>
        <v>0.99622107900000001</v>
      </c>
      <c r="G10" s="1">
        <f>1/(1+Summary!$O$2)^$C10</f>
        <v>0.67683936202868722</v>
      </c>
      <c r="H10" s="1">
        <f>IF(B10&gt;64, Summary!$J$22, 0)*'TV 21'!G10*'TV 21'!F10</f>
        <v>0</v>
      </c>
      <c r="I10" s="1"/>
    </row>
    <row r="11" spans="1:9">
      <c r="A11" s="1">
        <f t="shared" si="0"/>
        <v>2028</v>
      </c>
      <c r="B11" s="1">
        <f t="shared" si="1"/>
        <v>58</v>
      </c>
      <c r="C11" s="1">
        <v>9</v>
      </c>
      <c r="D11" s="1">
        <f>IF(Summary!$G$22="M",VLOOKUP(B:B,'male g'!A:V,IF(A11&gt;2033,22,MATCH(A11,'male g'!$A$1:$V$1,0)),FALSE),VLOOKUP(B:B,'female g'!A:V,IF(A11&gt;2033,22,MATCH(A11,'female g'!$A$1:$V$1,0)),FALSE))</f>
        <v>4.3327410000000002E-3</v>
      </c>
      <c r="E11" s="1">
        <f t="shared" si="2"/>
        <v>0.99566725899999997</v>
      </c>
      <c r="F11" s="1">
        <f t="shared" si="3"/>
        <v>0.99595773799999998</v>
      </c>
      <c r="G11" s="1">
        <f>1/(1+Summary!$O$2)^$C11</f>
        <v>0.64460891621779726</v>
      </c>
      <c r="H11" s="1">
        <f>IF(B11&gt;64, Summary!$J$22, 0)*'TV 21'!G11*'TV 21'!F11</f>
        <v>0</v>
      </c>
      <c r="I11" s="1"/>
    </row>
    <row r="12" spans="1:9">
      <c r="A12" s="1">
        <f t="shared" si="0"/>
        <v>2029</v>
      </c>
      <c r="B12" s="1">
        <f t="shared" si="1"/>
        <v>59</v>
      </c>
      <c r="C12" s="1">
        <v>10</v>
      </c>
      <c r="D12" s="1">
        <f>IF(Summary!$G$22="M",VLOOKUP(B:B,'male g'!A:V,IF(A12&gt;2033,22,MATCH(A12,'male g'!$A$1:$V$1,0)),FALSE),VLOOKUP(B:B,'female g'!A:V,IF(A12&gt;2033,22,MATCH(A12,'female g'!$A$1:$V$1,0)),FALSE))</f>
        <v>4.6544810000000002E-3</v>
      </c>
      <c r="E12" s="1">
        <f t="shared" si="2"/>
        <v>0.99534551900000001</v>
      </c>
      <c r="F12" s="1">
        <f t="shared" si="3"/>
        <v>0.99566725899999997</v>
      </c>
      <c r="G12" s="1">
        <f>1/(1+Summary!$O$2)^$C12</f>
        <v>0.61391325354075932</v>
      </c>
      <c r="H12" s="1">
        <f>IF(B12&gt;64, Summary!$J$22, 0)*'TV 21'!G12*'TV 21'!F12</f>
        <v>0</v>
      </c>
      <c r="I12" s="1"/>
    </row>
    <row r="13" spans="1:9">
      <c r="A13" s="1">
        <f t="shared" si="0"/>
        <v>2030</v>
      </c>
      <c r="B13" s="1">
        <f t="shared" si="1"/>
        <v>60</v>
      </c>
      <c r="C13" s="1">
        <v>11</v>
      </c>
      <c r="D13" s="1">
        <f>IF(Summary!$G$22="M",VLOOKUP(B:B,'male g'!A:V,IF(A13&gt;2033,22,MATCH(A13,'male g'!$A$1:$V$1,0)),FALSE),VLOOKUP(B:B,'female g'!A:V,IF(A13&gt;2033,22,MATCH(A13,'female g'!$A$1:$V$1,0)),FALSE))</f>
        <v>5.0054289999999996E-3</v>
      </c>
      <c r="E13" s="1">
        <f t="shared" si="2"/>
        <v>0.99499457099999999</v>
      </c>
      <c r="F13" s="1">
        <f t="shared" si="3"/>
        <v>0.99534551900000001</v>
      </c>
      <c r="G13" s="1">
        <f>1/(1+Summary!$O$2)^$C13</f>
        <v>0.5846792890864374</v>
      </c>
      <c r="H13" s="1">
        <f>IF(B13&gt;64, Summary!$J$22, 0)*'TV 21'!G13*'TV 21'!F13</f>
        <v>0</v>
      </c>
      <c r="I13" s="1"/>
    </row>
    <row r="14" spans="1:9">
      <c r="A14" s="1">
        <f t="shared" si="0"/>
        <v>2031</v>
      </c>
      <c r="B14" s="1">
        <f t="shared" si="1"/>
        <v>61</v>
      </c>
      <c r="C14" s="1">
        <v>12</v>
      </c>
      <c r="D14" s="1">
        <f>IF(Summary!$G$22="M",VLOOKUP(B:B,'male g'!A:V,IF(A14&gt;2033,22,MATCH(A14,'male g'!$A$1:$V$1,0)),FALSE),VLOOKUP(B:B,'female g'!A:V,IF(A14&gt;2033,22,MATCH(A14,'female g'!$A$1:$V$1,0)),FALSE))</f>
        <v>5.3846629999999996E-3</v>
      </c>
      <c r="E14" s="1">
        <f t="shared" si="2"/>
        <v>0.99461533700000004</v>
      </c>
      <c r="F14" s="1">
        <f t="shared" si="3"/>
        <v>0.99499457099999999</v>
      </c>
      <c r="G14" s="1">
        <f>1/(1+Summary!$O$2)^$C14</f>
        <v>0.5568374181775595</v>
      </c>
      <c r="H14" s="1">
        <f>IF(B14&gt;64, Summary!$J$22, 0)*'TV 21'!G14*'TV 21'!F14</f>
        <v>0</v>
      </c>
      <c r="I14" s="1"/>
    </row>
    <row r="15" spans="1:9">
      <c r="A15" s="1">
        <f t="shared" si="0"/>
        <v>2032</v>
      </c>
      <c r="B15" s="1">
        <f t="shared" si="1"/>
        <v>62</v>
      </c>
      <c r="C15" s="1">
        <v>13</v>
      </c>
      <c r="D15" s="1">
        <f>IF(Summary!$G$22="M",VLOOKUP(B:B,'male g'!A:V,IF(A15&gt;2033,22,MATCH(A15,'male g'!$A$1:$V$1,0)),FALSE),VLOOKUP(B:B,'female g'!A:V,IF(A15&gt;2033,22,MATCH(A15,'female g'!$A$1:$V$1,0)),FALSE))</f>
        <v>5.7912959999999996E-3</v>
      </c>
      <c r="E15" s="1">
        <f t="shared" si="2"/>
        <v>0.99420870400000005</v>
      </c>
      <c r="F15" s="1">
        <f t="shared" si="3"/>
        <v>0.99461533700000004</v>
      </c>
      <c r="G15" s="1">
        <f>1/(1+Summary!$O$2)^$C15</f>
        <v>0.53032135064529462</v>
      </c>
      <c r="H15" s="1">
        <f>IF(B15&gt;64, Summary!$J$22, 0)*'TV 21'!G15*'TV 21'!F15</f>
        <v>0</v>
      </c>
      <c r="I15" s="1"/>
    </row>
    <row r="16" spans="1:9">
      <c r="A16" s="1">
        <f t="shared" si="0"/>
        <v>2033</v>
      </c>
      <c r="B16" s="1">
        <f t="shared" si="1"/>
        <v>63</v>
      </c>
      <c r="C16" s="1">
        <v>14</v>
      </c>
      <c r="D16" s="1">
        <f>IF(Summary!$G$22="M",VLOOKUP(B:B,'male g'!A:V,IF(A16&gt;2033,22,MATCH(A16,'male g'!$A$1:$V$1,0)),FALSE),VLOOKUP(B:B,'female g'!A:V,IF(A16&gt;2033,22,MATCH(A16,'female g'!$A$1:$V$1,0)),FALSE))</f>
        <v>6.2244240000000001E-3</v>
      </c>
      <c r="E16" s="1">
        <f t="shared" si="2"/>
        <v>0.99377557599999999</v>
      </c>
      <c r="F16" s="1">
        <f t="shared" si="3"/>
        <v>0.99420870400000005</v>
      </c>
      <c r="G16" s="1">
        <f>1/(1+Summary!$O$2)^$C16</f>
        <v>0.50506795299551888</v>
      </c>
      <c r="H16" s="1">
        <f>IF(B16&gt;64, Summary!$J$22, 0)*'TV 21'!G16*'TV 21'!F16</f>
        <v>0</v>
      </c>
      <c r="I16" s="1"/>
    </row>
    <row r="17" spans="1:9">
      <c r="A17" s="1">
        <f t="shared" si="0"/>
        <v>2034</v>
      </c>
      <c r="B17" s="1">
        <f t="shared" si="1"/>
        <v>64</v>
      </c>
      <c r="C17" s="1">
        <v>15</v>
      </c>
      <c r="D17" s="1">
        <f>IF(Summary!$G$22="M",VLOOKUP(B:B,'male g'!A:V,IF(A17&gt;2033,22,MATCH(A17,'male g'!$A$1:$V$1,0)),FALSE),VLOOKUP(B:B,'female g'!A:V,IF(A17&gt;2033,22,MATCH(A17,'female g'!$A$1:$V$1,0)),FALSE))</f>
        <v>6.6840069999999996E-3</v>
      </c>
      <c r="E17" s="1">
        <f t="shared" si="2"/>
        <v>0.99331599299999995</v>
      </c>
      <c r="F17" s="1">
        <f t="shared" si="3"/>
        <v>0.99377557599999999</v>
      </c>
      <c r="G17" s="1">
        <f>1/(1+Summary!$O$2)^$C17</f>
        <v>0.48101709809097021</v>
      </c>
      <c r="H17" s="1">
        <f>IF(B17&gt;64, Summary!$J$22, 0)*'TV 21'!G17*'TV 21'!F17</f>
        <v>0</v>
      </c>
      <c r="I17" s="1"/>
    </row>
    <row r="18" spans="1:9">
      <c r="A18" s="1">
        <f t="shared" si="0"/>
        <v>2035</v>
      </c>
      <c r="B18" s="1">
        <f t="shared" si="1"/>
        <v>65</v>
      </c>
      <c r="C18" s="1">
        <v>16</v>
      </c>
      <c r="D18" s="1">
        <f>IF(Summary!$G$22="M",VLOOKUP(B:B,'male g'!A:V,IF(A18&gt;2033,22,MATCH(A18,'male g'!$A$1:$V$1,0)),FALSE),VLOOKUP(B:B,'female g'!A:V,IF(A18&gt;2033,22,MATCH(A18,'female g'!$A$1:$V$1,0)),FALSE))</f>
        <v>7.247748E-3</v>
      </c>
      <c r="E18" s="1">
        <f t="shared" si="2"/>
        <v>0.99275225199999995</v>
      </c>
      <c r="F18" s="1">
        <f t="shared" si="3"/>
        <v>0.99331599299999995</v>
      </c>
      <c r="G18" s="1">
        <f>1/(1+Summary!$O$2)^$C18</f>
        <v>0.45811152199140021</v>
      </c>
      <c r="H18" s="1">
        <f>IF(B18&gt;64, Summary!$J$22, 0)*'TV 21'!G18*'TV 21'!F18</f>
        <v>3348.92004464104</v>
      </c>
      <c r="I18" s="1"/>
    </row>
    <row r="19" spans="1:9">
      <c r="A19" s="1">
        <f t="shared" si="0"/>
        <v>2036</v>
      </c>
      <c r="B19" s="1">
        <f t="shared" si="1"/>
        <v>66</v>
      </c>
      <c r="C19" s="1">
        <v>17</v>
      </c>
      <c r="D19" s="1">
        <f>IF(Summary!$G$22="M",VLOOKUP(B:B,'male g'!A:V,IF(A19&gt;2033,22,MATCH(A19,'male g'!$A$1:$V$1,0)),FALSE),VLOOKUP(B:B,'female g'!A:V,IF(A19&gt;2033,22,MATCH(A19,'female g'!$A$1:$V$1,0)),FALSE))</f>
        <v>7.8640140000000008E-3</v>
      </c>
      <c r="E19" s="1">
        <f t="shared" si="2"/>
        <v>0.99213598599999997</v>
      </c>
      <c r="F19" s="1">
        <f t="shared" si="3"/>
        <v>0.99275225199999995</v>
      </c>
      <c r="G19" s="1">
        <f>1/(1+Summary!$O$2)^$C19</f>
        <v>0.43629668761085727</v>
      </c>
      <c r="H19" s="1">
        <f>IF(B19&gt;64, Summary!$J$22, 0)*'TV 21'!G19*'TV 21'!F19</f>
        <v>3187.6375402854283</v>
      </c>
      <c r="I19" s="1"/>
    </row>
    <row r="20" spans="1:9">
      <c r="A20" s="1">
        <f t="shared" si="0"/>
        <v>2037</v>
      </c>
      <c r="B20" s="1">
        <f t="shared" si="1"/>
        <v>67</v>
      </c>
      <c r="C20" s="1">
        <v>18</v>
      </c>
      <c r="D20" s="1">
        <f>IF(Summary!$G$22="M",VLOOKUP(B:B,'male g'!A:V,IF(A20&gt;2033,22,MATCH(A20,'male g'!$A$1:$V$1,0)),FALSE),VLOOKUP(B:B,'female g'!A:V,IF(A20&gt;2033,22,MATCH(A20,'female g'!$A$1:$V$1,0)),FALSE))</f>
        <v>8.5402580000000002E-3</v>
      </c>
      <c r="E20" s="1">
        <f t="shared" si="2"/>
        <v>0.99145974199999998</v>
      </c>
      <c r="F20" s="1">
        <f t="shared" si="3"/>
        <v>0.99213598599999997</v>
      </c>
      <c r="G20" s="1">
        <f>1/(1+Summary!$O$2)^$C20</f>
        <v>0.41552065486748313</v>
      </c>
      <c r="H20" s="1">
        <f>IF(B20&gt;64, Summary!$J$22, 0)*'TV 21'!G20*'TV 21'!F20</f>
        <v>3033.9607295158057</v>
      </c>
      <c r="I20" s="1"/>
    </row>
    <row r="21" spans="1:9">
      <c r="A21" s="1">
        <f t="shared" si="0"/>
        <v>2038</v>
      </c>
      <c r="B21" s="1">
        <f t="shared" si="1"/>
        <v>68</v>
      </c>
      <c r="C21" s="1">
        <v>19</v>
      </c>
      <c r="D21" s="1">
        <f>IF(Summary!$G$22="M",VLOOKUP(B:B,'male g'!A:V,IF(A21&gt;2033,22,MATCH(A21,'male g'!$A$1:$V$1,0)),FALSE),VLOOKUP(B:B,'female g'!A:V,IF(A21&gt;2033,22,MATCH(A21,'female g'!$A$1:$V$1,0)),FALSE))</f>
        <v>9.291054E-3</v>
      </c>
      <c r="E21" s="1">
        <f t="shared" si="2"/>
        <v>0.99070894600000003</v>
      </c>
      <c r="F21" s="1">
        <f t="shared" si="3"/>
        <v>0.99145974199999998</v>
      </c>
      <c r="G21" s="1">
        <f>1/(1+Summary!$O$2)^$C21</f>
        <v>0.39573395701665059</v>
      </c>
      <c r="H21" s="1">
        <f>IF(B21&gt;64, Summary!$J$22, 0)*'TV 21'!G21*'TV 21'!F21</f>
        <v>2887.516923150677</v>
      </c>
      <c r="I21" s="1"/>
    </row>
    <row r="22" spans="1:9">
      <c r="A22" s="1">
        <f t="shared" si="0"/>
        <v>2039</v>
      </c>
      <c r="B22" s="1">
        <f t="shared" si="1"/>
        <v>69</v>
      </c>
      <c r="C22" s="1">
        <v>20</v>
      </c>
      <c r="D22" s="1">
        <f>IF(Summary!$G$22="M",VLOOKUP(B:B,'male g'!A:V,IF(A22&gt;2033,22,MATCH(A22,'male g'!$A$1:$V$1,0)),FALSE),VLOOKUP(B:B,'female g'!A:V,IF(A22&gt;2033,22,MATCH(A22,'female g'!$A$1:$V$1,0)),FALSE))</f>
        <v>1.0121299E-2</v>
      </c>
      <c r="E22" s="1">
        <f t="shared" si="2"/>
        <v>0.98987870099999997</v>
      </c>
      <c r="F22" s="1">
        <f t="shared" si="3"/>
        <v>0.99070894600000003</v>
      </c>
      <c r="G22" s="1">
        <f>1/(1+Summary!$O$2)^$C22</f>
        <v>0.37688948287300061</v>
      </c>
      <c r="H22" s="1">
        <f>IF(B22&gt;64, Summary!$J$22, 0)*'TV 21'!G22*'TV 21'!F22</f>
        <v>2747.9336312172545</v>
      </c>
      <c r="I22" s="1"/>
    </row>
    <row r="23" spans="1:9">
      <c r="A23" s="1">
        <f t="shared" si="0"/>
        <v>2040</v>
      </c>
      <c r="B23" s="1">
        <f t="shared" si="1"/>
        <v>70</v>
      </c>
      <c r="C23" s="1">
        <v>21</v>
      </c>
      <c r="D23" s="1">
        <f>IF(Summary!$G$22="M",VLOOKUP(B:B,'male g'!A:V,IF(A23&gt;2033,22,MATCH(A23,'male g'!$A$1:$V$1,0)),FALSE),VLOOKUP(B:B,'female g'!A:V,IF(A23&gt;2033,22,MATCH(A23,'female g'!$A$1:$V$1,0)),FALSE))</f>
        <v>1.1050012E-2</v>
      </c>
      <c r="E23" s="1">
        <f t="shared" si="2"/>
        <v>0.988949988</v>
      </c>
      <c r="F23" s="1">
        <f t="shared" si="3"/>
        <v>0.98987870099999997</v>
      </c>
      <c r="G23" s="1">
        <f>1/(1+Summary!$O$2)^$C23</f>
        <v>0.35894236464095297</v>
      </c>
      <c r="H23" s="1">
        <f>IF(B23&gt;64, Summary!$J$22, 0)*'TV 21'!G23*'TV 21'!F23</f>
        <v>2614.8864543979162</v>
      </c>
      <c r="I23" s="1"/>
    </row>
    <row r="24" spans="1:9">
      <c r="A24" s="1">
        <f t="shared" si="0"/>
        <v>2041</v>
      </c>
      <c r="B24" s="1">
        <f t="shared" si="1"/>
        <v>71</v>
      </c>
      <c r="C24" s="1">
        <v>22</v>
      </c>
      <c r="D24" s="1">
        <f>IF(Summary!$G$22="M",VLOOKUP(B:B,'male g'!A:V,IF(A24&gt;2033,22,MATCH(A24,'male g'!$A$1:$V$1,0)),FALSE),VLOOKUP(B:B,'female g'!A:V,IF(A24&gt;2033,22,MATCH(A24,'female g'!$A$1:$V$1,0)),FALSE))</f>
        <v>1.2082262999999999E-2</v>
      </c>
      <c r="E24" s="1">
        <f t="shared" si="2"/>
        <v>0.98791773699999996</v>
      </c>
      <c r="F24" s="1">
        <f t="shared" si="3"/>
        <v>0.988949988</v>
      </c>
      <c r="G24" s="1">
        <f>1/(1+Summary!$O$2)^$C24</f>
        <v>0.3418498710866219</v>
      </c>
      <c r="H24" s="1">
        <f>IF(B24&gt;64, Summary!$J$22, 0)*'TV 21'!G24*'TV 21'!F24</f>
        <v>2488.0315663551687</v>
      </c>
      <c r="I24" s="1"/>
    </row>
    <row r="25" spans="1:9">
      <c r="A25" s="1">
        <f t="shared" si="0"/>
        <v>2042</v>
      </c>
      <c r="B25" s="1">
        <f t="shared" si="1"/>
        <v>72</v>
      </c>
      <c r="C25" s="1">
        <v>23</v>
      </c>
      <c r="D25" s="1">
        <f>IF(Summary!$G$22="M",VLOOKUP(B:B,'male g'!A:V,IF(A25&gt;2033,22,MATCH(A25,'male g'!$A$1:$V$1,0)),FALSE),VLOOKUP(B:B,'female g'!A:V,IF(A25&gt;2033,22,MATCH(A25,'female g'!$A$1:$V$1,0)),FALSE))</f>
        <v>1.3232393E-2</v>
      </c>
      <c r="E25" s="1">
        <f t="shared" si="2"/>
        <v>0.98676760699999999</v>
      </c>
      <c r="F25" s="1">
        <f t="shared" si="3"/>
        <v>0.98791773699999996</v>
      </c>
      <c r="G25" s="1">
        <f>1/(1+Summary!$O$2)^$C25</f>
        <v>0.32557130579678267</v>
      </c>
      <c r="H25" s="1">
        <f>IF(B25&gt;64, Summary!$J$22, 0)*'TV 21'!G25*'TV 21'!F25</f>
        <v>2367.080568321262</v>
      </c>
      <c r="I25" s="1"/>
    </row>
    <row r="26" spans="1:9">
      <c r="A26" s="1">
        <f t="shared" si="0"/>
        <v>2043</v>
      </c>
      <c r="B26" s="1">
        <f t="shared" si="1"/>
        <v>73</v>
      </c>
      <c r="C26" s="1">
        <v>24</v>
      </c>
      <c r="D26" s="1">
        <f>IF(Summary!$G$22="M",VLOOKUP(B:B,'male g'!A:V,IF(A26&gt;2033,22,MATCH(A26,'male g'!$A$1:$V$1,0)),FALSE),VLOOKUP(B:B,'female g'!A:V,IF(A26&gt;2033,22,MATCH(A26,'female g'!$A$1:$V$1,0)),FALSE))</f>
        <v>1.4520474E-2</v>
      </c>
      <c r="E26" s="1">
        <f t="shared" si="2"/>
        <v>0.98547952599999999</v>
      </c>
      <c r="F26" s="1">
        <f t="shared" si="3"/>
        <v>0.98676760699999999</v>
      </c>
      <c r="G26" s="1">
        <f>1/(1+Summary!$O$2)^$C26</f>
        <v>0.31006791028265024</v>
      </c>
      <c r="H26" s="1">
        <f>IF(B26&gt;64, Summary!$J$22, 0)*'TV 21'!G26*'TV 21'!F26</f>
        <v>2251.7379259990644</v>
      </c>
      <c r="I26" s="1"/>
    </row>
    <row r="27" spans="1:9">
      <c r="A27" s="1">
        <f t="shared" si="0"/>
        <v>2044</v>
      </c>
      <c r="B27" s="1">
        <f t="shared" si="1"/>
        <v>74</v>
      </c>
      <c r="C27" s="1">
        <v>25</v>
      </c>
      <c r="D27" s="1">
        <f>IF(Summary!$G$22="M",VLOOKUP(B:B,'male g'!A:V,IF(A27&gt;2033,22,MATCH(A27,'male g'!$A$1:$V$1,0)),FALSE),VLOOKUP(B:B,'female g'!A:V,IF(A27&gt;2033,22,MATCH(A27,'female g'!$A$1:$V$1,0)),FALSE))</f>
        <v>1.5945328000000002E-2</v>
      </c>
      <c r="E27" s="1">
        <f t="shared" si="2"/>
        <v>0.98405467199999996</v>
      </c>
      <c r="F27" s="1">
        <f t="shared" si="3"/>
        <v>0.98547952599999999</v>
      </c>
      <c r="G27" s="1">
        <f>1/(1+Summary!$O$2)^$C27</f>
        <v>0.29530277169776209</v>
      </c>
      <c r="H27" s="1">
        <f>IF(B27&gt;64, Summary!$J$22, 0)*'TV 21'!G27*'TV 21'!F27</f>
        <v>2141.7129628459347</v>
      </c>
      <c r="I27" s="1"/>
    </row>
    <row r="28" spans="1:9">
      <c r="A28" s="1">
        <f t="shared" si="0"/>
        <v>2045</v>
      </c>
      <c r="B28" s="1">
        <f t="shared" si="1"/>
        <v>75</v>
      </c>
      <c r="C28" s="1">
        <v>26</v>
      </c>
      <c r="D28" s="1">
        <f>IF(Summary!$G$22="M",VLOOKUP(B:B,'male g'!A:V,IF(A28&gt;2033,22,MATCH(A28,'male g'!$A$1:$V$1,0)),FALSE),VLOOKUP(B:B,'female g'!A:V,IF(A28&gt;2033,22,MATCH(A28,'female g'!$A$1:$V$1,0)),FALSE))</f>
        <v>1.7550544000000001E-2</v>
      </c>
      <c r="E28" s="1">
        <f t="shared" si="2"/>
        <v>0.982449456</v>
      </c>
      <c r="F28" s="1">
        <f t="shared" si="3"/>
        <v>0.98405467199999996</v>
      </c>
      <c r="G28" s="1">
        <f>1/(1+Summary!$O$2)^$C28</f>
        <v>0.28124073495024959</v>
      </c>
      <c r="H28" s="1">
        <f>IF(B28&gt;64, Summary!$J$22, 0)*'TV 21'!G28*'TV 21'!F28</f>
        <v>2036.7774957870793</v>
      </c>
      <c r="I28" s="1"/>
    </row>
    <row r="29" spans="1:9">
      <c r="A29" s="1">
        <f t="shared" si="0"/>
        <v>2046</v>
      </c>
      <c r="B29" s="1">
        <f t="shared" si="1"/>
        <v>76</v>
      </c>
      <c r="C29" s="1">
        <v>27</v>
      </c>
      <c r="D29" s="1">
        <f>IF(Summary!$G$22="M",VLOOKUP(B:B,'male g'!A:V,IF(A29&gt;2033,22,MATCH(A29,'male g'!$A$1:$V$1,0)),FALSE),VLOOKUP(B:B,'female g'!A:V,IF(A29&gt;2033,22,MATCH(A29,'female g'!$A$1:$V$1,0)),FALSE))</f>
        <v>1.9346596000000001E-2</v>
      </c>
      <c r="E29" s="1">
        <f t="shared" si="2"/>
        <v>0.98065340400000001</v>
      </c>
      <c r="F29" s="1">
        <f t="shared" si="3"/>
        <v>0.982449456</v>
      </c>
      <c r="G29" s="1">
        <f>1/(1+Summary!$O$2)^$C29</f>
        <v>0.2678483190002377</v>
      </c>
      <c r="H29" s="1">
        <f>IF(B29&gt;64, Summary!$J$22, 0)*'TV 21'!G29*'TV 21'!F29</f>
        <v>1936.6238576021474</v>
      </c>
      <c r="I29" s="1"/>
    </row>
    <row r="30" spans="1:9">
      <c r="A30" s="1">
        <f t="shared" si="0"/>
        <v>2047</v>
      </c>
      <c r="B30" s="1">
        <f t="shared" si="1"/>
        <v>77</v>
      </c>
      <c r="C30" s="1">
        <v>28</v>
      </c>
      <c r="D30" s="1">
        <f>IF(Summary!$G$22="M",VLOOKUP(B:B,'male g'!A:V,IF(A30&gt;2033,22,MATCH(A30,'male g'!$A$1:$V$1,0)),FALSE),VLOOKUP(B:B,'female g'!A:V,IF(A30&gt;2033,22,MATCH(A30,'female g'!$A$1:$V$1,0)),FALSE))</f>
        <v>2.1378668999999999E-2</v>
      </c>
      <c r="E30" s="1">
        <f t="shared" si="2"/>
        <v>0.97862133100000004</v>
      </c>
      <c r="F30" s="1">
        <f t="shared" si="3"/>
        <v>0.98065340400000001</v>
      </c>
      <c r="G30" s="1">
        <f>1/(1+Summary!$O$2)^$C30</f>
        <v>0.25509363714308358</v>
      </c>
      <c r="H30" s="1">
        <f>IF(B30&gt;64, Summary!$J$22, 0)*'TV 21'!G30*'TV 21'!F30</f>
        <v>1841.0318516852196</v>
      </c>
      <c r="I30" s="1"/>
    </row>
    <row r="31" spans="1:9">
      <c r="A31" s="1">
        <f t="shared" si="0"/>
        <v>2048</v>
      </c>
      <c r="B31" s="1">
        <f t="shared" si="1"/>
        <v>78</v>
      </c>
      <c r="C31" s="1">
        <v>29</v>
      </c>
      <c r="D31" s="1">
        <f>IF(Summary!$G$22="M",VLOOKUP(B:B,'male g'!A:V,IF(A31&gt;2033,22,MATCH(A31,'male g'!$A$1:$V$1,0)),FALSE),VLOOKUP(B:B,'female g'!A:V,IF(A31&gt;2033,22,MATCH(A31,'female g'!$A$1:$V$1,0)),FALSE))</f>
        <v>2.3682564E-2</v>
      </c>
      <c r="E31" s="1">
        <f t="shared" si="2"/>
        <v>0.97631743599999998</v>
      </c>
      <c r="F31" s="1">
        <f t="shared" si="3"/>
        <v>0.97862133100000004</v>
      </c>
      <c r="G31" s="1">
        <f>1/(1+Summary!$O$2)^$C31</f>
        <v>0.24294632108865097</v>
      </c>
      <c r="H31" s="1">
        <f>IF(B31&gt;64, Summary!$J$22, 0)*'TV 21'!G31*'TV 21'!F31</f>
        <v>1749.7304142035407</v>
      </c>
      <c r="I31" s="1"/>
    </row>
    <row r="32" spans="1:9">
      <c r="A32" s="1">
        <f t="shared" si="0"/>
        <v>2049</v>
      </c>
      <c r="B32" s="1">
        <f t="shared" si="1"/>
        <v>79</v>
      </c>
      <c r="C32" s="1">
        <v>30</v>
      </c>
      <c r="D32" s="1">
        <f>IF(Summary!$G$22="M",VLOOKUP(B:B,'male g'!A:V,IF(A32&gt;2033,22,MATCH(A32,'male g'!$A$1:$V$1,0)),FALSE),VLOOKUP(B:B,'female g'!A:V,IF(A32&gt;2033,22,MATCH(A32,'female g'!$A$1:$V$1,0)),FALSE))</f>
        <v>2.6301709E-2</v>
      </c>
      <c r="E32" s="1">
        <f t="shared" si="2"/>
        <v>0.97369829100000005</v>
      </c>
      <c r="F32" s="1">
        <f t="shared" si="3"/>
        <v>0.97631743599999998</v>
      </c>
      <c r="G32" s="1">
        <f>1/(1+Summary!$O$2)^$C32</f>
        <v>0.23137744865585813</v>
      </c>
      <c r="H32" s="1">
        <f>IF(B32&gt;64, Summary!$J$22, 0)*'TV 21'!G32*'TV 21'!F32</f>
        <v>1662.4868140637032</v>
      </c>
      <c r="I32" s="1"/>
    </row>
    <row r="33" spans="1:9">
      <c r="A33" s="1">
        <f t="shared" si="0"/>
        <v>2050</v>
      </c>
      <c r="B33" s="1">
        <f t="shared" si="1"/>
        <v>80</v>
      </c>
      <c r="C33" s="1">
        <v>31</v>
      </c>
      <c r="D33" s="1">
        <f>IF(Summary!$G$22="M",VLOOKUP(B:B,'male g'!A:V,IF(A33&gt;2033,22,MATCH(A33,'male g'!$A$1:$V$1,0)),FALSE),VLOOKUP(B:B,'female g'!A:V,IF(A33&gt;2033,22,MATCH(A33,'female g'!$A$1:$V$1,0)),FALSE))</f>
        <v>2.9285830999999998E-2</v>
      </c>
      <c r="E33" s="1">
        <f t="shared" si="2"/>
        <v>0.97071416899999996</v>
      </c>
      <c r="F33" s="1">
        <f t="shared" si="3"/>
        <v>0.97369829100000005</v>
      </c>
      <c r="G33" s="1">
        <f>1/(1+Summary!$O$2)^$C33</f>
        <v>0.220359474910341</v>
      </c>
      <c r="H33" s="1">
        <f>IF(B33&gt;64, Summary!$J$22, 0)*'TV 21'!G33*'TV 21'!F33</f>
        <v>1579.0732359851063</v>
      </c>
      <c r="I33" s="1"/>
    </row>
    <row r="34" spans="1:9">
      <c r="A34" s="1">
        <f t="shared" si="0"/>
        <v>2051</v>
      </c>
      <c r="B34" s="1">
        <f t="shared" si="1"/>
        <v>81</v>
      </c>
      <c r="C34" s="1">
        <v>32</v>
      </c>
      <c r="D34" s="1">
        <f>IF(Summary!$G$22="M",VLOOKUP(B:B,'male g'!A:V,IF(A34&gt;2033,22,MATCH(A34,'male g'!$A$1:$V$1,0)),FALSE),VLOOKUP(B:B,'female g'!A:V,IF(A34&gt;2033,22,MATCH(A34,'female g'!$A$1:$V$1,0)),FALSE))</f>
        <v>3.2681842000000003E-2</v>
      </c>
      <c r="E34" s="1">
        <f t="shared" si="2"/>
        <v>0.96731815799999998</v>
      </c>
      <c r="F34" s="1">
        <f t="shared" si="3"/>
        <v>0.97071416899999996</v>
      </c>
      <c r="G34" s="1">
        <f>1/(1+Summary!$O$2)^$C34</f>
        <v>0.20986616658127716</v>
      </c>
      <c r="H34" s="1">
        <f>IF(B34&gt;64, Summary!$J$22, 0)*'TV 21'!G34*'TV 21'!F34</f>
        <v>1499.270289005603</v>
      </c>
      <c r="I34" s="1"/>
    </row>
    <row r="35" spans="1:9">
      <c r="A35" s="1">
        <f>$A$2+C35</f>
        <v>2052</v>
      </c>
      <c r="B35" s="1">
        <f>$B$2+C35</f>
        <v>82</v>
      </c>
      <c r="C35" s="1">
        <v>33</v>
      </c>
      <c r="D35" s="1">
        <f>IF(Summary!$G$22="M",VLOOKUP(B:B,'male g'!A:V,IF(A35&gt;2033,22,MATCH(A35,'male g'!$A$1:$V$1,0)),FALSE),VLOOKUP(B:B,'female g'!A:V,IF(A35&gt;2033,22,MATCH(A35,'female g'!$A$1:$V$1,0)),FALSE))</f>
        <v>3.6549238999999997E-2</v>
      </c>
      <c r="E35" s="1">
        <f t="shared" si="2"/>
        <v>0.96345076100000004</v>
      </c>
      <c r="F35" s="1">
        <f t="shared" si="3"/>
        <v>0.96731815799999998</v>
      </c>
      <c r="G35" s="1">
        <f>1/(1+Summary!$O$2)^$C35</f>
        <v>0.19987253960121634</v>
      </c>
      <c r="H35" s="1">
        <f>IF(B35&gt;64, Summary!$J$22, 0)*'TV 21'!G35*'TV 21'!F35</f>
        <v>1422.8810877401077</v>
      </c>
      <c r="I35" s="1"/>
    </row>
    <row r="36" spans="1:9">
      <c r="A36" s="1">
        <f t="shared" ref="A36:A47" si="4">$A$2+C36</f>
        <v>2053</v>
      </c>
      <c r="B36" s="1">
        <f t="shared" si="1"/>
        <v>83</v>
      </c>
      <c r="C36" s="1">
        <v>34</v>
      </c>
      <c r="D36" s="1">
        <f>IF(Summary!$G$22="M",VLOOKUP(B:B,'male g'!A:V,IF(A36&gt;2033,22,MATCH(A36,'male g'!$A$1:$V$1,0)),FALSE),VLOOKUP(B:B,'female g'!A:V,IF(A36&gt;2033,22,MATCH(A36,'female g'!$A$1:$V$1,0)),FALSE))</f>
        <v>4.0956563000000001E-2</v>
      </c>
      <c r="E36" s="1">
        <f t="shared" si="2"/>
        <v>0.95904343700000005</v>
      </c>
      <c r="F36" s="1">
        <f t="shared" si="3"/>
        <v>0.96345076100000004</v>
      </c>
      <c r="G36" s="1">
        <f>1/(1+Summary!$O$2)^$C36</f>
        <v>0.19035479962020604</v>
      </c>
      <c r="H36" s="1">
        <f>IF(B36&gt;64, Summary!$J$22, 0)*'TV 21'!G36*'TV 21'!F36</f>
        <v>1349.7069736749079</v>
      </c>
      <c r="I36" s="1"/>
    </row>
    <row r="37" spans="1:9">
      <c r="A37" s="1">
        <f t="shared" si="4"/>
        <v>2054</v>
      </c>
      <c r="B37" s="1">
        <f t="shared" si="1"/>
        <v>84</v>
      </c>
      <c r="C37" s="1">
        <v>35</v>
      </c>
      <c r="D37" s="1">
        <f>IF(Summary!$G$22="M",VLOOKUP(B:B,'male g'!A:V,IF(A37&gt;2033,22,MATCH(A37,'male g'!$A$1:$V$1,0)),FALSE),VLOOKUP(B:B,'female g'!A:V,IF(A37&gt;2033,22,MATCH(A37,'female g'!$A$1:$V$1,0)),FALSE))</f>
        <v>4.5960176999999998E-2</v>
      </c>
      <c r="E37" s="1">
        <f t="shared" si="2"/>
        <v>0.95403982300000001</v>
      </c>
      <c r="F37" s="1">
        <f t="shared" si="3"/>
        <v>0.95904343700000005</v>
      </c>
      <c r="G37" s="1">
        <f>1/(1+Summary!$O$2)^$C37</f>
        <v>0.18129028535257716</v>
      </c>
      <c r="H37" s="1">
        <f>IF(B37&gt;64, Summary!$J$22, 0)*'TV 21'!G37*'TV 21'!F37</f>
        <v>1279.5549649673246</v>
      </c>
      <c r="I37" s="1"/>
    </row>
    <row r="38" spans="1:9">
      <c r="A38" s="1">
        <f t="shared" si="4"/>
        <v>2055</v>
      </c>
      <c r="B38" s="1">
        <f t="shared" si="1"/>
        <v>85</v>
      </c>
      <c r="C38" s="1">
        <v>36</v>
      </c>
      <c r="D38" s="1">
        <f>IF(Summary!$G$22="M",VLOOKUP(B:B,'male g'!A:V,IF(A38&gt;2033,22,MATCH(A38,'male g'!$A$1:$V$1,0)),FALSE),VLOOKUP(B:B,'female g'!A:V,IF(A38&gt;2033,22,MATCH(A38,'female g'!$A$1:$V$1,0)),FALSE))</f>
        <v>5.1631459999999997E-2</v>
      </c>
      <c r="E38" s="1">
        <f t="shared" si="2"/>
        <v>0.94836854000000004</v>
      </c>
      <c r="F38" s="1">
        <f t="shared" si="3"/>
        <v>0.95403982300000001</v>
      </c>
      <c r="G38" s="1">
        <f>1/(1+Summary!$O$2)^$C38</f>
        <v>0.17265741462150208</v>
      </c>
      <c r="H38" s="1">
        <f>IF(B38&gt;64, Summary!$J$22, 0)*'TV 21'!G38*'TV 21'!F38</f>
        <v>1212.2658545555164</v>
      </c>
      <c r="I38" s="1"/>
    </row>
    <row r="39" spans="1:9">
      <c r="A39" s="1">
        <f t="shared" si="4"/>
        <v>2056</v>
      </c>
      <c r="B39" s="1">
        <f t="shared" si="1"/>
        <v>86</v>
      </c>
      <c r="C39" s="1">
        <v>37</v>
      </c>
      <c r="D39" s="1">
        <f>IF(Summary!$G$22="M",VLOOKUP(B:B,'male g'!A:V,IF(A39&gt;2033,22,MATCH(A39,'male g'!$A$1:$V$1,0)),FALSE),VLOOKUP(B:B,'female g'!A:V,IF(A39&gt;2033,22,MATCH(A39,'female g'!$A$1:$V$1,0)),FALSE))</f>
        <v>5.8086306999999997E-2</v>
      </c>
      <c r="E39" s="1">
        <f t="shared" si="2"/>
        <v>0.94191369300000005</v>
      </c>
      <c r="F39" s="1">
        <f t="shared" si="3"/>
        <v>0.94836854000000004</v>
      </c>
      <c r="G39" s="1">
        <f>1/(1+Summary!$O$2)^$C39</f>
        <v>0.1644356329728591</v>
      </c>
      <c r="H39" s="1">
        <f>IF(B39&gt;64, Summary!$J$22, 0)*'TV 21'!G39*'TV 21'!F39</f>
        <v>1147.675760697073</v>
      </c>
      <c r="I39" s="1"/>
    </row>
    <row r="40" spans="1:9">
      <c r="A40" s="1">
        <f t="shared" si="4"/>
        <v>2057</v>
      </c>
      <c r="B40" s="1">
        <f t="shared" si="1"/>
        <v>87</v>
      </c>
      <c r="C40" s="1">
        <v>38</v>
      </c>
      <c r="D40" s="1">
        <f>IF(Summary!$G$22="M",VLOOKUP(B:B,'male g'!A:V,IF(A40&gt;2033,22,MATCH(A40,'male g'!$A$1:$V$1,0)),FALSE),VLOOKUP(B:B,'female g'!A:V,IF(A40&gt;2033,22,MATCH(A40,'female g'!$A$1:$V$1,0)),FALSE))</f>
        <v>6.5370790999999998E-2</v>
      </c>
      <c r="E40" s="1">
        <f t="shared" si="2"/>
        <v>0.93462920900000002</v>
      </c>
      <c r="F40" s="1">
        <f t="shared" si="3"/>
        <v>0.94191369300000005</v>
      </c>
      <c r="G40" s="1">
        <f>1/(1+Summary!$O$2)^$C40</f>
        <v>0.15660536473605632</v>
      </c>
      <c r="H40" s="1">
        <f>IF(B40&gt;64, Summary!$J$22, 0)*'TV 21'!G40*'TV 21'!F40</f>
        <v>1085.5851200598859</v>
      </c>
      <c r="I40" s="1"/>
    </row>
    <row r="41" spans="1:9">
      <c r="A41" s="1">
        <f t="shared" si="4"/>
        <v>2058</v>
      </c>
      <c r="B41" s="1">
        <f t="shared" si="1"/>
        <v>88</v>
      </c>
      <c r="C41" s="1">
        <v>39</v>
      </c>
      <c r="D41" s="1">
        <f>IF(Summary!$G$22="M",VLOOKUP(B:B,'male g'!A:V,IF(A41&gt;2033,22,MATCH(A41,'male g'!$A$1:$V$1,0)),FALSE),VLOOKUP(B:B,'female g'!A:V,IF(A41&gt;2033,22,MATCH(A41,'female g'!$A$1:$V$1,0)),FALSE))</f>
        <v>7.3564853999999999E-2</v>
      </c>
      <c r="E41" s="1">
        <f t="shared" si="2"/>
        <v>0.92643514599999999</v>
      </c>
      <c r="F41" s="1">
        <f t="shared" si="3"/>
        <v>0.93462920900000002</v>
      </c>
      <c r="G41" s="1">
        <f>1/(1+Summary!$O$2)^$C41</f>
        <v>0.14914796641529171</v>
      </c>
      <c r="H41" s="1">
        <f>IF(B41&gt;64, Summary!$J$22, 0)*'TV 21'!G41*'TV 21'!F41</f>
        <v>1025.8947842078037</v>
      </c>
      <c r="I41" s="1"/>
    </row>
    <row r="42" spans="1:9">
      <c r="A42" s="1">
        <f t="shared" si="4"/>
        <v>2059</v>
      </c>
      <c r="B42" s="1">
        <f t="shared" si="1"/>
        <v>89</v>
      </c>
      <c r="C42" s="1">
        <v>40</v>
      </c>
      <c r="D42" s="1">
        <f>IF(Summary!$G$22="M",VLOOKUP(B:B,'male g'!A:V,IF(A42&gt;2033,22,MATCH(A42,'male g'!$A$1:$V$1,0)),FALSE),VLOOKUP(B:B,'female g'!A:V,IF(A42&gt;2033,22,MATCH(A42,'female g'!$A$1:$V$1,0)),FALSE))</f>
        <v>8.2758546000000002E-2</v>
      </c>
      <c r="E42" s="1">
        <f t="shared" si="2"/>
        <v>0.91724145400000001</v>
      </c>
      <c r="F42" s="1">
        <f t="shared" si="3"/>
        <v>0.92643514599999999</v>
      </c>
      <c r="G42" s="1">
        <f>1/(1+Summary!$O$2)^$C42</f>
        <v>0.14204568230027784</v>
      </c>
      <c r="H42" s="1">
        <f>IF(B42&gt;64, Summary!$J$22, 0)*'TV 21'!G42*'TV 21'!F42</f>
        <v>968.47674231825226</v>
      </c>
      <c r="I42" s="1"/>
    </row>
    <row r="43" spans="1:9">
      <c r="A43" s="1">
        <f t="shared" si="4"/>
        <v>2060</v>
      </c>
      <c r="B43" s="1">
        <f t="shared" si="1"/>
        <v>90</v>
      </c>
      <c r="C43" s="1">
        <v>41</v>
      </c>
      <c r="D43" s="1">
        <f>IF(Summary!$G$22="M",VLOOKUP(B:B,'male g'!A:V,IF(A43&gt;2033,22,MATCH(A43,'male g'!$A$1:$V$1,0)),FALSE),VLOOKUP(B:B,'female g'!A:V,IF(A43&gt;2033,22,MATCH(A43,'female g'!$A$1:$V$1,0)),FALSE))</f>
        <v>9.3062779999999998E-2</v>
      </c>
      <c r="E43" s="1">
        <f t="shared" si="2"/>
        <v>0.90693721999999999</v>
      </c>
      <c r="F43" s="1">
        <f t="shared" si="3"/>
        <v>0.91724145400000001</v>
      </c>
      <c r="G43" s="1">
        <f>1/(1+Summary!$O$2)^$C43</f>
        <v>0.13528160219074079</v>
      </c>
      <c r="H43" s="1">
        <f>IF(B43&gt;64, Summary!$J$22, 0)*'TV 21'!G43*'TV 21'!F43</f>
        <v>913.20556274193336</v>
      </c>
      <c r="I43" s="1"/>
    </row>
    <row r="44" spans="1:9">
      <c r="A44" s="1">
        <f t="shared" si="4"/>
        <v>2061</v>
      </c>
      <c r="B44" s="1">
        <f t="shared" si="1"/>
        <v>91</v>
      </c>
      <c r="C44" s="1">
        <v>42</v>
      </c>
      <c r="D44" s="1">
        <f>IF(Summary!$G$22="M",VLOOKUP(B:B,'male g'!A:V,IF(A44&gt;2033,22,MATCH(A44,'male g'!$A$1:$V$1,0)),FALSE),VLOOKUP(B:B,'female g'!A:V,IF(A44&gt;2033,22,MATCH(A44,'female g'!$A$1:$V$1,0)),FALSE))</f>
        <v>0.104297588</v>
      </c>
      <c r="E44" s="1">
        <f t="shared" si="2"/>
        <v>0.895702412</v>
      </c>
      <c r="F44" s="1">
        <f t="shared" si="3"/>
        <v>0.90693721999999999</v>
      </c>
      <c r="G44" s="1">
        <f>1/(1+Summary!$O$2)^$C44</f>
        <v>0.12883962113403885</v>
      </c>
      <c r="H44" s="1">
        <f>IF(B44&gt;64, Summary!$J$22, 0)*'TV 21'!G44*'TV 21'!F44</f>
        <v>859.94920732928585</v>
      </c>
      <c r="I44" s="1"/>
    </row>
    <row r="45" spans="1:9">
      <c r="A45" s="1">
        <f t="shared" si="4"/>
        <v>2062</v>
      </c>
      <c r="B45" s="1">
        <f t="shared" si="1"/>
        <v>92</v>
      </c>
      <c r="C45" s="1">
        <v>43</v>
      </c>
      <c r="D45" s="1">
        <f>IF(Summary!$G$22="M",VLOOKUP(B:B,'male g'!A:V,IF(A45&gt;2033,22,MATCH(A45,'male g'!$A$1:$V$1,0)),FALSE),VLOOKUP(B:B,'female g'!A:V,IF(A45&gt;2033,22,MATCH(A45,'female g'!$A$1:$V$1,0)),FALSE))</f>
        <v>0.116397271</v>
      </c>
      <c r="E45" s="1">
        <f t="shared" si="2"/>
        <v>0.88360272900000003</v>
      </c>
      <c r="F45" s="1">
        <f t="shared" si="3"/>
        <v>0.895702412</v>
      </c>
      <c r="G45" s="1">
        <f>1/(1+Summary!$O$2)^$C45</f>
        <v>0.12270440108003698</v>
      </c>
      <c r="H45" s="1">
        <f>IF(B45&gt;64, Summary!$J$22, 0)*'TV 21'!G45*'TV 21'!F45</f>
        <v>808.85378068430532</v>
      </c>
      <c r="I45" s="1"/>
    </row>
    <row r="46" spans="1:9">
      <c r="A46" s="1">
        <f t="shared" si="4"/>
        <v>2063</v>
      </c>
      <c r="B46" s="1">
        <f t="shared" si="1"/>
        <v>93</v>
      </c>
      <c r="C46" s="1">
        <v>44</v>
      </c>
      <c r="D46" s="1">
        <f>IF(Summary!$G$22="M",VLOOKUP(B:B,'male g'!A:V,IF(A46&gt;2033,22,MATCH(A46,'male g'!$A$1:$V$1,0)),FALSE),VLOOKUP(B:B,'female g'!A:V,IF(A46&gt;2033,22,MATCH(A46,'female g'!$A$1:$V$1,0)),FALSE))</f>
        <v>0.12927651700000001</v>
      </c>
      <c r="E46" s="1">
        <f t="shared" si="2"/>
        <v>0.87072348300000002</v>
      </c>
      <c r="F46" s="1">
        <f t="shared" si="3"/>
        <v>0.88360272900000003</v>
      </c>
      <c r="G46" s="1">
        <f>1/(1+Summary!$O$2)^$C46</f>
        <v>0.11686133436193999</v>
      </c>
      <c r="H46" s="1">
        <f>IF(B46&gt;64, Summary!$J$22, 0)*'TV 21'!G46*'TV 21'!F46</f>
        <v>759.93076271707696</v>
      </c>
      <c r="I46" s="1"/>
    </row>
    <row r="47" spans="1:9">
      <c r="A47" s="1">
        <f t="shared" si="4"/>
        <v>2064</v>
      </c>
      <c r="B47" s="1">
        <f t="shared" si="1"/>
        <v>94</v>
      </c>
      <c r="C47" s="1">
        <v>45</v>
      </c>
      <c r="D47" s="1">
        <f>IF(Summary!$G$22="M",VLOOKUP(B:B,'male g'!A:V,IF(A47&gt;2033,22,MATCH(A47,'male g'!$A$1:$V$1,0)),FALSE),VLOOKUP(B:B,'female g'!A:V,IF(A47&gt;2033,22,MATCH(A47,'female g'!$A$1:$V$1,0)),FALSE))</f>
        <v>0.14283962</v>
      </c>
      <c r="E47" s="1">
        <f t="shared" si="2"/>
        <v>0.85716038000000006</v>
      </c>
      <c r="F47" s="1">
        <f t="shared" si="3"/>
        <v>0.87072348300000002</v>
      </c>
      <c r="G47" s="1">
        <f>1/(1+Summary!$O$2)^$C47</f>
        <v>0.1112965089161333</v>
      </c>
      <c r="H47" s="1">
        <f>IF(B47&gt;64, Summary!$J$22, 0)*'TV 21'!G47*'TV 21'!F47</f>
        <v>713.19441778106352</v>
      </c>
      <c r="I47" s="1"/>
    </row>
    <row r="48" spans="1:9">
      <c r="A48" s="1">
        <f>$A$2+C48</f>
        <v>2065</v>
      </c>
      <c r="B48" s="1">
        <f>$B$2+C48</f>
        <v>95</v>
      </c>
      <c r="C48" s="1">
        <v>46</v>
      </c>
      <c r="D48" s="1">
        <f>IF(Summary!$G$22="M",VLOOKUP(B:B,'male g'!A:V,IF(A48&gt;2033,22,MATCH(A48,'male g'!$A$1:$V$1,0)),FALSE),VLOOKUP(B:B,'female g'!A:V,IF(A48&gt;2033,22,MATCH(A48,'female g'!$A$1:$V$1,0)),FALSE))</f>
        <v>0.15715622100000001</v>
      </c>
      <c r="E48" s="1">
        <f t="shared" si="2"/>
        <v>0.84284377899999996</v>
      </c>
      <c r="F48" s="1">
        <f t="shared" si="3"/>
        <v>0.85716038000000006</v>
      </c>
      <c r="G48" s="1">
        <f>1/(1+Summary!$O$2)^$C48</f>
        <v>0.10599667515822221</v>
      </c>
      <c r="H48" s="1">
        <f>IF(B48&gt;64, Summary!$J$22, 0)*'TV 21'!G48*'TV 21'!F48</f>
        <v>668.65249207731085</v>
      </c>
      <c r="I48" s="1"/>
    </row>
    <row r="49" spans="1:9">
      <c r="A49" s="1">
        <f t="shared" ref="A49:A73" si="5">$A$2+C49</f>
        <v>2066</v>
      </c>
      <c r="B49" s="1">
        <f t="shared" si="1"/>
        <v>96</v>
      </c>
      <c r="C49" s="1">
        <v>47</v>
      </c>
      <c r="D49" s="1">
        <f>IF(Summary!$G$22="M",VLOOKUP(B:B,'male g'!A:V,IF(A49&gt;2033,22,MATCH(A49,'male g'!$A$1:$V$1,0)),FALSE),VLOOKUP(B:B,'female g'!A:V,IF(A49&gt;2033,22,MATCH(A49,'female g'!$A$1:$V$1,0)),FALSE))</f>
        <v>0.173075216</v>
      </c>
      <c r="E49" s="1">
        <f t="shared" si="2"/>
        <v>0.82692478400000002</v>
      </c>
      <c r="F49" s="1">
        <f t="shared" si="3"/>
        <v>0.84284377899999996</v>
      </c>
      <c r="G49" s="1">
        <f>1/(1+Summary!$O$2)^$C49</f>
        <v>0.10094921443640208</v>
      </c>
      <c r="H49" s="1">
        <f>IF(B49&gt;64, Summary!$J$22, 0)*'TV 21'!G49*'TV 21'!F49</f>
        <v>626.17563583853803</v>
      </c>
      <c r="I49" s="1"/>
    </row>
    <row r="50" spans="1:9">
      <c r="A50" s="1">
        <f t="shared" si="5"/>
        <v>2067</v>
      </c>
      <c r="B50" s="1">
        <f t="shared" si="1"/>
        <v>97</v>
      </c>
      <c r="C50" s="1">
        <v>48</v>
      </c>
      <c r="D50" s="1">
        <f>IF(Summary!$G$22="M",VLOOKUP(B:B,'male g'!A:V,IF(A50&gt;2033,22,MATCH(A50,'male g'!$A$1:$V$1,0)),FALSE),VLOOKUP(B:B,'female g'!A:V,IF(A50&gt;2033,22,MATCH(A50,'female g'!$A$1:$V$1,0)),FALSE))</f>
        <v>0.18989809799999999</v>
      </c>
      <c r="E50" s="1">
        <f t="shared" si="2"/>
        <v>0.81010190199999998</v>
      </c>
      <c r="F50" s="1">
        <f t="shared" si="3"/>
        <v>0.82692478400000002</v>
      </c>
      <c r="G50" s="1">
        <f>1/(1+Summary!$O$2)^$C50</f>
        <v>9.6142108987049613E-2</v>
      </c>
      <c r="H50" s="1">
        <f>IF(B50&gt;64, Summary!$J$22, 0)*'TV 21'!G50*'TV 21'!F50</f>
        <v>585.09419489586821</v>
      </c>
      <c r="I50" s="1"/>
    </row>
    <row r="51" spans="1:9">
      <c r="A51" s="1">
        <f t="shared" si="5"/>
        <v>2068</v>
      </c>
      <c r="B51" s="1">
        <f t="shared" si="1"/>
        <v>98</v>
      </c>
      <c r="C51" s="1">
        <v>49</v>
      </c>
      <c r="D51" s="1">
        <f>IF(Summary!$G$22="M",VLOOKUP(B:B,'male g'!A:V,IF(A51&gt;2033,22,MATCH(A51,'male g'!$A$1:$V$1,0)),FALSE),VLOOKUP(B:B,'female g'!A:V,IF(A51&gt;2033,22,MATCH(A51,'female g'!$A$1:$V$1,0)),FALSE))</f>
        <v>0.2077398</v>
      </c>
      <c r="E51" s="1">
        <f t="shared" si="2"/>
        <v>0.79226019999999997</v>
      </c>
      <c r="F51" s="1">
        <f t="shared" si="3"/>
        <v>0.81010190199999998</v>
      </c>
      <c r="G51" s="1">
        <f>1/(1+Summary!$O$2)^$C51</f>
        <v>9.1563913320999626E-2</v>
      </c>
      <c r="H51" s="1">
        <f>IF(B51&gt;64, Summary!$J$22, 0)*'TV 21'!G51*'TV 21'!F51</f>
        <v>545.89627831576524</v>
      </c>
      <c r="I51" s="1"/>
    </row>
    <row r="52" spans="1:9">
      <c r="A52" s="1">
        <f t="shared" si="5"/>
        <v>2069</v>
      </c>
      <c r="B52" s="1">
        <f t="shared" si="1"/>
        <v>99</v>
      </c>
      <c r="C52" s="1">
        <v>50</v>
      </c>
      <c r="D52" s="1">
        <f>IF(Summary!$G$22="M",VLOOKUP(B:B,'male g'!A:V,IF(A52&gt;2033,22,MATCH(A52,'male g'!$A$1:$V$1,0)),FALSE),VLOOKUP(B:B,'female g'!A:V,IF(A52&gt;2033,22,MATCH(A52,'female g'!$A$1:$V$1,0)),FALSE))</f>
        <v>0.22627810600000001</v>
      </c>
      <c r="E52" s="1">
        <f t="shared" si="2"/>
        <v>0.77372189400000002</v>
      </c>
      <c r="F52" s="1">
        <f t="shared" si="3"/>
        <v>0.79226019999999997</v>
      </c>
      <c r="G52" s="1">
        <f>1/(1+Summary!$O$2)^$C52</f>
        <v>8.7203726972380588E-2</v>
      </c>
      <c r="H52" s="1">
        <f>IF(B52&gt;64, Summary!$J$22, 0)*'TV 21'!G52*'TV 21'!F52</f>
        <v>508.45090166458937</v>
      </c>
      <c r="I52" s="1"/>
    </row>
    <row r="53" spans="1:9">
      <c r="A53" s="1">
        <f t="shared" si="5"/>
        <v>2070</v>
      </c>
      <c r="B53" s="1">
        <f t="shared" si="1"/>
        <v>100</v>
      </c>
      <c r="C53" s="1">
        <v>51</v>
      </c>
      <c r="D53" s="1">
        <f>IF(Summary!$G$22="M",VLOOKUP(B:B,'male g'!A:V,IF(A53&gt;2033,22,MATCH(A53,'male g'!$A$1:$V$1,0)),FALSE),VLOOKUP(B:B,'female g'!A:V,IF(A53&gt;2033,22,MATCH(A53,'female g'!$A$1:$V$1,0)),FALSE))</f>
        <v>0.245586414</v>
      </c>
      <c r="E53" s="1">
        <f t="shared" si="2"/>
        <v>0.75441358599999997</v>
      </c>
      <c r="F53" s="1">
        <f t="shared" si="3"/>
        <v>0.77372189400000002</v>
      </c>
      <c r="G53" s="1">
        <f>1/(1+Summary!$O$2)^$C53</f>
        <v>8.3051168545124371E-2</v>
      </c>
      <c r="H53" s="1">
        <f>IF(B53&gt;64, Summary!$J$22, 0)*'TV 21'!G53*'TV 21'!F53</f>
        <v>472.90811858448228</v>
      </c>
      <c r="I53" s="1"/>
    </row>
    <row r="54" spans="1:9">
      <c r="A54" s="1">
        <f t="shared" si="5"/>
        <v>2071</v>
      </c>
      <c r="B54" s="1">
        <f t="shared" si="1"/>
        <v>101</v>
      </c>
      <c r="C54" s="1">
        <v>52</v>
      </c>
      <c r="D54" s="1">
        <f>IF(Summary!$G$22="M",VLOOKUP(B:B,'male g'!A:V,IF(A54&gt;2033,22,MATCH(A54,'male g'!$A$1:$V$1,0)),FALSE),VLOOKUP(B:B,'female g'!A:V,IF(A54&gt;2033,22,MATCH(A54,'female g'!$A$1:$V$1,0)),FALSE))</f>
        <v>0.26569467200000002</v>
      </c>
      <c r="E54" s="1">
        <f t="shared" si="2"/>
        <v>0.73430532800000003</v>
      </c>
      <c r="F54" s="1">
        <f t="shared" si="3"/>
        <v>0.75441358599999997</v>
      </c>
      <c r="G54" s="1">
        <f>1/(1+Summary!$O$2)^$C54</f>
        <v>7.9096350995356543E-2</v>
      </c>
      <c r="H54" s="1">
        <f>IF(B54&gt;64, Summary!$J$22, 0)*'TV 21'!G54*'TV 21'!F54</f>
        <v>439.14918926477617</v>
      </c>
      <c r="I54" s="1"/>
    </row>
    <row r="55" spans="1:9">
      <c r="A55" s="1">
        <f t="shared" si="5"/>
        <v>2072</v>
      </c>
      <c r="B55" s="1">
        <f t="shared" si="1"/>
        <v>102</v>
      </c>
      <c r="C55" s="1">
        <v>53</v>
      </c>
      <c r="D55" s="1">
        <f>IF(Summary!$G$22="M",VLOOKUP(B:B,'male g'!A:V,IF(A55&gt;2033,22,MATCH(A55,'male g'!$A$1:$V$1,0)),FALSE),VLOOKUP(B:B,'female g'!A:V,IF(A55&gt;2033,22,MATCH(A55,'female g'!$A$1:$V$1,0)),FALSE))</f>
        <v>0.28621307499999998</v>
      </c>
      <c r="E55" s="1">
        <f t="shared" si="2"/>
        <v>0.71378692499999996</v>
      </c>
      <c r="F55" s="1">
        <f t="shared" si="3"/>
        <v>0.73430532800000003</v>
      </c>
      <c r="G55" s="1">
        <f>1/(1+Summary!$O$2)^$C55</f>
        <v>7.5329858090815757E-2</v>
      </c>
      <c r="H55" s="1">
        <f>IF(B55&gt;64, Summary!$J$22, 0)*'TV 21'!G55*'TV 21'!F55</f>
        <v>407.08955992691313</v>
      </c>
      <c r="I55" s="1"/>
    </row>
    <row r="56" spans="1:9">
      <c r="A56" s="1">
        <f t="shared" si="5"/>
        <v>2073</v>
      </c>
      <c r="B56" s="1">
        <f t="shared" si="1"/>
        <v>103</v>
      </c>
      <c r="C56" s="1">
        <v>54</v>
      </c>
      <c r="D56" s="1">
        <f>IF(Summary!$G$22="M",VLOOKUP(B:B,'male g'!A:V,IF(A56&gt;2033,22,MATCH(A56,'male g'!$A$1:$V$1,0)),FALSE),VLOOKUP(B:B,'female g'!A:V,IF(A56&gt;2033,22,MATCH(A56,'female g'!$A$1:$V$1,0)),FALSE))</f>
        <v>0.306855239</v>
      </c>
      <c r="E56" s="1">
        <f t="shared" si="2"/>
        <v>0.693144761</v>
      </c>
      <c r="F56" s="1">
        <f t="shared" si="3"/>
        <v>0.71378692499999996</v>
      </c>
      <c r="G56" s="1">
        <f>1/(1+Summary!$O$2)^$C56</f>
        <v>7.1742721991253117E-2</v>
      </c>
      <c r="H56" s="1">
        <f>IF(B56&gt;64, Summary!$J$22, 0)*'TV 21'!G56*'TV 21'!F56</f>
        <v>376.87087386551207</v>
      </c>
      <c r="I56" s="1"/>
    </row>
    <row r="57" spans="1:9">
      <c r="A57" s="1">
        <f t="shared" si="5"/>
        <v>2074</v>
      </c>
      <c r="B57" s="1">
        <f t="shared" si="1"/>
        <v>104</v>
      </c>
      <c r="C57" s="1">
        <v>55</v>
      </c>
      <c r="D57" s="1">
        <f>IF(Summary!$G$22="M",VLOOKUP(B:B,'male g'!A:V,IF(A57&gt;2033,22,MATCH(A57,'male g'!$A$1:$V$1,0)),FALSE),VLOOKUP(B:B,'female g'!A:V,IF(A57&gt;2033,22,MATCH(A57,'female g'!$A$1:$V$1,0)),FALSE))</f>
        <v>0.32781771999999998</v>
      </c>
      <c r="E57" s="1">
        <f t="shared" si="2"/>
        <v>0.67218228000000002</v>
      </c>
      <c r="F57" s="1">
        <f t="shared" si="3"/>
        <v>0.693144761</v>
      </c>
      <c r="G57" s="1">
        <f>1/(1+Summary!$O$2)^$C57</f>
        <v>6.8326401896431521E-2</v>
      </c>
      <c r="H57" s="1">
        <f>IF(B57&gt;64, Summary!$J$22, 0)*'TV 21'!G57*'TV 21'!F57</f>
        <v>348.54481964811299</v>
      </c>
      <c r="I57" s="1"/>
    </row>
    <row r="58" spans="1:9">
      <c r="A58" s="1">
        <f t="shared" si="5"/>
        <v>2075</v>
      </c>
      <c r="B58" s="1">
        <f t="shared" si="1"/>
        <v>105</v>
      </c>
      <c r="C58" s="1">
        <v>56</v>
      </c>
      <c r="D58" s="1">
        <f>IF(Summary!$G$22="M",VLOOKUP(B:B,'male g'!A:V,IF(A58&gt;2033,22,MATCH(A58,'male g'!$A$1:$V$1,0)),FALSE),VLOOKUP(B:B,'female g'!A:V,IF(A58&gt;2033,22,MATCH(A58,'female g'!$A$1:$V$1,0)),FALSE))</f>
        <v>0.34877203800000001</v>
      </c>
      <c r="E58" s="1">
        <f t="shared" si="2"/>
        <v>0.65122796199999999</v>
      </c>
      <c r="F58" s="1">
        <f t="shared" si="3"/>
        <v>0.67218228000000002</v>
      </c>
      <c r="G58" s="1">
        <f>1/(1+Summary!$O$2)^$C58</f>
        <v>6.5072763710887174E-2</v>
      </c>
      <c r="H58" s="1">
        <f>IF(B58&gt;64, Summary!$J$22, 0)*'TV 21'!G58*'TV 21'!F58</f>
        <v>321.90850239360498</v>
      </c>
      <c r="I58" s="1"/>
    </row>
    <row r="59" spans="1:9">
      <c r="A59" s="1">
        <f t="shared" si="5"/>
        <v>2076</v>
      </c>
      <c r="B59" s="1">
        <f t="shared" si="1"/>
        <v>106</v>
      </c>
      <c r="C59" s="1">
        <v>57</v>
      </c>
      <c r="D59" s="1">
        <f>IF(Summary!$G$22="M",VLOOKUP(B:B,'male g'!A:V,IF(A59&gt;2033,22,MATCH(A59,'male g'!$A$1:$V$1,0)),FALSE),VLOOKUP(B:B,'female g'!A:V,IF(A59&gt;2033,22,MATCH(A59,'female g'!$A$1:$V$1,0)),FALSE))</f>
        <v>0.36963544999999998</v>
      </c>
      <c r="E59" s="1">
        <f t="shared" si="2"/>
        <v>0.63036455000000002</v>
      </c>
      <c r="F59" s="1">
        <f t="shared" si="3"/>
        <v>0.65122796199999999</v>
      </c>
      <c r="G59" s="1">
        <f>1/(1+Summary!$O$2)^$C59</f>
        <v>6.1974060677035397E-2</v>
      </c>
      <c r="H59" s="1">
        <f>IF(B59&gt;64, Summary!$J$22, 0)*'TV 21'!G59*'TV 21'!F59</f>
        <v>297.02234930376534</v>
      </c>
      <c r="I59" s="1"/>
    </row>
    <row r="60" spans="1:9">
      <c r="A60" s="1">
        <f t="shared" si="5"/>
        <v>2077</v>
      </c>
      <c r="B60" s="1">
        <f t="shared" si="1"/>
        <v>107</v>
      </c>
      <c r="C60" s="1">
        <v>58</v>
      </c>
      <c r="D60" s="1">
        <f>IF(Summary!$G$22="M",VLOOKUP(B:B,'male g'!A:V,IF(A60&gt;2033,22,MATCH(A60,'male g'!$A$1:$V$1,0)),FALSE),VLOOKUP(B:B,'female g'!A:V,IF(A60&gt;2033,22,MATCH(A60,'female g'!$A$1:$V$1,0)),FALSE))</f>
        <v>0.39012102100000001</v>
      </c>
      <c r="E60" s="1">
        <f t="shared" si="2"/>
        <v>0.60987897899999999</v>
      </c>
      <c r="F60" s="1">
        <f t="shared" si="3"/>
        <v>0.63036455000000002</v>
      </c>
      <c r="G60" s="1">
        <f>1/(1+Summary!$O$2)^$C60</f>
        <v>5.9022914930509894E-2</v>
      </c>
      <c r="H60" s="1">
        <f>IF(B60&gt;64, Summary!$J$22, 0)*'TV 21'!G60*'TV 21'!F60</f>
        <v>273.81584225210707</v>
      </c>
      <c r="I60" s="1"/>
    </row>
    <row r="61" spans="1:9">
      <c r="A61" s="1">
        <f t="shared" si="5"/>
        <v>2078</v>
      </c>
      <c r="B61" s="1">
        <f t="shared" si="1"/>
        <v>108</v>
      </c>
      <c r="C61" s="1">
        <v>59</v>
      </c>
      <c r="D61" s="1">
        <f>IF(Summary!$G$22="M",VLOOKUP(B:B,'male g'!A:V,IF(A61&gt;2033,22,MATCH(A61,'male g'!$A$1:$V$1,0)),FALSE),VLOOKUP(B:B,'female g'!A:V,IF(A61&gt;2033,22,MATCH(A61,'female g'!$A$1:$V$1,0)),FALSE))</f>
        <v>0.40992095000000001</v>
      </c>
      <c r="E61" s="1">
        <f t="shared" si="2"/>
        <v>0.59007904999999994</v>
      </c>
      <c r="F61" s="1">
        <f t="shared" si="3"/>
        <v>0.60987897899999999</v>
      </c>
      <c r="G61" s="1">
        <f>1/(1+Summary!$O$2)^$C61</f>
        <v>5.6212299933818946E-2</v>
      </c>
      <c r="H61" s="1">
        <f>IF(B61&gt;64, Summary!$J$22, 0)*'TV 21'!G61*'TV 21'!F61</f>
        <v>252.30226859429067</v>
      </c>
      <c r="I61" s="1"/>
    </row>
    <row r="62" spans="1:9">
      <c r="A62" s="1">
        <f t="shared" si="5"/>
        <v>2079</v>
      </c>
      <c r="B62" s="1">
        <f t="shared" si="1"/>
        <v>109</v>
      </c>
      <c r="C62" s="1">
        <v>60</v>
      </c>
      <c r="D62" s="1">
        <f>IF(Summary!$G$22="M",VLOOKUP(B:B,'male g'!A:V,IF(A62&gt;2033,22,MATCH(A62,'male g'!$A$1:$V$1,0)),FALSE),VLOOKUP(B:B,'female g'!A:V,IF(A62&gt;2033,22,MATCH(A62,'female g'!$A$1:$V$1,0)),FALSE))</f>
        <v>0.42944720199999997</v>
      </c>
      <c r="E62" s="1">
        <f t="shared" si="2"/>
        <v>0.57055279800000003</v>
      </c>
      <c r="F62" s="1">
        <f t="shared" si="3"/>
        <v>0.59007904999999994</v>
      </c>
      <c r="G62" s="1">
        <f>1/(1+Summary!$O$2)^$C62</f>
        <v>5.3535523746494243E-2</v>
      </c>
      <c r="H62" s="1">
        <f>IF(B62&gt;64, Summary!$J$22, 0)*'TV 21'!G62*'TV 21'!F62</f>
        <v>232.48684706513424</v>
      </c>
      <c r="I62" s="1"/>
    </row>
    <row r="63" spans="1:9">
      <c r="A63" s="1">
        <f t="shared" si="5"/>
        <v>2080</v>
      </c>
      <c r="B63" s="1">
        <f t="shared" si="1"/>
        <v>110</v>
      </c>
      <c r="C63" s="1">
        <v>61</v>
      </c>
      <c r="D63" s="1">
        <f>IF(Summary!$G$22="M",VLOOKUP(B:B,'male g'!A:V,IF(A63&gt;2033,22,MATCH(A63,'male g'!$A$1:$V$1,0)),FALSE),VLOOKUP(B:B,'female g'!A:V,IF(A63&gt;2033,22,MATCH(A63,'female g'!$A$1:$V$1,0)),FALSE))</f>
        <v>0.44824126199999997</v>
      </c>
      <c r="E63" s="1">
        <f t="shared" si="2"/>
        <v>0.55175873799999997</v>
      </c>
      <c r="F63" s="1">
        <f t="shared" si="3"/>
        <v>0.57055279800000003</v>
      </c>
      <c r="G63" s="1">
        <f>1/(1+Summary!$O$2)^$C63</f>
        <v>5.0986213091899268E-2</v>
      </c>
      <c r="H63" s="1">
        <f>IF(B63&gt;64, Summary!$J$22, 0)*'TV 21'!G63*'TV 21'!F63</f>
        <v>214.08918668844601</v>
      </c>
      <c r="I63" s="1"/>
    </row>
    <row r="64" spans="1:9">
      <c r="A64" s="1">
        <f t="shared" si="5"/>
        <v>2081</v>
      </c>
      <c r="B64" s="1">
        <f t="shared" si="1"/>
        <v>111</v>
      </c>
      <c r="C64" s="1">
        <v>62</v>
      </c>
      <c r="D64" s="1">
        <f>IF(Summary!$G$22="M",VLOOKUP(B:B,'male g'!A:V,IF(A64&gt;2033,22,MATCH(A64,'male g'!$A$1:$V$1,0)),FALSE),VLOOKUP(B:B,'female g'!A:V,IF(A64&gt;2033,22,MATCH(A64,'female g'!$A$1:$V$1,0)),FALSE))</f>
        <v>0.46617251599999998</v>
      </c>
      <c r="E64" s="1">
        <f t="shared" si="2"/>
        <v>0.53382748400000002</v>
      </c>
      <c r="F64" s="1">
        <f t="shared" si="3"/>
        <v>0.55175873799999997</v>
      </c>
      <c r="G64" s="1">
        <f>1/(1+Summary!$O$2)^$C64</f>
        <v>4.855829818276123E-2</v>
      </c>
      <c r="H64" s="1">
        <f>IF(B64&gt;64, Summary!$J$22, 0)*'TV 21'!G64*'TV 21'!F64</f>
        <v>197.17816171854579</v>
      </c>
      <c r="I64" s="1"/>
    </row>
    <row r="65" spans="1:9">
      <c r="A65" s="1">
        <f t="shared" si="5"/>
        <v>2082</v>
      </c>
      <c r="B65" s="1">
        <f t="shared" si="1"/>
        <v>112</v>
      </c>
      <c r="C65" s="1">
        <v>63</v>
      </c>
      <c r="D65" s="1">
        <f>IF(Summary!$G$22="M",VLOOKUP(B:B,'male g'!A:V,IF(A65&gt;2033,22,MATCH(A65,'male g'!$A$1:$V$1,0)),FALSE),VLOOKUP(B:B,'female g'!A:V,IF(A65&gt;2033,22,MATCH(A65,'female g'!$A$1:$V$1,0)),FALSE))</f>
        <v>0.48365765799999999</v>
      </c>
      <c r="E65" s="1">
        <f t="shared" si="2"/>
        <v>0.51634234199999995</v>
      </c>
      <c r="F65" s="1">
        <f t="shared" si="3"/>
        <v>0.53382748400000002</v>
      </c>
      <c r="G65" s="1">
        <f>1/(1+Summary!$O$2)^$C65</f>
        <v>4.6245998269296387E-2</v>
      </c>
      <c r="H65" s="1">
        <f>IF(B65&gt;64, Summary!$J$22, 0)*'TV 21'!G65*'TV 21'!F65</f>
        <v>181.68589987700364</v>
      </c>
      <c r="I65" s="1"/>
    </row>
    <row r="66" spans="1:9">
      <c r="A66" s="1">
        <f t="shared" si="5"/>
        <v>2083</v>
      </c>
      <c r="B66" s="1">
        <f t="shared" si="1"/>
        <v>113</v>
      </c>
      <c r="C66" s="1">
        <v>64</v>
      </c>
      <c r="D66" s="1">
        <f>IF(Summary!$G$22="M",VLOOKUP(B:B,'male g'!A:V,IF(A66&gt;2033,22,MATCH(A66,'male g'!$A$1:$V$1,0)),FALSE),VLOOKUP(B:B,'female g'!A:V,IF(A66&gt;2033,22,MATCH(A66,'female g'!$A$1:$V$1,0)),FALSE))</f>
        <v>0.49353991000000003</v>
      </c>
      <c r="E66" s="1">
        <f t="shared" si="2"/>
        <v>0.50646009000000003</v>
      </c>
      <c r="F66" s="1">
        <f t="shared" si="3"/>
        <v>0.51634234199999995</v>
      </c>
      <c r="G66" s="1">
        <f>1/(1+Summary!$O$2)^$C66</f>
        <v>4.4043807875520369E-2</v>
      </c>
      <c r="H66" s="1">
        <f>IF(B66&gt;64, Summary!$J$22, 0)*'TV 21'!G66*'TV 21'!F66</f>
        <v>167.36657773144222</v>
      </c>
      <c r="I66" s="1"/>
    </row>
    <row r="67" spans="1:9">
      <c r="A67" s="1">
        <f t="shared" si="5"/>
        <v>2084</v>
      </c>
      <c r="B67" s="1">
        <f t="shared" si="1"/>
        <v>114</v>
      </c>
      <c r="C67" s="1">
        <v>65</v>
      </c>
      <c r="D67" s="1">
        <f>IF(Summary!$G$22="M",VLOOKUP(B:B,'male g'!A:V,IF(A67&gt;2033,22,MATCH(A67,'male g'!$A$1:$V$1,0)),FALSE),VLOOKUP(B:B,'female g'!A:V,IF(A67&gt;2033,22,MATCH(A67,'female g'!$A$1:$V$1,0)),FALSE))</f>
        <v>0.49666062900000002</v>
      </c>
      <c r="E67" s="1">
        <f t="shared" si="2"/>
        <v>0.50333937100000004</v>
      </c>
      <c r="F67" s="1">
        <f t="shared" si="3"/>
        <v>0.50646009000000003</v>
      </c>
      <c r="G67" s="1">
        <f>1/(1+Summary!$O$2)^$C67</f>
        <v>4.1946483690971779E-2</v>
      </c>
      <c r="H67" s="1">
        <f>IF(B67&gt;64, Summary!$J$22, 0)*'TV 21'!G67*'TV 21'!F67</f>
        <v>156.34605391109415</v>
      </c>
      <c r="I67" s="1"/>
    </row>
    <row r="68" spans="1:9">
      <c r="A68" s="1">
        <f t="shared" si="5"/>
        <v>2085</v>
      </c>
      <c r="B68" s="1">
        <f t="shared" ref="B68:B73" si="6">$B$2+C68</f>
        <v>115</v>
      </c>
      <c r="C68" s="1">
        <v>66</v>
      </c>
      <c r="D68" s="1">
        <f>IF(Summary!$G$22="M",VLOOKUP(B:B,'male g'!A:V,IF(A68&gt;2033,22,MATCH(A68,'male g'!$A$1:$V$1,0)),FALSE),VLOOKUP(B:B,'female g'!A:V,IF(A68&gt;2033,22,MATCH(A68,'female g'!$A$1:$V$1,0)),FALSE))</f>
        <v>0.5</v>
      </c>
      <c r="E68" s="1">
        <f t="shared" ref="E68:E73" si="7">1-D68</f>
        <v>0.5</v>
      </c>
      <c r="F68" s="1">
        <f t="shared" ref="F68:F73" si="8">E67</f>
        <v>0.50333937100000004</v>
      </c>
      <c r="G68" s="1">
        <f>1/(1+Summary!$O$2)^$C68</f>
        <v>3.9949032086639788E-2</v>
      </c>
      <c r="H68" s="1">
        <f>IF(B68&gt;64, Summary!$J$22, 0)*'TV 21'!G68*'TV 21'!F68</f>
        <v>147.98350163412766</v>
      </c>
      <c r="I68" s="1"/>
    </row>
    <row r="69" spans="1:9">
      <c r="A69" s="1">
        <f t="shared" si="5"/>
        <v>2086</v>
      </c>
      <c r="B69" s="1">
        <f t="shared" si="6"/>
        <v>116</v>
      </c>
      <c r="C69" s="1">
        <v>67</v>
      </c>
      <c r="D69" s="1">
        <f>IF(Summary!$G$22="M",VLOOKUP(B:B,'male g'!A:V,IF(A69&gt;2033,22,MATCH(A69,'male g'!$A$1:$V$1,0)),FALSE),VLOOKUP(B:B,'female g'!A:V,IF(A69&gt;2033,22,MATCH(A69,'female g'!$A$1:$V$1,0)),FALSE))</f>
        <v>0.5</v>
      </c>
      <c r="E69" s="1">
        <f t="shared" si="7"/>
        <v>0.5</v>
      </c>
      <c r="F69" s="1">
        <f t="shared" si="8"/>
        <v>0.5</v>
      </c>
      <c r="G69" s="1">
        <f>1/(1+Summary!$O$2)^$C69</f>
        <v>3.8046697225371226E-2</v>
      </c>
      <c r="H69" s="1">
        <f>IF(B69&gt;64, Summary!$J$22, 0)*'TV 21'!G69*'TV 21'!F69</f>
        <v>140.00163343369647</v>
      </c>
      <c r="I69" s="1"/>
    </row>
    <row r="70" spans="1:9">
      <c r="A70" s="1">
        <f t="shared" si="5"/>
        <v>2087</v>
      </c>
      <c r="B70" s="1">
        <f t="shared" si="6"/>
        <v>117</v>
      </c>
      <c r="C70" s="1">
        <v>68</v>
      </c>
      <c r="D70" s="1">
        <f>IF(Summary!$G$22="M",VLOOKUP(B:B,'male g'!A:V,IF(A70&gt;2033,22,MATCH(A70,'male g'!$A$1:$V$1,0)),FALSE),VLOOKUP(B:B,'female g'!A:V,IF(A70&gt;2033,22,MATCH(A70,'female g'!$A$1:$V$1,0)),FALSE))</f>
        <v>0.5</v>
      </c>
      <c r="E70" s="1">
        <f t="shared" si="7"/>
        <v>0.5</v>
      </c>
      <c r="F70" s="1">
        <f t="shared" si="8"/>
        <v>0.5</v>
      </c>
      <c r="G70" s="1">
        <f>1/(1+Summary!$O$2)^$C70</f>
        <v>3.6234949738448791E-2</v>
      </c>
      <c r="H70" s="1">
        <f>IF(B70&gt;64, Summary!$J$22, 0)*'TV 21'!G70*'TV 21'!F70</f>
        <v>133.33488898447285</v>
      </c>
      <c r="I70" s="1"/>
    </row>
    <row r="71" spans="1:9">
      <c r="A71" s="1">
        <f t="shared" si="5"/>
        <v>2088</v>
      </c>
      <c r="B71" s="1">
        <f t="shared" si="6"/>
        <v>118</v>
      </c>
      <c r="C71" s="1">
        <v>69</v>
      </c>
      <c r="D71" s="1">
        <f>IF(Summary!$G$22="M",VLOOKUP(B:B,'male g'!A:V,IF(A71&gt;2033,22,MATCH(A71,'male g'!$A$1:$V$1,0)),FALSE),VLOOKUP(B:B,'female g'!A:V,IF(A71&gt;2033,22,MATCH(A71,'female g'!$A$1:$V$1,0)),FALSE))</f>
        <v>0.5</v>
      </c>
      <c r="E71" s="1">
        <f t="shared" si="7"/>
        <v>0.5</v>
      </c>
      <c r="F71" s="1">
        <f t="shared" si="8"/>
        <v>0.5</v>
      </c>
      <c r="G71" s="1">
        <f>1/(1+Summary!$O$2)^$C71</f>
        <v>3.4509475941379798E-2</v>
      </c>
      <c r="H71" s="1">
        <f>IF(B71&gt;64, Summary!$J$22, 0)*'TV 21'!G71*'TV 21'!F71</f>
        <v>126.9856085566408</v>
      </c>
      <c r="I71" s="1"/>
    </row>
    <row r="72" spans="1:9">
      <c r="A72" s="1">
        <f t="shared" si="5"/>
        <v>2089</v>
      </c>
      <c r="B72" s="1">
        <f t="shared" si="6"/>
        <v>119</v>
      </c>
      <c r="C72" s="1">
        <v>70</v>
      </c>
      <c r="D72" s="1">
        <f>IF(Summary!$G$22="M",VLOOKUP(B:B,'male g'!A:V,IF(A72&gt;2033,22,MATCH(A72,'male g'!$A$1:$V$1,0)),FALSE),VLOOKUP(B:B,'female g'!A:V,IF(A72&gt;2033,22,MATCH(A72,'female g'!$A$1:$V$1,0)),FALSE))</f>
        <v>0.5</v>
      </c>
      <c r="E72" s="1">
        <f t="shared" si="7"/>
        <v>0.5</v>
      </c>
      <c r="F72" s="1">
        <f t="shared" si="8"/>
        <v>0.5</v>
      </c>
      <c r="G72" s="1">
        <f>1/(1+Summary!$O$2)^$C72</f>
        <v>3.2866167563218862E-2</v>
      </c>
      <c r="H72" s="1">
        <f>IF(B72&gt;64, Summary!$J$22, 0)*'TV 21'!G72*'TV 21'!F72</f>
        <v>120.9386748158484</v>
      </c>
      <c r="I72" s="1"/>
    </row>
    <row r="73" spans="1:9">
      <c r="A73" s="1">
        <f t="shared" si="5"/>
        <v>2090</v>
      </c>
      <c r="B73" s="1">
        <f t="shared" si="6"/>
        <v>120</v>
      </c>
      <c r="C73" s="1">
        <v>71</v>
      </c>
      <c r="D73" s="1">
        <f>IF(Summary!$G$22="M",VLOOKUP(B:B,'male g'!A:V,IF(A73&gt;2033,22,MATCH(A73,'male g'!$A$1:$V$1,0)),FALSE),VLOOKUP(B:B,'female g'!A:V,IF(A73&gt;2033,22,MATCH(A73,'female g'!$A$1:$V$1,0)),FALSE))</f>
        <v>1</v>
      </c>
      <c r="E73" s="1">
        <f t="shared" si="7"/>
        <v>0</v>
      </c>
      <c r="F73" s="1">
        <f t="shared" si="8"/>
        <v>0.5</v>
      </c>
      <c r="G73" s="1">
        <f>1/(1+Summary!$O$2)^$C73</f>
        <v>3.1301111964970339E-2</v>
      </c>
      <c r="H73" s="1">
        <f>IF(B73&gt;64, Summary!$J$22, 0)*'TV 21'!G73*'TV 21'!F73</f>
        <v>115.17969030080799</v>
      </c>
      <c r="I73" s="1"/>
    </row>
    <row r="74" spans="1:9">
      <c r="A74" s="1"/>
    </row>
    <row r="75" spans="1:9">
      <c r="A75" s="1"/>
    </row>
    <row r="76" spans="1:9">
      <c r="A76" s="1"/>
    </row>
    <row r="77" spans="1:9">
      <c r="A77" s="1"/>
    </row>
    <row r="78" spans="1:9">
      <c r="A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98"/>
  <sheetViews>
    <sheetView workbookViewId="0">
      <selection activeCell="E18" sqref="E18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Summary!H23</f>
        <v>54</v>
      </c>
      <c r="C2" s="1">
        <v>0</v>
      </c>
      <c r="D2" s="1">
        <f>IF(Summary!$G$23="M",VLOOKUP(B:B,'male g'!A:V,IF(A2&gt;2033,22,MATCH(A2,'male g'!$A$1:$V$1,0)),FALSE),VLOOKUP(B:B,'female g'!A:V,IF(A2&gt;2033,22,MATCH(A2,'female g'!$A$1:$V$1,0)),FALSE))</f>
        <v>3.4468430000000002E-3</v>
      </c>
      <c r="E2" s="1">
        <f>1-D2</f>
        <v>0.99655315700000002</v>
      </c>
      <c r="F2" s="1">
        <v>1</v>
      </c>
      <c r="G2" s="1">
        <f>1/(1+Summary!$O$2)^$C2</f>
        <v>1</v>
      </c>
      <c r="H2" s="1">
        <f>IF(B2&gt;64, Summary!$J$23, 0)*'TV 22'!G2*'TV 22'!F2</f>
        <v>0</v>
      </c>
      <c r="I2" s="1">
        <f>SUM(H2:H68)</f>
        <v>155643.68384853777</v>
      </c>
    </row>
    <row r="3" spans="1:9">
      <c r="A3" s="1">
        <f>$A$2+C3</f>
        <v>2020</v>
      </c>
      <c r="B3" s="1">
        <f>$B$2+C3</f>
        <v>55</v>
      </c>
      <c r="C3" s="1">
        <v>1</v>
      </c>
      <c r="D3" s="1">
        <f>IF(Summary!$G$23="M",VLOOKUP(B:B,'male g'!A:V,IF(A3&gt;2033,22,MATCH(A3,'male g'!$A$1:$V$1,0)),FALSE),VLOOKUP(B:B,'female g'!A:V,IF(A3&gt;2033,22,MATCH(A3,'female g'!$A$1:$V$1,0)),FALSE))</f>
        <v>3.6801099999999999E-3</v>
      </c>
      <c r="E3" s="1">
        <f>1-D3</f>
        <v>0.99631988999999999</v>
      </c>
      <c r="F3" s="1">
        <f>E2</f>
        <v>0.99655315700000002</v>
      </c>
      <c r="G3" s="1">
        <f>1/(1+Summary!$O$2)^$C3</f>
        <v>0.95238095238095233</v>
      </c>
      <c r="H3" s="1">
        <f>IF(B3&gt;64, Summary!$J$23, 0)*'TV 22'!G3*'TV 22'!F3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56</v>
      </c>
      <c r="C4" s="1">
        <v>2</v>
      </c>
      <c r="D4" s="1">
        <f>IF(Summary!$G$23="M",VLOOKUP(B:B,'male g'!A:V,IF(A4&gt;2033,22,MATCH(A4,'male g'!$A$1:$V$1,0)),FALSE),VLOOKUP(B:B,'female g'!A:V,IF(A4&gt;2033,22,MATCH(A4,'female g'!$A$1:$V$1,0)),FALSE))</f>
        <v>3.9373480000000002E-3</v>
      </c>
      <c r="E4" s="1">
        <f t="shared" ref="E4:E67" si="2">1-D4</f>
        <v>0.99606265199999999</v>
      </c>
      <c r="F4" s="1">
        <f t="shared" ref="F4:F67" si="3">E3</f>
        <v>0.99631988999999999</v>
      </c>
      <c r="G4" s="1">
        <f>1/(1+Summary!$O$2)^$C4</f>
        <v>0.90702947845804982</v>
      </c>
      <c r="H4" s="1">
        <f>IF(B4&gt;64, Summary!$J$23, 0)*'TV 22'!G4*'TV 22'!F4</f>
        <v>0</v>
      </c>
      <c r="I4" s="1"/>
    </row>
    <row r="5" spans="1:9">
      <c r="A5" s="1">
        <f t="shared" si="0"/>
        <v>2022</v>
      </c>
      <c r="B5" s="1">
        <f t="shared" si="1"/>
        <v>57</v>
      </c>
      <c r="C5" s="1">
        <v>3</v>
      </c>
      <c r="D5" s="1">
        <f>IF(Summary!$G$23="M",VLOOKUP(B:B,'male g'!A:V,IF(A5&gt;2033,22,MATCH(A5,'male g'!$A$1:$V$1,0)),FALSE),VLOOKUP(B:B,'female g'!A:V,IF(A5&gt;2033,22,MATCH(A5,'female g'!$A$1:$V$1,0)),FALSE))</f>
        <v>4.2210809999999998E-3</v>
      </c>
      <c r="E5" s="1">
        <f t="shared" si="2"/>
        <v>0.99577891900000004</v>
      </c>
      <c r="F5" s="1">
        <f t="shared" si="3"/>
        <v>0.99606265199999999</v>
      </c>
      <c r="G5" s="1">
        <f>1/(1+Summary!$O$2)^$C5</f>
        <v>0.86383759853147601</v>
      </c>
      <c r="H5" s="1">
        <f>IF(B5&gt;64, Summary!$J$23, 0)*'TV 22'!G5*'TV 22'!F5</f>
        <v>0</v>
      </c>
      <c r="I5" s="1"/>
    </row>
    <row r="6" spans="1:9">
      <c r="A6" s="1">
        <f t="shared" si="0"/>
        <v>2023</v>
      </c>
      <c r="B6" s="1">
        <f t="shared" si="1"/>
        <v>58</v>
      </c>
      <c r="C6" s="1">
        <v>4</v>
      </c>
      <c r="D6" s="1">
        <f>IF(Summary!$G$23="M",VLOOKUP(B:B,'male g'!A:V,IF(A6&gt;2033,22,MATCH(A6,'male g'!$A$1:$V$1,0)),FALSE),VLOOKUP(B:B,'female g'!A:V,IF(A6&gt;2033,22,MATCH(A6,'female g'!$A$1:$V$1,0)),FALSE))</f>
        <v>4.5312620000000003E-3</v>
      </c>
      <c r="E6" s="1">
        <f t="shared" si="2"/>
        <v>0.99546873800000002</v>
      </c>
      <c r="F6" s="1">
        <f t="shared" si="3"/>
        <v>0.99577891900000004</v>
      </c>
      <c r="G6" s="1">
        <f>1/(1+Summary!$O$2)^$C6</f>
        <v>0.82270247479188197</v>
      </c>
      <c r="H6" s="1">
        <f>IF(B6&gt;64, Summary!$J$23, 0)*'TV 22'!G6*'TV 22'!F6</f>
        <v>0</v>
      </c>
      <c r="I6" s="1"/>
    </row>
    <row r="7" spans="1:9">
      <c r="A7" s="1">
        <f t="shared" si="0"/>
        <v>2024</v>
      </c>
      <c r="B7" s="1">
        <f t="shared" si="1"/>
        <v>59</v>
      </c>
      <c r="C7" s="1">
        <v>5</v>
      </c>
      <c r="D7" s="1">
        <f>IF(Summary!$G$23="M",VLOOKUP(B:B,'male g'!A:V,IF(A7&gt;2033,22,MATCH(A7,'male g'!$A$1:$V$1,0)),FALSE),VLOOKUP(B:B,'female g'!A:V,IF(A7&gt;2033,22,MATCH(A7,'female g'!$A$1:$V$1,0)),FALSE))</f>
        <v>4.8726580000000002E-3</v>
      </c>
      <c r="E7" s="1">
        <f t="shared" si="2"/>
        <v>0.99512734199999997</v>
      </c>
      <c r="F7" s="1">
        <f t="shared" si="3"/>
        <v>0.99546873800000002</v>
      </c>
      <c r="G7" s="1">
        <f>1/(1+Summary!$O$2)^$C7</f>
        <v>0.78352616646845896</v>
      </c>
      <c r="H7" s="1">
        <f>IF(B7&gt;64, Summary!$J$23, 0)*'TV 22'!G7*'TV 22'!F7</f>
        <v>0</v>
      </c>
      <c r="I7" s="1"/>
    </row>
    <row r="8" spans="1:9">
      <c r="A8" s="1">
        <f t="shared" si="0"/>
        <v>2025</v>
      </c>
      <c r="B8" s="1">
        <f t="shared" si="1"/>
        <v>60</v>
      </c>
      <c r="C8" s="1">
        <v>6</v>
      </c>
      <c r="D8" s="1">
        <f>IF(Summary!$G$23="M",VLOOKUP(B:B,'male g'!A:V,IF(A8&gt;2033,22,MATCH(A8,'male g'!$A$1:$V$1,0)),FALSE),VLOOKUP(B:B,'female g'!A:V,IF(A8&gt;2033,22,MATCH(A8,'female g'!$A$1:$V$1,0)),FALSE))</f>
        <v>5.2458779999999998E-3</v>
      </c>
      <c r="E8" s="1">
        <f t="shared" si="2"/>
        <v>0.99475412200000002</v>
      </c>
      <c r="F8" s="1">
        <f t="shared" si="3"/>
        <v>0.99512734199999997</v>
      </c>
      <c r="G8" s="1">
        <f>1/(1+Summary!$O$2)^$C8</f>
        <v>0.74621539663662761</v>
      </c>
      <c r="H8" s="1">
        <f>IF(B8&gt;64, Summary!$J$23, 0)*'TV 22'!G8*'TV 22'!F8</f>
        <v>0</v>
      </c>
      <c r="I8" s="1"/>
    </row>
    <row r="9" spans="1:9">
      <c r="A9" s="1">
        <f t="shared" si="0"/>
        <v>2026</v>
      </c>
      <c r="B9" s="1">
        <f t="shared" si="1"/>
        <v>61</v>
      </c>
      <c r="C9" s="1">
        <v>7</v>
      </c>
      <c r="D9" s="1">
        <f>IF(Summary!$G$23="M",VLOOKUP(B:B,'male g'!A:V,IF(A9&gt;2033,22,MATCH(A9,'male g'!$A$1:$V$1,0)),FALSE),VLOOKUP(B:B,'female g'!A:V,IF(A9&gt;2033,22,MATCH(A9,'female g'!$A$1:$V$1,0)),FALSE))</f>
        <v>5.6490289999999999E-3</v>
      </c>
      <c r="E9" s="1">
        <f t="shared" si="2"/>
        <v>0.99435097100000003</v>
      </c>
      <c r="F9" s="1">
        <f t="shared" si="3"/>
        <v>0.99475412200000002</v>
      </c>
      <c r="G9" s="1">
        <f>1/(1+Summary!$O$2)^$C9</f>
        <v>0.71068133013012147</v>
      </c>
      <c r="H9" s="1">
        <f>IF(B9&gt;64, Summary!$J$23, 0)*'TV 22'!G9*'TV 22'!F9</f>
        <v>0</v>
      </c>
      <c r="I9" s="1"/>
    </row>
    <row r="10" spans="1:9">
      <c r="A10" s="1">
        <f t="shared" si="0"/>
        <v>2027</v>
      </c>
      <c r="B10" s="1">
        <f t="shared" si="1"/>
        <v>62</v>
      </c>
      <c r="C10" s="1">
        <v>8</v>
      </c>
      <c r="D10" s="1">
        <f>IF(Summary!$G$23="M",VLOOKUP(B:B,'male g'!A:V,IF(A10&gt;2033,22,MATCH(A10,'male g'!$A$1:$V$1,0)),FALSE),VLOOKUP(B:B,'female g'!A:V,IF(A10&gt;2033,22,MATCH(A10,'female g'!$A$1:$V$1,0)),FALSE))</f>
        <v>6.0805369999999996E-3</v>
      </c>
      <c r="E10" s="1">
        <f t="shared" si="2"/>
        <v>0.993919463</v>
      </c>
      <c r="F10" s="1">
        <f t="shared" si="3"/>
        <v>0.99435097100000003</v>
      </c>
      <c r="G10" s="1">
        <f>1/(1+Summary!$O$2)^$C10</f>
        <v>0.67683936202868722</v>
      </c>
      <c r="H10" s="1">
        <f>IF(B10&gt;64, Summary!$J$23, 0)*'TV 22'!G10*'TV 22'!F10</f>
        <v>0</v>
      </c>
      <c r="I10" s="1"/>
    </row>
    <row r="11" spans="1:9">
      <c r="A11" s="1">
        <f t="shared" si="0"/>
        <v>2028</v>
      </c>
      <c r="B11" s="1">
        <f t="shared" si="1"/>
        <v>63</v>
      </c>
      <c r="C11" s="1">
        <v>9</v>
      </c>
      <c r="D11" s="1">
        <f>IF(Summary!$G$23="M",VLOOKUP(B:B,'male g'!A:V,IF(A11&gt;2033,22,MATCH(A11,'male g'!$A$1:$V$1,0)),FALSE),VLOOKUP(B:B,'female g'!A:V,IF(A11&gt;2033,22,MATCH(A11,'female g'!$A$1:$V$1,0)),FALSE))</f>
        <v>6.5385970000000002E-3</v>
      </c>
      <c r="E11" s="1">
        <f t="shared" si="2"/>
        <v>0.99346140299999997</v>
      </c>
      <c r="F11" s="1">
        <f t="shared" si="3"/>
        <v>0.993919463</v>
      </c>
      <c r="G11" s="1">
        <f>1/(1+Summary!$O$2)^$C11</f>
        <v>0.64460891621779726</v>
      </c>
      <c r="H11" s="1">
        <f>IF(B11&gt;64, Summary!$J$23, 0)*'TV 22'!G11*'TV 22'!F11</f>
        <v>0</v>
      </c>
      <c r="I11" s="1"/>
    </row>
    <row r="12" spans="1:9">
      <c r="A12" s="1">
        <f t="shared" si="0"/>
        <v>2029</v>
      </c>
      <c r="B12" s="1">
        <f t="shared" si="1"/>
        <v>64</v>
      </c>
      <c r="C12" s="1">
        <v>10</v>
      </c>
      <c r="D12" s="1">
        <f>IF(Summary!$G$23="M",VLOOKUP(B:B,'male g'!A:V,IF(A12&gt;2033,22,MATCH(A12,'male g'!$A$1:$V$1,0)),FALSE),VLOOKUP(B:B,'female g'!A:V,IF(A12&gt;2033,22,MATCH(A12,'female g'!$A$1:$V$1,0)),FALSE))</f>
        <v>7.0249240000000001E-3</v>
      </c>
      <c r="E12" s="1">
        <f t="shared" si="2"/>
        <v>0.99297507600000001</v>
      </c>
      <c r="F12" s="1">
        <f t="shared" si="3"/>
        <v>0.99346140299999997</v>
      </c>
      <c r="G12" s="1">
        <f>1/(1+Summary!$O$2)^$C12</f>
        <v>0.61391325354075932</v>
      </c>
      <c r="H12" s="1">
        <f>IF(B12&gt;64, Summary!$J$23, 0)*'TV 22'!G12*'TV 22'!F12</f>
        <v>0</v>
      </c>
      <c r="I12" s="1"/>
    </row>
    <row r="13" spans="1:9">
      <c r="A13" s="1">
        <f t="shared" si="0"/>
        <v>2030</v>
      </c>
      <c r="B13" s="1">
        <f t="shared" si="1"/>
        <v>65</v>
      </c>
      <c r="C13" s="1">
        <v>11</v>
      </c>
      <c r="D13" s="1">
        <f>IF(Summary!$G$23="M",VLOOKUP(B:B,'male g'!A:V,IF(A13&gt;2033,22,MATCH(A13,'male g'!$A$1:$V$1,0)),FALSE),VLOOKUP(B:B,'female g'!A:V,IF(A13&gt;2033,22,MATCH(A13,'female g'!$A$1:$V$1,0)),FALSE))</f>
        <v>7.5427669999999997E-3</v>
      </c>
      <c r="E13" s="1">
        <f t="shared" si="2"/>
        <v>0.99245723299999999</v>
      </c>
      <c r="F13" s="1">
        <f t="shared" si="3"/>
        <v>0.99297507600000001</v>
      </c>
      <c r="G13" s="1">
        <f>1/(1+Summary!$O$2)^$C13</f>
        <v>0.5846792890864374</v>
      </c>
      <c r="H13" s="1">
        <f>IF(B13&gt;64, Summary!$J$23, 0)*'TV 22'!G13*'TV 22'!F13</f>
        <v>8545.3959334873089</v>
      </c>
      <c r="I13" s="1"/>
    </row>
    <row r="14" spans="1:9">
      <c r="A14" s="1">
        <f t="shared" si="0"/>
        <v>2031</v>
      </c>
      <c r="B14" s="1">
        <f t="shared" si="1"/>
        <v>66</v>
      </c>
      <c r="C14" s="1">
        <v>12</v>
      </c>
      <c r="D14" s="1">
        <f>IF(Summary!$G$23="M",VLOOKUP(B:B,'male g'!A:V,IF(A14&gt;2033,22,MATCH(A14,'male g'!$A$1:$V$1,0)),FALSE),VLOOKUP(B:B,'female g'!A:V,IF(A14&gt;2033,22,MATCH(A14,'female g'!$A$1:$V$1,0)),FALSE))</f>
        <v>8.1039140000000003E-3</v>
      </c>
      <c r="E14" s="1">
        <f t="shared" si="2"/>
        <v>0.99189608600000001</v>
      </c>
      <c r="F14" s="1">
        <f t="shared" si="3"/>
        <v>0.99245723299999999</v>
      </c>
      <c r="G14" s="1">
        <f>1/(1+Summary!$O$2)^$C14</f>
        <v>0.5568374181775595</v>
      </c>
      <c r="H14" s="1">
        <f>IF(B14&gt;64, Summary!$J$23, 0)*'TV 22'!G14*'TV 22'!F14</f>
        <v>8134.2280510365008</v>
      </c>
      <c r="I14" s="1"/>
    </row>
    <row r="15" spans="1:9">
      <c r="A15" s="1">
        <f t="shared" si="0"/>
        <v>2032</v>
      </c>
      <c r="B15" s="1">
        <f t="shared" si="1"/>
        <v>67</v>
      </c>
      <c r="C15" s="1">
        <v>13</v>
      </c>
      <c r="D15" s="1">
        <f>IF(Summary!$G$23="M",VLOOKUP(B:B,'male g'!A:V,IF(A15&gt;2033,22,MATCH(A15,'male g'!$A$1:$V$1,0)),FALSE),VLOOKUP(B:B,'female g'!A:V,IF(A15&gt;2033,22,MATCH(A15,'female g'!$A$1:$V$1,0)),FALSE))</f>
        <v>8.7136599999999998E-3</v>
      </c>
      <c r="E15" s="1">
        <f t="shared" si="2"/>
        <v>0.99128634000000004</v>
      </c>
      <c r="F15" s="1">
        <f t="shared" si="3"/>
        <v>0.99189608600000001</v>
      </c>
      <c r="G15" s="1">
        <f>1/(1+Summary!$O$2)^$C15</f>
        <v>0.53032135064529462</v>
      </c>
      <c r="H15" s="1">
        <f>IF(B15&gt;64, Summary!$J$23, 0)*'TV 22'!G15*'TV 22'!F15</f>
        <v>7742.5036788217212</v>
      </c>
      <c r="I15" s="1"/>
    </row>
    <row r="16" spans="1:9">
      <c r="A16" s="1">
        <f t="shared" si="0"/>
        <v>2033</v>
      </c>
      <c r="B16" s="1">
        <f t="shared" si="1"/>
        <v>68</v>
      </c>
      <c r="C16" s="1">
        <v>14</v>
      </c>
      <c r="D16" s="1">
        <f>IF(Summary!$G$23="M",VLOOKUP(B:B,'male g'!A:V,IF(A16&gt;2033,22,MATCH(A16,'male g'!$A$1:$V$1,0)),FALSE),VLOOKUP(B:B,'female g'!A:V,IF(A16&gt;2033,22,MATCH(A16,'female g'!$A$1:$V$1,0)),FALSE))</f>
        <v>9.384903E-3</v>
      </c>
      <c r="E16" s="1">
        <f t="shared" si="2"/>
        <v>0.99061509700000006</v>
      </c>
      <c r="F16" s="1">
        <f t="shared" si="3"/>
        <v>0.99128634000000004</v>
      </c>
      <c r="G16" s="1">
        <f>1/(1+Summary!$O$2)^$C16</f>
        <v>0.50506795299551888</v>
      </c>
      <c r="H16" s="1">
        <f>IF(B16&gt;64, Summary!$J$23, 0)*'TV 22'!G16*'TV 22'!F16</f>
        <v>7369.2801403235881</v>
      </c>
      <c r="I16" s="1"/>
    </row>
    <row r="17" spans="1:9">
      <c r="A17" s="1">
        <f t="shared" si="0"/>
        <v>2034</v>
      </c>
      <c r="B17" s="1">
        <f t="shared" si="1"/>
        <v>69</v>
      </c>
      <c r="C17" s="1">
        <v>15</v>
      </c>
      <c r="D17" s="1">
        <f>IF(Summary!$G$23="M",VLOOKUP(B:B,'male g'!A:V,IF(A17&gt;2033,22,MATCH(A17,'male g'!$A$1:$V$1,0)),FALSE),VLOOKUP(B:B,'female g'!A:V,IF(A17&gt;2033,22,MATCH(A17,'female g'!$A$1:$V$1,0)),FALSE))</f>
        <v>1.0121299E-2</v>
      </c>
      <c r="E17" s="1">
        <f t="shared" si="2"/>
        <v>0.98987870099999997</v>
      </c>
      <c r="F17" s="1">
        <f t="shared" si="3"/>
        <v>0.99061509700000006</v>
      </c>
      <c r="G17" s="1">
        <f>1/(1+Summary!$O$2)^$C17</f>
        <v>0.48101709809097021</v>
      </c>
      <c r="H17" s="1">
        <f>IF(B17&gt;64, Summary!$J$23, 0)*'TV 22'!G17*'TV 22'!F17</f>
        <v>7013.609600888999</v>
      </c>
      <c r="I17" s="1"/>
    </row>
    <row r="18" spans="1:9">
      <c r="A18" s="1">
        <f t="shared" si="0"/>
        <v>2035</v>
      </c>
      <c r="B18" s="1">
        <f t="shared" si="1"/>
        <v>70</v>
      </c>
      <c r="C18" s="1">
        <v>16</v>
      </c>
      <c r="D18" s="1">
        <f>IF(Summary!$G$23="M",VLOOKUP(B:B,'male g'!A:V,IF(A18&gt;2033,22,MATCH(A18,'male g'!$A$1:$V$1,0)),FALSE),VLOOKUP(B:B,'female g'!A:V,IF(A18&gt;2033,22,MATCH(A18,'female g'!$A$1:$V$1,0)),FALSE))</f>
        <v>1.1050012E-2</v>
      </c>
      <c r="E18" s="1">
        <f t="shared" si="2"/>
        <v>0.988949988</v>
      </c>
      <c r="F18" s="1">
        <f t="shared" si="3"/>
        <v>0.98987870099999997</v>
      </c>
      <c r="G18" s="1">
        <f>1/(1+Summary!$O$2)^$C18</f>
        <v>0.45811152199140021</v>
      </c>
      <c r="H18" s="1">
        <f>IF(B18&gt;64, Summary!$J$23, 0)*'TV 22'!G18*'TV 22'!F18</f>
        <v>6674.6627395581154</v>
      </c>
      <c r="I18" s="1"/>
    </row>
    <row r="19" spans="1:9">
      <c r="A19" s="1">
        <f t="shared" si="0"/>
        <v>2036</v>
      </c>
      <c r="B19" s="1">
        <f t="shared" si="1"/>
        <v>71</v>
      </c>
      <c r="C19" s="1">
        <v>17</v>
      </c>
      <c r="D19" s="1">
        <f>IF(Summary!$G$23="M",VLOOKUP(B:B,'male g'!A:V,IF(A19&gt;2033,22,MATCH(A19,'male g'!$A$1:$V$1,0)),FALSE),VLOOKUP(B:B,'female g'!A:V,IF(A19&gt;2033,22,MATCH(A19,'female g'!$A$1:$V$1,0)),FALSE))</f>
        <v>1.2082262999999999E-2</v>
      </c>
      <c r="E19" s="1">
        <f t="shared" si="2"/>
        <v>0.98791773699999996</v>
      </c>
      <c r="F19" s="1">
        <f t="shared" si="3"/>
        <v>0.988949988</v>
      </c>
      <c r="G19" s="1">
        <f>1/(1+Summary!$O$2)^$C19</f>
        <v>0.43629668761085727</v>
      </c>
      <c r="H19" s="1">
        <f>IF(B19&gt;64, Summary!$J$23, 0)*'TV 22'!G19*'TV 22'!F19</f>
        <v>6350.857630114192</v>
      </c>
      <c r="I19" s="1"/>
    </row>
    <row r="20" spans="1:9">
      <c r="A20" s="1">
        <f t="shared" si="0"/>
        <v>2037</v>
      </c>
      <c r="B20" s="1">
        <f t="shared" si="1"/>
        <v>72</v>
      </c>
      <c r="C20" s="1">
        <v>18</v>
      </c>
      <c r="D20" s="1">
        <f>IF(Summary!$G$23="M",VLOOKUP(B:B,'male g'!A:V,IF(A20&gt;2033,22,MATCH(A20,'male g'!$A$1:$V$1,0)),FALSE),VLOOKUP(B:B,'female g'!A:V,IF(A20&gt;2033,22,MATCH(A20,'female g'!$A$1:$V$1,0)),FALSE))</f>
        <v>1.3232393E-2</v>
      </c>
      <c r="E20" s="1">
        <f t="shared" si="2"/>
        <v>0.98676760699999999</v>
      </c>
      <c r="F20" s="1">
        <f t="shared" si="3"/>
        <v>0.98791773699999996</v>
      </c>
      <c r="G20" s="1">
        <f>1/(1+Summary!$O$2)^$C20</f>
        <v>0.41552065486748313</v>
      </c>
      <c r="H20" s="1">
        <f>IF(B20&gt;64, Summary!$J$23, 0)*'TV 22'!G20*'TV 22'!F20</f>
        <v>6042.1225726008979</v>
      </c>
      <c r="I20" s="1"/>
    </row>
    <row r="21" spans="1:9">
      <c r="A21" s="1">
        <f t="shared" si="0"/>
        <v>2038</v>
      </c>
      <c r="B21" s="1">
        <f t="shared" si="1"/>
        <v>73</v>
      </c>
      <c r="C21" s="1">
        <v>19</v>
      </c>
      <c r="D21" s="1">
        <f>IF(Summary!$G$23="M",VLOOKUP(B:B,'male g'!A:V,IF(A21&gt;2033,22,MATCH(A21,'male g'!$A$1:$V$1,0)),FALSE),VLOOKUP(B:B,'female g'!A:V,IF(A21&gt;2033,22,MATCH(A21,'female g'!$A$1:$V$1,0)),FALSE))</f>
        <v>1.4520474E-2</v>
      </c>
      <c r="E21" s="1">
        <f t="shared" si="2"/>
        <v>0.98547952599999999</v>
      </c>
      <c r="F21" s="1">
        <f t="shared" si="3"/>
        <v>0.98676760699999999</v>
      </c>
      <c r="G21" s="1">
        <f>1/(1+Summary!$O$2)^$C21</f>
        <v>0.39573395701665059</v>
      </c>
      <c r="H21" s="1">
        <f>IF(B21&gt;64, Summary!$J$23, 0)*'TV 22'!G21*'TV 22'!F21</f>
        <v>5747.7031970691887</v>
      </c>
      <c r="I21" s="1"/>
    </row>
    <row r="22" spans="1:9">
      <c r="A22" s="1">
        <f t="shared" si="0"/>
        <v>2039</v>
      </c>
      <c r="B22" s="1">
        <f t="shared" si="1"/>
        <v>74</v>
      </c>
      <c r="C22" s="1">
        <v>20</v>
      </c>
      <c r="D22" s="1">
        <f>IF(Summary!$G$23="M",VLOOKUP(B:B,'male g'!A:V,IF(A22&gt;2033,22,MATCH(A22,'male g'!$A$1:$V$1,0)),FALSE),VLOOKUP(B:B,'female g'!A:V,IF(A22&gt;2033,22,MATCH(A22,'female g'!$A$1:$V$1,0)),FALSE))</f>
        <v>1.5945328000000002E-2</v>
      </c>
      <c r="E22" s="1">
        <f t="shared" si="2"/>
        <v>0.98405467199999996</v>
      </c>
      <c r="F22" s="1">
        <f t="shared" si="3"/>
        <v>0.98547952599999999</v>
      </c>
      <c r="G22" s="1">
        <f>1/(1+Summary!$O$2)^$C22</f>
        <v>0.37688948287300061</v>
      </c>
      <c r="H22" s="1">
        <f>IF(B22&gt;64, Summary!$J$23, 0)*'TV 22'!G22*'TV 22'!F22</f>
        <v>5466.8575332950277</v>
      </c>
      <c r="I22" s="1"/>
    </row>
    <row r="23" spans="1:9">
      <c r="A23" s="1">
        <f t="shared" si="0"/>
        <v>2040</v>
      </c>
      <c r="B23" s="1">
        <f t="shared" si="1"/>
        <v>75</v>
      </c>
      <c r="C23" s="1">
        <v>21</v>
      </c>
      <c r="D23" s="1">
        <f>IF(Summary!$G$23="M",VLOOKUP(B:B,'male g'!A:V,IF(A23&gt;2033,22,MATCH(A23,'male g'!$A$1:$V$1,0)),FALSE),VLOOKUP(B:B,'female g'!A:V,IF(A23&gt;2033,22,MATCH(A23,'female g'!$A$1:$V$1,0)),FALSE))</f>
        <v>1.7550544000000001E-2</v>
      </c>
      <c r="E23" s="1">
        <f t="shared" si="2"/>
        <v>0.982449456</v>
      </c>
      <c r="F23" s="1">
        <f t="shared" si="3"/>
        <v>0.98405467199999996</v>
      </c>
      <c r="G23" s="1">
        <f>1/(1+Summary!$O$2)^$C23</f>
        <v>0.35894236464095297</v>
      </c>
      <c r="H23" s="1">
        <f>IF(B23&gt;64, Summary!$J$23, 0)*'TV 22'!G23*'TV 22'!F23</f>
        <v>5199.0031295759427</v>
      </c>
      <c r="I23" s="1"/>
    </row>
    <row r="24" spans="1:9">
      <c r="A24" s="1">
        <f t="shared" si="0"/>
        <v>2041</v>
      </c>
      <c r="B24" s="1">
        <f t="shared" si="1"/>
        <v>76</v>
      </c>
      <c r="C24" s="1">
        <v>22</v>
      </c>
      <c r="D24" s="1">
        <f>IF(Summary!$G$23="M",VLOOKUP(B:B,'male g'!A:V,IF(A24&gt;2033,22,MATCH(A24,'male g'!$A$1:$V$1,0)),FALSE),VLOOKUP(B:B,'female g'!A:V,IF(A24&gt;2033,22,MATCH(A24,'female g'!$A$1:$V$1,0)),FALSE))</f>
        <v>1.9346596000000001E-2</v>
      </c>
      <c r="E24" s="1">
        <f t="shared" si="2"/>
        <v>0.98065340400000001</v>
      </c>
      <c r="F24" s="1">
        <f t="shared" si="3"/>
        <v>0.982449456</v>
      </c>
      <c r="G24" s="1">
        <f>1/(1+Summary!$O$2)^$C24</f>
        <v>0.3418498710866219</v>
      </c>
      <c r="H24" s="1">
        <f>IF(B24&gt;64, Summary!$J$23, 0)*'TV 22'!G24*'TV 22'!F24</f>
        <v>4943.3546459104937</v>
      </c>
      <c r="I24" s="1"/>
    </row>
    <row r="25" spans="1:9">
      <c r="A25" s="1">
        <f t="shared" si="0"/>
        <v>2042</v>
      </c>
      <c r="B25" s="1">
        <f t="shared" si="1"/>
        <v>77</v>
      </c>
      <c r="C25" s="1">
        <v>23</v>
      </c>
      <c r="D25" s="1">
        <f>IF(Summary!$G$23="M",VLOOKUP(B:B,'male g'!A:V,IF(A25&gt;2033,22,MATCH(A25,'male g'!$A$1:$V$1,0)),FALSE),VLOOKUP(B:B,'female g'!A:V,IF(A25&gt;2033,22,MATCH(A25,'female g'!$A$1:$V$1,0)),FALSE))</f>
        <v>2.1378668999999999E-2</v>
      </c>
      <c r="E25" s="1">
        <f t="shared" si="2"/>
        <v>0.97862133100000004</v>
      </c>
      <c r="F25" s="1">
        <f t="shared" si="3"/>
        <v>0.98065340400000001</v>
      </c>
      <c r="G25" s="1">
        <f>1/(1+Summary!$O$2)^$C25</f>
        <v>0.32557130579678267</v>
      </c>
      <c r="H25" s="1">
        <f>IF(B25&gt;64, Summary!$J$23, 0)*'TV 22'!G25*'TV 22'!F25</f>
        <v>4699.350016562159</v>
      </c>
      <c r="I25" s="1"/>
    </row>
    <row r="26" spans="1:9">
      <c r="A26" s="1">
        <f t="shared" si="0"/>
        <v>2043</v>
      </c>
      <c r="B26" s="1">
        <f t="shared" si="1"/>
        <v>78</v>
      </c>
      <c r="C26" s="1">
        <v>24</v>
      </c>
      <c r="D26" s="1">
        <f>IF(Summary!$G$23="M",VLOOKUP(B:B,'male g'!A:V,IF(A26&gt;2033,22,MATCH(A26,'male g'!$A$1:$V$1,0)),FALSE),VLOOKUP(B:B,'female g'!A:V,IF(A26&gt;2033,22,MATCH(A26,'female g'!$A$1:$V$1,0)),FALSE))</f>
        <v>2.3682564E-2</v>
      </c>
      <c r="E26" s="1">
        <f t="shared" si="2"/>
        <v>0.97631743599999998</v>
      </c>
      <c r="F26" s="1">
        <f t="shared" si="3"/>
        <v>0.97862133100000004</v>
      </c>
      <c r="G26" s="1">
        <f>1/(1+Summary!$O$2)^$C26</f>
        <v>0.31006791028265024</v>
      </c>
      <c r="H26" s="1">
        <f>IF(B26&gt;64, Summary!$J$23, 0)*'TV 22'!G26*'TV 22'!F26</f>
        <v>4466.297333986935</v>
      </c>
      <c r="I26" s="1"/>
    </row>
    <row r="27" spans="1:9">
      <c r="A27" s="1">
        <f t="shared" si="0"/>
        <v>2044</v>
      </c>
      <c r="B27" s="1">
        <f t="shared" si="1"/>
        <v>79</v>
      </c>
      <c r="C27" s="1">
        <v>25</v>
      </c>
      <c r="D27" s="1">
        <f>IF(Summary!$G$23="M",VLOOKUP(B:B,'male g'!A:V,IF(A27&gt;2033,22,MATCH(A27,'male g'!$A$1:$V$1,0)),FALSE),VLOOKUP(B:B,'female g'!A:V,IF(A27&gt;2033,22,MATCH(A27,'female g'!$A$1:$V$1,0)),FALSE))</f>
        <v>2.6301709E-2</v>
      </c>
      <c r="E27" s="1">
        <f t="shared" si="2"/>
        <v>0.97369829100000005</v>
      </c>
      <c r="F27" s="1">
        <f t="shared" si="3"/>
        <v>0.97631743599999998</v>
      </c>
      <c r="G27" s="1">
        <f>1/(1+Summary!$O$2)^$C27</f>
        <v>0.29530277169776209</v>
      </c>
      <c r="H27" s="1">
        <f>IF(B27&gt;64, Summary!$J$23, 0)*'TV 22'!G27*'TV 22'!F27</f>
        <v>4243.6025373777393</v>
      </c>
      <c r="I27" s="1"/>
    </row>
    <row r="28" spans="1:9">
      <c r="A28" s="1">
        <f t="shared" si="0"/>
        <v>2045</v>
      </c>
      <c r="B28" s="1">
        <f t="shared" si="1"/>
        <v>80</v>
      </c>
      <c r="C28" s="1">
        <v>26</v>
      </c>
      <c r="D28" s="1">
        <f>IF(Summary!$G$23="M",VLOOKUP(B:B,'male g'!A:V,IF(A28&gt;2033,22,MATCH(A28,'male g'!$A$1:$V$1,0)),FALSE),VLOOKUP(B:B,'female g'!A:V,IF(A28&gt;2033,22,MATCH(A28,'female g'!$A$1:$V$1,0)),FALSE))</f>
        <v>2.9285830999999998E-2</v>
      </c>
      <c r="E28" s="1">
        <f t="shared" si="2"/>
        <v>0.97071416899999996</v>
      </c>
      <c r="F28" s="1">
        <f t="shared" si="3"/>
        <v>0.97369829100000005</v>
      </c>
      <c r="G28" s="1">
        <f>1/(1+Summary!$O$2)^$C28</f>
        <v>0.28124073495024959</v>
      </c>
      <c r="H28" s="1">
        <f>IF(B28&gt;64, Summary!$J$23, 0)*'TV 22'!G28*'TV 22'!F28</f>
        <v>4030.6841138500058</v>
      </c>
      <c r="I28" s="1"/>
    </row>
    <row r="29" spans="1:9">
      <c r="A29" s="1">
        <f t="shared" si="0"/>
        <v>2046</v>
      </c>
      <c r="B29" s="1">
        <f t="shared" si="1"/>
        <v>81</v>
      </c>
      <c r="C29" s="1">
        <v>27</v>
      </c>
      <c r="D29" s="1">
        <f>IF(Summary!$G$23="M",VLOOKUP(B:B,'male g'!A:V,IF(A29&gt;2033,22,MATCH(A29,'male g'!$A$1:$V$1,0)),FALSE),VLOOKUP(B:B,'female g'!A:V,IF(A29&gt;2033,22,MATCH(A29,'female g'!$A$1:$V$1,0)),FALSE))</f>
        <v>3.2681842000000003E-2</v>
      </c>
      <c r="E29" s="1">
        <f t="shared" si="2"/>
        <v>0.96731815799999998</v>
      </c>
      <c r="F29" s="1">
        <f t="shared" si="3"/>
        <v>0.97071416899999996</v>
      </c>
      <c r="G29" s="1">
        <f>1/(1+Summary!$O$2)^$C29</f>
        <v>0.2678483190002377</v>
      </c>
      <c r="H29" s="1">
        <f>IF(B29&gt;64, Summary!$J$23, 0)*'TV 22'!G29*'TV 22'!F29</f>
        <v>3826.9820541237955</v>
      </c>
      <c r="I29" s="1"/>
    </row>
    <row r="30" spans="1:9">
      <c r="A30" s="1">
        <f t="shared" si="0"/>
        <v>2047</v>
      </c>
      <c r="B30" s="1">
        <f t="shared" si="1"/>
        <v>82</v>
      </c>
      <c r="C30" s="1">
        <v>28</v>
      </c>
      <c r="D30" s="1">
        <f>IF(Summary!$G$23="M",VLOOKUP(B:B,'male g'!A:V,IF(A30&gt;2033,22,MATCH(A30,'male g'!$A$1:$V$1,0)),FALSE),VLOOKUP(B:B,'female g'!A:V,IF(A30&gt;2033,22,MATCH(A30,'female g'!$A$1:$V$1,0)),FALSE))</f>
        <v>3.6549238999999997E-2</v>
      </c>
      <c r="E30" s="1">
        <f t="shared" si="2"/>
        <v>0.96345076100000004</v>
      </c>
      <c r="F30" s="1">
        <f t="shared" si="3"/>
        <v>0.96731815799999998</v>
      </c>
      <c r="G30" s="1">
        <f>1/(1+Summary!$O$2)^$C30</f>
        <v>0.25509363714308358</v>
      </c>
      <c r="H30" s="1">
        <f>IF(B30&gt;64, Summary!$J$23, 0)*'TV 22'!G30*'TV 22'!F30</f>
        <v>3631.9937958252899</v>
      </c>
      <c r="I30" s="1"/>
    </row>
    <row r="31" spans="1:9">
      <c r="A31" s="1">
        <f t="shared" si="0"/>
        <v>2048</v>
      </c>
      <c r="B31" s="1">
        <f t="shared" si="1"/>
        <v>83</v>
      </c>
      <c r="C31" s="1">
        <v>29</v>
      </c>
      <c r="D31" s="1">
        <f>IF(Summary!$G$23="M",VLOOKUP(B:B,'male g'!A:V,IF(A31&gt;2033,22,MATCH(A31,'male g'!$A$1:$V$1,0)),FALSE),VLOOKUP(B:B,'female g'!A:V,IF(A31&gt;2033,22,MATCH(A31,'female g'!$A$1:$V$1,0)),FALSE))</f>
        <v>4.0956563000000001E-2</v>
      </c>
      <c r="E31" s="1">
        <f t="shared" si="2"/>
        <v>0.95904343700000005</v>
      </c>
      <c r="F31" s="1">
        <f t="shared" si="3"/>
        <v>0.96345076100000004</v>
      </c>
      <c r="G31" s="1">
        <f>1/(1+Summary!$O$2)^$C31</f>
        <v>0.24294632108865097</v>
      </c>
      <c r="H31" s="1">
        <f>IF(B31&gt;64, Summary!$J$23, 0)*'TV 22'!G31*'TV 22'!F31</f>
        <v>3445.2122505579159</v>
      </c>
      <c r="I31" s="1"/>
    </row>
    <row r="32" spans="1:9">
      <c r="A32" s="1">
        <f t="shared" si="0"/>
        <v>2049</v>
      </c>
      <c r="B32" s="1">
        <f t="shared" si="1"/>
        <v>84</v>
      </c>
      <c r="C32" s="1">
        <v>30</v>
      </c>
      <c r="D32" s="1">
        <f>IF(Summary!$G$23="M",VLOOKUP(B:B,'male g'!A:V,IF(A32&gt;2033,22,MATCH(A32,'male g'!$A$1:$V$1,0)),FALSE),VLOOKUP(B:B,'female g'!A:V,IF(A32&gt;2033,22,MATCH(A32,'female g'!$A$1:$V$1,0)),FALSE))</f>
        <v>4.5960176999999998E-2</v>
      </c>
      <c r="E32" s="1">
        <f t="shared" si="2"/>
        <v>0.95403982300000001</v>
      </c>
      <c r="F32" s="1">
        <f t="shared" si="3"/>
        <v>0.95904343700000005</v>
      </c>
      <c r="G32" s="1">
        <f>1/(1+Summary!$O$2)^$C32</f>
        <v>0.23137744865585813</v>
      </c>
      <c r="H32" s="1">
        <f>IF(B32&gt;64, Summary!$J$23, 0)*'TV 22'!G32*'TV 22'!F32</f>
        <v>3266.1448199862607</v>
      </c>
      <c r="I32" s="1"/>
    </row>
    <row r="33" spans="1:9">
      <c r="A33" s="1">
        <f t="shared" si="0"/>
        <v>2050</v>
      </c>
      <c r="B33" s="1">
        <f t="shared" si="1"/>
        <v>85</v>
      </c>
      <c r="C33" s="1">
        <v>31</v>
      </c>
      <c r="D33" s="1">
        <f>IF(Summary!$G$23="M",VLOOKUP(B:B,'male g'!A:V,IF(A33&gt;2033,22,MATCH(A33,'male g'!$A$1:$V$1,0)),FALSE),VLOOKUP(B:B,'female g'!A:V,IF(A33&gt;2033,22,MATCH(A33,'female g'!$A$1:$V$1,0)),FALSE))</f>
        <v>5.1631459999999997E-2</v>
      </c>
      <c r="E33" s="1">
        <f t="shared" si="2"/>
        <v>0.94836854000000004</v>
      </c>
      <c r="F33" s="1">
        <f t="shared" si="3"/>
        <v>0.95403982300000001</v>
      </c>
      <c r="G33" s="1">
        <f>1/(1+Summary!$O$2)^$C33</f>
        <v>0.220359474910341</v>
      </c>
      <c r="H33" s="1">
        <f>IF(B33&gt;64, Summary!$J$23, 0)*'TV 22'!G33*'TV 22'!F33</f>
        <v>3094.3851180350239</v>
      </c>
      <c r="I33" s="1"/>
    </row>
    <row r="34" spans="1:9">
      <c r="A34" s="1">
        <f t="shared" si="0"/>
        <v>2051</v>
      </c>
      <c r="B34" s="1">
        <f t="shared" si="1"/>
        <v>86</v>
      </c>
      <c r="C34" s="1">
        <v>32</v>
      </c>
      <c r="D34" s="1">
        <f>IF(Summary!$G$23="M",VLOOKUP(B:B,'male g'!A:V,IF(A34&gt;2033,22,MATCH(A34,'male g'!$A$1:$V$1,0)),FALSE),VLOOKUP(B:B,'female g'!A:V,IF(A34&gt;2033,22,MATCH(A34,'female g'!$A$1:$V$1,0)),FALSE))</f>
        <v>5.8086306999999997E-2</v>
      </c>
      <c r="E34" s="1">
        <f t="shared" si="2"/>
        <v>0.94191369300000005</v>
      </c>
      <c r="F34" s="1">
        <f t="shared" si="3"/>
        <v>0.94836854000000004</v>
      </c>
      <c r="G34" s="1">
        <f>1/(1+Summary!$O$2)^$C34</f>
        <v>0.20986616658127716</v>
      </c>
      <c r="H34" s="1">
        <f>IF(B34&gt;64, Summary!$J$23, 0)*'TV 22'!G34*'TV 22'!F34</f>
        <v>2929.5148262116732</v>
      </c>
      <c r="I34" s="1"/>
    </row>
    <row r="35" spans="1:9">
      <c r="A35" s="1">
        <f>$A$2+C35</f>
        <v>2052</v>
      </c>
      <c r="B35" s="1">
        <f>$B$2+C35</f>
        <v>87</v>
      </c>
      <c r="C35" s="1">
        <v>33</v>
      </c>
      <c r="D35" s="1">
        <f>IF(Summary!$G$23="M",VLOOKUP(B:B,'male g'!A:V,IF(A35&gt;2033,22,MATCH(A35,'male g'!$A$1:$V$1,0)),FALSE),VLOOKUP(B:B,'female g'!A:V,IF(A35&gt;2033,22,MATCH(A35,'female g'!$A$1:$V$1,0)),FALSE))</f>
        <v>6.5370790999999998E-2</v>
      </c>
      <c r="E35" s="1">
        <f t="shared" si="2"/>
        <v>0.93462920900000002</v>
      </c>
      <c r="F35" s="1">
        <f t="shared" si="3"/>
        <v>0.94191369300000005</v>
      </c>
      <c r="G35" s="1">
        <f>1/(1+Summary!$O$2)^$C35</f>
        <v>0.19987253960121634</v>
      </c>
      <c r="H35" s="1">
        <f>IF(B35&gt;64, Summary!$J$23, 0)*'TV 22'!G35*'TV 22'!F35</f>
        <v>2771.0245465135617</v>
      </c>
      <c r="I35" s="1"/>
    </row>
    <row r="36" spans="1:9">
      <c r="A36" s="1">
        <f t="shared" ref="A36:A47" si="4">$A$2+C36</f>
        <v>2053</v>
      </c>
      <c r="B36" s="1">
        <f t="shared" si="1"/>
        <v>88</v>
      </c>
      <c r="C36" s="1">
        <v>34</v>
      </c>
      <c r="D36" s="1">
        <f>IF(Summary!$G$23="M",VLOOKUP(B:B,'male g'!A:V,IF(A36&gt;2033,22,MATCH(A36,'male g'!$A$1:$V$1,0)),FALSE),VLOOKUP(B:B,'female g'!A:V,IF(A36&gt;2033,22,MATCH(A36,'female g'!$A$1:$V$1,0)),FALSE))</f>
        <v>7.3564853999999999E-2</v>
      </c>
      <c r="E36" s="1">
        <f t="shared" si="2"/>
        <v>0.92643514599999999</v>
      </c>
      <c r="F36" s="1">
        <f t="shared" si="3"/>
        <v>0.93462920900000002</v>
      </c>
      <c r="G36" s="1">
        <f>1/(1+Summary!$O$2)^$C36</f>
        <v>0.19035479962020604</v>
      </c>
      <c r="H36" s="1">
        <f>IF(B36&gt;64, Summary!$J$23, 0)*'TV 22'!G36*'TV 22'!F36</f>
        <v>2618.6611962986717</v>
      </c>
      <c r="I36" s="1"/>
    </row>
    <row r="37" spans="1:9">
      <c r="A37" s="1">
        <f t="shared" si="4"/>
        <v>2054</v>
      </c>
      <c r="B37" s="1">
        <f t="shared" si="1"/>
        <v>89</v>
      </c>
      <c r="C37" s="1">
        <v>35</v>
      </c>
      <c r="D37" s="1">
        <f>IF(Summary!$G$23="M",VLOOKUP(B:B,'male g'!A:V,IF(A37&gt;2033,22,MATCH(A37,'male g'!$A$1:$V$1,0)),FALSE),VLOOKUP(B:B,'female g'!A:V,IF(A37&gt;2033,22,MATCH(A37,'female g'!$A$1:$V$1,0)),FALSE))</f>
        <v>8.2758546000000002E-2</v>
      </c>
      <c r="E37" s="1">
        <f t="shared" si="2"/>
        <v>0.91724145400000001</v>
      </c>
      <c r="F37" s="1">
        <f t="shared" si="3"/>
        <v>0.92643514599999999</v>
      </c>
      <c r="G37" s="1">
        <f>1/(1+Summary!$O$2)^$C37</f>
        <v>0.18129028535257716</v>
      </c>
      <c r="H37" s="1">
        <f>IF(B37&gt;64, Summary!$J$23, 0)*'TV 22'!G37*'TV 22'!F37</f>
        <v>2472.0980198616971</v>
      </c>
      <c r="I37" s="1"/>
    </row>
    <row r="38" spans="1:9">
      <c r="A38" s="1">
        <f t="shared" si="4"/>
        <v>2055</v>
      </c>
      <c r="B38" s="1">
        <f t="shared" si="1"/>
        <v>90</v>
      </c>
      <c r="C38" s="1">
        <v>36</v>
      </c>
      <c r="D38" s="1">
        <f>IF(Summary!$G$23="M",VLOOKUP(B:B,'male g'!A:V,IF(A38&gt;2033,22,MATCH(A38,'male g'!$A$1:$V$1,0)),FALSE),VLOOKUP(B:B,'female g'!A:V,IF(A38&gt;2033,22,MATCH(A38,'female g'!$A$1:$V$1,0)),FALSE))</f>
        <v>9.3062779999999998E-2</v>
      </c>
      <c r="E38" s="1">
        <f t="shared" si="2"/>
        <v>0.90693721999999999</v>
      </c>
      <c r="F38" s="1">
        <f t="shared" si="3"/>
        <v>0.91724145400000001</v>
      </c>
      <c r="G38" s="1">
        <f>1/(1+Summary!$O$2)^$C38</f>
        <v>0.17265741462150208</v>
      </c>
      <c r="H38" s="1">
        <f>IF(B38&gt;64, Summary!$J$23, 0)*'TV 22'!G38*'TV 22'!F38</f>
        <v>2331.0148449999333</v>
      </c>
      <c r="I38" s="1"/>
    </row>
    <row r="39" spans="1:9">
      <c r="A39" s="1">
        <f t="shared" si="4"/>
        <v>2056</v>
      </c>
      <c r="B39" s="1">
        <f t="shared" si="1"/>
        <v>91</v>
      </c>
      <c r="C39" s="1">
        <v>37</v>
      </c>
      <c r="D39" s="1">
        <f>IF(Summary!$G$23="M",VLOOKUP(B:B,'male g'!A:V,IF(A39&gt;2033,22,MATCH(A39,'male g'!$A$1:$V$1,0)),FALSE),VLOOKUP(B:B,'female g'!A:V,IF(A39&gt;2033,22,MATCH(A39,'female g'!$A$1:$V$1,0)),FALSE))</f>
        <v>0.104297588</v>
      </c>
      <c r="E39" s="1">
        <f t="shared" si="2"/>
        <v>0.895702412</v>
      </c>
      <c r="F39" s="1">
        <f t="shared" si="3"/>
        <v>0.90693721999999999</v>
      </c>
      <c r="G39" s="1">
        <f>1/(1+Summary!$O$2)^$C39</f>
        <v>0.1644356329728591</v>
      </c>
      <c r="H39" s="1">
        <f>IF(B39&gt;64, Summary!$J$23, 0)*'TV 22'!G39*'TV 22'!F39</f>
        <v>2195.0746360017142</v>
      </c>
      <c r="I39" s="1"/>
    </row>
    <row r="40" spans="1:9">
      <c r="A40" s="1">
        <f t="shared" si="4"/>
        <v>2057</v>
      </c>
      <c r="B40" s="1">
        <f t="shared" si="1"/>
        <v>92</v>
      </c>
      <c r="C40" s="1">
        <v>38</v>
      </c>
      <c r="D40" s="1">
        <f>IF(Summary!$G$23="M",VLOOKUP(B:B,'male g'!A:V,IF(A40&gt;2033,22,MATCH(A40,'male g'!$A$1:$V$1,0)),FALSE),VLOOKUP(B:B,'female g'!A:V,IF(A40&gt;2033,22,MATCH(A40,'female g'!$A$1:$V$1,0)),FALSE))</f>
        <v>0.116397271</v>
      </c>
      <c r="E40" s="1">
        <f t="shared" si="2"/>
        <v>0.88360272900000003</v>
      </c>
      <c r="F40" s="1">
        <f t="shared" si="3"/>
        <v>0.895702412</v>
      </c>
      <c r="G40" s="1">
        <f>1/(1+Summary!$O$2)^$C40</f>
        <v>0.15660536473605632</v>
      </c>
      <c r="H40" s="1">
        <f>IF(B40&gt;64, Summary!$J$23, 0)*'TV 22'!G40*'TV 22'!F40</f>
        <v>2064.6503340915956</v>
      </c>
      <c r="I40" s="1"/>
    </row>
    <row r="41" spans="1:9">
      <c r="A41" s="1">
        <f t="shared" si="4"/>
        <v>2058</v>
      </c>
      <c r="B41" s="1">
        <f t="shared" si="1"/>
        <v>93</v>
      </c>
      <c r="C41" s="1">
        <v>39</v>
      </c>
      <c r="D41" s="1">
        <f>IF(Summary!$G$23="M",VLOOKUP(B:B,'male g'!A:V,IF(A41&gt;2033,22,MATCH(A41,'male g'!$A$1:$V$1,0)),FALSE),VLOOKUP(B:B,'female g'!A:V,IF(A41&gt;2033,22,MATCH(A41,'female g'!$A$1:$V$1,0)),FALSE))</f>
        <v>0.12927651700000001</v>
      </c>
      <c r="E41" s="1">
        <f t="shared" si="2"/>
        <v>0.87072348300000002</v>
      </c>
      <c r="F41" s="1">
        <f t="shared" si="3"/>
        <v>0.88360272900000003</v>
      </c>
      <c r="G41" s="1">
        <f>1/(1+Summary!$O$2)^$C41</f>
        <v>0.14914796641529171</v>
      </c>
      <c r="H41" s="1">
        <f>IF(B41&gt;64, Summary!$J$23, 0)*'TV 22'!G41*'TV 22'!F41</f>
        <v>1939.7712424647355</v>
      </c>
      <c r="I41" s="1"/>
    </row>
    <row r="42" spans="1:9">
      <c r="A42" s="1">
        <f t="shared" si="4"/>
        <v>2059</v>
      </c>
      <c r="B42" s="1">
        <f t="shared" si="1"/>
        <v>94</v>
      </c>
      <c r="C42" s="1">
        <v>40</v>
      </c>
      <c r="D42" s="1">
        <f>IF(Summary!$G$23="M",VLOOKUP(B:B,'male g'!A:V,IF(A42&gt;2033,22,MATCH(A42,'male g'!$A$1:$V$1,0)),FALSE),VLOOKUP(B:B,'female g'!A:V,IF(A42&gt;2033,22,MATCH(A42,'female g'!$A$1:$V$1,0)),FALSE))</f>
        <v>0.14283962</v>
      </c>
      <c r="E42" s="1">
        <f t="shared" si="2"/>
        <v>0.85716038000000006</v>
      </c>
      <c r="F42" s="1">
        <f t="shared" si="3"/>
        <v>0.87072348300000002</v>
      </c>
      <c r="G42" s="1">
        <f>1/(1+Summary!$O$2)^$C42</f>
        <v>0.14204568230027784</v>
      </c>
      <c r="H42" s="1">
        <f>IF(B42&gt;64, Summary!$J$23, 0)*'TV 22'!G42*'TV 22'!F42</f>
        <v>1820.4737717837879</v>
      </c>
      <c r="I42" s="1"/>
    </row>
    <row r="43" spans="1:9">
      <c r="A43" s="1">
        <f t="shared" si="4"/>
        <v>2060</v>
      </c>
      <c r="B43" s="1">
        <f t="shared" si="1"/>
        <v>95</v>
      </c>
      <c r="C43" s="1">
        <v>41</v>
      </c>
      <c r="D43" s="1">
        <f>IF(Summary!$G$23="M",VLOOKUP(B:B,'male g'!A:V,IF(A43&gt;2033,22,MATCH(A43,'male g'!$A$1:$V$1,0)),FALSE),VLOOKUP(B:B,'female g'!A:V,IF(A43&gt;2033,22,MATCH(A43,'female g'!$A$1:$V$1,0)),FALSE))</f>
        <v>0.15715622100000001</v>
      </c>
      <c r="E43" s="1">
        <f t="shared" si="2"/>
        <v>0.84284377899999996</v>
      </c>
      <c r="F43" s="1">
        <f t="shared" si="3"/>
        <v>0.85716038000000006</v>
      </c>
      <c r="G43" s="1">
        <f>1/(1+Summary!$O$2)^$C43</f>
        <v>0.13528160219074079</v>
      </c>
      <c r="H43" s="1">
        <f>IF(B43&gt;64, Summary!$J$23, 0)*'TV 22'!G43*'TV 22'!F43</f>
        <v>1706.7776947158986</v>
      </c>
      <c r="I43" s="1"/>
    </row>
    <row r="44" spans="1:9">
      <c r="A44" s="1">
        <f t="shared" si="4"/>
        <v>2061</v>
      </c>
      <c r="B44" s="1">
        <f t="shared" si="1"/>
        <v>96</v>
      </c>
      <c r="C44" s="1">
        <v>42</v>
      </c>
      <c r="D44" s="1">
        <f>IF(Summary!$G$23="M",VLOOKUP(B:B,'male g'!A:V,IF(A44&gt;2033,22,MATCH(A44,'male g'!$A$1:$V$1,0)),FALSE),VLOOKUP(B:B,'female g'!A:V,IF(A44&gt;2033,22,MATCH(A44,'female g'!$A$1:$V$1,0)),FALSE))</f>
        <v>0.173075216</v>
      </c>
      <c r="E44" s="1">
        <f t="shared" si="2"/>
        <v>0.82692478400000002</v>
      </c>
      <c r="F44" s="1">
        <f t="shared" si="3"/>
        <v>0.84284377899999996</v>
      </c>
      <c r="G44" s="1">
        <f>1/(1+Summary!$O$2)^$C44</f>
        <v>0.12883962113403885</v>
      </c>
      <c r="H44" s="1">
        <f>IF(B44&gt;64, Summary!$J$23, 0)*'TV 22'!G44*'TV 22'!F44</f>
        <v>1598.3528378148815</v>
      </c>
      <c r="I44" s="1"/>
    </row>
    <row r="45" spans="1:9">
      <c r="A45" s="1">
        <f t="shared" si="4"/>
        <v>2062</v>
      </c>
      <c r="B45" s="1">
        <f t="shared" si="1"/>
        <v>97</v>
      </c>
      <c r="C45" s="1">
        <v>43</v>
      </c>
      <c r="D45" s="1">
        <f>IF(Summary!$G$23="M",VLOOKUP(B:B,'male g'!A:V,IF(A45&gt;2033,22,MATCH(A45,'male g'!$A$1:$V$1,0)),FALSE),VLOOKUP(B:B,'female g'!A:V,IF(A45&gt;2033,22,MATCH(A45,'female g'!$A$1:$V$1,0)),FALSE))</f>
        <v>0.18989809799999999</v>
      </c>
      <c r="E45" s="1">
        <f t="shared" si="2"/>
        <v>0.81010190199999998</v>
      </c>
      <c r="F45" s="1">
        <f t="shared" si="3"/>
        <v>0.82692478400000002</v>
      </c>
      <c r="G45" s="1">
        <f>1/(1+Summary!$O$2)^$C45</f>
        <v>0.12270440108003698</v>
      </c>
      <c r="H45" s="1">
        <f>IF(B45&gt;64, Summary!$J$23, 0)*'TV 22'!G45*'TV 22'!F45</f>
        <v>1493.4898665427565</v>
      </c>
      <c r="I45" s="1"/>
    </row>
    <row r="46" spans="1:9">
      <c r="A46" s="1">
        <f t="shared" si="4"/>
        <v>2063</v>
      </c>
      <c r="B46" s="1">
        <f t="shared" si="1"/>
        <v>98</v>
      </c>
      <c r="C46" s="1">
        <v>44</v>
      </c>
      <c r="D46" s="1">
        <f>IF(Summary!$G$23="M",VLOOKUP(B:B,'male g'!A:V,IF(A46&gt;2033,22,MATCH(A46,'male g'!$A$1:$V$1,0)),FALSE),VLOOKUP(B:B,'female g'!A:V,IF(A46&gt;2033,22,MATCH(A46,'female g'!$A$1:$V$1,0)),FALSE))</f>
        <v>0.2077398</v>
      </c>
      <c r="E46" s="1">
        <f t="shared" si="2"/>
        <v>0.79226019999999997</v>
      </c>
      <c r="F46" s="1">
        <f t="shared" si="3"/>
        <v>0.81010190199999998</v>
      </c>
      <c r="G46" s="1">
        <f>1/(1+Summary!$O$2)^$C46</f>
        <v>0.11686133436193999</v>
      </c>
      <c r="H46" s="1">
        <f>IF(B46&gt;64, Summary!$J$23, 0)*'TV 22'!G46*'TV 22'!F46</f>
        <v>1393.4347101035598</v>
      </c>
      <c r="I46" s="1"/>
    </row>
    <row r="47" spans="1:9">
      <c r="A47" s="1">
        <f t="shared" si="4"/>
        <v>2064</v>
      </c>
      <c r="B47" s="1">
        <f t="shared" si="1"/>
        <v>99</v>
      </c>
      <c r="C47" s="1">
        <v>45</v>
      </c>
      <c r="D47" s="1">
        <f>IF(Summary!$G$23="M",VLOOKUP(B:B,'male g'!A:V,IF(A47&gt;2033,22,MATCH(A47,'male g'!$A$1:$V$1,0)),FALSE),VLOOKUP(B:B,'female g'!A:V,IF(A47&gt;2033,22,MATCH(A47,'female g'!$A$1:$V$1,0)),FALSE))</f>
        <v>0.22627810600000001</v>
      </c>
      <c r="E47" s="1">
        <f t="shared" si="2"/>
        <v>0.77372189400000002</v>
      </c>
      <c r="F47" s="1">
        <f t="shared" si="3"/>
        <v>0.79226019999999997</v>
      </c>
      <c r="G47" s="1">
        <f>1/(1+Summary!$O$2)^$C47</f>
        <v>0.1112965089161333</v>
      </c>
      <c r="H47" s="1">
        <f>IF(B47&gt;64, Summary!$J$23, 0)*'TV 22'!G47*'TV 22'!F47</f>
        <v>1297.8530224620322</v>
      </c>
      <c r="I47" s="1"/>
    </row>
    <row r="48" spans="1:9">
      <c r="A48" s="1">
        <f>$A$2+C48</f>
        <v>2065</v>
      </c>
      <c r="B48" s="1">
        <f>$B$2+C48</f>
        <v>100</v>
      </c>
      <c r="C48" s="1">
        <v>46</v>
      </c>
      <c r="D48" s="1">
        <f>IF(Summary!$G$23="M",VLOOKUP(B:B,'male g'!A:V,IF(A48&gt;2033,22,MATCH(A48,'male g'!$A$1:$V$1,0)),FALSE),VLOOKUP(B:B,'female g'!A:V,IF(A48&gt;2033,22,MATCH(A48,'female g'!$A$1:$V$1,0)),FALSE))</f>
        <v>0.245586414</v>
      </c>
      <c r="E48" s="1">
        <f t="shared" si="2"/>
        <v>0.75441358599999997</v>
      </c>
      <c r="F48" s="1">
        <f t="shared" si="3"/>
        <v>0.77372189400000002</v>
      </c>
      <c r="G48" s="1">
        <f>1/(1+Summary!$O$2)^$C48</f>
        <v>0.10599667515822221</v>
      </c>
      <c r="H48" s="1">
        <f>IF(B48&gt;64, Summary!$J$23, 0)*'TV 22'!G48*'TV 22'!F48</f>
        <v>1207.1278250118769</v>
      </c>
      <c r="I48" s="1"/>
    </row>
    <row r="49" spans="1:9">
      <c r="A49" s="1">
        <f t="shared" ref="A49:A68" si="5">$A$2+C49</f>
        <v>2066</v>
      </c>
      <c r="B49" s="1">
        <f t="shared" si="1"/>
        <v>101</v>
      </c>
      <c r="C49" s="1">
        <v>47</v>
      </c>
      <c r="D49" s="1">
        <f>IF(Summary!$G$23="M",VLOOKUP(B:B,'male g'!A:V,IF(A49&gt;2033,22,MATCH(A49,'male g'!$A$1:$V$1,0)),FALSE),VLOOKUP(B:B,'female g'!A:V,IF(A49&gt;2033,22,MATCH(A49,'female g'!$A$1:$V$1,0)),FALSE))</f>
        <v>0.26569467200000002</v>
      </c>
      <c r="E49" s="1">
        <f t="shared" si="2"/>
        <v>0.73430532800000003</v>
      </c>
      <c r="F49" s="1">
        <f t="shared" si="3"/>
        <v>0.75441358599999997</v>
      </c>
      <c r="G49" s="1">
        <f>1/(1+Summary!$O$2)^$C49</f>
        <v>0.10094921443640208</v>
      </c>
      <c r="H49" s="1">
        <f>IF(B49&gt;64, Summary!$J$23, 0)*'TV 22'!G49*'TV 22'!F49</f>
        <v>1120.9560268909136</v>
      </c>
      <c r="I49" s="1"/>
    </row>
    <row r="50" spans="1:9">
      <c r="A50" s="1">
        <f t="shared" si="5"/>
        <v>2067</v>
      </c>
      <c r="B50" s="1">
        <f t="shared" si="1"/>
        <v>102</v>
      </c>
      <c r="C50" s="1">
        <v>48</v>
      </c>
      <c r="D50" s="1">
        <f>IF(Summary!$G$23="M",VLOOKUP(B:B,'male g'!A:V,IF(A50&gt;2033,22,MATCH(A50,'male g'!$A$1:$V$1,0)),FALSE),VLOOKUP(B:B,'female g'!A:V,IF(A50&gt;2033,22,MATCH(A50,'female g'!$A$1:$V$1,0)),FALSE))</f>
        <v>0.28621307499999998</v>
      </c>
      <c r="E50" s="1">
        <f t="shared" si="2"/>
        <v>0.71378692499999996</v>
      </c>
      <c r="F50" s="1">
        <f t="shared" si="3"/>
        <v>0.73430532800000003</v>
      </c>
      <c r="G50" s="1">
        <f>1/(1+Summary!$O$2)^$C50</f>
        <v>9.6142108987049613E-2</v>
      </c>
      <c r="H50" s="1">
        <f>IF(B50&gt;64, Summary!$J$23, 0)*'TV 22'!G50*'TV 22'!F50</f>
        <v>1039.1217992419163</v>
      </c>
      <c r="I50" s="1"/>
    </row>
    <row r="51" spans="1:9">
      <c r="A51" s="1">
        <f t="shared" si="5"/>
        <v>2068</v>
      </c>
      <c r="B51" s="1">
        <f t="shared" si="1"/>
        <v>103</v>
      </c>
      <c r="C51" s="1">
        <v>49</v>
      </c>
      <c r="D51" s="1">
        <f>IF(Summary!$G$23="M",VLOOKUP(B:B,'male g'!A:V,IF(A51&gt;2033,22,MATCH(A51,'male g'!$A$1:$V$1,0)),FALSE),VLOOKUP(B:B,'female g'!A:V,IF(A51&gt;2033,22,MATCH(A51,'female g'!$A$1:$V$1,0)),FALSE))</f>
        <v>0.306855239</v>
      </c>
      <c r="E51" s="1">
        <f t="shared" si="2"/>
        <v>0.693144761</v>
      </c>
      <c r="F51" s="1">
        <f t="shared" si="3"/>
        <v>0.71378692499999996</v>
      </c>
      <c r="G51" s="1">
        <f>1/(1+Summary!$O$2)^$C51</f>
        <v>9.1563913320999626E-2</v>
      </c>
      <c r="H51" s="1">
        <f>IF(B51&gt;64, Summary!$J$23, 0)*'TV 22'!G51*'TV 22'!F51</f>
        <v>961.98669551563216</v>
      </c>
      <c r="I51" s="1"/>
    </row>
    <row r="52" spans="1:9">
      <c r="A52" s="1">
        <f t="shared" si="5"/>
        <v>2069</v>
      </c>
      <c r="B52" s="1">
        <f t="shared" si="1"/>
        <v>104</v>
      </c>
      <c r="C52" s="1">
        <v>50</v>
      </c>
      <c r="D52" s="1">
        <f>IF(Summary!$G$23="M",VLOOKUP(B:B,'male g'!A:V,IF(A52&gt;2033,22,MATCH(A52,'male g'!$A$1:$V$1,0)),FALSE),VLOOKUP(B:B,'female g'!A:V,IF(A52&gt;2033,22,MATCH(A52,'female g'!$A$1:$V$1,0)),FALSE))</f>
        <v>0.32781771999999998</v>
      </c>
      <c r="E52" s="1">
        <f t="shared" si="2"/>
        <v>0.67218228000000002</v>
      </c>
      <c r="F52" s="1">
        <f t="shared" si="3"/>
        <v>0.693144761</v>
      </c>
      <c r="G52" s="1">
        <f>1/(1+Summary!$O$2)^$C52</f>
        <v>8.7203726972380588E-2</v>
      </c>
      <c r="H52" s="1">
        <f>IF(B52&gt;64, Summary!$J$23, 0)*'TV 22'!G52*'TV 22'!F52</f>
        <v>889.68265404354861</v>
      </c>
      <c r="I52" s="1"/>
    </row>
    <row r="53" spans="1:9">
      <c r="A53" s="1">
        <f t="shared" si="5"/>
        <v>2070</v>
      </c>
      <c r="B53" s="1">
        <f t="shared" si="1"/>
        <v>105</v>
      </c>
      <c r="C53" s="1">
        <v>51</v>
      </c>
      <c r="D53" s="1">
        <f>IF(Summary!$G$23="M",VLOOKUP(B:B,'male g'!A:V,IF(A53&gt;2033,22,MATCH(A53,'male g'!$A$1:$V$1,0)),FALSE),VLOOKUP(B:B,'female g'!A:V,IF(A53&gt;2033,22,MATCH(A53,'female g'!$A$1:$V$1,0)),FALSE))</f>
        <v>0.34877203800000001</v>
      </c>
      <c r="E53" s="1">
        <f t="shared" si="2"/>
        <v>0.65122796199999999</v>
      </c>
      <c r="F53" s="1">
        <f t="shared" si="3"/>
        <v>0.67218228000000002</v>
      </c>
      <c r="G53" s="1">
        <f>1/(1+Summary!$O$2)^$C53</f>
        <v>8.3051168545124371E-2</v>
      </c>
      <c r="H53" s="1">
        <f>IF(B53&gt;64, Summary!$J$23, 0)*'TV 22'!G53*'TV 22'!F53</f>
        <v>821.69177283389024</v>
      </c>
      <c r="I53" s="1"/>
    </row>
    <row r="54" spans="1:9">
      <c r="A54" s="1">
        <f t="shared" si="5"/>
        <v>2071</v>
      </c>
      <c r="B54" s="1">
        <f t="shared" si="1"/>
        <v>106</v>
      </c>
      <c r="C54" s="1">
        <v>52</v>
      </c>
      <c r="D54" s="1">
        <f>IF(Summary!$G$23="M",VLOOKUP(B:B,'male g'!A:V,IF(A54&gt;2033,22,MATCH(A54,'male g'!$A$1:$V$1,0)),FALSE),VLOOKUP(B:B,'female g'!A:V,IF(A54&gt;2033,22,MATCH(A54,'female g'!$A$1:$V$1,0)),FALSE))</f>
        <v>0.36963544999999998</v>
      </c>
      <c r="E54" s="1">
        <f t="shared" si="2"/>
        <v>0.63036455000000002</v>
      </c>
      <c r="F54" s="1">
        <f t="shared" si="3"/>
        <v>0.65122796199999999</v>
      </c>
      <c r="G54" s="1">
        <f>1/(1+Summary!$O$2)^$C54</f>
        <v>7.9096350995356543E-2</v>
      </c>
      <c r="H54" s="1">
        <f>IF(B54&gt;64, Summary!$J$23, 0)*'TV 22'!G54*'TV 22'!F54</f>
        <v>758.16829613366076</v>
      </c>
      <c r="I54" s="1"/>
    </row>
    <row r="55" spans="1:9">
      <c r="A55" s="1">
        <f t="shared" si="5"/>
        <v>2072</v>
      </c>
      <c r="B55" s="1">
        <f t="shared" si="1"/>
        <v>107</v>
      </c>
      <c r="C55" s="1">
        <v>53</v>
      </c>
      <c r="D55" s="1">
        <f>IF(Summary!$G$23="M",VLOOKUP(B:B,'male g'!A:V,IF(A55&gt;2033,22,MATCH(A55,'male g'!$A$1:$V$1,0)),FALSE),VLOOKUP(B:B,'female g'!A:V,IF(A55&gt;2033,22,MATCH(A55,'female g'!$A$1:$V$1,0)),FALSE))</f>
        <v>0.39012102100000001</v>
      </c>
      <c r="E55" s="1">
        <f t="shared" si="2"/>
        <v>0.60987897899999999</v>
      </c>
      <c r="F55" s="1">
        <f t="shared" si="3"/>
        <v>0.63036455000000002</v>
      </c>
      <c r="G55" s="1">
        <f>1/(1+Summary!$O$2)^$C55</f>
        <v>7.5329858090815757E-2</v>
      </c>
      <c r="H55" s="1">
        <f>IF(B55&gt;64, Summary!$J$23, 0)*'TV 22'!G55*'TV 22'!F55</f>
        <v>698.93222197354567</v>
      </c>
      <c r="I55" s="1"/>
    </row>
    <row r="56" spans="1:9">
      <c r="A56" s="1">
        <f t="shared" si="5"/>
        <v>2073</v>
      </c>
      <c r="B56" s="1">
        <f t="shared" si="1"/>
        <v>108</v>
      </c>
      <c r="C56" s="1">
        <v>54</v>
      </c>
      <c r="D56" s="1">
        <f>IF(Summary!$G$23="M",VLOOKUP(B:B,'male g'!A:V,IF(A56&gt;2033,22,MATCH(A56,'male g'!$A$1:$V$1,0)),FALSE),VLOOKUP(B:B,'female g'!A:V,IF(A56&gt;2033,22,MATCH(A56,'female g'!$A$1:$V$1,0)),FALSE))</f>
        <v>0.40992095000000001</v>
      </c>
      <c r="E56" s="1">
        <f t="shared" si="2"/>
        <v>0.59007904999999994</v>
      </c>
      <c r="F56" s="1">
        <f t="shared" si="3"/>
        <v>0.60987897899999999</v>
      </c>
      <c r="G56" s="1">
        <f>1/(1+Summary!$O$2)^$C56</f>
        <v>7.1742721991253117E-2</v>
      </c>
      <c r="H56" s="1">
        <f>IF(B56&gt;64, Summary!$J$23, 0)*'TV 22'!G56*'TV 22'!F56</f>
        <v>644.01746716763205</v>
      </c>
      <c r="I56" s="1"/>
    </row>
    <row r="57" spans="1:9">
      <c r="A57" s="1">
        <f t="shared" si="5"/>
        <v>2074</v>
      </c>
      <c r="B57" s="1">
        <f t="shared" si="1"/>
        <v>109</v>
      </c>
      <c r="C57" s="1">
        <v>55</v>
      </c>
      <c r="D57" s="1">
        <f>IF(Summary!$G$23="M",VLOOKUP(B:B,'male g'!A:V,IF(A57&gt;2033,22,MATCH(A57,'male g'!$A$1:$V$1,0)),FALSE),VLOOKUP(B:B,'female g'!A:V,IF(A57&gt;2033,22,MATCH(A57,'female g'!$A$1:$V$1,0)),FALSE))</f>
        <v>0.42944720199999997</v>
      </c>
      <c r="E57" s="1">
        <f t="shared" si="2"/>
        <v>0.57055279800000003</v>
      </c>
      <c r="F57" s="1">
        <f t="shared" si="3"/>
        <v>0.59007904999999994</v>
      </c>
      <c r="G57" s="1">
        <f>1/(1+Summary!$O$2)^$C57</f>
        <v>6.8326401896431521E-2</v>
      </c>
      <c r="H57" s="1">
        <f>IF(B57&gt;64, Summary!$J$23, 0)*'TV 22'!G57*'TV 22'!F57</f>
        <v>593.4373528659761</v>
      </c>
      <c r="I57" s="1"/>
    </row>
    <row r="58" spans="1:9">
      <c r="A58" s="1">
        <f t="shared" si="5"/>
        <v>2075</v>
      </c>
      <c r="B58" s="1">
        <f t="shared" si="1"/>
        <v>110</v>
      </c>
      <c r="C58" s="1">
        <v>56</v>
      </c>
      <c r="D58" s="1">
        <f>IF(Summary!$G$23="M",VLOOKUP(B:B,'male g'!A:V,IF(A58&gt;2033,22,MATCH(A58,'male g'!$A$1:$V$1,0)),FALSE),VLOOKUP(B:B,'female g'!A:V,IF(A58&gt;2033,22,MATCH(A58,'female g'!$A$1:$V$1,0)),FALSE))</f>
        <v>0.44824126199999997</v>
      </c>
      <c r="E58" s="1">
        <f t="shared" si="2"/>
        <v>0.55175873799999997</v>
      </c>
      <c r="F58" s="1">
        <f t="shared" si="3"/>
        <v>0.57055279800000003</v>
      </c>
      <c r="G58" s="1">
        <f>1/(1+Summary!$O$2)^$C58</f>
        <v>6.5072763710887174E-2</v>
      </c>
      <c r="H58" s="1">
        <f>IF(B58&gt;64, Summary!$J$23, 0)*'TV 22'!G58*'TV 22'!F58</f>
        <v>546.47616340216837</v>
      </c>
      <c r="I58" s="1"/>
    </row>
    <row r="59" spans="1:9">
      <c r="A59" s="1">
        <f t="shared" si="5"/>
        <v>2076</v>
      </c>
      <c r="B59" s="1">
        <f t="shared" si="1"/>
        <v>111</v>
      </c>
      <c r="C59" s="1">
        <v>57</v>
      </c>
      <c r="D59" s="1">
        <f>IF(Summary!$G$23="M",VLOOKUP(B:B,'male g'!A:V,IF(A59&gt;2033,22,MATCH(A59,'male g'!$A$1:$V$1,0)),FALSE),VLOOKUP(B:B,'female g'!A:V,IF(A59&gt;2033,22,MATCH(A59,'female g'!$A$1:$V$1,0)),FALSE))</f>
        <v>0.46617251599999998</v>
      </c>
      <c r="E59" s="1">
        <f t="shared" si="2"/>
        <v>0.53382748400000002</v>
      </c>
      <c r="F59" s="1">
        <f t="shared" si="3"/>
        <v>0.55175873799999997</v>
      </c>
      <c r="G59" s="1">
        <f>1/(1+Summary!$O$2)^$C59</f>
        <v>6.1974060677035397E-2</v>
      </c>
      <c r="H59" s="1">
        <f>IF(B59&gt;64, Summary!$J$23, 0)*'TV 22'!G59*'TV 22'!F59</f>
        <v>503.30970465804643</v>
      </c>
      <c r="I59" s="1"/>
    </row>
    <row r="60" spans="1:9">
      <c r="A60" s="1">
        <f t="shared" si="5"/>
        <v>2077</v>
      </c>
      <c r="B60" s="1">
        <f t="shared" si="1"/>
        <v>112</v>
      </c>
      <c r="C60" s="1">
        <v>58</v>
      </c>
      <c r="D60" s="1">
        <f>IF(Summary!$G$23="M",VLOOKUP(B:B,'male g'!A:V,IF(A60&gt;2033,22,MATCH(A60,'male g'!$A$1:$V$1,0)),FALSE),VLOOKUP(B:B,'female g'!A:V,IF(A60&gt;2033,22,MATCH(A60,'female g'!$A$1:$V$1,0)),FALSE))</f>
        <v>0.48365765799999999</v>
      </c>
      <c r="E60" s="1">
        <f t="shared" si="2"/>
        <v>0.51634234199999995</v>
      </c>
      <c r="F60" s="1">
        <f t="shared" si="3"/>
        <v>0.53382748400000002</v>
      </c>
      <c r="G60" s="1">
        <f>1/(1+Summary!$O$2)^$C60</f>
        <v>5.9022914930509894E-2</v>
      </c>
      <c r="H60" s="1">
        <f>IF(B60&gt;64, Summary!$J$23, 0)*'TV 22'!G60*'TV 22'!F60</f>
        <v>463.76472835848153</v>
      </c>
      <c r="I60" s="1"/>
    </row>
    <row r="61" spans="1:9">
      <c r="A61" s="1">
        <f t="shared" si="5"/>
        <v>2078</v>
      </c>
      <c r="B61" s="1">
        <f t="shared" si="1"/>
        <v>113</v>
      </c>
      <c r="C61" s="1">
        <v>59</v>
      </c>
      <c r="D61" s="1">
        <f>IF(Summary!$G$23="M",VLOOKUP(B:B,'male g'!A:V,IF(A61&gt;2033,22,MATCH(A61,'male g'!$A$1:$V$1,0)),FALSE),VLOOKUP(B:B,'female g'!A:V,IF(A61&gt;2033,22,MATCH(A61,'female g'!$A$1:$V$1,0)),FALSE))</f>
        <v>0.49353991000000003</v>
      </c>
      <c r="E61" s="1">
        <f t="shared" si="2"/>
        <v>0.50646009000000003</v>
      </c>
      <c r="F61" s="1">
        <f t="shared" si="3"/>
        <v>0.51634234199999995</v>
      </c>
      <c r="G61" s="1">
        <f>1/(1+Summary!$O$2)^$C61</f>
        <v>5.6212299933818946E-2</v>
      </c>
      <c r="H61" s="1">
        <f>IF(B61&gt;64, Summary!$J$23, 0)*'TV 22'!G61*'TV 22'!F61</f>
        <v>427.21375467472564</v>
      </c>
      <c r="I61" s="1"/>
    </row>
    <row r="62" spans="1:9">
      <c r="A62" s="1">
        <f t="shared" si="5"/>
        <v>2079</v>
      </c>
      <c r="B62" s="1">
        <f t="shared" si="1"/>
        <v>114</v>
      </c>
      <c r="C62" s="1">
        <v>60</v>
      </c>
      <c r="D62" s="1">
        <f>IF(Summary!$G$23="M",VLOOKUP(B:B,'male g'!A:V,IF(A62&gt;2033,22,MATCH(A62,'male g'!$A$1:$V$1,0)),FALSE),VLOOKUP(B:B,'female g'!A:V,IF(A62&gt;2033,22,MATCH(A62,'female g'!$A$1:$V$1,0)),FALSE))</f>
        <v>0.49666062900000002</v>
      </c>
      <c r="E62" s="1">
        <f t="shared" si="2"/>
        <v>0.50333937100000004</v>
      </c>
      <c r="F62" s="1">
        <f t="shared" si="3"/>
        <v>0.50646009000000003</v>
      </c>
      <c r="G62" s="1">
        <f>1/(1+Summary!$O$2)^$C62</f>
        <v>5.3535523746494243E-2</v>
      </c>
      <c r="H62" s="1">
        <f>IF(B62&gt;64, Summary!$J$23, 0)*'TV 22'!G62*'TV 22'!F62</f>
        <v>399.08317195272105</v>
      </c>
      <c r="I62" s="1"/>
    </row>
    <row r="63" spans="1:9">
      <c r="A63" s="1">
        <f t="shared" si="5"/>
        <v>2080</v>
      </c>
      <c r="B63" s="1">
        <f t="shared" si="1"/>
        <v>115</v>
      </c>
      <c r="C63" s="1">
        <v>61</v>
      </c>
      <c r="D63" s="1">
        <f>IF(Summary!$G$23="M",VLOOKUP(B:B,'male g'!A:V,IF(A63&gt;2033,22,MATCH(A63,'male g'!$A$1:$V$1,0)),FALSE),VLOOKUP(B:B,'female g'!A:V,IF(A63&gt;2033,22,MATCH(A63,'female g'!$A$1:$V$1,0)),FALSE))</f>
        <v>0.5</v>
      </c>
      <c r="E63" s="1">
        <f t="shared" si="2"/>
        <v>0.5</v>
      </c>
      <c r="F63" s="1">
        <f t="shared" si="3"/>
        <v>0.50333937100000004</v>
      </c>
      <c r="G63" s="1">
        <f>1/(1+Summary!$O$2)^$C63</f>
        <v>5.0986213091899268E-2</v>
      </c>
      <c r="H63" s="1">
        <f>IF(B63&gt;64, Summary!$J$23, 0)*'TV 22'!G63*'TV 22'!F63</f>
        <v>377.73722937965152</v>
      </c>
      <c r="I63" s="1"/>
    </row>
    <row r="64" spans="1:9">
      <c r="A64" s="1">
        <f t="shared" si="5"/>
        <v>2081</v>
      </c>
      <c r="B64" s="1">
        <f t="shared" si="1"/>
        <v>116</v>
      </c>
      <c r="C64" s="1">
        <v>62</v>
      </c>
      <c r="D64" s="1">
        <f>IF(Summary!$G$23="M",VLOOKUP(B:B,'male g'!A:V,IF(A64&gt;2033,22,MATCH(A64,'male g'!$A$1:$V$1,0)),FALSE),VLOOKUP(B:B,'female g'!A:V,IF(A64&gt;2033,22,MATCH(A64,'female g'!$A$1:$V$1,0)),FALSE))</f>
        <v>0.5</v>
      </c>
      <c r="E64" s="1">
        <f t="shared" si="2"/>
        <v>0.5</v>
      </c>
      <c r="F64" s="1">
        <f t="shared" si="3"/>
        <v>0.5</v>
      </c>
      <c r="G64" s="1">
        <f>1/(1+Summary!$O$2)^$C64</f>
        <v>4.855829818276123E-2</v>
      </c>
      <c r="H64" s="1">
        <f>IF(B64&gt;64, Summary!$J$23, 0)*'TV 22'!G64*'TV 22'!F64</f>
        <v>357.36300694262098</v>
      </c>
      <c r="I64" s="1"/>
    </row>
    <row r="65" spans="1:9">
      <c r="A65" s="1">
        <f t="shared" si="5"/>
        <v>2082</v>
      </c>
      <c r="B65" s="1">
        <f t="shared" si="1"/>
        <v>117</v>
      </c>
      <c r="C65" s="1">
        <v>63</v>
      </c>
      <c r="D65" s="1">
        <f>IF(Summary!$G$23="M",VLOOKUP(B:B,'male g'!A:V,IF(A65&gt;2033,22,MATCH(A65,'male g'!$A$1:$V$1,0)),FALSE),VLOOKUP(B:B,'female g'!A:V,IF(A65&gt;2033,22,MATCH(A65,'female g'!$A$1:$V$1,0)),FALSE))</f>
        <v>0.5</v>
      </c>
      <c r="E65" s="1">
        <f t="shared" si="2"/>
        <v>0.5</v>
      </c>
      <c r="F65" s="1">
        <f t="shared" si="3"/>
        <v>0.5</v>
      </c>
      <c r="G65" s="1">
        <f>1/(1+Summary!$O$2)^$C65</f>
        <v>4.6245998269296387E-2</v>
      </c>
      <c r="H65" s="1">
        <f>IF(B65&gt;64, Summary!$J$23, 0)*'TV 22'!G65*'TV 22'!F65</f>
        <v>340.34572089773411</v>
      </c>
      <c r="I65" s="1"/>
    </row>
    <row r="66" spans="1:9">
      <c r="A66" s="1">
        <f t="shared" si="5"/>
        <v>2083</v>
      </c>
      <c r="B66" s="1">
        <f t="shared" si="1"/>
        <v>118</v>
      </c>
      <c r="C66" s="1">
        <v>64</v>
      </c>
      <c r="D66" s="1">
        <f>IF(Summary!$G$23="M",VLOOKUP(B:B,'male g'!A:V,IF(A66&gt;2033,22,MATCH(A66,'male g'!$A$1:$V$1,0)),FALSE),VLOOKUP(B:B,'female g'!A:V,IF(A66&gt;2033,22,MATCH(A66,'female g'!$A$1:$V$1,0)),FALSE))</f>
        <v>0.5</v>
      </c>
      <c r="E66" s="1">
        <f t="shared" si="2"/>
        <v>0.5</v>
      </c>
      <c r="F66" s="1">
        <f t="shared" si="3"/>
        <v>0.5</v>
      </c>
      <c r="G66" s="1">
        <f>1/(1+Summary!$O$2)^$C66</f>
        <v>4.4043807875520369E-2</v>
      </c>
      <c r="H66" s="1">
        <f>IF(B66&gt;64, Summary!$J$23, 0)*'TV 22'!G66*'TV 22'!F66</f>
        <v>324.13878180736577</v>
      </c>
      <c r="I66" s="1"/>
    </row>
    <row r="67" spans="1:9">
      <c r="A67" s="1">
        <f t="shared" si="5"/>
        <v>2084</v>
      </c>
      <c r="B67" s="1">
        <f t="shared" si="1"/>
        <v>119</v>
      </c>
      <c r="C67" s="1">
        <v>65</v>
      </c>
      <c r="D67" s="1">
        <f>IF(Summary!$G$23="M",VLOOKUP(B:B,'male g'!A:V,IF(A67&gt;2033,22,MATCH(A67,'male g'!$A$1:$V$1,0)),FALSE),VLOOKUP(B:B,'female g'!A:V,IF(A67&gt;2033,22,MATCH(A67,'female g'!$A$1:$V$1,0)),FALSE))</f>
        <v>0.5</v>
      </c>
      <c r="E67" s="1">
        <f t="shared" si="2"/>
        <v>0.5</v>
      </c>
      <c r="F67" s="1">
        <f t="shared" si="3"/>
        <v>0.5</v>
      </c>
      <c r="G67" s="1">
        <f>1/(1+Summary!$O$2)^$C67</f>
        <v>4.1946483690971779E-2</v>
      </c>
      <c r="H67" s="1">
        <f>IF(B67&gt;64, Summary!$J$23, 0)*'TV 22'!G67*'TV 22'!F67</f>
        <v>308.70360172130074</v>
      </c>
      <c r="I67" s="1"/>
    </row>
    <row r="68" spans="1:9">
      <c r="A68" s="1">
        <f t="shared" si="5"/>
        <v>2085</v>
      </c>
      <c r="B68" s="1">
        <f>$B$2+C68</f>
        <v>120</v>
      </c>
      <c r="C68" s="1">
        <v>66</v>
      </c>
      <c r="D68" s="1">
        <f>IF(Summary!$G$23="M",VLOOKUP(B:B,'male g'!A:V,IF(A68&gt;2033,22,MATCH(A68,'male g'!$A$1:$V$1,0)),FALSE),VLOOKUP(B:B,'female g'!A:V,IF(A68&gt;2033,22,MATCH(A68,'female g'!$A$1:$V$1,0)),FALSE))</f>
        <v>1</v>
      </c>
      <c r="E68" s="1">
        <f>1-D68</f>
        <v>0</v>
      </c>
      <c r="F68" s="1">
        <f>E67</f>
        <v>0.5</v>
      </c>
      <c r="G68" s="1">
        <f>1/(1+Summary!$O$2)^$C68</f>
        <v>3.9949032086639788E-2</v>
      </c>
      <c r="H68" s="1">
        <f>IF(B68&gt;64, Summary!$J$23, 0)*'TV 22'!G68*'TV 22'!F68</f>
        <v>294.00343021076259</v>
      </c>
      <c r="I68" s="1"/>
    </row>
    <row r="69" spans="1:9">
      <c r="A69" s="1"/>
    </row>
    <row r="70" spans="1:9">
      <c r="A70" s="1"/>
    </row>
    <row r="71" spans="1:9">
      <c r="A71" s="1"/>
    </row>
    <row r="72" spans="1:9">
      <c r="A72" s="1"/>
    </row>
    <row r="73" spans="1:9">
      <c r="A73" s="1"/>
    </row>
    <row r="74" spans="1:9">
      <c r="A74" s="1"/>
    </row>
    <row r="75" spans="1:9">
      <c r="A75" s="1"/>
    </row>
    <row r="76" spans="1:9">
      <c r="A76" s="1"/>
    </row>
    <row r="77" spans="1:9">
      <c r="A77" s="1"/>
    </row>
    <row r="78" spans="1:9">
      <c r="A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I98"/>
  <sheetViews>
    <sheetView workbookViewId="0">
      <selection activeCell="B47" sqref="B47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Summary!H24</f>
        <v>54</v>
      </c>
      <c r="C2" s="1">
        <v>0</v>
      </c>
      <c r="D2" s="1">
        <f>IF(Summary!$G$24="M",VLOOKUP(B:B,'male g'!A:V,IF(A2&gt;2033,22,MATCH(A2,'male g'!$A$1:$V$1,0)),FALSE),VLOOKUP(B:B,'female g'!A:V,IF(A2&gt;2033,22,MATCH(A2,'female g'!$A$1:$V$1,0)),FALSE))</f>
        <v>5.2433238170473172E-3</v>
      </c>
      <c r="E2" s="1">
        <f>1-D2</f>
        <v>0.99475667618295271</v>
      </c>
      <c r="F2" s="1">
        <v>1</v>
      </c>
      <c r="G2" s="1">
        <f>1/(1+Summary!$O$2)^$C2</f>
        <v>1</v>
      </c>
      <c r="H2" s="1">
        <f>IF(B2&gt;64, Summary!$J$24, 0)*'TV 23'!G2*'TV 23'!F2</f>
        <v>0</v>
      </c>
      <c r="I2" s="1">
        <f>SUM(H2:H68)</f>
        <v>169287.50626051414</v>
      </c>
    </row>
    <row r="3" spans="1:9">
      <c r="A3" s="1">
        <f>$A$2+C3</f>
        <v>2020</v>
      </c>
      <c r="B3" s="1">
        <f>$B$2+C3</f>
        <v>55</v>
      </c>
      <c r="C3" s="1">
        <v>1</v>
      </c>
      <c r="D3" s="1">
        <f>IF(Summary!$G$24="M",VLOOKUP(B:B,'male g'!A:V,IF(A3&gt;2033,22,MATCH(A3,'male g'!$A$1:$V$1,0)),FALSE),VLOOKUP(B:B,'female g'!A:V,IF(A3&gt;2033,22,MATCH(A3,'female g'!$A$1:$V$1,0)),FALSE))</f>
        <v>5.5823576474697493E-3</v>
      </c>
      <c r="E3" s="1">
        <f>1-D3</f>
        <v>0.99441764235253027</v>
      </c>
      <c r="F3" s="1">
        <f>E2</f>
        <v>0.99475667618295271</v>
      </c>
      <c r="G3" s="1">
        <f>1/(1+Summary!$O$2)^$C3</f>
        <v>0.95238095238095233</v>
      </c>
      <c r="H3" s="1">
        <f>IF(B3&gt;64, Summary!$J$24, 0)*'TV 23'!G3*'TV 23'!F3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56</v>
      </c>
      <c r="C4" s="1">
        <v>2</v>
      </c>
      <c r="D4" s="1">
        <f>IF(Summary!$G$24="M",VLOOKUP(B:B,'male g'!A:V,IF(A4&gt;2033,22,MATCH(A4,'male g'!$A$1:$V$1,0)),FALSE),VLOOKUP(B:B,'female g'!A:V,IF(A4&gt;2033,22,MATCH(A4,'female g'!$A$1:$V$1,0)),FALSE))</f>
        <v>5.9372072206952033E-3</v>
      </c>
      <c r="E4" s="1">
        <f t="shared" ref="E4:E67" si="2">1-D4</f>
        <v>0.99406279277930476</v>
      </c>
      <c r="F4" s="1">
        <f t="shared" ref="F4:F67" si="3">E3</f>
        <v>0.99441764235253027</v>
      </c>
      <c r="G4" s="1">
        <f>1/(1+Summary!$O$2)^$C4</f>
        <v>0.90702947845804982</v>
      </c>
      <c r="H4" s="1">
        <f>IF(B4&gt;64, Summary!$J$24, 0)*'TV 23'!G4*'TV 23'!F4</f>
        <v>0</v>
      </c>
      <c r="I4" s="1"/>
    </row>
    <row r="5" spans="1:9">
      <c r="A5" s="1">
        <f t="shared" si="0"/>
        <v>2022</v>
      </c>
      <c r="B5" s="1">
        <f t="shared" si="1"/>
        <v>57</v>
      </c>
      <c r="C5" s="1">
        <v>3</v>
      </c>
      <c r="D5" s="1">
        <f>IF(Summary!$G$24="M",VLOOKUP(B:B,'male g'!A:V,IF(A5&gt;2033,22,MATCH(A5,'male g'!$A$1:$V$1,0)),FALSE),VLOOKUP(B:B,'female g'!A:V,IF(A5&gt;2033,22,MATCH(A5,'female g'!$A$1:$V$1,0)),FALSE))</f>
        <v>6.3091668506391006E-3</v>
      </c>
      <c r="E5" s="1">
        <f t="shared" si="2"/>
        <v>0.99369083314936091</v>
      </c>
      <c r="F5" s="1">
        <f t="shared" si="3"/>
        <v>0.99406279277930476</v>
      </c>
      <c r="G5" s="1">
        <f>1/(1+Summary!$O$2)^$C5</f>
        <v>0.86383759853147601</v>
      </c>
      <c r="H5" s="1">
        <f>IF(B5&gt;64, Summary!$J$24, 0)*'TV 23'!G5*'TV 23'!F5</f>
        <v>0</v>
      </c>
      <c r="I5" s="1"/>
    </row>
    <row r="6" spans="1:9">
      <c r="A6" s="1">
        <f t="shared" si="0"/>
        <v>2023</v>
      </c>
      <c r="B6" s="1">
        <f t="shared" si="1"/>
        <v>58</v>
      </c>
      <c r="C6" s="1">
        <v>4</v>
      </c>
      <c r="D6" s="1">
        <f>IF(Summary!$G$24="M",VLOOKUP(B:B,'male g'!A:V,IF(A6&gt;2033,22,MATCH(A6,'male g'!$A$1:$V$1,0)),FALSE),VLOOKUP(B:B,'female g'!A:V,IF(A6&gt;2033,22,MATCH(A6,'female g'!$A$1:$V$1,0)),FALSE))</f>
        <v>6.7015437369218108E-3</v>
      </c>
      <c r="E6" s="1">
        <f t="shared" si="2"/>
        <v>0.99329845626307822</v>
      </c>
      <c r="F6" s="1">
        <f t="shared" si="3"/>
        <v>0.99369083314936091</v>
      </c>
      <c r="G6" s="1">
        <f>1/(1+Summary!$O$2)^$C6</f>
        <v>0.82270247479188197</v>
      </c>
      <c r="H6" s="1">
        <f>IF(B6&gt;64, Summary!$J$24, 0)*'TV 23'!G6*'TV 23'!F6</f>
        <v>0</v>
      </c>
      <c r="I6" s="1"/>
    </row>
    <row r="7" spans="1:9">
      <c r="A7" s="1">
        <f t="shared" si="0"/>
        <v>2024</v>
      </c>
      <c r="B7" s="1">
        <f t="shared" si="1"/>
        <v>59</v>
      </c>
      <c r="C7" s="1">
        <v>5</v>
      </c>
      <c r="D7" s="1">
        <f>IF(Summary!$G$24="M",VLOOKUP(B:B,'male g'!A:V,IF(A7&gt;2033,22,MATCH(A7,'male g'!$A$1:$V$1,0)),FALSE),VLOOKUP(B:B,'female g'!A:V,IF(A7&gt;2033,22,MATCH(A7,'female g'!$A$1:$V$1,0)),FALSE))</f>
        <v>7.1182823701906942E-3</v>
      </c>
      <c r="E7" s="1">
        <f t="shared" si="2"/>
        <v>0.99288171762980926</v>
      </c>
      <c r="F7" s="1">
        <f t="shared" si="3"/>
        <v>0.99329845626307822</v>
      </c>
      <c r="G7" s="1">
        <f>1/(1+Summary!$O$2)^$C7</f>
        <v>0.78352616646845896</v>
      </c>
      <c r="H7" s="1">
        <f>IF(B7&gt;64, Summary!$J$24, 0)*'TV 23'!G7*'TV 23'!F7</f>
        <v>0</v>
      </c>
      <c r="I7" s="1"/>
    </row>
    <row r="8" spans="1:9">
      <c r="A8" s="1">
        <f t="shared" si="0"/>
        <v>2025</v>
      </c>
      <c r="B8" s="1">
        <f t="shared" si="1"/>
        <v>60</v>
      </c>
      <c r="C8" s="1">
        <v>6</v>
      </c>
      <c r="D8" s="1">
        <f>IF(Summary!$G$24="M",VLOOKUP(B:B,'male g'!A:V,IF(A8&gt;2033,22,MATCH(A8,'male g'!$A$1:$V$1,0)),FALSE),VLOOKUP(B:B,'female g'!A:V,IF(A8&gt;2033,22,MATCH(A8,'female g'!$A$1:$V$1,0)),FALSE))</f>
        <v>7.5666801144468679E-3</v>
      </c>
      <c r="E8" s="1">
        <f t="shared" si="2"/>
        <v>0.99243331988555317</v>
      </c>
      <c r="F8" s="1">
        <f t="shared" si="3"/>
        <v>0.99288171762980926</v>
      </c>
      <c r="G8" s="1">
        <f>1/(1+Summary!$O$2)^$C8</f>
        <v>0.74621539663662761</v>
      </c>
      <c r="H8" s="1">
        <f>IF(B8&gt;64, Summary!$J$24, 0)*'TV 23'!G8*'TV 23'!F8</f>
        <v>0</v>
      </c>
      <c r="I8" s="1"/>
    </row>
    <row r="9" spans="1:9">
      <c r="A9" s="1">
        <f t="shared" si="0"/>
        <v>2026</v>
      </c>
      <c r="B9" s="1">
        <f t="shared" si="1"/>
        <v>61</v>
      </c>
      <c r="C9" s="1">
        <v>7</v>
      </c>
      <c r="D9" s="1">
        <f>IF(Summary!$G$24="M",VLOOKUP(B:B,'male g'!A:V,IF(A9&gt;2033,22,MATCH(A9,'male g'!$A$1:$V$1,0)),FALSE),VLOOKUP(B:B,'female g'!A:V,IF(A9&gt;2033,22,MATCH(A9,'female g'!$A$1:$V$1,0)),FALSE))</f>
        <v>8.0504950674902039E-3</v>
      </c>
      <c r="E9" s="1">
        <f t="shared" si="2"/>
        <v>0.99194950493250977</v>
      </c>
      <c r="F9" s="1">
        <f t="shared" si="3"/>
        <v>0.99243331988555317</v>
      </c>
      <c r="G9" s="1">
        <f>1/(1+Summary!$O$2)^$C9</f>
        <v>0.71068133013012147</v>
      </c>
      <c r="H9" s="1">
        <f>IF(B9&gt;64, Summary!$J$24, 0)*'TV 23'!G9*'TV 23'!F9</f>
        <v>0</v>
      </c>
      <c r="I9" s="1"/>
    </row>
    <row r="10" spans="1:9">
      <c r="A10" s="1">
        <f t="shared" si="0"/>
        <v>2027</v>
      </c>
      <c r="B10" s="1">
        <f t="shared" si="1"/>
        <v>62</v>
      </c>
      <c r="C10" s="1">
        <v>8</v>
      </c>
      <c r="D10" s="1">
        <f>IF(Summary!$G$24="M",VLOOKUP(B:B,'male g'!A:V,IF(A10&gt;2033,22,MATCH(A10,'male g'!$A$1:$V$1,0)),FALSE),VLOOKUP(B:B,'female g'!A:V,IF(A10&gt;2033,22,MATCH(A10,'female g'!$A$1:$V$1,0)),FALSE))</f>
        <v>8.5697475908665856E-3</v>
      </c>
      <c r="E10" s="1">
        <f t="shared" si="2"/>
        <v>0.99143025240913341</v>
      </c>
      <c r="F10" s="1">
        <f t="shared" si="3"/>
        <v>0.99194950493250977</v>
      </c>
      <c r="G10" s="1">
        <f>1/(1+Summary!$O$2)^$C10</f>
        <v>0.67683936202868722</v>
      </c>
      <c r="H10" s="1">
        <f>IF(B10&gt;64, Summary!$J$24, 0)*'TV 23'!G10*'TV 23'!F10</f>
        <v>0</v>
      </c>
      <c r="I10" s="1"/>
    </row>
    <row r="11" spans="1:9">
      <c r="A11" s="1">
        <f t="shared" si="0"/>
        <v>2028</v>
      </c>
      <c r="B11" s="1">
        <f t="shared" si="1"/>
        <v>63</v>
      </c>
      <c r="C11" s="1">
        <v>9</v>
      </c>
      <c r="D11" s="1">
        <f>IF(Summary!$G$24="M",VLOOKUP(B:B,'male g'!A:V,IF(A11&gt;2033,22,MATCH(A11,'male g'!$A$1:$V$1,0)),FALSE),VLOOKUP(B:B,'female g'!A:V,IF(A11&gt;2033,22,MATCH(A11,'female g'!$A$1:$V$1,0)),FALSE))</f>
        <v>9.1293506356685278E-3</v>
      </c>
      <c r="E11" s="1">
        <f t="shared" si="2"/>
        <v>0.99087064936433145</v>
      </c>
      <c r="F11" s="1">
        <f t="shared" si="3"/>
        <v>0.99143025240913341</v>
      </c>
      <c r="G11" s="1">
        <f>1/(1+Summary!$O$2)^$C11</f>
        <v>0.64460891621779726</v>
      </c>
      <c r="H11" s="1">
        <f>IF(B11&gt;64, Summary!$J$24, 0)*'TV 23'!G11*'TV 23'!F11</f>
        <v>0</v>
      </c>
      <c r="I11" s="1"/>
    </row>
    <row r="12" spans="1:9">
      <c r="A12" s="1">
        <f t="shared" si="0"/>
        <v>2029</v>
      </c>
      <c r="B12" s="1">
        <f t="shared" si="1"/>
        <v>64</v>
      </c>
      <c r="C12" s="1">
        <v>10</v>
      </c>
      <c r="D12" s="1">
        <f>IF(Summary!$G$24="M",VLOOKUP(B:B,'male g'!A:V,IF(A12&gt;2033,22,MATCH(A12,'male g'!$A$1:$V$1,0)),FALSE),VLOOKUP(B:B,'female g'!A:V,IF(A12&gt;2033,22,MATCH(A12,'female g'!$A$1:$V$1,0)),FALSE))</f>
        <v>9.7357321059500321E-3</v>
      </c>
      <c r="E12" s="1">
        <f t="shared" si="2"/>
        <v>0.99026426789404998</v>
      </c>
      <c r="F12" s="1">
        <f t="shared" si="3"/>
        <v>0.99087064936433145</v>
      </c>
      <c r="G12" s="1">
        <f>1/(1+Summary!$O$2)^$C12</f>
        <v>0.61391325354075932</v>
      </c>
      <c r="H12" s="1">
        <f>IF(B12&gt;64, Summary!$J$24, 0)*'TV 23'!G12*'TV 23'!F12</f>
        <v>0</v>
      </c>
      <c r="I12" s="1"/>
    </row>
    <row r="13" spans="1:9">
      <c r="A13" s="1">
        <f t="shared" si="0"/>
        <v>2030</v>
      </c>
      <c r="B13" s="1">
        <f t="shared" si="1"/>
        <v>65</v>
      </c>
      <c r="C13" s="1">
        <v>11</v>
      </c>
      <c r="D13" s="1">
        <f>IF(Summary!$G$24="M",VLOOKUP(B:B,'male g'!A:V,IF(A13&gt;2033,22,MATCH(A13,'male g'!$A$1:$V$1,0)),FALSE),VLOOKUP(B:B,'female g'!A:V,IF(A13&gt;2033,22,MATCH(A13,'female g'!$A$1:$V$1,0)),FALSE))</f>
        <v>1.0390651635583144E-2</v>
      </c>
      <c r="E13" s="1">
        <f t="shared" si="2"/>
        <v>0.98960934836441683</v>
      </c>
      <c r="F13" s="1">
        <f t="shared" si="3"/>
        <v>0.99026426789404998</v>
      </c>
      <c r="G13" s="1">
        <f>1/(1+Summary!$O$2)^$C13</f>
        <v>0.5846792890864374</v>
      </c>
      <c r="H13" s="1">
        <f>IF(B13&gt;64, Summary!$J$24, 0)*'TV 23'!G13*'TV 23'!F13</f>
        <v>9380.9433792275886</v>
      </c>
      <c r="I13" s="1"/>
    </row>
    <row r="14" spans="1:9">
      <c r="A14" s="1">
        <f t="shared" si="0"/>
        <v>2031</v>
      </c>
      <c r="B14" s="1">
        <f t="shared" si="1"/>
        <v>66</v>
      </c>
      <c r="C14" s="1">
        <v>12</v>
      </c>
      <c r="D14" s="1">
        <f>IF(Summary!$G$24="M",VLOOKUP(B:B,'male g'!A:V,IF(A14&gt;2033,22,MATCH(A14,'male g'!$A$1:$V$1,0)),FALSE),VLOOKUP(B:B,'female g'!A:V,IF(A14&gt;2033,22,MATCH(A14,'female g'!$A$1:$V$1,0)),FALSE))</f>
        <v>1.1100690043574222E-2</v>
      </c>
      <c r="E14" s="1">
        <f t="shared" si="2"/>
        <v>0.98889930995642583</v>
      </c>
      <c r="F14" s="1">
        <f t="shared" si="3"/>
        <v>0.98960934836441683</v>
      </c>
      <c r="G14" s="1">
        <f>1/(1+Summary!$O$2)^$C14</f>
        <v>0.5568374181775595</v>
      </c>
      <c r="H14" s="1">
        <f>IF(B14&gt;64, Summary!$J$24, 0)*'TV 23'!G14*'TV 23'!F14</f>
        <v>8928.3230610596656</v>
      </c>
      <c r="I14" s="1"/>
    </row>
    <row r="15" spans="1:9">
      <c r="A15" s="1">
        <f t="shared" si="0"/>
        <v>2032</v>
      </c>
      <c r="B15" s="1">
        <f t="shared" si="1"/>
        <v>67</v>
      </c>
      <c r="C15" s="1">
        <v>13</v>
      </c>
      <c r="D15" s="1">
        <f>IF(Summary!$G$24="M",VLOOKUP(B:B,'male g'!A:V,IF(A15&gt;2033,22,MATCH(A15,'male g'!$A$1:$V$1,0)),FALSE),VLOOKUP(B:B,'female g'!A:V,IF(A15&gt;2033,22,MATCH(A15,'female g'!$A$1:$V$1,0)),FALSE))</f>
        <v>1.1869382673685447E-2</v>
      </c>
      <c r="E15" s="1">
        <f t="shared" si="2"/>
        <v>0.98813061732631458</v>
      </c>
      <c r="F15" s="1">
        <f t="shared" si="3"/>
        <v>0.98889930995642583</v>
      </c>
      <c r="G15" s="1">
        <f>1/(1+Summary!$O$2)^$C15</f>
        <v>0.53032135064529462</v>
      </c>
      <c r="H15" s="1">
        <f>IF(B15&gt;64, Summary!$J$24, 0)*'TV 23'!G15*'TV 23'!F15</f>
        <v>8497.0638534262052</v>
      </c>
      <c r="I15" s="1"/>
    </row>
    <row r="16" spans="1:9">
      <c r="A16" s="1">
        <f t="shared" si="0"/>
        <v>2033</v>
      </c>
      <c r="B16" s="1">
        <f t="shared" si="1"/>
        <v>68</v>
      </c>
      <c r="C16" s="1">
        <v>14</v>
      </c>
      <c r="D16" s="1">
        <f>IF(Summary!$G$24="M",VLOOKUP(B:B,'male g'!A:V,IF(A16&gt;2033,22,MATCH(A16,'male g'!$A$1:$V$1,0)),FALSE),VLOOKUP(B:B,'female g'!A:V,IF(A16&gt;2033,22,MATCH(A16,'female g'!$A$1:$V$1,0)),FALSE))</f>
        <v>1.270777815055386E-2</v>
      </c>
      <c r="E16" s="1">
        <f t="shared" si="2"/>
        <v>0.98729222184944609</v>
      </c>
      <c r="F16" s="1">
        <f t="shared" si="3"/>
        <v>0.98813061732631458</v>
      </c>
      <c r="G16" s="1">
        <f>1/(1+Summary!$O$2)^$C16</f>
        <v>0.50506795299551888</v>
      </c>
      <c r="H16" s="1">
        <f>IF(B16&gt;64, Summary!$J$24, 0)*'TV 23'!G16*'TV 23'!F16</f>
        <v>8086.1513367269663</v>
      </c>
      <c r="I16" s="1"/>
    </row>
    <row r="17" spans="1:9">
      <c r="A17" s="1">
        <f t="shared" si="0"/>
        <v>2034</v>
      </c>
      <c r="B17" s="1">
        <f t="shared" si="1"/>
        <v>69</v>
      </c>
      <c r="C17" s="1">
        <v>15</v>
      </c>
      <c r="D17" s="1">
        <f>IF(Summary!$G$24="M",VLOOKUP(B:B,'male g'!A:V,IF(A17&gt;2033,22,MATCH(A17,'male g'!$A$1:$V$1,0)),FALSE),VLOOKUP(B:B,'female g'!A:V,IF(A17&gt;2033,22,MATCH(A17,'female g'!$A$1:$V$1,0)),FALSE))</f>
        <v>1.3626686177724836E-2</v>
      </c>
      <c r="E17" s="1">
        <f t="shared" si="2"/>
        <v>0.98637331382227511</v>
      </c>
      <c r="F17" s="1">
        <f t="shared" si="3"/>
        <v>0.98729222184944609</v>
      </c>
      <c r="G17" s="1">
        <f>1/(1+Summary!$O$2)^$C17</f>
        <v>0.48101709809097021</v>
      </c>
      <c r="H17" s="1">
        <f>IF(B17&gt;64, Summary!$J$24, 0)*'TV 23'!G17*'TV 23'!F17</f>
        <v>7694.5623907104928</v>
      </c>
      <c r="I17" s="1"/>
    </row>
    <row r="18" spans="1:9">
      <c r="A18" s="1">
        <f t="shared" si="0"/>
        <v>2035</v>
      </c>
      <c r="B18" s="1">
        <f t="shared" si="1"/>
        <v>70</v>
      </c>
      <c r="C18" s="1">
        <v>16</v>
      </c>
      <c r="D18" s="1">
        <f>IF(Summary!$G$24="M",VLOOKUP(B:B,'male g'!A:V,IF(A18&gt;2033,22,MATCH(A18,'male g'!$A$1:$V$1,0)),FALSE),VLOOKUP(B:B,'female g'!A:V,IF(A18&gt;2033,22,MATCH(A18,'female g'!$A$1:$V$1,0)),FALSE))</f>
        <v>1.4793079982031035E-2</v>
      </c>
      <c r="E18" s="1">
        <f t="shared" si="2"/>
        <v>0.98520692001796895</v>
      </c>
      <c r="F18" s="1">
        <f t="shared" si="3"/>
        <v>0.98637331382227511</v>
      </c>
      <c r="G18" s="1">
        <f>1/(1+Summary!$O$2)^$C18</f>
        <v>0.45811152199140021</v>
      </c>
      <c r="H18" s="1">
        <f>IF(B18&gt;64, Summary!$J$24, 0)*'TV 23'!G18*'TV 23'!F18</f>
        <v>7321.3340833326583</v>
      </c>
      <c r="I18" s="1"/>
    </row>
    <row r="19" spans="1:9">
      <c r="A19" s="1">
        <f t="shared" si="0"/>
        <v>2036</v>
      </c>
      <c r="B19" s="1">
        <f t="shared" si="1"/>
        <v>71</v>
      </c>
      <c r="C19" s="1">
        <v>17</v>
      </c>
      <c r="D19" s="1">
        <f>IF(Summary!$G$24="M",VLOOKUP(B:B,'male g'!A:V,IF(A19&gt;2033,22,MATCH(A19,'male g'!$A$1:$V$1,0)),FALSE),VLOOKUP(B:B,'female g'!A:V,IF(A19&gt;2033,22,MATCH(A19,'female g'!$A$1:$V$1,0)),FALSE))</f>
        <v>1.6081052063459764E-2</v>
      </c>
      <c r="E19" s="1">
        <f t="shared" si="2"/>
        <v>0.98391894793654022</v>
      </c>
      <c r="F19" s="1">
        <f t="shared" si="3"/>
        <v>0.98520692001796895</v>
      </c>
      <c r="G19" s="1">
        <f>1/(1+Summary!$O$2)^$C19</f>
        <v>0.43629668761085727</v>
      </c>
      <c r="H19" s="1">
        <f>IF(B19&gt;64, Summary!$J$24, 0)*'TV 23'!G19*'TV 23'!F19</f>
        <v>6964.4538582327614</v>
      </c>
      <c r="I19" s="1"/>
    </row>
    <row r="20" spans="1:9">
      <c r="A20" s="1">
        <f t="shared" si="0"/>
        <v>2037</v>
      </c>
      <c r="B20" s="1">
        <f t="shared" si="1"/>
        <v>72</v>
      </c>
      <c r="C20" s="1">
        <v>18</v>
      </c>
      <c r="D20" s="1">
        <f>IF(Summary!$G$24="M",VLOOKUP(B:B,'male g'!A:V,IF(A20&gt;2033,22,MATCH(A20,'male g'!$A$1:$V$1,0)),FALSE),VLOOKUP(B:B,'female g'!A:V,IF(A20&gt;2033,22,MATCH(A20,'female g'!$A$1:$V$1,0)),FALSE))</f>
        <v>1.7512751333317752E-2</v>
      </c>
      <c r="E20" s="1">
        <f t="shared" si="2"/>
        <v>0.98248724866668224</v>
      </c>
      <c r="F20" s="1">
        <f t="shared" si="3"/>
        <v>0.98391894793654022</v>
      </c>
      <c r="G20" s="1">
        <f>1/(1+Summary!$O$2)^$C20</f>
        <v>0.41552065486748313</v>
      </c>
      <c r="H20" s="1">
        <f>IF(B20&gt;64, Summary!$J$24, 0)*'TV 23'!G20*'TV 23'!F20</f>
        <v>6624.1420470621033</v>
      </c>
      <c r="I20" s="1"/>
    </row>
    <row r="21" spans="1:9">
      <c r="A21" s="1">
        <f t="shared" si="0"/>
        <v>2038</v>
      </c>
      <c r="B21" s="1">
        <f t="shared" si="1"/>
        <v>73</v>
      </c>
      <c r="C21" s="1">
        <v>19</v>
      </c>
      <c r="D21" s="1">
        <f>IF(Summary!$G$24="M",VLOOKUP(B:B,'male g'!A:V,IF(A21&gt;2033,22,MATCH(A21,'male g'!$A$1:$V$1,0)),FALSE),VLOOKUP(B:B,'female g'!A:V,IF(A21&gt;2033,22,MATCH(A21,'female g'!$A$1:$V$1,0)),FALSE))</f>
        <v>1.9108502444741413E-2</v>
      </c>
      <c r="E21" s="1">
        <f t="shared" si="2"/>
        <v>0.98089149755525862</v>
      </c>
      <c r="F21" s="1">
        <f t="shared" si="3"/>
        <v>0.98248724866668224</v>
      </c>
      <c r="G21" s="1">
        <f>1/(1+Summary!$O$2)^$C21</f>
        <v>0.39573395701665059</v>
      </c>
      <c r="H21" s="1">
        <f>IF(B21&gt;64, Summary!$J$24, 0)*'TV 23'!G21*'TV 23'!F21</f>
        <v>6299.5269199901277</v>
      </c>
      <c r="I21" s="1"/>
    </row>
    <row r="22" spans="1:9">
      <c r="A22" s="1">
        <f t="shared" si="0"/>
        <v>2039</v>
      </c>
      <c r="B22" s="1">
        <f t="shared" si="1"/>
        <v>74</v>
      </c>
      <c r="C22" s="1">
        <v>20</v>
      </c>
      <c r="D22" s="1">
        <f>IF(Summary!$G$24="M",VLOOKUP(B:B,'male g'!A:V,IF(A22&gt;2033,22,MATCH(A22,'male g'!$A$1:$V$1,0)),FALSE),VLOOKUP(B:B,'female g'!A:V,IF(A22&gt;2033,22,MATCH(A22,'female g'!$A$1:$V$1,0)),FALSE))</f>
        <v>2.0891078905760852E-2</v>
      </c>
      <c r="E22" s="1">
        <f t="shared" si="2"/>
        <v>0.97910892109423919</v>
      </c>
      <c r="F22" s="1">
        <f t="shared" si="3"/>
        <v>0.98089149755525862</v>
      </c>
      <c r="G22" s="1">
        <f>1/(1+Summary!$O$2)^$C22</f>
        <v>0.37688948287300061</v>
      </c>
      <c r="H22" s="1">
        <f>IF(B22&gt;64, Summary!$J$24, 0)*'TV 23'!G22*'TV 23'!F22</f>
        <v>5989.8050079621526</v>
      </c>
      <c r="I22" s="1"/>
    </row>
    <row r="23" spans="1:9">
      <c r="A23" s="1">
        <f t="shared" si="0"/>
        <v>2040</v>
      </c>
      <c r="B23" s="1">
        <f t="shared" si="1"/>
        <v>75</v>
      </c>
      <c r="C23" s="1">
        <v>21</v>
      </c>
      <c r="D23" s="1">
        <f>IF(Summary!$G$24="M",VLOOKUP(B:B,'male g'!A:V,IF(A23&gt;2033,22,MATCH(A23,'male g'!$A$1:$V$1,0)),FALSE),VLOOKUP(B:B,'female g'!A:V,IF(A23&gt;2033,22,MATCH(A23,'female g'!$A$1:$V$1,0)),FALSE))</f>
        <v>2.289528896934603E-2</v>
      </c>
      <c r="E23" s="1">
        <f t="shared" si="2"/>
        <v>0.97710471103065399</v>
      </c>
      <c r="F23" s="1">
        <f t="shared" si="3"/>
        <v>0.97910892109423919</v>
      </c>
      <c r="G23" s="1">
        <f>1/(1+Summary!$O$2)^$C23</f>
        <v>0.35894236464095297</v>
      </c>
      <c r="H23" s="1">
        <f>IF(B23&gt;64, Summary!$J$24, 0)*'TV 23'!G23*'TV 23'!F23</f>
        <v>5694.2092581110983</v>
      </c>
      <c r="I23" s="1"/>
    </row>
    <row r="24" spans="1:9">
      <c r="A24" s="1">
        <f t="shared" si="0"/>
        <v>2041</v>
      </c>
      <c r="B24" s="1">
        <f t="shared" si="1"/>
        <v>76</v>
      </c>
      <c r="C24" s="1">
        <v>22</v>
      </c>
      <c r="D24" s="1">
        <f>IF(Summary!$G$24="M",VLOOKUP(B:B,'male g'!A:V,IF(A24&gt;2033,22,MATCH(A24,'male g'!$A$1:$V$1,0)),FALSE),VLOOKUP(B:B,'female g'!A:V,IF(A24&gt;2033,22,MATCH(A24,'female g'!$A$1:$V$1,0)),FALSE))</f>
        <v>2.513765115831567E-2</v>
      </c>
      <c r="E24" s="1">
        <f t="shared" si="2"/>
        <v>0.97486234884168432</v>
      </c>
      <c r="F24" s="1">
        <f t="shared" si="3"/>
        <v>0.97710471103065399</v>
      </c>
      <c r="G24" s="1">
        <f>1/(1+Summary!$O$2)^$C24</f>
        <v>0.3418498710866219</v>
      </c>
      <c r="H24" s="1">
        <f>IF(B24&gt;64, Summary!$J$24, 0)*'TV 23'!G24*'TV 23'!F24</f>
        <v>5411.9555832135975</v>
      </c>
      <c r="I24" s="1"/>
    </row>
    <row r="25" spans="1:9">
      <c r="A25" s="1">
        <f t="shared" si="0"/>
        <v>2042</v>
      </c>
      <c r="B25" s="1">
        <f t="shared" si="1"/>
        <v>77</v>
      </c>
      <c r="C25" s="1">
        <v>23</v>
      </c>
      <c r="D25" s="1">
        <f>IF(Summary!$G$24="M",VLOOKUP(B:B,'male g'!A:V,IF(A25&gt;2033,22,MATCH(A25,'male g'!$A$1:$V$1,0)),FALSE),VLOOKUP(B:B,'female g'!A:V,IF(A25&gt;2033,22,MATCH(A25,'female g'!$A$1:$V$1,0)),FALSE))</f>
        <v>2.7677948896305107E-2</v>
      </c>
      <c r="E25" s="1">
        <f t="shared" si="2"/>
        <v>0.97232205110369485</v>
      </c>
      <c r="F25" s="1">
        <f t="shared" si="3"/>
        <v>0.97486234884168432</v>
      </c>
      <c r="G25" s="1">
        <f>1/(1+Summary!$O$2)^$C25</f>
        <v>0.32557130579678267</v>
      </c>
      <c r="H25" s="1">
        <f>IF(B25&gt;64, Summary!$J$24, 0)*'TV 23'!G25*'TV 23'!F25</f>
        <v>5142.4149151770371</v>
      </c>
      <c r="I25" s="1"/>
    </row>
    <row r="26" spans="1:9">
      <c r="A26" s="1">
        <f t="shared" si="0"/>
        <v>2043</v>
      </c>
      <c r="B26" s="1">
        <f t="shared" si="1"/>
        <v>78</v>
      </c>
      <c r="C26" s="1">
        <v>24</v>
      </c>
      <c r="D26" s="1">
        <f>IF(Summary!$G$24="M",VLOOKUP(B:B,'male g'!A:V,IF(A26&gt;2033,22,MATCH(A26,'male g'!$A$1:$V$1,0)),FALSE),VLOOKUP(B:B,'female g'!A:V,IF(A26&gt;2033,22,MATCH(A26,'female g'!$A$1:$V$1,0)),FALSE))</f>
        <v>3.0545666614171758E-2</v>
      </c>
      <c r="E26" s="1">
        <f t="shared" si="2"/>
        <v>0.9694543333858282</v>
      </c>
      <c r="F26" s="1">
        <f t="shared" si="3"/>
        <v>0.97232205110369485</v>
      </c>
      <c r="G26" s="1">
        <f>1/(1+Summary!$O$2)^$C26</f>
        <v>0.31006791028265024</v>
      </c>
      <c r="H26" s="1">
        <f>IF(B26&gt;64, Summary!$J$24, 0)*'TV 23'!G26*'TV 23'!F26</f>
        <v>4884.7760027153136</v>
      </c>
      <c r="I26" s="1"/>
    </row>
    <row r="27" spans="1:9">
      <c r="A27" s="1">
        <f t="shared" si="0"/>
        <v>2044</v>
      </c>
      <c r="B27" s="1">
        <f t="shared" si="1"/>
        <v>79</v>
      </c>
      <c r="C27" s="1">
        <v>25</v>
      </c>
      <c r="D27" s="1">
        <f>IF(Summary!$G$24="M",VLOOKUP(B:B,'male g'!A:V,IF(A27&gt;2033,22,MATCH(A27,'male g'!$A$1:$V$1,0)),FALSE),VLOOKUP(B:B,'female g'!A:V,IF(A27&gt;2033,22,MATCH(A27,'female g'!$A$1:$V$1,0)),FALSE))</f>
        <v>3.3801426006075351E-2</v>
      </c>
      <c r="E27" s="1">
        <f t="shared" si="2"/>
        <v>0.96619857399392461</v>
      </c>
      <c r="F27" s="1">
        <f t="shared" si="3"/>
        <v>0.9694543333858282</v>
      </c>
      <c r="G27" s="1">
        <f>1/(1+Summary!$O$2)^$C27</f>
        <v>0.29530277169776209</v>
      </c>
      <c r="H27" s="1">
        <f>IF(B27&gt;64, Summary!$J$24, 0)*'TV 23'!G27*'TV 23'!F27</f>
        <v>4638.4467526068511</v>
      </c>
      <c r="I27" s="1"/>
    </row>
    <row r="28" spans="1:9">
      <c r="A28" s="1">
        <f t="shared" si="0"/>
        <v>2045</v>
      </c>
      <c r="B28" s="1">
        <f t="shared" si="1"/>
        <v>80</v>
      </c>
      <c r="C28" s="1">
        <v>26</v>
      </c>
      <c r="D28" s="1">
        <f>IF(Summary!$G$24="M",VLOOKUP(B:B,'male g'!A:V,IF(A28&gt;2033,22,MATCH(A28,'male g'!$A$1:$V$1,0)),FALSE),VLOOKUP(B:B,'female g'!A:V,IF(A28&gt;2033,22,MATCH(A28,'female g'!$A$1:$V$1,0)),FALSE))</f>
        <v>3.7482908060753731E-2</v>
      </c>
      <c r="E28" s="1">
        <f t="shared" si="2"/>
        <v>0.96251709193924628</v>
      </c>
      <c r="F28" s="1">
        <f t="shared" si="3"/>
        <v>0.96619857399392461</v>
      </c>
      <c r="G28" s="1">
        <f>1/(1+Summary!$O$2)^$C28</f>
        <v>0.28124073495024959</v>
      </c>
      <c r="H28" s="1">
        <f>IF(B28&gt;64, Summary!$J$24, 0)*'TV 23'!G28*'TV 23'!F28</f>
        <v>4402.7326296838391</v>
      </c>
      <c r="I28" s="1"/>
    </row>
    <row r="29" spans="1:9">
      <c r="A29" s="1">
        <f t="shared" si="0"/>
        <v>2046</v>
      </c>
      <c r="B29" s="1">
        <f t="shared" si="1"/>
        <v>81</v>
      </c>
      <c r="C29" s="1">
        <v>27</v>
      </c>
      <c r="D29" s="1">
        <f>IF(Summary!$G$24="M",VLOOKUP(B:B,'male g'!A:V,IF(A29&gt;2033,22,MATCH(A29,'male g'!$A$1:$V$1,0)),FALSE),VLOOKUP(B:B,'female g'!A:V,IF(A29&gt;2033,22,MATCH(A29,'female g'!$A$1:$V$1,0)),FALSE))</f>
        <v>4.1692652240478641E-2</v>
      </c>
      <c r="E29" s="1">
        <f t="shared" si="2"/>
        <v>0.95830734775952131</v>
      </c>
      <c r="F29" s="1">
        <f t="shared" si="3"/>
        <v>0.96251709193924628</v>
      </c>
      <c r="G29" s="1">
        <f>1/(1+Summary!$O$2)^$C29</f>
        <v>0.2678483190002377</v>
      </c>
      <c r="H29" s="1">
        <f>IF(B29&gt;64, Summary!$J$24, 0)*'TV 23'!G29*'TV 23'!F29</f>
        <v>4177.1019129537008</v>
      </c>
      <c r="I29" s="1"/>
    </row>
    <row r="30" spans="1:9">
      <c r="A30" s="1">
        <f t="shared" si="0"/>
        <v>2047</v>
      </c>
      <c r="B30" s="1">
        <f t="shared" si="1"/>
        <v>82</v>
      </c>
      <c r="C30" s="1">
        <v>28</v>
      </c>
      <c r="D30" s="1">
        <f>IF(Summary!$G$24="M",VLOOKUP(B:B,'male g'!A:V,IF(A30&gt;2033,22,MATCH(A30,'male g'!$A$1:$V$1,0)),FALSE),VLOOKUP(B:B,'female g'!A:V,IF(A30&gt;2033,22,MATCH(A30,'female g'!$A$1:$V$1,0)),FALSE))</f>
        <v>4.6458269197024199E-2</v>
      </c>
      <c r="E30" s="1">
        <f t="shared" si="2"/>
        <v>0.95354173080297577</v>
      </c>
      <c r="F30" s="1">
        <f t="shared" si="3"/>
        <v>0.95830734775952131</v>
      </c>
      <c r="G30" s="1">
        <f>1/(1+Summary!$O$2)^$C30</f>
        <v>0.25509363714308358</v>
      </c>
      <c r="H30" s="1">
        <f>IF(B30&gt;64, Summary!$J$24, 0)*'TV 23'!G30*'TV 23'!F30</f>
        <v>3960.7929479379891</v>
      </c>
      <c r="I30" s="1"/>
    </row>
    <row r="31" spans="1:9">
      <c r="A31" s="1">
        <f t="shared" si="0"/>
        <v>2048</v>
      </c>
      <c r="B31" s="1">
        <f t="shared" si="1"/>
        <v>83</v>
      </c>
      <c r="C31" s="1">
        <v>29</v>
      </c>
      <c r="D31" s="1">
        <f>IF(Summary!$G$24="M",VLOOKUP(B:B,'male g'!A:V,IF(A31&gt;2033,22,MATCH(A31,'male g'!$A$1:$V$1,0)),FALSE),VLOOKUP(B:B,'female g'!A:V,IF(A31&gt;2033,22,MATCH(A31,'female g'!$A$1:$V$1,0)),FALSE))</f>
        <v>5.1882087565112409E-2</v>
      </c>
      <c r="E31" s="1">
        <f t="shared" si="2"/>
        <v>0.94811791243488763</v>
      </c>
      <c r="F31" s="1">
        <f t="shared" si="3"/>
        <v>0.95354173080297577</v>
      </c>
      <c r="G31" s="1">
        <f>1/(1+Summary!$O$2)^$C31</f>
        <v>0.24294632108865097</v>
      </c>
      <c r="H31" s="1">
        <f>IF(B31&gt;64, Summary!$J$24, 0)*'TV 23'!G31*'TV 23'!F31</f>
        <v>3753.4248691408143</v>
      </c>
      <c r="I31" s="1"/>
    </row>
    <row r="32" spans="1:9">
      <c r="A32" s="1">
        <f t="shared" si="0"/>
        <v>2049</v>
      </c>
      <c r="B32" s="1">
        <f t="shared" si="1"/>
        <v>84</v>
      </c>
      <c r="C32" s="1">
        <v>30</v>
      </c>
      <c r="D32" s="1">
        <f>IF(Summary!$G$24="M",VLOOKUP(B:B,'male g'!A:V,IF(A32&gt;2033,22,MATCH(A32,'male g'!$A$1:$V$1,0)),FALSE),VLOOKUP(B:B,'female g'!A:V,IF(A32&gt;2033,22,MATCH(A32,'female g'!$A$1:$V$1,0)),FALSE))</f>
        <v>5.8015339398571217E-2</v>
      </c>
      <c r="E32" s="1">
        <f t="shared" si="2"/>
        <v>0.94198466060142882</v>
      </c>
      <c r="F32" s="1">
        <f t="shared" si="3"/>
        <v>0.94811791243488763</v>
      </c>
      <c r="G32" s="1">
        <f>1/(1+Summary!$O$2)^$C32</f>
        <v>0.23137744865585813</v>
      </c>
      <c r="H32" s="1">
        <f>IF(B32&gt;64, Summary!$J$24, 0)*'TV 23'!G32*'TV 23'!F32</f>
        <v>3554.3572391642269</v>
      </c>
      <c r="I32" s="1"/>
    </row>
    <row r="33" spans="1:9">
      <c r="A33" s="1">
        <f t="shared" si="0"/>
        <v>2050</v>
      </c>
      <c r="B33" s="1">
        <f t="shared" si="1"/>
        <v>85</v>
      </c>
      <c r="C33" s="1">
        <v>31</v>
      </c>
      <c r="D33" s="1">
        <f>IF(Summary!$G$24="M",VLOOKUP(B:B,'male g'!A:V,IF(A33&gt;2033,22,MATCH(A33,'male g'!$A$1:$V$1,0)),FALSE),VLOOKUP(B:B,'female g'!A:V,IF(A33&gt;2033,22,MATCH(A33,'female g'!$A$1:$V$1,0)),FALSE))</f>
        <v>6.4965454874702594E-2</v>
      </c>
      <c r="E33" s="1">
        <f t="shared" si="2"/>
        <v>0.93503454512529738</v>
      </c>
      <c r="F33" s="1">
        <f t="shared" si="3"/>
        <v>0.94198466060142882</v>
      </c>
      <c r="G33" s="1">
        <f>1/(1+Summary!$O$2)^$C33</f>
        <v>0.220359474910341</v>
      </c>
      <c r="H33" s="1">
        <f>IF(B33&gt;64, Summary!$J$24, 0)*'TV 23'!G33*'TV 23'!F33</f>
        <v>3363.2043457868563</v>
      </c>
      <c r="I33" s="1"/>
    </row>
    <row r="34" spans="1:9">
      <c r="A34" s="1">
        <f t="shared" si="0"/>
        <v>2051</v>
      </c>
      <c r="B34" s="1">
        <f t="shared" si="1"/>
        <v>86</v>
      </c>
      <c r="C34" s="1">
        <v>32</v>
      </c>
      <c r="D34" s="1">
        <f>IF(Summary!$G$24="M",VLOOKUP(B:B,'male g'!A:V,IF(A34&gt;2033,22,MATCH(A34,'male g'!$A$1:$V$1,0)),FALSE),VLOOKUP(B:B,'female g'!A:V,IF(A34&gt;2033,22,MATCH(A34,'female g'!$A$1:$V$1,0)),FALSE))</f>
        <v>7.2903222964449149E-2</v>
      </c>
      <c r="E34" s="1">
        <f t="shared" si="2"/>
        <v>0.92709677703555082</v>
      </c>
      <c r="F34" s="1">
        <f t="shared" si="3"/>
        <v>0.93503454512529738</v>
      </c>
      <c r="G34" s="1">
        <f>1/(1+Summary!$O$2)^$C34</f>
        <v>0.20986616658127716</v>
      </c>
      <c r="H34" s="1">
        <f>IF(B34&gt;64, Summary!$J$24, 0)*'TV 23'!G34*'TV 23'!F34</f>
        <v>3179.419122962538</v>
      </c>
      <c r="I34" s="1"/>
    </row>
    <row r="35" spans="1:9">
      <c r="A35" s="1">
        <f>$A$2+C35</f>
        <v>2052</v>
      </c>
      <c r="B35" s="1">
        <f>$B$2+C35</f>
        <v>87</v>
      </c>
      <c r="C35" s="1">
        <v>33</v>
      </c>
      <c r="D35" s="1">
        <f>IF(Summary!$G$24="M",VLOOKUP(B:B,'male g'!A:V,IF(A35&gt;2033,22,MATCH(A35,'male g'!$A$1:$V$1,0)),FALSE),VLOOKUP(B:B,'female g'!A:V,IF(A35&gt;2033,22,MATCH(A35,'female g'!$A$1:$V$1,0)),FALSE))</f>
        <v>8.1848520672112443E-2</v>
      </c>
      <c r="E35" s="1">
        <f t="shared" si="2"/>
        <v>0.91815147932788754</v>
      </c>
      <c r="F35" s="1">
        <f t="shared" si="3"/>
        <v>0.92709677703555082</v>
      </c>
      <c r="G35" s="1">
        <f>1/(1+Summary!$O$2)^$C35</f>
        <v>0.19987253960121634</v>
      </c>
      <c r="H35" s="1">
        <f>IF(B35&gt;64, Summary!$J$24, 0)*'TV 23'!G35*'TV 23'!F35</f>
        <v>3002.3125242865462</v>
      </c>
      <c r="I35" s="1"/>
    </row>
    <row r="36" spans="1:9">
      <c r="A36" s="1">
        <f t="shared" ref="A36:A47" si="4">$A$2+C36</f>
        <v>2053</v>
      </c>
      <c r="B36" s="1">
        <f t="shared" si="1"/>
        <v>88</v>
      </c>
      <c r="C36" s="1">
        <v>34</v>
      </c>
      <c r="D36" s="1">
        <f>IF(Summary!$G$24="M",VLOOKUP(B:B,'male g'!A:V,IF(A36&gt;2033,22,MATCH(A36,'male g'!$A$1:$V$1,0)),FALSE),VLOOKUP(B:B,'female g'!A:V,IF(A36&gt;2033,22,MATCH(A36,'female g'!$A$1:$V$1,0)),FALSE))</f>
        <v>9.1889133554378416E-2</v>
      </c>
      <c r="E36" s="1">
        <f t="shared" si="2"/>
        <v>0.90811086644562156</v>
      </c>
      <c r="F36" s="1">
        <f t="shared" si="3"/>
        <v>0.91815147932788754</v>
      </c>
      <c r="G36" s="1">
        <f>1/(1+Summary!$O$2)^$C36</f>
        <v>0.19035479962020604</v>
      </c>
      <c r="H36" s="1">
        <f>IF(B36&gt;64, Summary!$J$24, 0)*'TV 23'!G36*'TV 23'!F36</f>
        <v>2831.7562378954385</v>
      </c>
      <c r="I36" s="1"/>
    </row>
    <row r="37" spans="1:9">
      <c r="A37" s="1">
        <f t="shared" si="4"/>
        <v>2054</v>
      </c>
      <c r="B37" s="1">
        <f t="shared" si="1"/>
        <v>89</v>
      </c>
      <c r="C37" s="1">
        <v>35</v>
      </c>
      <c r="D37" s="1">
        <f>IF(Summary!$G$24="M",VLOOKUP(B:B,'male g'!A:V,IF(A37&gt;2033,22,MATCH(A37,'male g'!$A$1:$V$1,0)),FALSE),VLOOKUP(B:B,'female g'!A:V,IF(A37&gt;2033,22,MATCH(A37,'female g'!$A$1:$V$1,0)),FALSE))</f>
        <v>0.1031648969350115</v>
      </c>
      <c r="E37" s="1">
        <f t="shared" si="2"/>
        <v>0.89683510306498848</v>
      </c>
      <c r="F37" s="1">
        <f t="shared" si="3"/>
        <v>0.90811086644562156</v>
      </c>
      <c r="G37" s="1">
        <f>1/(1+Summary!$O$2)^$C37</f>
        <v>0.18129028535257716</v>
      </c>
      <c r="H37" s="1">
        <f>IF(B37&gt;64, Summary!$J$24, 0)*'TV 23'!G37*'TV 23'!F37</f>
        <v>2667.418144117617</v>
      </c>
      <c r="I37" s="1"/>
    </row>
    <row r="38" spans="1:9">
      <c r="A38" s="1">
        <f t="shared" si="4"/>
        <v>2055</v>
      </c>
      <c r="B38" s="1">
        <f t="shared" si="1"/>
        <v>90</v>
      </c>
      <c r="C38" s="1">
        <v>36</v>
      </c>
      <c r="D38" s="1">
        <f>IF(Summary!$G$24="M",VLOOKUP(B:B,'male g'!A:V,IF(A38&gt;2033,22,MATCH(A38,'male g'!$A$1:$V$1,0)),FALSE),VLOOKUP(B:B,'female g'!A:V,IF(A38&gt;2033,22,MATCH(A38,'female g'!$A$1:$V$1,0)),FALSE))</f>
        <v>0.11576084940657383</v>
      </c>
      <c r="E38" s="1">
        <f t="shared" si="2"/>
        <v>0.88423915059342617</v>
      </c>
      <c r="F38" s="1">
        <f t="shared" si="3"/>
        <v>0.89683510306498848</v>
      </c>
      <c r="G38" s="1">
        <f>1/(1+Summary!$O$2)^$C38</f>
        <v>0.17265741462150208</v>
      </c>
      <c r="H38" s="1">
        <f>IF(B38&gt;64, Summary!$J$24, 0)*'TV 23'!G38*'TV 23'!F38</f>
        <v>2508.854804899941</v>
      </c>
      <c r="I38" s="1"/>
    </row>
    <row r="39" spans="1:9">
      <c r="A39" s="1">
        <f t="shared" si="4"/>
        <v>2056</v>
      </c>
      <c r="B39" s="1">
        <f t="shared" si="1"/>
        <v>91</v>
      </c>
      <c r="C39" s="1">
        <v>37</v>
      </c>
      <c r="D39" s="1">
        <f>IF(Summary!$G$24="M",VLOOKUP(B:B,'male g'!A:V,IF(A39&gt;2033,22,MATCH(A39,'male g'!$A$1:$V$1,0)),FALSE),VLOOKUP(B:B,'female g'!A:V,IF(A39&gt;2033,22,MATCH(A39,'female g'!$A$1:$V$1,0)),FALSE))</f>
        <v>0.12933245912292859</v>
      </c>
      <c r="E39" s="1">
        <f t="shared" si="2"/>
        <v>0.87066754087707143</v>
      </c>
      <c r="F39" s="1">
        <f t="shared" si="3"/>
        <v>0.88423915059342617</v>
      </c>
      <c r="G39" s="1">
        <f>1/(1+Summary!$O$2)^$C39</f>
        <v>0.1644356329728591</v>
      </c>
      <c r="H39" s="1">
        <f>IF(B39&gt;64, Summary!$J$24, 0)*'TV 23'!G39*'TV 23'!F39</f>
        <v>2355.8268659638534</v>
      </c>
      <c r="I39" s="1"/>
    </row>
    <row r="40" spans="1:9">
      <c r="A40" s="1">
        <f t="shared" si="4"/>
        <v>2057</v>
      </c>
      <c r="B40" s="1">
        <f t="shared" si="1"/>
        <v>92</v>
      </c>
      <c r="C40" s="1">
        <v>38</v>
      </c>
      <c r="D40" s="1">
        <f>IF(Summary!$G$24="M",VLOOKUP(B:B,'male g'!A:V,IF(A40&gt;2033,22,MATCH(A40,'male g'!$A$1:$V$1,0)),FALSE),VLOOKUP(B:B,'female g'!A:V,IF(A40&gt;2033,22,MATCH(A40,'female g'!$A$1:$V$1,0)),FALSE))</f>
        <v>0.14348300858520585</v>
      </c>
      <c r="E40" s="1">
        <f t="shared" si="2"/>
        <v>0.85651699141479409</v>
      </c>
      <c r="F40" s="1">
        <f t="shared" si="3"/>
        <v>0.87066754087707143</v>
      </c>
      <c r="G40" s="1">
        <f>1/(1+Summary!$O$2)^$C40</f>
        <v>0.15660536473605632</v>
      </c>
      <c r="H40" s="1">
        <f>IF(B40&gt;64, Summary!$J$24, 0)*'TV 23'!G40*'TV 23'!F40</f>
        <v>2209.2083968399324</v>
      </c>
      <c r="I40" s="1"/>
    </row>
    <row r="41" spans="1:9">
      <c r="A41" s="1">
        <f t="shared" si="4"/>
        <v>2058</v>
      </c>
      <c r="B41" s="1">
        <f t="shared" si="1"/>
        <v>93</v>
      </c>
      <c r="C41" s="1">
        <v>39</v>
      </c>
      <c r="D41" s="1">
        <f>IF(Summary!$G$24="M",VLOOKUP(B:B,'male g'!A:V,IF(A41&gt;2033,22,MATCH(A41,'male g'!$A$1:$V$1,0)),FALSE),VLOOKUP(B:B,'female g'!A:V,IF(A41&gt;2033,22,MATCH(A41,'female g'!$A$1:$V$1,0)),FALSE))</f>
        <v>0.15808258232710681</v>
      </c>
      <c r="E41" s="1">
        <f t="shared" si="2"/>
        <v>0.84191741767289319</v>
      </c>
      <c r="F41" s="1">
        <f t="shared" si="3"/>
        <v>0.85651699141479409</v>
      </c>
      <c r="G41" s="1">
        <f>1/(1+Summary!$O$2)^$C41</f>
        <v>0.14914796641529171</v>
      </c>
      <c r="H41" s="1">
        <f>IF(B41&gt;64, Summary!$J$24, 0)*'TV 23'!G41*'TV 23'!F41</f>
        <v>2069.8125459914595</v>
      </c>
      <c r="I41" s="1"/>
    </row>
    <row r="42" spans="1:9">
      <c r="A42" s="1">
        <f t="shared" si="4"/>
        <v>2059</v>
      </c>
      <c r="B42" s="1">
        <f t="shared" si="1"/>
        <v>94</v>
      </c>
      <c r="C42" s="1">
        <v>40</v>
      </c>
      <c r="D42" s="1">
        <f>IF(Summary!$G$24="M",VLOOKUP(B:B,'male g'!A:V,IF(A42&gt;2033,22,MATCH(A42,'male g'!$A$1:$V$1,0)),FALSE),VLOOKUP(B:B,'female g'!A:V,IF(A42&gt;2033,22,MATCH(A42,'female g'!$A$1:$V$1,0)),FALSE))</f>
        <v>0.17308956870926934</v>
      </c>
      <c r="E42" s="1">
        <f t="shared" si="2"/>
        <v>0.82691043129073072</v>
      </c>
      <c r="F42" s="1">
        <f t="shared" si="3"/>
        <v>0.84191741767289319</v>
      </c>
      <c r="G42" s="1">
        <f>1/(1+Summary!$O$2)^$C42</f>
        <v>0.14204568230027784</v>
      </c>
      <c r="H42" s="1">
        <f>IF(B42&gt;64, Summary!$J$24, 0)*'TV 23'!G42*'TV 23'!F42</f>
        <v>1937.6495307156358</v>
      </c>
      <c r="I42" s="1"/>
    </row>
    <row r="43" spans="1:9">
      <c r="A43" s="1">
        <f t="shared" si="4"/>
        <v>2060</v>
      </c>
      <c r="B43" s="1">
        <f t="shared" si="1"/>
        <v>95</v>
      </c>
      <c r="C43" s="1">
        <v>41</v>
      </c>
      <c r="D43" s="1">
        <f>IF(Summary!$G$24="M",VLOOKUP(B:B,'male g'!A:V,IF(A43&gt;2033,22,MATCH(A43,'male g'!$A$1:$V$1,0)),FALSE),VLOOKUP(B:B,'female g'!A:V,IF(A43&gt;2033,22,MATCH(A43,'female g'!$A$1:$V$1,0)),FALSE))</f>
        <v>0.1884638420447376</v>
      </c>
      <c r="E43" s="1">
        <f t="shared" si="2"/>
        <v>0.81153615795526246</v>
      </c>
      <c r="F43" s="1">
        <f t="shared" si="3"/>
        <v>0.82691043129073072</v>
      </c>
      <c r="G43" s="1">
        <f>1/(1+Summary!$O$2)^$C43</f>
        <v>0.13528160219074079</v>
      </c>
      <c r="H43" s="1">
        <f>IF(B43&gt;64, Summary!$J$24, 0)*'TV 23'!G43*'TV 23'!F43</f>
        <v>1812.4870178711958</v>
      </c>
      <c r="I43" s="1"/>
    </row>
    <row r="44" spans="1:9">
      <c r="A44" s="1">
        <f t="shared" si="4"/>
        <v>2061</v>
      </c>
      <c r="B44" s="1">
        <f t="shared" si="1"/>
        <v>96</v>
      </c>
      <c r="C44" s="1">
        <v>42</v>
      </c>
      <c r="D44" s="1">
        <f>IF(Summary!$G$24="M",VLOOKUP(B:B,'male g'!A:V,IF(A44&gt;2033,22,MATCH(A44,'male g'!$A$1:$V$1,0)),FALSE),VLOOKUP(B:B,'female g'!A:V,IF(A44&gt;2033,22,MATCH(A44,'female g'!$A$1:$V$1,0)),FALSE))</f>
        <v>0.20546988897968524</v>
      </c>
      <c r="E44" s="1">
        <f t="shared" si="2"/>
        <v>0.79453011102031479</v>
      </c>
      <c r="F44" s="1">
        <f t="shared" si="3"/>
        <v>0.81153615795526246</v>
      </c>
      <c r="G44" s="1">
        <f>1/(1+Summary!$O$2)^$C44</f>
        <v>0.12883962113403885</v>
      </c>
      <c r="H44" s="1">
        <f>IF(B44&gt;64, Summary!$J$24, 0)*'TV 23'!G44*'TV 23'!F44</f>
        <v>1694.0842685730149</v>
      </c>
      <c r="I44" s="1"/>
    </row>
    <row r="45" spans="1:9">
      <c r="A45" s="1">
        <f t="shared" si="4"/>
        <v>2062</v>
      </c>
      <c r="B45" s="1">
        <f t="shared" si="1"/>
        <v>97</v>
      </c>
      <c r="C45" s="1">
        <v>43</v>
      </c>
      <c r="D45" s="1">
        <f>IF(Summary!$G$24="M",VLOOKUP(B:B,'male g'!A:V,IF(A45&gt;2033,22,MATCH(A45,'male g'!$A$1:$V$1,0)),FALSE),VLOOKUP(B:B,'female g'!A:V,IF(A45&gt;2033,22,MATCH(A45,'female g'!$A$1:$V$1,0)),FALSE))</f>
        <v>0.22317315569892124</v>
      </c>
      <c r="E45" s="1">
        <f t="shared" si="2"/>
        <v>0.77682684430107873</v>
      </c>
      <c r="F45" s="1">
        <f t="shared" si="3"/>
        <v>0.79453011102031479</v>
      </c>
      <c r="G45" s="1">
        <f>1/(1+Summary!$O$2)^$C45</f>
        <v>0.12270440108003698</v>
      </c>
      <c r="H45" s="1">
        <f>IF(B45&gt;64, Summary!$J$24, 0)*'TV 23'!G45*'TV 23'!F45</f>
        <v>1579.6038975180288</v>
      </c>
      <c r="I45" s="1"/>
    </row>
    <row r="46" spans="1:9">
      <c r="A46" s="1">
        <f t="shared" si="4"/>
        <v>2063</v>
      </c>
      <c r="B46" s="1">
        <f t="shared" si="1"/>
        <v>98</v>
      </c>
      <c r="C46" s="1">
        <v>44</v>
      </c>
      <c r="D46" s="1">
        <f>IF(Summary!$G$24="M",VLOOKUP(B:B,'male g'!A:V,IF(A46&gt;2033,22,MATCH(A46,'male g'!$A$1:$V$1,0)),FALSE),VLOOKUP(B:B,'female g'!A:V,IF(A46&gt;2033,22,MATCH(A46,'female g'!$A$1:$V$1,0)),FALSE))</f>
        <v>0.2417371960764223</v>
      </c>
      <c r="E46" s="1">
        <f t="shared" si="2"/>
        <v>0.7582628039235777</v>
      </c>
      <c r="F46" s="1">
        <f t="shared" si="3"/>
        <v>0.77682684430107873</v>
      </c>
      <c r="G46" s="1">
        <f>1/(1+Summary!$O$2)^$C46</f>
        <v>0.11686133436193999</v>
      </c>
      <c r="H46" s="1">
        <f>IF(B46&gt;64, Summary!$J$24, 0)*'TV 23'!G46*'TV 23'!F46</f>
        <v>1470.8648233414367</v>
      </c>
      <c r="I46" s="1"/>
    </row>
    <row r="47" spans="1:9">
      <c r="A47" s="1">
        <f t="shared" si="4"/>
        <v>2064</v>
      </c>
      <c r="B47" s="1">
        <f t="shared" si="1"/>
        <v>99</v>
      </c>
      <c r="C47" s="1">
        <v>45</v>
      </c>
      <c r="D47" s="1">
        <f>IF(Summary!$G$24="M",VLOOKUP(B:B,'male g'!A:V,IF(A47&gt;2033,22,MATCH(A47,'male g'!$A$1:$V$1,0)),FALSE),VLOOKUP(B:B,'female g'!A:V,IF(A47&gt;2033,22,MATCH(A47,'female g'!$A$1:$V$1,0)),FALSE))</f>
        <v>0.26102364427750568</v>
      </c>
      <c r="E47" s="1">
        <f t="shared" si="2"/>
        <v>0.73897635572249432</v>
      </c>
      <c r="F47" s="1">
        <f t="shared" si="3"/>
        <v>0.7582628039235777</v>
      </c>
      <c r="G47" s="1">
        <f>1/(1+Summary!$O$2)^$C47</f>
        <v>0.1112965089161333</v>
      </c>
      <c r="H47" s="1">
        <f>IF(B47&gt;64, Summary!$J$24, 0)*'TV 23'!G47*'TV 23'!F47</f>
        <v>1367.3477813362977</v>
      </c>
      <c r="I47" s="1"/>
    </row>
    <row r="48" spans="1:9">
      <c r="A48" s="1">
        <f>$A$2+C48</f>
        <v>2065</v>
      </c>
      <c r="B48" s="1">
        <f>$B$2+C48</f>
        <v>100</v>
      </c>
      <c r="C48" s="1">
        <v>46</v>
      </c>
      <c r="D48" s="1">
        <f>IF(Summary!$G$24="M",VLOOKUP(B:B,'male g'!A:V,IF(A48&gt;2033,22,MATCH(A48,'male g'!$A$1:$V$1,0)),FALSE),VLOOKUP(B:B,'female g'!A:V,IF(A48&gt;2033,22,MATCH(A48,'female g'!$A$1:$V$1,0)),FALSE))</f>
        <v>0.2809127683704345</v>
      </c>
      <c r="E48" s="1">
        <f t="shared" si="2"/>
        <v>0.71908723162956556</v>
      </c>
      <c r="F48" s="1">
        <f t="shared" si="3"/>
        <v>0.73897635572249432</v>
      </c>
      <c r="G48" s="1">
        <f>1/(1+Summary!$O$2)^$C48</f>
        <v>0.10599667515822221</v>
      </c>
      <c r="H48" s="1">
        <f>IF(B48&gt;64, Summary!$J$24, 0)*'TV 23'!G48*'TV 23'!F48</f>
        <v>1269.1135519979373</v>
      </c>
      <c r="I48" s="1"/>
    </row>
    <row r="49" spans="1:9">
      <c r="A49" s="1">
        <f t="shared" ref="A49:A68" si="5">$A$2+C49</f>
        <v>2066</v>
      </c>
      <c r="B49" s="1">
        <f t="shared" si="1"/>
        <v>101</v>
      </c>
      <c r="C49" s="1">
        <v>47</v>
      </c>
      <c r="D49" s="1">
        <f>IF(Summary!$G$24="M",VLOOKUP(B:B,'male g'!A:V,IF(A49&gt;2033,22,MATCH(A49,'male g'!$A$1:$V$1,0)),FALSE),VLOOKUP(B:B,'female g'!A:V,IF(A49&gt;2033,22,MATCH(A49,'female g'!$A$1:$V$1,0)),FALSE))</f>
        <v>0.30146810411089092</v>
      </c>
      <c r="E49" s="1">
        <f t="shared" si="2"/>
        <v>0.69853189588910913</v>
      </c>
      <c r="F49" s="1">
        <f t="shared" si="3"/>
        <v>0.71908723162956556</v>
      </c>
      <c r="G49" s="1">
        <f>1/(1+Summary!$O$2)^$C49</f>
        <v>0.10094921443640208</v>
      </c>
      <c r="H49" s="1">
        <f>IF(B49&gt;64, Summary!$J$24, 0)*'TV 23'!G49*'TV 23'!F49</f>
        <v>1176.1486569679182</v>
      </c>
      <c r="I49" s="1"/>
    </row>
    <row r="50" spans="1:9">
      <c r="A50" s="1">
        <f t="shared" si="5"/>
        <v>2067</v>
      </c>
      <c r="B50" s="1">
        <f t="shared" si="1"/>
        <v>102</v>
      </c>
      <c r="C50" s="1">
        <v>48</v>
      </c>
      <c r="D50" s="1">
        <f>IF(Summary!$G$24="M",VLOOKUP(B:B,'male g'!A:V,IF(A50&gt;2033,22,MATCH(A50,'male g'!$A$1:$V$1,0)),FALSE),VLOOKUP(B:B,'female g'!A:V,IF(A50&gt;2033,22,MATCH(A50,'female g'!$A$1:$V$1,0)),FALSE))</f>
        <v>0.32206565548145499</v>
      </c>
      <c r="E50" s="1">
        <f t="shared" si="2"/>
        <v>0.67793434451854506</v>
      </c>
      <c r="F50" s="1">
        <f t="shared" si="3"/>
        <v>0.69853189588910913</v>
      </c>
      <c r="G50" s="1">
        <f>1/(1+Summary!$O$2)^$C50</f>
        <v>9.6142108987049613E-2</v>
      </c>
      <c r="H50" s="1">
        <f>IF(B50&gt;64, Summary!$J$24, 0)*'TV 23'!G50*'TV 23'!F50</f>
        <v>1088.1219771022443</v>
      </c>
      <c r="I50" s="1"/>
    </row>
    <row r="51" spans="1:9">
      <c r="A51" s="1">
        <f t="shared" si="5"/>
        <v>2068</v>
      </c>
      <c r="B51" s="1">
        <f t="shared" si="1"/>
        <v>103</v>
      </c>
      <c r="C51" s="1">
        <v>49</v>
      </c>
      <c r="D51" s="1">
        <f>IF(Summary!$G$24="M",VLOOKUP(B:B,'male g'!A:V,IF(A51&gt;2033,22,MATCH(A51,'male g'!$A$1:$V$1,0)),FALSE),VLOOKUP(B:B,'female g'!A:V,IF(A51&gt;2033,22,MATCH(A51,'female g'!$A$1:$V$1,0)),FALSE))</f>
        <v>0.3427697952313476</v>
      </c>
      <c r="E51" s="1">
        <f t="shared" si="2"/>
        <v>0.65723020476865246</v>
      </c>
      <c r="F51" s="1">
        <f t="shared" si="3"/>
        <v>0.67793434451854506</v>
      </c>
      <c r="G51" s="1">
        <f>1/(1+Summary!$O$2)^$C51</f>
        <v>9.1563913320999626E-2</v>
      </c>
      <c r="H51" s="1">
        <f>IF(B51&gt;64, Summary!$J$24, 0)*'TV 23'!G51*'TV 23'!F51</f>
        <v>1005.7491578228766</v>
      </c>
      <c r="I51" s="1"/>
    </row>
    <row r="52" spans="1:9">
      <c r="A52" s="1">
        <f t="shared" si="5"/>
        <v>2069</v>
      </c>
      <c r="B52" s="1">
        <f t="shared" si="1"/>
        <v>104</v>
      </c>
      <c r="C52" s="1">
        <v>50</v>
      </c>
      <c r="D52" s="1">
        <f>IF(Summary!$G$24="M",VLOOKUP(B:B,'male g'!A:V,IF(A52&gt;2033,22,MATCH(A52,'male g'!$A$1:$V$1,0)),FALSE),VLOOKUP(B:B,'female g'!A:V,IF(A52&gt;2033,22,MATCH(A52,'female g'!$A$1:$V$1,0)),FALSE))</f>
        <v>0.36312182573243618</v>
      </c>
      <c r="E52" s="1">
        <f t="shared" si="2"/>
        <v>0.63687817426756377</v>
      </c>
      <c r="F52" s="1">
        <f t="shared" si="3"/>
        <v>0.65723020476865246</v>
      </c>
      <c r="G52" s="1">
        <f>1/(1+Summary!$O$2)^$C52</f>
        <v>8.7203726972380588E-2</v>
      </c>
      <c r="H52" s="1">
        <f>IF(B52&gt;64, Summary!$J$24, 0)*'TV 23'!G52*'TV 23'!F52</f>
        <v>928.60337299963555</v>
      </c>
      <c r="I52" s="1"/>
    </row>
    <row r="53" spans="1:9">
      <c r="A53" s="1">
        <f t="shared" si="5"/>
        <v>2070</v>
      </c>
      <c r="B53" s="1">
        <f t="shared" si="1"/>
        <v>105</v>
      </c>
      <c r="C53" s="1">
        <v>51</v>
      </c>
      <c r="D53" s="1">
        <f>IF(Summary!$G$24="M",VLOOKUP(B:B,'male g'!A:V,IF(A53&gt;2033,22,MATCH(A53,'male g'!$A$1:$V$1,0)),FALSE),VLOOKUP(B:B,'female g'!A:V,IF(A53&gt;2033,22,MATCH(A53,'female g'!$A$1:$V$1,0)),FALSE))</f>
        <v>0.38340857179772014</v>
      </c>
      <c r="E53" s="1">
        <f t="shared" si="2"/>
        <v>0.61659142820227986</v>
      </c>
      <c r="F53" s="1">
        <f t="shared" si="3"/>
        <v>0.63687817426756377</v>
      </c>
      <c r="G53" s="1">
        <f>1/(1+Summary!$O$2)^$C53</f>
        <v>8.3051168545124371E-2</v>
      </c>
      <c r="H53" s="1">
        <f>IF(B53&gt;64, Summary!$J$24, 0)*'TV 23'!G53*'TV 23'!F53</f>
        <v>856.99800179261319</v>
      </c>
      <c r="I53" s="1"/>
    </row>
    <row r="54" spans="1:9">
      <c r="A54" s="1">
        <f t="shared" si="5"/>
        <v>2071</v>
      </c>
      <c r="B54" s="1">
        <f t="shared" si="1"/>
        <v>106</v>
      </c>
      <c r="C54" s="1">
        <v>52</v>
      </c>
      <c r="D54" s="1">
        <f>IF(Summary!$G$24="M",VLOOKUP(B:B,'male g'!A:V,IF(A54&gt;2033,22,MATCH(A54,'male g'!$A$1:$V$1,0)),FALSE),VLOOKUP(B:B,'female g'!A:V,IF(A54&gt;2033,22,MATCH(A54,'female g'!$A$1:$V$1,0)),FALSE))</f>
        <v>0.4032562438470747</v>
      </c>
      <c r="E54" s="1">
        <f t="shared" si="2"/>
        <v>0.5967437561529253</v>
      </c>
      <c r="F54" s="1">
        <f t="shared" si="3"/>
        <v>0.61659142820227986</v>
      </c>
      <c r="G54" s="1">
        <f>1/(1+Summary!$O$2)^$C54</f>
        <v>7.9096350995356543E-2</v>
      </c>
      <c r="H54" s="1">
        <f>IF(B54&gt;64, Summary!$J$24, 0)*'TV 23'!G54*'TV 23'!F54</f>
        <v>790.1901781623485</v>
      </c>
      <c r="I54" s="1"/>
    </row>
    <row r="55" spans="1:9">
      <c r="A55" s="1">
        <f t="shared" si="5"/>
        <v>2072</v>
      </c>
      <c r="B55" s="1">
        <f t="shared" si="1"/>
        <v>107</v>
      </c>
      <c r="C55" s="1">
        <v>53</v>
      </c>
      <c r="D55" s="1">
        <f>IF(Summary!$G$24="M",VLOOKUP(B:B,'male g'!A:V,IF(A55&gt;2033,22,MATCH(A55,'male g'!$A$1:$V$1,0)),FALSE),VLOOKUP(B:B,'female g'!A:V,IF(A55&gt;2033,22,MATCH(A55,'female g'!$A$1:$V$1,0)),FALSE))</f>
        <v>0.42246723803499708</v>
      </c>
      <c r="E55" s="1">
        <f t="shared" si="2"/>
        <v>0.57753276196500292</v>
      </c>
      <c r="F55" s="1">
        <f t="shared" si="3"/>
        <v>0.5967437561529253</v>
      </c>
      <c r="G55" s="1">
        <f>1/(1+Summary!$O$2)^$C55</f>
        <v>7.5329858090815757E-2</v>
      </c>
      <c r="H55" s="1">
        <f>IF(B55&gt;64, Summary!$J$24, 0)*'TV 23'!G55*'TV 23'!F55</f>
        <v>728.33759682502932</v>
      </c>
      <c r="I55" s="1"/>
    </row>
    <row r="56" spans="1:9">
      <c r="A56" s="1">
        <f t="shared" si="5"/>
        <v>2073</v>
      </c>
      <c r="B56" s="1">
        <f t="shared" si="1"/>
        <v>108</v>
      </c>
      <c r="C56" s="1">
        <v>54</v>
      </c>
      <c r="D56" s="1">
        <f>IF(Summary!$G$24="M",VLOOKUP(B:B,'male g'!A:V,IF(A56&gt;2033,22,MATCH(A56,'male g'!$A$1:$V$1,0)),FALSE),VLOOKUP(B:B,'female g'!A:V,IF(A56&gt;2033,22,MATCH(A56,'female g'!$A$1:$V$1,0)),FALSE))</f>
        <v>0.44119749280646176</v>
      </c>
      <c r="E56" s="1">
        <f t="shared" si="2"/>
        <v>0.5588025071935383</v>
      </c>
      <c r="F56" s="1">
        <f t="shared" si="3"/>
        <v>0.57753276196500292</v>
      </c>
      <c r="G56" s="1">
        <f>1/(1+Summary!$O$2)^$C56</f>
        <v>7.1742721991253117E-2</v>
      </c>
      <c r="H56" s="1">
        <f>IF(B56&gt;64, Summary!$J$24, 0)*'TV 23'!G56*'TV 23'!F56</f>
        <v>671.32399730908719</v>
      </c>
      <c r="I56" s="1"/>
    </row>
    <row r="57" spans="1:9">
      <c r="A57" s="1">
        <f t="shared" si="5"/>
        <v>2074</v>
      </c>
      <c r="B57" s="1">
        <f t="shared" si="1"/>
        <v>109</v>
      </c>
      <c r="C57" s="1">
        <v>55</v>
      </c>
      <c r="D57" s="1">
        <f>IF(Summary!$G$24="M",VLOOKUP(B:B,'male g'!A:V,IF(A57&gt;2033,22,MATCH(A57,'male g'!$A$1:$V$1,0)),FALSE),VLOOKUP(B:B,'female g'!A:V,IF(A57&gt;2033,22,MATCH(A57,'female g'!$A$1:$V$1,0)),FALSE))</f>
        <v>0.45907299166148602</v>
      </c>
      <c r="E57" s="1">
        <f t="shared" si="2"/>
        <v>0.54092700833851404</v>
      </c>
      <c r="F57" s="1">
        <f t="shared" si="3"/>
        <v>0.5588025071935383</v>
      </c>
      <c r="G57" s="1">
        <f>1/(1+Summary!$O$2)^$C57</f>
        <v>6.8326401896431521E-2</v>
      </c>
      <c r="H57" s="1">
        <f>IF(B57&gt;64, Summary!$J$24, 0)*'TV 23'!G57*'TV 23'!F57</f>
        <v>618.62090659606577</v>
      </c>
      <c r="I57" s="1"/>
    </row>
    <row r="58" spans="1:9">
      <c r="A58" s="1">
        <f t="shared" si="5"/>
        <v>2075</v>
      </c>
      <c r="B58" s="1">
        <f t="shared" si="1"/>
        <v>110</v>
      </c>
      <c r="C58" s="1">
        <v>56</v>
      </c>
      <c r="D58" s="1">
        <f>IF(Summary!$G$24="M",VLOOKUP(B:B,'male g'!A:V,IF(A58&gt;2033,22,MATCH(A58,'male g'!$A$1:$V$1,0)),FALSE),VLOOKUP(B:B,'female g'!A:V,IF(A58&gt;2033,22,MATCH(A58,'female g'!$A$1:$V$1,0)),FALSE))</f>
        <v>0.47644967979565578</v>
      </c>
      <c r="E58" s="1">
        <f t="shared" si="2"/>
        <v>0.52355032020434422</v>
      </c>
      <c r="F58" s="1">
        <f t="shared" si="3"/>
        <v>0.54092700833851404</v>
      </c>
      <c r="G58" s="1">
        <f>1/(1+Summary!$O$2)^$C58</f>
        <v>6.5072763710887174E-2</v>
      </c>
      <c r="H58" s="1">
        <f>IF(B58&gt;64, Summary!$J$24, 0)*'TV 23'!G58*'TV 23'!F58</f>
        <v>570.31607681979665</v>
      </c>
      <c r="I58" s="1"/>
    </row>
    <row r="59" spans="1:9">
      <c r="A59" s="1">
        <f t="shared" si="5"/>
        <v>2076</v>
      </c>
      <c r="B59" s="1">
        <f t="shared" si="1"/>
        <v>111</v>
      </c>
      <c r="C59" s="1">
        <v>57</v>
      </c>
      <c r="D59" s="1">
        <f>IF(Summary!$G$24="M",VLOOKUP(B:B,'male g'!A:V,IF(A59&gt;2033,22,MATCH(A59,'male g'!$A$1:$V$1,0)),FALSE),VLOOKUP(B:B,'female g'!A:V,IF(A59&gt;2033,22,MATCH(A59,'female g'!$A$1:$V$1,0)),FALSE))</f>
        <v>0.48540620500607778</v>
      </c>
      <c r="E59" s="1">
        <f t="shared" si="2"/>
        <v>0.51459379499392222</v>
      </c>
      <c r="F59" s="1">
        <f t="shared" si="3"/>
        <v>0.52355032020434422</v>
      </c>
      <c r="G59" s="1">
        <f>1/(1+Summary!$O$2)^$C59</f>
        <v>6.1974060677035397E-2</v>
      </c>
      <c r="H59" s="1">
        <f>IF(B59&gt;64, Summary!$J$24, 0)*'TV 23'!G59*'TV 23'!F59</f>
        <v>525.70980669052403</v>
      </c>
      <c r="I59" s="1"/>
    </row>
    <row r="60" spans="1:9">
      <c r="A60" s="1">
        <f t="shared" si="5"/>
        <v>2077</v>
      </c>
      <c r="B60" s="1">
        <f t="shared" si="1"/>
        <v>112</v>
      </c>
      <c r="C60" s="1">
        <v>58</v>
      </c>
      <c r="D60" s="1">
        <f>IF(Summary!$G$24="M",VLOOKUP(B:B,'male g'!A:V,IF(A60&gt;2033,22,MATCH(A60,'male g'!$A$1:$V$1,0)),FALSE),VLOOKUP(B:B,'female g'!A:V,IF(A60&gt;2033,22,MATCH(A60,'female g'!$A$1:$V$1,0)),FALSE))</f>
        <v>0.48906519527204906</v>
      </c>
      <c r="E60" s="1">
        <f t="shared" si="2"/>
        <v>0.51093480472795094</v>
      </c>
      <c r="F60" s="1">
        <f t="shared" si="3"/>
        <v>0.51459379499392222</v>
      </c>
      <c r="G60" s="1">
        <f>1/(1+Summary!$O$2)^$C60</f>
        <v>5.9022914930509894E-2</v>
      </c>
      <c r="H60" s="1">
        <f>IF(B60&gt;64, Summary!$J$24, 0)*'TV 23'!G60*'TV 23'!F60</f>
        <v>492.11079859672589</v>
      </c>
      <c r="I60" s="1"/>
    </row>
    <row r="61" spans="1:9">
      <c r="A61" s="1">
        <f t="shared" si="5"/>
        <v>2078</v>
      </c>
      <c r="B61" s="1">
        <f t="shared" si="1"/>
        <v>113</v>
      </c>
      <c r="C61" s="1">
        <v>59</v>
      </c>
      <c r="D61" s="1">
        <f>IF(Summary!$G$24="M",VLOOKUP(B:B,'male g'!A:V,IF(A61&gt;2033,22,MATCH(A61,'male g'!$A$1:$V$1,0)),FALSE),VLOOKUP(B:B,'female g'!A:V,IF(A61&gt;2033,22,MATCH(A61,'female g'!$A$1:$V$1,0)),FALSE))</f>
        <v>0.49265177497129853</v>
      </c>
      <c r="E61" s="1">
        <f t="shared" si="2"/>
        <v>0.50734822502870147</v>
      </c>
      <c r="F61" s="1">
        <f t="shared" si="3"/>
        <v>0.51093480472795094</v>
      </c>
      <c r="G61" s="1">
        <f>1/(1+Summary!$O$2)^$C61</f>
        <v>5.6212299933818946E-2</v>
      </c>
      <c r="H61" s="1">
        <f>IF(B61&gt;64, Summary!$J$24, 0)*'TV 23'!G61*'TV 23'!F61</f>
        <v>465.34444991751553</v>
      </c>
      <c r="I61" s="1"/>
    </row>
    <row r="62" spans="1:9">
      <c r="A62" s="1">
        <f t="shared" si="5"/>
        <v>2079</v>
      </c>
      <c r="B62" s="1">
        <f t="shared" si="1"/>
        <v>114</v>
      </c>
      <c r="C62" s="1">
        <v>60</v>
      </c>
      <c r="D62" s="1">
        <f>IF(Summary!$G$24="M",VLOOKUP(B:B,'male g'!A:V,IF(A62&gt;2033,22,MATCH(A62,'male g'!$A$1:$V$1,0)),FALSE),VLOOKUP(B:B,'female g'!A:V,IF(A62&gt;2033,22,MATCH(A62,'female g'!$A$1:$V$1,0)),FALSE))</f>
        <v>0.49631296624312721</v>
      </c>
      <c r="E62" s="1">
        <f t="shared" si="2"/>
        <v>0.50368703375687285</v>
      </c>
      <c r="F62" s="1">
        <f t="shared" si="3"/>
        <v>0.50734822502870147</v>
      </c>
      <c r="G62" s="1">
        <f>1/(1+Summary!$O$2)^$C62</f>
        <v>5.3535523746494243E-2</v>
      </c>
      <c r="H62" s="1">
        <f>IF(B62&gt;64, Summary!$J$24, 0)*'TV 23'!G62*'TV 23'!F62</f>
        <v>440.07418877437493</v>
      </c>
      <c r="I62" s="1"/>
    </row>
    <row r="63" spans="1:9">
      <c r="A63" s="1">
        <f t="shared" si="5"/>
        <v>2080</v>
      </c>
      <c r="B63" s="1">
        <f t="shared" si="1"/>
        <v>115</v>
      </c>
      <c r="C63" s="1">
        <v>61</v>
      </c>
      <c r="D63" s="1">
        <f>IF(Summary!$G$24="M",VLOOKUP(B:B,'male g'!A:V,IF(A63&gt;2033,22,MATCH(A63,'male g'!$A$1:$V$1,0)),FALSE),VLOOKUP(B:B,'female g'!A:V,IF(A63&gt;2033,22,MATCH(A63,'female g'!$A$1:$V$1,0)),FALSE))</f>
        <v>0.5</v>
      </c>
      <c r="E63" s="1">
        <f t="shared" si="2"/>
        <v>0.5</v>
      </c>
      <c r="F63" s="1">
        <f t="shared" si="3"/>
        <v>0.50368703375687285</v>
      </c>
      <c r="G63" s="1">
        <f>1/(1+Summary!$O$2)^$C63</f>
        <v>5.0986213091899268E-2</v>
      </c>
      <c r="H63" s="1">
        <f>IF(B63&gt;64, Summary!$J$24, 0)*'TV 23'!G63*'TV 23'!F63</f>
        <v>416.09378002218779</v>
      </c>
      <c r="I63" s="1"/>
    </row>
    <row r="64" spans="1:9">
      <c r="A64" s="1">
        <f t="shared" si="5"/>
        <v>2081</v>
      </c>
      <c r="B64" s="1">
        <f t="shared" si="1"/>
        <v>116</v>
      </c>
      <c r="C64" s="1">
        <v>62</v>
      </c>
      <c r="D64" s="1">
        <f>IF(Summary!$G$24="M",VLOOKUP(B:B,'male g'!A:V,IF(A64&gt;2033,22,MATCH(A64,'male g'!$A$1:$V$1,0)),FALSE),VLOOKUP(B:B,'female g'!A:V,IF(A64&gt;2033,22,MATCH(A64,'female g'!$A$1:$V$1,0)),FALSE))</f>
        <v>0.5</v>
      </c>
      <c r="E64" s="1">
        <f t="shared" si="2"/>
        <v>0.5</v>
      </c>
      <c r="F64" s="1">
        <f t="shared" si="3"/>
        <v>0.5</v>
      </c>
      <c r="G64" s="1">
        <f>1/(1+Summary!$O$2)^$C64</f>
        <v>4.855829818276123E-2</v>
      </c>
      <c r="H64" s="1">
        <f>IF(B64&gt;64, Summary!$J$24, 0)*'TV 23'!G64*'TV 23'!F64</f>
        <v>393.37898728658172</v>
      </c>
      <c r="I64" s="1"/>
    </row>
    <row r="65" spans="1:9">
      <c r="A65" s="1">
        <f t="shared" si="5"/>
        <v>2082</v>
      </c>
      <c r="B65" s="1">
        <f t="shared" si="1"/>
        <v>117</v>
      </c>
      <c r="C65" s="1">
        <v>63</v>
      </c>
      <c r="D65" s="1">
        <f>IF(Summary!$G$24="M",VLOOKUP(B:B,'male g'!A:V,IF(A65&gt;2033,22,MATCH(A65,'male g'!$A$1:$V$1,0)),FALSE),VLOOKUP(B:B,'female g'!A:V,IF(A65&gt;2033,22,MATCH(A65,'female g'!$A$1:$V$1,0)),FALSE))</f>
        <v>0.5</v>
      </c>
      <c r="E65" s="1">
        <f t="shared" si="2"/>
        <v>0.5</v>
      </c>
      <c r="F65" s="1">
        <f t="shared" si="3"/>
        <v>0.5</v>
      </c>
      <c r="G65" s="1">
        <f>1/(1+Summary!$O$2)^$C65</f>
        <v>4.6245998269296387E-2</v>
      </c>
      <c r="H65" s="1">
        <f>IF(B65&gt;64, Summary!$J$24, 0)*'TV 23'!G65*'TV 23'!F65</f>
        <v>374.64665455864912</v>
      </c>
      <c r="I65" s="1"/>
    </row>
    <row r="66" spans="1:9">
      <c r="A66" s="1">
        <f t="shared" si="5"/>
        <v>2083</v>
      </c>
      <c r="B66" s="1">
        <f t="shared" si="1"/>
        <v>118</v>
      </c>
      <c r="C66" s="1">
        <v>64</v>
      </c>
      <c r="D66" s="1">
        <f>IF(Summary!$G$24="M",VLOOKUP(B:B,'male g'!A:V,IF(A66&gt;2033,22,MATCH(A66,'male g'!$A$1:$V$1,0)),FALSE),VLOOKUP(B:B,'female g'!A:V,IF(A66&gt;2033,22,MATCH(A66,'female g'!$A$1:$V$1,0)),FALSE))</f>
        <v>0.5</v>
      </c>
      <c r="E66" s="1">
        <f t="shared" si="2"/>
        <v>0.5</v>
      </c>
      <c r="F66" s="1">
        <f t="shared" si="3"/>
        <v>0.5</v>
      </c>
      <c r="G66" s="1">
        <f>1/(1+Summary!$O$2)^$C66</f>
        <v>4.4043807875520369E-2</v>
      </c>
      <c r="H66" s="1">
        <f>IF(B66&gt;64, Summary!$J$24, 0)*'TV 23'!G66*'TV 23'!F66</f>
        <v>356.80633767490389</v>
      </c>
      <c r="I66" s="1"/>
    </row>
    <row r="67" spans="1:9">
      <c r="A67" s="1">
        <f t="shared" si="5"/>
        <v>2084</v>
      </c>
      <c r="B67" s="1">
        <f t="shared" si="1"/>
        <v>119</v>
      </c>
      <c r="C67" s="1">
        <v>65</v>
      </c>
      <c r="D67" s="1">
        <f>IF(Summary!$G$24="M",VLOOKUP(B:B,'male g'!A:V,IF(A67&gt;2033,22,MATCH(A67,'male g'!$A$1:$V$1,0)),FALSE),VLOOKUP(B:B,'female g'!A:V,IF(A67&gt;2033,22,MATCH(A67,'female g'!$A$1:$V$1,0)),FALSE))</f>
        <v>0.5</v>
      </c>
      <c r="E67" s="1">
        <f t="shared" si="2"/>
        <v>0.5</v>
      </c>
      <c r="F67" s="1">
        <f t="shared" si="3"/>
        <v>0.5</v>
      </c>
      <c r="G67" s="1">
        <f>1/(1+Summary!$O$2)^$C67</f>
        <v>4.1946483690971779E-2</v>
      </c>
      <c r="H67" s="1">
        <f>IF(B67&gt;64, Summary!$J$24, 0)*'TV 23'!G67*'TV 23'!F67</f>
        <v>339.81555969038465</v>
      </c>
      <c r="I67" s="1"/>
    </row>
    <row r="68" spans="1:9">
      <c r="A68" s="1">
        <f t="shared" si="5"/>
        <v>2085</v>
      </c>
      <c r="B68" s="1">
        <f>$B$2+C68</f>
        <v>120</v>
      </c>
      <c r="C68" s="1">
        <v>66</v>
      </c>
      <c r="D68" s="1">
        <f>IF(Summary!$G$24="M",VLOOKUP(B:B,'male g'!A:V,IF(A68&gt;2033,22,MATCH(A68,'male g'!$A$1:$V$1,0)),FALSE),VLOOKUP(B:B,'female g'!A:V,IF(A68&gt;2033,22,MATCH(A68,'female g'!$A$1:$V$1,0)),FALSE))</f>
        <v>1</v>
      </c>
      <c r="E68" s="1">
        <f>1-D68</f>
        <v>0</v>
      </c>
      <c r="F68" s="1">
        <f>E67</f>
        <v>0.5</v>
      </c>
      <c r="G68" s="1">
        <f>1/(1+Summary!$O$2)^$C68</f>
        <v>3.9949032086639788E-2</v>
      </c>
      <c r="H68" s="1">
        <f>IF(B68&gt;64, Summary!$J$24, 0)*'TV 23'!G68*'TV 23'!F68</f>
        <v>323.63386637179491</v>
      </c>
      <c r="I68" s="1"/>
    </row>
    <row r="69" spans="1:9">
      <c r="A69" s="1"/>
    </row>
    <row r="70" spans="1:9">
      <c r="A70" s="1"/>
    </row>
    <row r="71" spans="1:9">
      <c r="A71" s="1"/>
    </row>
    <row r="72" spans="1:9">
      <c r="A72" s="1"/>
    </row>
    <row r="73" spans="1:9">
      <c r="A73" s="1"/>
    </row>
    <row r="74" spans="1:9">
      <c r="A74" s="1"/>
    </row>
    <row r="75" spans="1:9">
      <c r="A75" s="1"/>
    </row>
    <row r="76" spans="1:9">
      <c r="A76" s="1"/>
    </row>
    <row r="77" spans="1:9">
      <c r="A77" s="1"/>
    </row>
    <row r="78" spans="1:9">
      <c r="A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98"/>
  <sheetViews>
    <sheetView workbookViewId="0">
      <selection activeCell="H65" sqref="H65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Summary!H25</f>
        <v>54</v>
      </c>
      <c r="C2" s="1">
        <v>0</v>
      </c>
      <c r="D2" s="1">
        <f>IF(Summary!$G$25="M",VLOOKUP(B:B,'male g'!A:V,IF(A2&gt;2033,22,MATCH(A2,'male g'!$A$1:$V$1,0)),FALSE),VLOOKUP(B:B,'female g'!A:V,IF(A2&gt;2033,22,MATCH(A2,'female g'!$A$1:$V$1,0)),FALSE))</f>
        <v>3.4468430000000002E-3</v>
      </c>
      <c r="E2" s="1">
        <f>1-D2</f>
        <v>0.99655315700000002</v>
      </c>
      <c r="F2" s="1">
        <v>1</v>
      </c>
      <c r="G2" s="1">
        <f>1/(1+Summary!$O$2)^$C2</f>
        <v>1</v>
      </c>
      <c r="H2" s="1">
        <f>IF(B2&gt;64, Summary!$J$25, 0)*'TV 24'!G2*'TV 24'!F2</f>
        <v>0</v>
      </c>
      <c r="I2" s="1">
        <f>SUM(H2:H68)</f>
        <v>183424.47614526856</v>
      </c>
    </row>
    <row r="3" spans="1:9">
      <c r="A3" s="1">
        <f>$A$2+C3</f>
        <v>2020</v>
      </c>
      <c r="B3" s="1">
        <f>$B$2+C3</f>
        <v>55</v>
      </c>
      <c r="C3" s="1">
        <v>1</v>
      </c>
      <c r="D3" s="1">
        <f>IF(Summary!$G$25="M",VLOOKUP(B:B,'male g'!A:V,IF(A3&gt;2033,22,MATCH(A3,'male g'!$A$1:$V$1,0)),FALSE),VLOOKUP(B:B,'female g'!A:V,IF(A3&gt;2033,22,MATCH(A3,'female g'!$A$1:$V$1,0)),FALSE))</f>
        <v>3.6801099999999999E-3</v>
      </c>
      <c r="E3" s="1">
        <f>1-D3</f>
        <v>0.99631988999999999</v>
      </c>
      <c r="F3" s="1">
        <f>E2</f>
        <v>0.99655315700000002</v>
      </c>
      <c r="G3" s="1">
        <f>1/(1+Summary!$O$2)^$C3</f>
        <v>0.95238095238095233</v>
      </c>
      <c r="H3" s="1">
        <f>IF(B3&gt;64, Summary!$J$25, 0)*'TV 24'!G3*'TV 24'!F3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56</v>
      </c>
      <c r="C4" s="1">
        <v>2</v>
      </c>
      <c r="D4" s="1">
        <f>IF(Summary!$G$25="M",VLOOKUP(B:B,'male g'!A:V,IF(A4&gt;2033,22,MATCH(A4,'male g'!$A$1:$V$1,0)),FALSE),VLOOKUP(B:B,'female g'!A:V,IF(A4&gt;2033,22,MATCH(A4,'female g'!$A$1:$V$1,0)),FALSE))</f>
        <v>3.9373480000000002E-3</v>
      </c>
      <c r="E4" s="1">
        <f t="shared" ref="E4:E67" si="2">1-D4</f>
        <v>0.99606265199999999</v>
      </c>
      <c r="F4" s="1">
        <f t="shared" ref="F4:F67" si="3">E3</f>
        <v>0.99631988999999999</v>
      </c>
      <c r="G4" s="1">
        <f>1/(1+Summary!$O$2)^$C4</f>
        <v>0.90702947845804982</v>
      </c>
      <c r="H4" s="1">
        <f>IF(B4&gt;64, Summary!$J$25, 0)*'TV 24'!G4*'TV 24'!F4</f>
        <v>0</v>
      </c>
      <c r="I4" s="1"/>
    </row>
    <row r="5" spans="1:9">
      <c r="A5" s="1">
        <f t="shared" si="0"/>
        <v>2022</v>
      </c>
      <c r="B5" s="1">
        <f t="shared" si="1"/>
        <v>57</v>
      </c>
      <c r="C5" s="1">
        <v>3</v>
      </c>
      <c r="D5" s="1">
        <f>IF(Summary!$G$25="M",VLOOKUP(B:B,'male g'!A:V,IF(A5&gt;2033,22,MATCH(A5,'male g'!$A$1:$V$1,0)),FALSE),VLOOKUP(B:B,'female g'!A:V,IF(A5&gt;2033,22,MATCH(A5,'female g'!$A$1:$V$1,0)),FALSE))</f>
        <v>4.2210809999999998E-3</v>
      </c>
      <c r="E5" s="1">
        <f t="shared" si="2"/>
        <v>0.99577891900000004</v>
      </c>
      <c r="F5" s="1">
        <f t="shared" si="3"/>
        <v>0.99606265199999999</v>
      </c>
      <c r="G5" s="1">
        <f>1/(1+Summary!$O$2)^$C5</f>
        <v>0.86383759853147601</v>
      </c>
      <c r="H5" s="1">
        <f>IF(B5&gt;64, Summary!$J$25, 0)*'TV 24'!G5*'TV 24'!F5</f>
        <v>0</v>
      </c>
      <c r="I5" s="1"/>
    </row>
    <row r="6" spans="1:9">
      <c r="A6" s="1">
        <f t="shared" si="0"/>
        <v>2023</v>
      </c>
      <c r="B6" s="1">
        <f t="shared" si="1"/>
        <v>58</v>
      </c>
      <c r="C6" s="1">
        <v>4</v>
      </c>
      <c r="D6" s="1">
        <f>IF(Summary!$G$25="M",VLOOKUP(B:B,'male g'!A:V,IF(A6&gt;2033,22,MATCH(A6,'male g'!$A$1:$V$1,0)),FALSE),VLOOKUP(B:B,'female g'!A:V,IF(A6&gt;2033,22,MATCH(A6,'female g'!$A$1:$V$1,0)),FALSE))</f>
        <v>4.5312620000000003E-3</v>
      </c>
      <c r="E6" s="1">
        <f t="shared" si="2"/>
        <v>0.99546873800000002</v>
      </c>
      <c r="F6" s="1">
        <f t="shared" si="3"/>
        <v>0.99577891900000004</v>
      </c>
      <c r="G6" s="1">
        <f>1/(1+Summary!$O$2)^$C6</f>
        <v>0.82270247479188197</v>
      </c>
      <c r="H6" s="1">
        <f>IF(B6&gt;64, Summary!$J$25, 0)*'TV 24'!G6*'TV 24'!F6</f>
        <v>0</v>
      </c>
      <c r="I6" s="1"/>
    </row>
    <row r="7" spans="1:9">
      <c r="A7" s="1">
        <f t="shared" si="0"/>
        <v>2024</v>
      </c>
      <c r="B7" s="1">
        <f t="shared" si="1"/>
        <v>59</v>
      </c>
      <c r="C7" s="1">
        <v>5</v>
      </c>
      <c r="D7" s="1">
        <f>IF(Summary!$G$25="M",VLOOKUP(B:B,'male g'!A:V,IF(A7&gt;2033,22,MATCH(A7,'male g'!$A$1:$V$1,0)),FALSE),VLOOKUP(B:B,'female g'!A:V,IF(A7&gt;2033,22,MATCH(A7,'female g'!$A$1:$V$1,0)),FALSE))</f>
        <v>4.8726580000000002E-3</v>
      </c>
      <c r="E7" s="1">
        <f t="shared" si="2"/>
        <v>0.99512734199999997</v>
      </c>
      <c r="F7" s="1">
        <f t="shared" si="3"/>
        <v>0.99546873800000002</v>
      </c>
      <c r="G7" s="1">
        <f>1/(1+Summary!$O$2)^$C7</f>
        <v>0.78352616646845896</v>
      </c>
      <c r="H7" s="1">
        <f>IF(B7&gt;64, Summary!$J$25, 0)*'TV 24'!G7*'TV 24'!F7</f>
        <v>0</v>
      </c>
      <c r="I7" s="1"/>
    </row>
    <row r="8" spans="1:9">
      <c r="A8" s="1">
        <f t="shared" si="0"/>
        <v>2025</v>
      </c>
      <c r="B8" s="1">
        <f t="shared" si="1"/>
        <v>60</v>
      </c>
      <c r="C8" s="1">
        <v>6</v>
      </c>
      <c r="D8" s="1">
        <f>IF(Summary!$G$25="M",VLOOKUP(B:B,'male g'!A:V,IF(A8&gt;2033,22,MATCH(A8,'male g'!$A$1:$V$1,0)),FALSE),VLOOKUP(B:B,'female g'!A:V,IF(A8&gt;2033,22,MATCH(A8,'female g'!$A$1:$V$1,0)),FALSE))</f>
        <v>5.2458779999999998E-3</v>
      </c>
      <c r="E8" s="1">
        <f t="shared" si="2"/>
        <v>0.99475412200000002</v>
      </c>
      <c r="F8" s="1">
        <f t="shared" si="3"/>
        <v>0.99512734199999997</v>
      </c>
      <c r="G8" s="1">
        <f>1/(1+Summary!$O$2)^$C8</f>
        <v>0.74621539663662761</v>
      </c>
      <c r="H8" s="1">
        <f>IF(B8&gt;64, Summary!$J$25, 0)*'TV 24'!G8*'TV 24'!F8</f>
        <v>0</v>
      </c>
      <c r="I8" s="1"/>
    </row>
    <row r="9" spans="1:9">
      <c r="A9" s="1">
        <f t="shared" si="0"/>
        <v>2026</v>
      </c>
      <c r="B9" s="1">
        <f t="shared" si="1"/>
        <v>61</v>
      </c>
      <c r="C9" s="1">
        <v>7</v>
      </c>
      <c r="D9" s="1">
        <f>IF(Summary!$G$25="M",VLOOKUP(B:B,'male g'!A:V,IF(A9&gt;2033,22,MATCH(A9,'male g'!$A$1:$V$1,0)),FALSE),VLOOKUP(B:B,'female g'!A:V,IF(A9&gt;2033,22,MATCH(A9,'female g'!$A$1:$V$1,0)),FALSE))</f>
        <v>5.6490289999999999E-3</v>
      </c>
      <c r="E9" s="1">
        <f t="shared" si="2"/>
        <v>0.99435097100000003</v>
      </c>
      <c r="F9" s="1">
        <f t="shared" si="3"/>
        <v>0.99475412200000002</v>
      </c>
      <c r="G9" s="1">
        <f>1/(1+Summary!$O$2)^$C9</f>
        <v>0.71068133013012147</v>
      </c>
      <c r="H9" s="1">
        <f>IF(B9&gt;64, Summary!$J$25, 0)*'TV 24'!G9*'TV 24'!F9</f>
        <v>0</v>
      </c>
      <c r="I9" s="1"/>
    </row>
    <row r="10" spans="1:9">
      <c r="A10" s="1">
        <f t="shared" si="0"/>
        <v>2027</v>
      </c>
      <c r="B10" s="1">
        <f t="shared" si="1"/>
        <v>62</v>
      </c>
      <c r="C10" s="1">
        <v>8</v>
      </c>
      <c r="D10" s="1">
        <f>IF(Summary!$G$25="M",VLOOKUP(B:B,'male g'!A:V,IF(A10&gt;2033,22,MATCH(A10,'male g'!$A$1:$V$1,0)),FALSE),VLOOKUP(B:B,'female g'!A:V,IF(A10&gt;2033,22,MATCH(A10,'female g'!$A$1:$V$1,0)),FALSE))</f>
        <v>6.0805369999999996E-3</v>
      </c>
      <c r="E10" s="1">
        <f t="shared" si="2"/>
        <v>0.993919463</v>
      </c>
      <c r="F10" s="1">
        <f t="shared" si="3"/>
        <v>0.99435097100000003</v>
      </c>
      <c r="G10" s="1">
        <f>1/(1+Summary!$O$2)^$C10</f>
        <v>0.67683936202868722</v>
      </c>
      <c r="H10" s="1">
        <f>IF(B10&gt;64, Summary!$J$25, 0)*'TV 24'!G10*'TV 24'!F10</f>
        <v>0</v>
      </c>
      <c r="I10" s="1"/>
    </row>
    <row r="11" spans="1:9">
      <c r="A11" s="1">
        <f t="shared" si="0"/>
        <v>2028</v>
      </c>
      <c r="B11" s="1">
        <f t="shared" si="1"/>
        <v>63</v>
      </c>
      <c r="C11" s="1">
        <v>9</v>
      </c>
      <c r="D11" s="1">
        <f>IF(Summary!$G$25="M",VLOOKUP(B:B,'male g'!A:V,IF(A11&gt;2033,22,MATCH(A11,'male g'!$A$1:$V$1,0)),FALSE),VLOOKUP(B:B,'female g'!A:V,IF(A11&gt;2033,22,MATCH(A11,'female g'!$A$1:$V$1,0)),FALSE))</f>
        <v>6.5385970000000002E-3</v>
      </c>
      <c r="E11" s="1">
        <f t="shared" si="2"/>
        <v>0.99346140299999997</v>
      </c>
      <c r="F11" s="1">
        <f t="shared" si="3"/>
        <v>0.993919463</v>
      </c>
      <c r="G11" s="1">
        <f>1/(1+Summary!$O$2)^$C11</f>
        <v>0.64460891621779726</v>
      </c>
      <c r="H11" s="1">
        <f>IF(B11&gt;64, Summary!$J$25, 0)*'TV 24'!G11*'TV 24'!F11</f>
        <v>0</v>
      </c>
      <c r="I11" s="1"/>
    </row>
    <row r="12" spans="1:9">
      <c r="A12" s="1">
        <f t="shared" si="0"/>
        <v>2029</v>
      </c>
      <c r="B12" s="1">
        <f t="shared" si="1"/>
        <v>64</v>
      </c>
      <c r="C12" s="1">
        <v>10</v>
      </c>
      <c r="D12" s="1">
        <f>IF(Summary!$G$25="M",VLOOKUP(B:B,'male g'!A:V,IF(A12&gt;2033,22,MATCH(A12,'male g'!$A$1:$V$1,0)),FALSE),VLOOKUP(B:B,'female g'!A:V,IF(A12&gt;2033,22,MATCH(A12,'female g'!$A$1:$V$1,0)),FALSE))</f>
        <v>7.0249240000000001E-3</v>
      </c>
      <c r="E12" s="1">
        <f t="shared" si="2"/>
        <v>0.99297507600000001</v>
      </c>
      <c r="F12" s="1">
        <f t="shared" si="3"/>
        <v>0.99346140299999997</v>
      </c>
      <c r="G12" s="1">
        <f>1/(1+Summary!$O$2)^$C12</f>
        <v>0.61391325354075932</v>
      </c>
      <c r="H12" s="1">
        <f>IF(B12&gt;64, Summary!$J$25, 0)*'TV 24'!G12*'TV 24'!F12</f>
        <v>0</v>
      </c>
      <c r="I12" s="1"/>
    </row>
    <row r="13" spans="1:9">
      <c r="A13" s="1">
        <f t="shared" si="0"/>
        <v>2030</v>
      </c>
      <c r="B13" s="1">
        <f t="shared" si="1"/>
        <v>65</v>
      </c>
      <c r="C13" s="1">
        <v>11</v>
      </c>
      <c r="D13" s="1">
        <f>IF(Summary!$G$25="M",VLOOKUP(B:B,'male g'!A:V,IF(A13&gt;2033,22,MATCH(A13,'male g'!$A$1:$V$1,0)),FALSE),VLOOKUP(B:B,'female g'!A:V,IF(A13&gt;2033,22,MATCH(A13,'female g'!$A$1:$V$1,0)),FALSE))</f>
        <v>7.5427669999999997E-3</v>
      </c>
      <c r="E13" s="1">
        <f t="shared" si="2"/>
        <v>0.99245723299999999</v>
      </c>
      <c r="F13" s="1">
        <f t="shared" si="3"/>
        <v>0.99297507600000001</v>
      </c>
      <c r="G13" s="1">
        <f>1/(1+Summary!$O$2)^$C13</f>
        <v>0.5846792890864374</v>
      </c>
      <c r="H13" s="1">
        <f>IF(B13&gt;64, Summary!$J$25, 0)*'TV 24'!G13*'TV 24'!F13</f>
        <v>10070.66097252711</v>
      </c>
      <c r="I13" s="1"/>
    </row>
    <row r="14" spans="1:9">
      <c r="A14" s="1">
        <f t="shared" si="0"/>
        <v>2031</v>
      </c>
      <c r="B14" s="1">
        <f t="shared" si="1"/>
        <v>66</v>
      </c>
      <c r="C14" s="1">
        <v>12</v>
      </c>
      <c r="D14" s="1">
        <f>IF(Summary!$G$25="M",VLOOKUP(B:B,'male g'!A:V,IF(A14&gt;2033,22,MATCH(A14,'male g'!$A$1:$V$1,0)),FALSE),VLOOKUP(B:B,'female g'!A:V,IF(A14&gt;2033,22,MATCH(A14,'female g'!$A$1:$V$1,0)),FALSE))</f>
        <v>8.1039140000000003E-3</v>
      </c>
      <c r="E14" s="1">
        <f t="shared" si="2"/>
        <v>0.99189608600000001</v>
      </c>
      <c r="F14" s="1">
        <f t="shared" si="3"/>
        <v>0.99245723299999999</v>
      </c>
      <c r="G14" s="1">
        <f>1/(1+Summary!$O$2)^$C14</f>
        <v>0.5568374181775595</v>
      </c>
      <c r="H14" s="1">
        <f>IF(B14&gt;64, Summary!$J$25, 0)*'TV 24'!G14*'TV 24'!F14</f>
        <v>9586.1038637420806</v>
      </c>
      <c r="I14" s="1"/>
    </row>
    <row r="15" spans="1:9">
      <c r="A15" s="1">
        <f t="shared" si="0"/>
        <v>2032</v>
      </c>
      <c r="B15" s="1">
        <f t="shared" si="1"/>
        <v>67</v>
      </c>
      <c r="C15" s="1">
        <v>13</v>
      </c>
      <c r="D15" s="1">
        <f>IF(Summary!$G$25="M",VLOOKUP(B:B,'male g'!A:V,IF(A15&gt;2033,22,MATCH(A15,'male g'!$A$1:$V$1,0)),FALSE),VLOOKUP(B:B,'female g'!A:V,IF(A15&gt;2033,22,MATCH(A15,'female g'!$A$1:$V$1,0)),FALSE))</f>
        <v>8.7136599999999998E-3</v>
      </c>
      <c r="E15" s="1">
        <f t="shared" si="2"/>
        <v>0.99128634000000004</v>
      </c>
      <c r="F15" s="1">
        <f t="shared" si="3"/>
        <v>0.99189608600000001</v>
      </c>
      <c r="G15" s="1">
        <f>1/(1+Summary!$O$2)^$C15</f>
        <v>0.53032135064529462</v>
      </c>
      <c r="H15" s="1">
        <f>IF(B15&gt;64, Summary!$J$25, 0)*'TV 24'!G15*'TV 24'!F15</f>
        <v>9124.4607312346816</v>
      </c>
      <c r="I15" s="1"/>
    </row>
    <row r="16" spans="1:9">
      <c r="A16" s="1">
        <f t="shared" si="0"/>
        <v>2033</v>
      </c>
      <c r="B16" s="1">
        <f t="shared" si="1"/>
        <v>68</v>
      </c>
      <c r="C16" s="1">
        <v>14</v>
      </c>
      <c r="D16" s="1">
        <f>IF(Summary!$G$25="M",VLOOKUP(B:B,'male g'!A:V,IF(A16&gt;2033,22,MATCH(A16,'male g'!$A$1:$V$1,0)),FALSE),VLOOKUP(B:B,'female g'!A:V,IF(A16&gt;2033,22,MATCH(A16,'female g'!$A$1:$V$1,0)),FALSE))</f>
        <v>9.384903E-3</v>
      </c>
      <c r="E16" s="1">
        <f t="shared" si="2"/>
        <v>0.99061509700000006</v>
      </c>
      <c r="F16" s="1">
        <f t="shared" si="3"/>
        <v>0.99128634000000004</v>
      </c>
      <c r="G16" s="1">
        <f>1/(1+Summary!$O$2)^$C16</f>
        <v>0.50506795299551888</v>
      </c>
      <c r="H16" s="1">
        <f>IF(B16&gt;64, Summary!$J$25, 0)*'TV 24'!G16*'TV 24'!F16</f>
        <v>8684.6206404493551</v>
      </c>
      <c r="I16" s="1"/>
    </row>
    <row r="17" spans="1:9">
      <c r="A17" s="1">
        <f t="shared" si="0"/>
        <v>2034</v>
      </c>
      <c r="B17" s="1">
        <f t="shared" si="1"/>
        <v>69</v>
      </c>
      <c r="C17" s="1">
        <v>15</v>
      </c>
      <c r="D17" s="1">
        <f>IF(Summary!$G$25="M",VLOOKUP(B:B,'male g'!A:V,IF(A17&gt;2033,22,MATCH(A17,'male g'!$A$1:$V$1,0)),FALSE),VLOOKUP(B:B,'female g'!A:V,IF(A17&gt;2033,22,MATCH(A17,'female g'!$A$1:$V$1,0)),FALSE))</f>
        <v>1.0121299E-2</v>
      </c>
      <c r="E17" s="1">
        <f t="shared" si="2"/>
        <v>0.98987870099999997</v>
      </c>
      <c r="F17" s="1">
        <f t="shared" si="3"/>
        <v>0.99061509700000006</v>
      </c>
      <c r="G17" s="1">
        <f>1/(1+Summary!$O$2)^$C17</f>
        <v>0.48101709809097021</v>
      </c>
      <c r="H17" s="1">
        <f>IF(B17&gt;64, Summary!$J$25, 0)*'TV 24'!G17*'TV 24'!F17</f>
        <v>8265.4665780231499</v>
      </c>
      <c r="I17" s="1"/>
    </row>
    <row r="18" spans="1:9">
      <c r="A18" s="1">
        <f t="shared" si="0"/>
        <v>2035</v>
      </c>
      <c r="B18" s="1">
        <f t="shared" si="1"/>
        <v>70</v>
      </c>
      <c r="C18" s="1">
        <v>16</v>
      </c>
      <c r="D18" s="1">
        <f>IF(Summary!$G$25="M",VLOOKUP(B:B,'male g'!A:V,IF(A18&gt;2033,22,MATCH(A18,'male g'!$A$1:$V$1,0)),FALSE),VLOOKUP(B:B,'female g'!A:V,IF(A18&gt;2033,22,MATCH(A18,'female g'!$A$1:$V$1,0)),FALSE))</f>
        <v>1.1050012E-2</v>
      </c>
      <c r="E18" s="1">
        <f t="shared" si="2"/>
        <v>0.988949988</v>
      </c>
      <c r="F18" s="1">
        <f t="shared" si="3"/>
        <v>0.98987870099999997</v>
      </c>
      <c r="G18" s="1">
        <f>1/(1+Summary!$O$2)^$C18</f>
        <v>0.45811152199140021</v>
      </c>
      <c r="H18" s="1">
        <f>IF(B18&gt;64, Summary!$J$25, 0)*'TV 24'!G18*'TV 24'!F18</f>
        <v>7866.0211977583058</v>
      </c>
      <c r="I18" s="1"/>
    </row>
    <row r="19" spans="1:9">
      <c r="A19" s="1">
        <f t="shared" si="0"/>
        <v>2036</v>
      </c>
      <c r="B19" s="1">
        <f t="shared" si="1"/>
        <v>71</v>
      </c>
      <c r="C19" s="1">
        <v>17</v>
      </c>
      <c r="D19" s="1">
        <f>IF(Summary!$G$25="M",VLOOKUP(B:B,'male g'!A:V,IF(A19&gt;2033,22,MATCH(A19,'male g'!$A$1:$V$1,0)),FALSE),VLOOKUP(B:B,'female g'!A:V,IF(A19&gt;2033,22,MATCH(A19,'female g'!$A$1:$V$1,0)),FALSE))</f>
        <v>1.2082262999999999E-2</v>
      </c>
      <c r="E19" s="1">
        <f t="shared" si="2"/>
        <v>0.98791773699999996</v>
      </c>
      <c r="F19" s="1">
        <f t="shared" si="3"/>
        <v>0.988949988</v>
      </c>
      <c r="G19" s="1">
        <f>1/(1+Summary!$O$2)^$C19</f>
        <v>0.43629668761085727</v>
      </c>
      <c r="H19" s="1">
        <f>IF(B19&gt;64, Summary!$J$25, 0)*'TV 24'!G19*'TV 24'!F19</f>
        <v>7484.420215923984</v>
      </c>
      <c r="I19" s="1"/>
    </row>
    <row r="20" spans="1:9">
      <c r="A20" s="1">
        <f t="shared" si="0"/>
        <v>2037</v>
      </c>
      <c r="B20" s="1">
        <f t="shared" si="1"/>
        <v>72</v>
      </c>
      <c r="C20" s="1">
        <v>18</v>
      </c>
      <c r="D20" s="1">
        <f>IF(Summary!$G$25="M",VLOOKUP(B:B,'male g'!A:V,IF(A20&gt;2033,22,MATCH(A20,'male g'!$A$1:$V$1,0)),FALSE),VLOOKUP(B:B,'female g'!A:V,IF(A20&gt;2033,22,MATCH(A20,'female g'!$A$1:$V$1,0)),FALSE))</f>
        <v>1.3232393E-2</v>
      </c>
      <c r="E20" s="1">
        <f t="shared" si="2"/>
        <v>0.98676760699999999</v>
      </c>
      <c r="F20" s="1">
        <f t="shared" si="3"/>
        <v>0.98791773699999996</v>
      </c>
      <c r="G20" s="1">
        <f>1/(1+Summary!$O$2)^$C20</f>
        <v>0.41552065486748313</v>
      </c>
      <c r="H20" s="1">
        <f>IF(B20&gt;64, Summary!$J$25, 0)*'TV 24'!G20*'TV 24'!F20</f>
        <v>7120.5791348611392</v>
      </c>
      <c r="I20" s="1"/>
    </row>
    <row r="21" spans="1:9">
      <c r="A21" s="1">
        <f t="shared" si="0"/>
        <v>2038</v>
      </c>
      <c r="B21" s="1">
        <f t="shared" si="1"/>
        <v>73</v>
      </c>
      <c r="C21" s="1">
        <v>19</v>
      </c>
      <c r="D21" s="1">
        <f>IF(Summary!$G$25="M",VLOOKUP(B:B,'male g'!A:V,IF(A21&gt;2033,22,MATCH(A21,'male g'!$A$1:$V$1,0)),FALSE),VLOOKUP(B:B,'female g'!A:V,IF(A21&gt;2033,22,MATCH(A21,'female g'!$A$1:$V$1,0)),FALSE))</f>
        <v>1.4520474E-2</v>
      </c>
      <c r="E21" s="1">
        <f t="shared" si="2"/>
        <v>0.98547952599999999</v>
      </c>
      <c r="F21" s="1">
        <f t="shared" si="3"/>
        <v>0.98676760699999999</v>
      </c>
      <c r="G21" s="1">
        <f>1/(1+Summary!$O$2)^$C21</f>
        <v>0.39573395701665059</v>
      </c>
      <c r="H21" s="1">
        <f>IF(B21&gt;64, Summary!$J$25, 0)*'TV 24'!G21*'TV 24'!F21</f>
        <v>6773.6089373652139</v>
      </c>
      <c r="I21" s="1"/>
    </row>
    <row r="22" spans="1:9">
      <c r="A22" s="1">
        <f t="shared" si="0"/>
        <v>2039</v>
      </c>
      <c r="B22" s="1">
        <f t="shared" si="1"/>
        <v>74</v>
      </c>
      <c r="C22" s="1">
        <v>20</v>
      </c>
      <c r="D22" s="1">
        <f>IF(Summary!$G$25="M",VLOOKUP(B:B,'male g'!A:V,IF(A22&gt;2033,22,MATCH(A22,'male g'!$A$1:$V$1,0)),FALSE),VLOOKUP(B:B,'female g'!A:V,IF(A22&gt;2033,22,MATCH(A22,'female g'!$A$1:$V$1,0)),FALSE))</f>
        <v>1.5945328000000002E-2</v>
      </c>
      <c r="E22" s="1">
        <f t="shared" si="2"/>
        <v>0.98405467199999996</v>
      </c>
      <c r="F22" s="1">
        <f t="shared" si="3"/>
        <v>0.98547952599999999</v>
      </c>
      <c r="G22" s="1">
        <f>1/(1+Summary!$O$2)^$C22</f>
        <v>0.37688948287300061</v>
      </c>
      <c r="H22" s="1">
        <f>IF(B22&gt;64, Summary!$J$25, 0)*'TV 24'!G22*'TV 24'!F22</f>
        <v>6442.6352191796695</v>
      </c>
      <c r="I22" s="1"/>
    </row>
    <row r="23" spans="1:9">
      <c r="A23" s="1">
        <f t="shared" si="0"/>
        <v>2040</v>
      </c>
      <c r="B23" s="1">
        <f t="shared" si="1"/>
        <v>75</v>
      </c>
      <c r="C23" s="1">
        <v>21</v>
      </c>
      <c r="D23" s="1">
        <f>IF(Summary!$G$25="M",VLOOKUP(B:B,'male g'!A:V,IF(A23&gt;2033,22,MATCH(A23,'male g'!$A$1:$V$1,0)),FALSE),VLOOKUP(B:B,'female g'!A:V,IF(A23&gt;2033,22,MATCH(A23,'female g'!$A$1:$V$1,0)),FALSE))</f>
        <v>1.7550544000000001E-2</v>
      </c>
      <c r="E23" s="1">
        <f t="shared" si="2"/>
        <v>0.982449456</v>
      </c>
      <c r="F23" s="1">
        <f t="shared" si="3"/>
        <v>0.98405467199999996</v>
      </c>
      <c r="G23" s="1">
        <f>1/(1+Summary!$O$2)^$C23</f>
        <v>0.35894236464095297</v>
      </c>
      <c r="H23" s="1">
        <f>IF(B23&gt;64, Summary!$J$25, 0)*'TV 24'!G23*'TV 24'!F23</f>
        <v>6126.9715669804091</v>
      </c>
      <c r="I23" s="1"/>
    </row>
    <row r="24" spans="1:9">
      <c r="A24" s="1">
        <f t="shared" si="0"/>
        <v>2041</v>
      </c>
      <c r="B24" s="1">
        <f t="shared" si="1"/>
        <v>76</v>
      </c>
      <c r="C24" s="1">
        <v>22</v>
      </c>
      <c r="D24" s="1">
        <f>IF(Summary!$G$25="M",VLOOKUP(B:B,'male g'!A:V,IF(A24&gt;2033,22,MATCH(A24,'male g'!$A$1:$V$1,0)),FALSE),VLOOKUP(B:B,'female g'!A:V,IF(A24&gt;2033,22,MATCH(A24,'female g'!$A$1:$V$1,0)),FALSE))</f>
        <v>1.9346596000000001E-2</v>
      </c>
      <c r="E24" s="1">
        <f t="shared" si="2"/>
        <v>0.98065340400000001</v>
      </c>
      <c r="F24" s="1">
        <f t="shared" si="3"/>
        <v>0.982449456</v>
      </c>
      <c r="G24" s="1">
        <f>1/(1+Summary!$O$2)^$C24</f>
        <v>0.3418498710866219</v>
      </c>
      <c r="H24" s="1">
        <f>IF(B24&gt;64, Summary!$J$25, 0)*'TV 24'!G24*'TV 24'!F24</f>
        <v>5825.6924656755364</v>
      </c>
      <c r="I24" s="1"/>
    </row>
    <row r="25" spans="1:9">
      <c r="A25" s="1">
        <f t="shared" si="0"/>
        <v>2042</v>
      </c>
      <c r="B25" s="1">
        <f t="shared" si="1"/>
        <v>77</v>
      </c>
      <c r="C25" s="1">
        <v>23</v>
      </c>
      <c r="D25" s="1">
        <f>IF(Summary!$G$25="M",VLOOKUP(B:B,'male g'!A:V,IF(A25&gt;2033,22,MATCH(A25,'male g'!$A$1:$V$1,0)),FALSE),VLOOKUP(B:B,'female g'!A:V,IF(A25&gt;2033,22,MATCH(A25,'female g'!$A$1:$V$1,0)),FALSE))</f>
        <v>2.1378668999999999E-2</v>
      </c>
      <c r="E25" s="1">
        <f t="shared" si="2"/>
        <v>0.97862133100000004</v>
      </c>
      <c r="F25" s="1">
        <f t="shared" si="3"/>
        <v>0.98065340400000001</v>
      </c>
      <c r="G25" s="1">
        <f>1/(1+Summary!$O$2)^$C25</f>
        <v>0.32557130579678267</v>
      </c>
      <c r="H25" s="1">
        <f>IF(B25&gt;64, Summary!$J$25, 0)*'TV 24'!G25*'TV 24'!F25</f>
        <v>5538.1355265915672</v>
      </c>
      <c r="I25" s="1"/>
    </row>
    <row r="26" spans="1:9">
      <c r="A26" s="1">
        <f t="shared" si="0"/>
        <v>2043</v>
      </c>
      <c r="B26" s="1">
        <f t="shared" si="1"/>
        <v>78</v>
      </c>
      <c r="C26" s="1">
        <v>24</v>
      </c>
      <c r="D26" s="1">
        <f>IF(Summary!$G$25="M",VLOOKUP(B:B,'male g'!A:V,IF(A26&gt;2033,22,MATCH(A26,'male g'!$A$1:$V$1,0)),FALSE),VLOOKUP(B:B,'female g'!A:V,IF(A26&gt;2033,22,MATCH(A26,'female g'!$A$1:$V$1,0)),FALSE))</f>
        <v>2.3682564E-2</v>
      </c>
      <c r="E26" s="1">
        <f t="shared" si="2"/>
        <v>0.97631743599999998</v>
      </c>
      <c r="F26" s="1">
        <f t="shared" si="3"/>
        <v>0.97862133100000004</v>
      </c>
      <c r="G26" s="1">
        <f>1/(1+Summary!$O$2)^$C26</f>
        <v>0.31006791028265024</v>
      </c>
      <c r="H26" s="1">
        <f>IF(B26&gt;64, Summary!$J$25, 0)*'TV 24'!G26*'TV 24'!F26</f>
        <v>5263.4853438240525</v>
      </c>
      <c r="I26" s="1"/>
    </row>
    <row r="27" spans="1:9">
      <c r="A27" s="1">
        <f t="shared" si="0"/>
        <v>2044</v>
      </c>
      <c r="B27" s="1">
        <f t="shared" si="1"/>
        <v>79</v>
      </c>
      <c r="C27" s="1">
        <v>25</v>
      </c>
      <c r="D27" s="1">
        <f>IF(Summary!$G$25="M",VLOOKUP(B:B,'male g'!A:V,IF(A27&gt;2033,22,MATCH(A27,'male g'!$A$1:$V$1,0)),FALSE),VLOOKUP(B:B,'female g'!A:V,IF(A27&gt;2033,22,MATCH(A27,'female g'!$A$1:$V$1,0)),FALSE))</f>
        <v>2.6301709E-2</v>
      </c>
      <c r="E27" s="1">
        <f t="shared" si="2"/>
        <v>0.97369829100000005</v>
      </c>
      <c r="F27" s="1">
        <f t="shared" si="3"/>
        <v>0.97631743599999998</v>
      </c>
      <c r="G27" s="1">
        <f>1/(1+Summary!$O$2)^$C27</f>
        <v>0.29530277169776209</v>
      </c>
      <c r="H27" s="1">
        <f>IF(B27&gt;64, Summary!$J$25, 0)*'TV 24'!G27*'TV 24'!F27</f>
        <v>5001.0418228388444</v>
      </c>
      <c r="I27" s="1"/>
    </row>
    <row r="28" spans="1:9">
      <c r="A28" s="1">
        <f t="shared" si="0"/>
        <v>2045</v>
      </c>
      <c r="B28" s="1">
        <f t="shared" si="1"/>
        <v>80</v>
      </c>
      <c r="C28" s="1">
        <v>26</v>
      </c>
      <c r="D28" s="1">
        <f>IF(Summary!$G$25="M",VLOOKUP(B:B,'male g'!A:V,IF(A28&gt;2033,22,MATCH(A28,'male g'!$A$1:$V$1,0)),FALSE),VLOOKUP(B:B,'female g'!A:V,IF(A28&gt;2033,22,MATCH(A28,'female g'!$A$1:$V$1,0)),FALSE))</f>
        <v>2.9285830999999998E-2</v>
      </c>
      <c r="E28" s="1">
        <f t="shared" si="2"/>
        <v>0.97071416899999996</v>
      </c>
      <c r="F28" s="1">
        <f t="shared" si="3"/>
        <v>0.97369829100000005</v>
      </c>
      <c r="G28" s="1">
        <f>1/(1+Summary!$O$2)^$C28</f>
        <v>0.28124073495024959</v>
      </c>
      <c r="H28" s="1">
        <f>IF(B28&gt;64, Summary!$J$25, 0)*'TV 24'!G28*'TV 24'!F28</f>
        <v>4750.1196566990593</v>
      </c>
      <c r="I28" s="1"/>
    </row>
    <row r="29" spans="1:9">
      <c r="A29" s="1">
        <f t="shared" si="0"/>
        <v>2046</v>
      </c>
      <c r="B29" s="1">
        <f t="shared" si="1"/>
        <v>81</v>
      </c>
      <c r="C29" s="1">
        <v>27</v>
      </c>
      <c r="D29" s="1">
        <f>IF(Summary!$G$25="M",VLOOKUP(B:B,'male g'!A:V,IF(A29&gt;2033,22,MATCH(A29,'male g'!$A$1:$V$1,0)),FALSE),VLOOKUP(B:B,'female g'!A:V,IF(A29&gt;2033,22,MATCH(A29,'female g'!$A$1:$V$1,0)),FALSE))</f>
        <v>3.2681842000000003E-2</v>
      </c>
      <c r="E29" s="1">
        <f t="shared" si="2"/>
        <v>0.96731815799999998</v>
      </c>
      <c r="F29" s="1">
        <f t="shared" si="3"/>
        <v>0.97071416899999996</v>
      </c>
      <c r="G29" s="1">
        <f>1/(1+Summary!$O$2)^$C29</f>
        <v>0.2678483190002377</v>
      </c>
      <c r="H29" s="1">
        <f>IF(B29&gt;64, Summary!$J$25, 0)*'TV 24'!G29*'TV 24'!F29</f>
        <v>4510.0588802440861</v>
      </c>
      <c r="I29" s="1"/>
    </row>
    <row r="30" spans="1:9">
      <c r="A30" s="1">
        <f t="shared" si="0"/>
        <v>2047</v>
      </c>
      <c r="B30" s="1">
        <f t="shared" si="1"/>
        <v>82</v>
      </c>
      <c r="C30" s="1">
        <v>28</v>
      </c>
      <c r="D30" s="1">
        <f>IF(Summary!$G$25="M",VLOOKUP(B:B,'male g'!A:V,IF(A30&gt;2033,22,MATCH(A30,'male g'!$A$1:$V$1,0)),FALSE),VLOOKUP(B:B,'female g'!A:V,IF(A30&gt;2033,22,MATCH(A30,'female g'!$A$1:$V$1,0)),FALSE))</f>
        <v>3.6549238999999997E-2</v>
      </c>
      <c r="E30" s="1">
        <f t="shared" si="2"/>
        <v>0.96345076100000004</v>
      </c>
      <c r="F30" s="1">
        <f t="shared" si="3"/>
        <v>0.96731815799999998</v>
      </c>
      <c r="G30" s="1">
        <f>1/(1+Summary!$O$2)^$C30</f>
        <v>0.25509363714308358</v>
      </c>
      <c r="H30" s="1">
        <f>IF(B30&gt;64, Summary!$J$25, 0)*'TV 24'!G30*'TV 24'!F30</f>
        <v>4280.2672288996837</v>
      </c>
      <c r="I30" s="1"/>
    </row>
    <row r="31" spans="1:9">
      <c r="A31" s="1">
        <f t="shared" si="0"/>
        <v>2048</v>
      </c>
      <c r="B31" s="1">
        <f t="shared" si="1"/>
        <v>83</v>
      </c>
      <c r="C31" s="1">
        <v>29</v>
      </c>
      <c r="D31" s="1">
        <f>IF(Summary!$G$25="M",VLOOKUP(B:B,'male g'!A:V,IF(A31&gt;2033,22,MATCH(A31,'male g'!$A$1:$V$1,0)),FALSE),VLOOKUP(B:B,'female g'!A:V,IF(A31&gt;2033,22,MATCH(A31,'female g'!$A$1:$V$1,0)),FALSE))</f>
        <v>4.0956563000000001E-2</v>
      </c>
      <c r="E31" s="1">
        <f t="shared" si="2"/>
        <v>0.95904343700000005</v>
      </c>
      <c r="F31" s="1">
        <f t="shared" si="3"/>
        <v>0.96345076100000004</v>
      </c>
      <c r="G31" s="1">
        <f>1/(1+Summary!$O$2)^$C31</f>
        <v>0.24294632108865097</v>
      </c>
      <c r="H31" s="1">
        <f>IF(B31&gt;64, Summary!$J$25, 0)*'TV 24'!G31*'TV 24'!F31</f>
        <v>4060.1471042204726</v>
      </c>
      <c r="I31" s="1"/>
    </row>
    <row r="32" spans="1:9">
      <c r="A32" s="1">
        <f t="shared" si="0"/>
        <v>2049</v>
      </c>
      <c r="B32" s="1">
        <f t="shared" si="1"/>
        <v>84</v>
      </c>
      <c r="C32" s="1">
        <v>30</v>
      </c>
      <c r="D32" s="1">
        <f>IF(Summary!$G$25="M",VLOOKUP(B:B,'male g'!A:V,IF(A32&gt;2033,22,MATCH(A32,'male g'!$A$1:$V$1,0)),FALSE),VLOOKUP(B:B,'female g'!A:V,IF(A32&gt;2033,22,MATCH(A32,'female g'!$A$1:$V$1,0)),FALSE))</f>
        <v>4.5960176999999998E-2</v>
      </c>
      <c r="E32" s="1">
        <f t="shared" si="2"/>
        <v>0.95403982300000001</v>
      </c>
      <c r="F32" s="1">
        <f t="shared" si="3"/>
        <v>0.95904343700000005</v>
      </c>
      <c r="G32" s="1">
        <f>1/(1+Summary!$O$2)^$C32</f>
        <v>0.23137744865585813</v>
      </c>
      <c r="H32" s="1">
        <f>IF(B32&gt;64, Summary!$J$25, 0)*'TV 24'!G32*'TV 24'!F32</f>
        <v>3849.1179841487065</v>
      </c>
      <c r="I32" s="1"/>
    </row>
    <row r="33" spans="1:9">
      <c r="A33" s="1">
        <f t="shared" si="0"/>
        <v>2050</v>
      </c>
      <c r="B33" s="1">
        <f t="shared" si="1"/>
        <v>85</v>
      </c>
      <c r="C33" s="1">
        <v>31</v>
      </c>
      <c r="D33" s="1">
        <f>IF(Summary!$G$25="M",VLOOKUP(B:B,'male g'!A:V,IF(A33&gt;2033,22,MATCH(A33,'male g'!$A$1:$V$1,0)),FALSE),VLOOKUP(B:B,'female g'!A:V,IF(A33&gt;2033,22,MATCH(A33,'female g'!$A$1:$V$1,0)),FALSE))</f>
        <v>5.1631459999999997E-2</v>
      </c>
      <c r="E33" s="1">
        <f t="shared" si="2"/>
        <v>0.94836854000000004</v>
      </c>
      <c r="F33" s="1">
        <f t="shared" si="3"/>
        <v>0.95403982300000001</v>
      </c>
      <c r="G33" s="1">
        <f>1/(1+Summary!$O$2)^$C33</f>
        <v>0.220359474910341</v>
      </c>
      <c r="H33" s="1">
        <f>IF(B33&gt;64, Summary!$J$25, 0)*'TV 24'!G33*'TV 24'!F33</f>
        <v>3646.7009468860083</v>
      </c>
      <c r="I33" s="1"/>
    </row>
    <row r="34" spans="1:9">
      <c r="A34" s="1">
        <f t="shared" si="0"/>
        <v>2051</v>
      </c>
      <c r="B34" s="1">
        <f t="shared" si="1"/>
        <v>86</v>
      </c>
      <c r="C34" s="1">
        <v>32</v>
      </c>
      <c r="D34" s="1">
        <f>IF(Summary!$G$25="M",VLOOKUP(B:B,'male g'!A:V,IF(A34&gt;2033,22,MATCH(A34,'male g'!$A$1:$V$1,0)),FALSE),VLOOKUP(B:B,'female g'!A:V,IF(A34&gt;2033,22,MATCH(A34,'female g'!$A$1:$V$1,0)),FALSE))</f>
        <v>5.8086306999999997E-2</v>
      </c>
      <c r="E34" s="1">
        <f t="shared" si="2"/>
        <v>0.94191369300000005</v>
      </c>
      <c r="F34" s="1">
        <f t="shared" si="3"/>
        <v>0.94836854000000004</v>
      </c>
      <c r="G34" s="1">
        <f>1/(1+Summary!$O$2)^$C34</f>
        <v>0.20986616658127716</v>
      </c>
      <c r="H34" s="1">
        <f>IF(B34&gt;64, Summary!$J$25, 0)*'TV 24'!G34*'TV 24'!F34</f>
        <v>3452.4030084033616</v>
      </c>
      <c r="I34" s="1"/>
    </row>
    <row r="35" spans="1:9">
      <c r="A35" s="1">
        <f>$A$2+C35</f>
        <v>2052</v>
      </c>
      <c r="B35" s="1">
        <f>$B$2+C35</f>
        <v>87</v>
      </c>
      <c r="C35" s="1">
        <v>33</v>
      </c>
      <c r="D35" s="1">
        <f>IF(Summary!$G$25="M",VLOOKUP(B:B,'male g'!A:V,IF(A35&gt;2033,22,MATCH(A35,'male g'!$A$1:$V$1,0)),FALSE),VLOOKUP(B:B,'female g'!A:V,IF(A35&gt;2033,22,MATCH(A35,'female g'!$A$1:$V$1,0)),FALSE))</f>
        <v>6.5370790999999998E-2</v>
      </c>
      <c r="E35" s="1">
        <f t="shared" si="2"/>
        <v>0.93462920900000002</v>
      </c>
      <c r="F35" s="1">
        <f t="shared" si="3"/>
        <v>0.94191369300000005</v>
      </c>
      <c r="G35" s="1">
        <f>1/(1+Summary!$O$2)^$C35</f>
        <v>0.19987253960121634</v>
      </c>
      <c r="H35" s="1">
        <f>IF(B35&gt;64, Summary!$J$25, 0)*'TV 24'!G35*'TV 24'!F35</f>
        <v>3265.6238484084524</v>
      </c>
      <c r="I35" s="1"/>
    </row>
    <row r="36" spans="1:9">
      <c r="A36" s="1">
        <f t="shared" ref="A36:A47" si="4">$A$2+C36</f>
        <v>2053</v>
      </c>
      <c r="B36" s="1">
        <f t="shared" si="1"/>
        <v>88</v>
      </c>
      <c r="C36" s="1">
        <v>34</v>
      </c>
      <c r="D36" s="1">
        <f>IF(Summary!$G$25="M",VLOOKUP(B:B,'male g'!A:V,IF(A36&gt;2033,22,MATCH(A36,'male g'!$A$1:$V$1,0)),FALSE),VLOOKUP(B:B,'female g'!A:V,IF(A36&gt;2033,22,MATCH(A36,'female g'!$A$1:$V$1,0)),FALSE))</f>
        <v>7.3564853999999999E-2</v>
      </c>
      <c r="E36" s="1">
        <f t="shared" si="2"/>
        <v>0.92643514599999999</v>
      </c>
      <c r="F36" s="1">
        <f t="shared" si="3"/>
        <v>0.93462920900000002</v>
      </c>
      <c r="G36" s="1">
        <f>1/(1+Summary!$O$2)^$C36</f>
        <v>0.19035479962020604</v>
      </c>
      <c r="H36" s="1">
        <f>IF(B36&gt;64, Summary!$J$25, 0)*'TV 24'!G36*'TV 24'!F36</f>
        <v>3086.0652116178926</v>
      </c>
      <c r="I36" s="1"/>
    </row>
    <row r="37" spans="1:9">
      <c r="A37" s="1">
        <f t="shared" si="4"/>
        <v>2054</v>
      </c>
      <c r="B37" s="1">
        <f t="shared" si="1"/>
        <v>89</v>
      </c>
      <c r="C37" s="1">
        <v>35</v>
      </c>
      <c r="D37" s="1">
        <f>IF(Summary!$G$25="M",VLOOKUP(B:B,'male g'!A:V,IF(A37&gt;2033,22,MATCH(A37,'male g'!$A$1:$V$1,0)),FALSE),VLOOKUP(B:B,'female g'!A:V,IF(A37&gt;2033,22,MATCH(A37,'female g'!$A$1:$V$1,0)),FALSE))</f>
        <v>8.2758546000000002E-2</v>
      </c>
      <c r="E37" s="1">
        <f t="shared" si="2"/>
        <v>0.91724145400000001</v>
      </c>
      <c r="F37" s="1">
        <f t="shared" si="3"/>
        <v>0.92643514599999999</v>
      </c>
      <c r="G37" s="1">
        <f>1/(1+Summary!$O$2)^$C37</f>
        <v>0.18129028535257716</v>
      </c>
      <c r="H37" s="1">
        <f>IF(B37&gt;64, Summary!$J$25, 0)*'TV 24'!G37*'TV 24'!F37</f>
        <v>2913.3420198030567</v>
      </c>
      <c r="I37" s="1"/>
    </row>
    <row r="38" spans="1:9">
      <c r="A38" s="1">
        <f t="shared" si="4"/>
        <v>2055</v>
      </c>
      <c r="B38" s="1">
        <f t="shared" si="1"/>
        <v>90</v>
      </c>
      <c r="C38" s="1">
        <v>36</v>
      </c>
      <c r="D38" s="1">
        <f>IF(Summary!$G$25="M",VLOOKUP(B:B,'male g'!A:V,IF(A38&gt;2033,22,MATCH(A38,'male g'!$A$1:$V$1,0)),FALSE),VLOOKUP(B:B,'female g'!A:V,IF(A38&gt;2033,22,MATCH(A38,'female g'!$A$1:$V$1,0)),FALSE))</f>
        <v>9.3062779999999998E-2</v>
      </c>
      <c r="E38" s="1">
        <f t="shared" si="2"/>
        <v>0.90693721999999999</v>
      </c>
      <c r="F38" s="1">
        <f t="shared" si="3"/>
        <v>0.91724145400000001</v>
      </c>
      <c r="G38" s="1">
        <f>1/(1+Summary!$O$2)^$C38</f>
        <v>0.17265741462150208</v>
      </c>
      <c r="H38" s="1">
        <f>IF(B38&gt;64, Summary!$J$25, 0)*'TV 24'!G38*'TV 24'!F38</f>
        <v>2747.0769533252337</v>
      </c>
      <c r="I38" s="1"/>
    </row>
    <row r="39" spans="1:9">
      <c r="A39" s="1">
        <f t="shared" si="4"/>
        <v>2056</v>
      </c>
      <c r="B39" s="1">
        <f t="shared" si="1"/>
        <v>91</v>
      </c>
      <c r="C39" s="1">
        <v>37</v>
      </c>
      <c r="D39" s="1">
        <f>IF(Summary!$G$25="M",VLOOKUP(B:B,'male g'!A:V,IF(A39&gt;2033,22,MATCH(A39,'male g'!$A$1:$V$1,0)),FALSE),VLOOKUP(B:B,'female g'!A:V,IF(A39&gt;2033,22,MATCH(A39,'female g'!$A$1:$V$1,0)),FALSE))</f>
        <v>0.104297588</v>
      </c>
      <c r="E39" s="1">
        <f t="shared" si="2"/>
        <v>0.895702412</v>
      </c>
      <c r="F39" s="1">
        <f t="shared" si="3"/>
        <v>0.90693721999999999</v>
      </c>
      <c r="G39" s="1">
        <f>1/(1+Summary!$O$2)^$C39</f>
        <v>0.1644356329728591</v>
      </c>
      <c r="H39" s="1">
        <f>IF(B39&gt;64, Summary!$J$25, 0)*'TV 24'!G39*'TV 24'!F39</f>
        <v>2586.8728190743286</v>
      </c>
      <c r="I39" s="1"/>
    </row>
    <row r="40" spans="1:9">
      <c r="A40" s="1">
        <f t="shared" si="4"/>
        <v>2057</v>
      </c>
      <c r="B40" s="1">
        <f t="shared" si="1"/>
        <v>92</v>
      </c>
      <c r="C40" s="1">
        <v>38</v>
      </c>
      <c r="D40" s="1">
        <f>IF(Summary!$G$25="M",VLOOKUP(B:B,'male g'!A:V,IF(A40&gt;2033,22,MATCH(A40,'male g'!$A$1:$V$1,0)),FALSE),VLOOKUP(B:B,'female g'!A:V,IF(A40&gt;2033,22,MATCH(A40,'female g'!$A$1:$V$1,0)),FALSE))</f>
        <v>0.116397271</v>
      </c>
      <c r="E40" s="1">
        <f t="shared" si="2"/>
        <v>0.88360272900000003</v>
      </c>
      <c r="F40" s="1">
        <f t="shared" si="3"/>
        <v>0.895702412</v>
      </c>
      <c r="G40" s="1">
        <f>1/(1+Summary!$O$2)^$C40</f>
        <v>0.15660536473605632</v>
      </c>
      <c r="H40" s="1">
        <f>IF(B40&gt;64, Summary!$J$25, 0)*'TV 24'!G40*'TV 24'!F40</f>
        <v>2433.1691244370554</v>
      </c>
      <c r="I40" s="1"/>
    </row>
    <row r="41" spans="1:9">
      <c r="A41" s="1">
        <f t="shared" si="4"/>
        <v>2058</v>
      </c>
      <c r="B41" s="1">
        <f t="shared" si="1"/>
        <v>93</v>
      </c>
      <c r="C41" s="1">
        <v>39</v>
      </c>
      <c r="D41" s="1">
        <f>IF(Summary!$G$25="M",VLOOKUP(B:B,'male g'!A:V,IF(A41&gt;2033,22,MATCH(A41,'male g'!$A$1:$V$1,0)),FALSE),VLOOKUP(B:B,'female g'!A:V,IF(A41&gt;2033,22,MATCH(A41,'female g'!$A$1:$V$1,0)),FALSE))</f>
        <v>0.12927651700000001</v>
      </c>
      <c r="E41" s="1">
        <f t="shared" si="2"/>
        <v>0.87072348300000002</v>
      </c>
      <c r="F41" s="1">
        <f t="shared" si="3"/>
        <v>0.88360272900000003</v>
      </c>
      <c r="G41" s="1">
        <f>1/(1+Summary!$O$2)^$C41</f>
        <v>0.14914796641529171</v>
      </c>
      <c r="H41" s="1">
        <f>IF(B41&gt;64, Summary!$J$25, 0)*'TV 24'!G41*'TV 24'!F41</f>
        <v>2286.0004029266838</v>
      </c>
      <c r="I41" s="1"/>
    </row>
    <row r="42" spans="1:9">
      <c r="A42" s="1">
        <f t="shared" si="4"/>
        <v>2059</v>
      </c>
      <c r="B42" s="1">
        <f t="shared" si="1"/>
        <v>94</v>
      </c>
      <c r="C42" s="1">
        <v>40</v>
      </c>
      <c r="D42" s="1">
        <f>IF(Summary!$G$25="M",VLOOKUP(B:B,'male g'!A:V,IF(A42&gt;2033,22,MATCH(A42,'male g'!$A$1:$V$1,0)),FALSE),VLOOKUP(B:B,'female g'!A:V,IF(A42&gt;2033,22,MATCH(A42,'female g'!$A$1:$V$1,0)),FALSE))</f>
        <v>0.14283962</v>
      </c>
      <c r="E42" s="1">
        <f t="shared" si="2"/>
        <v>0.85716038000000006</v>
      </c>
      <c r="F42" s="1">
        <f t="shared" si="3"/>
        <v>0.87072348300000002</v>
      </c>
      <c r="G42" s="1">
        <f>1/(1+Summary!$O$2)^$C42</f>
        <v>0.14204568230027784</v>
      </c>
      <c r="H42" s="1">
        <f>IF(B42&gt;64, Summary!$J$25, 0)*'TV 24'!G42*'TV 24'!F42</f>
        <v>2145.4095641336203</v>
      </c>
      <c r="I42" s="1"/>
    </row>
    <row r="43" spans="1:9">
      <c r="A43" s="1">
        <f t="shared" si="4"/>
        <v>2060</v>
      </c>
      <c r="B43" s="1">
        <f t="shared" si="1"/>
        <v>95</v>
      </c>
      <c r="C43" s="1">
        <v>41</v>
      </c>
      <c r="D43" s="1">
        <f>IF(Summary!$G$25="M",VLOOKUP(B:B,'male g'!A:V,IF(A43&gt;2033,22,MATCH(A43,'male g'!$A$1:$V$1,0)),FALSE),VLOOKUP(B:B,'female g'!A:V,IF(A43&gt;2033,22,MATCH(A43,'female g'!$A$1:$V$1,0)),FALSE))</f>
        <v>0.15715622100000001</v>
      </c>
      <c r="E43" s="1">
        <f t="shared" si="2"/>
        <v>0.84284377899999996</v>
      </c>
      <c r="F43" s="1">
        <f t="shared" si="3"/>
        <v>0.85716038000000006</v>
      </c>
      <c r="G43" s="1">
        <f>1/(1+Summary!$O$2)^$C43</f>
        <v>0.13528160219074079</v>
      </c>
      <c r="H43" s="1">
        <f>IF(B43&gt;64, Summary!$J$25, 0)*'TV 24'!G43*'TV 24'!F43</f>
        <v>2011.4199099421655</v>
      </c>
      <c r="I43" s="1"/>
    </row>
    <row r="44" spans="1:9">
      <c r="A44" s="1">
        <f t="shared" si="4"/>
        <v>2061</v>
      </c>
      <c r="B44" s="1">
        <f t="shared" si="1"/>
        <v>96</v>
      </c>
      <c r="C44" s="1">
        <v>42</v>
      </c>
      <c r="D44" s="1">
        <f>IF(Summary!$G$25="M",VLOOKUP(B:B,'male g'!A:V,IF(A44&gt;2033,22,MATCH(A44,'male g'!$A$1:$V$1,0)),FALSE),VLOOKUP(B:B,'female g'!A:V,IF(A44&gt;2033,22,MATCH(A44,'female g'!$A$1:$V$1,0)),FALSE))</f>
        <v>0.173075216</v>
      </c>
      <c r="E44" s="1">
        <f t="shared" si="2"/>
        <v>0.82692478400000002</v>
      </c>
      <c r="F44" s="1">
        <f t="shared" si="3"/>
        <v>0.84284377899999996</v>
      </c>
      <c r="G44" s="1">
        <f>1/(1+Summary!$O$2)^$C44</f>
        <v>0.12883962113403885</v>
      </c>
      <c r="H44" s="1">
        <f>IF(B44&gt;64, Summary!$J$25, 0)*'TV 24'!G44*'TV 24'!F44</f>
        <v>1883.6423343513165</v>
      </c>
      <c r="I44" s="1"/>
    </row>
    <row r="45" spans="1:9">
      <c r="A45" s="1">
        <f t="shared" si="4"/>
        <v>2062</v>
      </c>
      <c r="B45" s="1">
        <f t="shared" si="1"/>
        <v>97</v>
      </c>
      <c r="C45" s="1">
        <v>43</v>
      </c>
      <c r="D45" s="1">
        <f>IF(Summary!$G$25="M",VLOOKUP(B:B,'male g'!A:V,IF(A45&gt;2033,22,MATCH(A45,'male g'!$A$1:$V$1,0)),FALSE),VLOOKUP(B:B,'female g'!A:V,IF(A45&gt;2033,22,MATCH(A45,'female g'!$A$1:$V$1,0)),FALSE))</f>
        <v>0.18989809799999999</v>
      </c>
      <c r="E45" s="1">
        <f t="shared" si="2"/>
        <v>0.81010190199999998</v>
      </c>
      <c r="F45" s="1">
        <f t="shared" si="3"/>
        <v>0.82692478400000002</v>
      </c>
      <c r="G45" s="1">
        <f>1/(1+Summary!$O$2)^$C45</f>
        <v>0.12270440108003698</v>
      </c>
      <c r="H45" s="1">
        <f>IF(B45&gt;64, Summary!$J$25, 0)*'TV 24'!G45*'TV 24'!F45</f>
        <v>1760.0624042377144</v>
      </c>
      <c r="I45" s="1"/>
    </row>
    <row r="46" spans="1:9">
      <c r="A46" s="1">
        <f t="shared" si="4"/>
        <v>2063</v>
      </c>
      <c r="B46" s="1">
        <f t="shared" si="1"/>
        <v>98</v>
      </c>
      <c r="C46" s="1">
        <v>44</v>
      </c>
      <c r="D46" s="1">
        <f>IF(Summary!$G$25="M",VLOOKUP(B:B,'male g'!A:V,IF(A46&gt;2033,22,MATCH(A46,'male g'!$A$1:$V$1,0)),FALSE),VLOOKUP(B:B,'female g'!A:V,IF(A46&gt;2033,22,MATCH(A46,'female g'!$A$1:$V$1,0)),FALSE))</f>
        <v>0.2077398</v>
      </c>
      <c r="E46" s="1">
        <f t="shared" si="2"/>
        <v>0.79226019999999997</v>
      </c>
      <c r="F46" s="1">
        <f t="shared" si="3"/>
        <v>0.81010190199999998</v>
      </c>
      <c r="G46" s="1">
        <f>1/(1+Summary!$O$2)^$C46</f>
        <v>0.11686133436193999</v>
      </c>
      <c r="H46" s="1">
        <f>IF(B46&gt;64, Summary!$J$25, 0)*'TV 24'!G46*'TV 24'!F46</f>
        <v>1642.1484343181125</v>
      </c>
      <c r="I46" s="1"/>
    </row>
    <row r="47" spans="1:9">
      <c r="A47" s="1">
        <f t="shared" si="4"/>
        <v>2064</v>
      </c>
      <c r="B47" s="1">
        <f t="shared" si="1"/>
        <v>99</v>
      </c>
      <c r="C47" s="1">
        <v>45</v>
      </c>
      <c r="D47" s="1">
        <f>IF(Summary!$G$25="M",VLOOKUP(B:B,'male g'!A:V,IF(A47&gt;2033,22,MATCH(A47,'male g'!$A$1:$V$1,0)),FALSE),VLOOKUP(B:B,'female g'!A:V,IF(A47&gt;2033,22,MATCH(A47,'female g'!$A$1:$V$1,0)),FALSE))</f>
        <v>0.22627810600000001</v>
      </c>
      <c r="E47" s="1">
        <f t="shared" si="2"/>
        <v>0.77372189400000002</v>
      </c>
      <c r="F47" s="1">
        <f t="shared" si="3"/>
        <v>0.79226019999999997</v>
      </c>
      <c r="G47" s="1">
        <f>1/(1+Summary!$O$2)^$C47</f>
        <v>0.1112965089161333</v>
      </c>
      <c r="H47" s="1">
        <f>IF(B47&gt;64, Summary!$J$25, 0)*'TV 24'!G47*'TV 24'!F47</f>
        <v>1529.5064012383191</v>
      </c>
      <c r="I47" s="1"/>
    </row>
    <row r="48" spans="1:9">
      <c r="A48" s="1">
        <f>$A$2+C48</f>
        <v>2065</v>
      </c>
      <c r="B48" s="1">
        <f>$B$2+C48</f>
        <v>100</v>
      </c>
      <c r="C48" s="1">
        <v>46</v>
      </c>
      <c r="D48" s="1">
        <f>IF(Summary!$G$25="M",VLOOKUP(B:B,'male g'!A:V,IF(A48&gt;2033,22,MATCH(A48,'male g'!$A$1:$V$1,0)),FALSE),VLOOKUP(B:B,'female g'!A:V,IF(A48&gt;2033,22,MATCH(A48,'female g'!$A$1:$V$1,0)),FALSE))</f>
        <v>0.245586414</v>
      </c>
      <c r="E48" s="1">
        <f t="shared" si="2"/>
        <v>0.75441358599999997</v>
      </c>
      <c r="F48" s="1">
        <f t="shared" si="3"/>
        <v>0.77372189400000002</v>
      </c>
      <c r="G48" s="1">
        <f>1/(1+Summary!$O$2)^$C48</f>
        <v>0.10599667515822221</v>
      </c>
      <c r="H48" s="1">
        <f>IF(B48&gt;64, Summary!$J$25, 0)*'TV 24'!G48*'TV 24'!F48</f>
        <v>1422.5876917604264</v>
      </c>
      <c r="I48" s="1"/>
    </row>
    <row r="49" spans="1:9">
      <c r="A49" s="1">
        <f t="shared" ref="A49:A68" si="5">$A$2+C49</f>
        <v>2066</v>
      </c>
      <c r="B49" s="1">
        <f t="shared" si="1"/>
        <v>101</v>
      </c>
      <c r="C49" s="1">
        <v>47</v>
      </c>
      <c r="D49" s="1">
        <f>IF(Summary!$G$25="M",VLOOKUP(B:B,'male g'!A:V,IF(A49&gt;2033,22,MATCH(A49,'male g'!$A$1:$V$1,0)),FALSE),VLOOKUP(B:B,'female g'!A:V,IF(A49&gt;2033,22,MATCH(A49,'female g'!$A$1:$V$1,0)),FALSE))</f>
        <v>0.26569467200000002</v>
      </c>
      <c r="E49" s="1">
        <f t="shared" si="2"/>
        <v>0.73430532800000003</v>
      </c>
      <c r="F49" s="1">
        <f t="shared" si="3"/>
        <v>0.75441358599999997</v>
      </c>
      <c r="G49" s="1">
        <f>1/(1+Summary!$O$2)^$C49</f>
        <v>0.10094921443640208</v>
      </c>
      <c r="H49" s="1">
        <f>IF(B49&gt;64, Summary!$J$25, 0)*'TV 24'!G49*'TV 24'!F49</f>
        <v>1321.0351164293586</v>
      </c>
      <c r="I49" s="1"/>
    </row>
    <row r="50" spans="1:9">
      <c r="A50" s="1">
        <f t="shared" si="5"/>
        <v>2067</v>
      </c>
      <c r="B50" s="1">
        <f t="shared" si="1"/>
        <v>102</v>
      </c>
      <c r="C50" s="1">
        <v>48</v>
      </c>
      <c r="D50" s="1">
        <f>IF(Summary!$G$25="M",VLOOKUP(B:B,'male g'!A:V,IF(A50&gt;2033,22,MATCH(A50,'male g'!$A$1:$V$1,0)),FALSE),VLOOKUP(B:B,'female g'!A:V,IF(A50&gt;2033,22,MATCH(A50,'female g'!$A$1:$V$1,0)),FALSE))</f>
        <v>0.28621307499999998</v>
      </c>
      <c r="E50" s="1">
        <f t="shared" si="2"/>
        <v>0.71378692499999996</v>
      </c>
      <c r="F50" s="1">
        <f t="shared" si="3"/>
        <v>0.73430532800000003</v>
      </c>
      <c r="G50" s="1">
        <f>1/(1+Summary!$O$2)^$C50</f>
        <v>9.6142108987049613E-2</v>
      </c>
      <c r="H50" s="1">
        <f>IF(B50&gt;64, Summary!$J$25, 0)*'TV 24'!G50*'TV 24'!F50</f>
        <v>1224.5943231628798</v>
      </c>
      <c r="I50" s="1"/>
    </row>
    <row r="51" spans="1:9">
      <c r="A51" s="1">
        <f t="shared" si="5"/>
        <v>2068</v>
      </c>
      <c r="B51" s="1">
        <f t="shared" si="1"/>
        <v>103</v>
      </c>
      <c r="C51" s="1">
        <v>49</v>
      </c>
      <c r="D51" s="1">
        <f>IF(Summary!$G$25="M",VLOOKUP(B:B,'male g'!A:V,IF(A51&gt;2033,22,MATCH(A51,'male g'!$A$1:$V$1,0)),FALSE),VLOOKUP(B:B,'female g'!A:V,IF(A51&gt;2033,22,MATCH(A51,'female g'!$A$1:$V$1,0)),FALSE))</f>
        <v>0.306855239</v>
      </c>
      <c r="E51" s="1">
        <f t="shared" si="2"/>
        <v>0.693144761</v>
      </c>
      <c r="F51" s="1">
        <f t="shared" si="3"/>
        <v>0.71378692499999996</v>
      </c>
      <c r="G51" s="1">
        <f>1/(1+Summary!$O$2)^$C51</f>
        <v>9.1563913320999626E-2</v>
      </c>
      <c r="H51" s="1">
        <f>IF(B51&gt;64, Summary!$J$25, 0)*'TV 24'!G51*'TV 24'!F51</f>
        <v>1133.6913989737238</v>
      </c>
      <c r="I51" s="1"/>
    </row>
    <row r="52" spans="1:9">
      <c r="A52" s="1">
        <f t="shared" si="5"/>
        <v>2069</v>
      </c>
      <c r="B52" s="1">
        <f t="shared" si="1"/>
        <v>104</v>
      </c>
      <c r="C52" s="1">
        <v>50</v>
      </c>
      <c r="D52" s="1">
        <f>IF(Summary!$G$25="M",VLOOKUP(B:B,'male g'!A:V,IF(A52&gt;2033,22,MATCH(A52,'male g'!$A$1:$V$1,0)),FALSE),VLOOKUP(B:B,'female g'!A:V,IF(A52&gt;2033,22,MATCH(A52,'female g'!$A$1:$V$1,0)),FALSE))</f>
        <v>0.32781771999999998</v>
      </c>
      <c r="E52" s="1">
        <f t="shared" si="2"/>
        <v>0.67218228000000002</v>
      </c>
      <c r="F52" s="1">
        <f t="shared" si="3"/>
        <v>0.693144761</v>
      </c>
      <c r="G52" s="1">
        <f>1/(1+Summary!$O$2)^$C52</f>
        <v>8.7203726972380588E-2</v>
      </c>
      <c r="H52" s="1">
        <f>IF(B52&gt;64, Summary!$J$25, 0)*'TV 24'!G52*'TV 24'!F52</f>
        <v>1048.481831824769</v>
      </c>
      <c r="I52" s="1"/>
    </row>
    <row r="53" spans="1:9">
      <c r="A53" s="1">
        <f t="shared" si="5"/>
        <v>2070</v>
      </c>
      <c r="B53" s="1">
        <f t="shared" si="1"/>
        <v>105</v>
      </c>
      <c r="C53" s="1">
        <v>51</v>
      </c>
      <c r="D53" s="1">
        <f>IF(Summary!$G$25="M",VLOOKUP(B:B,'male g'!A:V,IF(A53&gt;2033,22,MATCH(A53,'male g'!$A$1:$V$1,0)),FALSE),VLOOKUP(B:B,'female g'!A:V,IF(A53&gt;2033,22,MATCH(A53,'female g'!$A$1:$V$1,0)),FALSE))</f>
        <v>0.34877203800000001</v>
      </c>
      <c r="E53" s="1">
        <f t="shared" si="2"/>
        <v>0.65122796199999999</v>
      </c>
      <c r="F53" s="1">
        <f t="shared" si="3"/>
        <v>0.67218228000000002</v>
      </c>
      <c r="G53" s="1">
        <f>1/(1+Summary!$O$2)^$C53</f>
        <v>8.3051168545124371E-2</v>
      </c>
      <c r="H53" s="1">
        <f>IF(B53&gt;64, Summary!$J$25, 0)*'TV 24'!G53*'TV 24'!F53</f>
        <v>968.3552795602202</v>
      </c>
      <c r="I53" s="1"/>
    </row>
    <row r="54" spans="1:9">
      <c r="A54" s="1">
        <f t="shared" si="5"/>
        <v>2071</v>
      </c>
      <c r="B54" s="1">
        <f t="shared" si="1"/>
        <v>106</v>
      </c>
      <c r="C54" s="1">
        <v>52</v>
      </c>
      <c r="D54" s="1">
        <f>IF(Summary!$G$25="M",VLOOKUP(B:B,'male g'!A:V,IF(A54&gt;2033,22,MATCH(A54,'male g'!$A$1:$V$1,0)),FALSE),VLOOKUP(B:B,'female g'!A:V,IF(A54&gt;2033,22,MATCH(A54,'female g'!$A$1:$V$1,0)),FALSE))</f>
        <v>0.36963544999999998</v>
      </c>
      <c r="E54" s="1">
        <f t="shared" si="2"/>
        <v>0.63036455000000002</v>
      </c>
      <c r="F54" s="1">
        <f t="shared" si="3"/>
        <v>0.65122796199999999</v>
      </c>
      <c r="G54" s="1">
        <f>1/(1+Summary!$O$2)^$C54</f>
        <v>7.9096350995356543E-2</v>
      </c>
      <c r="H54" s="1">
        <f>IF(B54&gt;64, Summary!$J$25, 0)*'TV 24'!G54*'TV 24'!F54</f>
        <v>893.49351743433465</v>
      </c>
      <c r="I54" s="1"/>
    </row>
    <row r="55" spans="1:9">
      <c r="A55" s="1">
        <f t="shared" si="5"/>
        <v>2072</v>
      </c>
      <c r="B55" s="1">
        <f t="shared" si="1"/>
        <v>107</v>
      </c>
      <c r="C55" s="1">
        <v>53</v>
      </c>
      <c r="D55" s="1">
        <f>IF(Summary!$G$25="M",VLOOKUP(B:B,'male g'!A:V,IF(A55&gt;2033,22,MATCH(A55,'male g'!$A$1:$V$1,0)),FALSE),VLOOKUP(B:B,'female g'!A:V,IF(A55&gt;2033,22,MATCH(A55,'female g'!$A$1:$V$1,0)),FALSE))</f>
        <v>0.39012102100000001</v>
      </c>
      <c r="E55" s="1">
        <f t="shared" si="2"/>
        <v>0.60987897899999999</v>
      </c>
      <c r="F55" s="1">
        <f t="shared" si="3"/>
        <v>0.63036455000000002</v>
      </c>
      <c r="G55" s="1">
        <f>1/(1+Summary!$O$2)^$C55</f>
        <v>7.5329858090815757E-2</v>
      </c>
      <c r="H55" s="1">
        <f>IF(B55&gt;64, Summary!$J$25, 0)*'TV 24'!G55*'TV 24'!F55</f>
        <v>823.68441498277059</v>
      </c>
      <c r="I55" s="1"/>
    </row>
    <row r="56" spans="1:9">
      <c r="A56" s="1">
        <f t="shared" si="5"/>
        <v>2073</v>
      </c>
      <c r="B56" s="1">
        <f t="shared" si="1"/>
        <v>108</v>
      </c>
      <c r="C56" s="1">
        <v>54</v>
      </c>
      <c r="D56" s="1">
        <f>IF(Summary!$G$25="M",VLOOKUP(B:B,'male g'!A:V,IF(A56&gt;2033,22,MATCH(A56,'male g'!$A$1:$V$1,0)),FALSE),VLOOKUP(B:B,'female g'!A:V,IF(A56&gt;2033,22,MATCH(A56,'female g'!$A$1:$V$1,0)),FALSE))</f>
        <v>0.40992095000000001</v>
      </c>
      <c r="E56" s="1">
        <f t="shared" si="2"/>
        <v>0.59007904999999994</v>
      </c>
      <c r="F56" s="1">
        <f t="shared" si="3"/>
        <v>0.60987897899999999</v>
      </c>
      <c r="G56" s="1">
        <f>1/(1+Summary!$O$2)^$C56</f>
        <v>7.1742721991253117E-2</v>
      </c>
      <c r="H56" s="1">
        <f>IF(B56&gt;64, Summary!$J$25, 0)*'TV 24'!G56*'TV 24'!F56</f>
        <v>758.96794282112069</v>
      </c>
      <c r="I56" s="1"/>
    </row>
    <row r="57" spans="1:9">
      <c r="A57" s="1">
        <f t="shared" si="5"/>
        <v>2074</v>
      </c>
      <c r="B57" s="1">
        <f t="shared" si="1"/>
        <v>109</v>
      </c>
      <c r="C57" s="1">
        <v>55</v>
      </c>
      <c r="D57" s="1">
        <f>IF(Summary!$G$25="M",VLOOKUP(B:B,'male g'!A:V,IF(A57&gt;2033,22,MATCH(A57,'male g'!$A$1:$V$1,0)),FALSE),VLOOKUP(B:B,'female g'!A:V,IF(A57&gt;2033,22,MATCH(A57,'female g'!$A$1:$V$1,0)),FALSE))</f>
        <v>0.42944720199999997</v>
      </c>
      <c r="E57" s="1">
        <f t="shared" si="2"/>
        <v>0.57055279800000003</v>
      </c>
      <c r="F57" s="1">
        <f t="shared" si="3"/>
        <v>0.59007904999999994</v>
      </c>
      <c r="G57" s="1">
        <f>1/(1+Summary!$O$2)^$C57</f>
        <v>6.8326401896431521E-2</v>
      </c>
      <c r="H57" s="1">
        <f>IF(B57&gt;64, Summary!$J$25, 0)*'TV 24'!G57*'TV 24'!F57</f>
        <v>699.35979978733428</v>
      </c>
      <c r="I57" s="1"/>
    </row>
    <row r="58" spans="1:9">
      <c r="A58" s="1">
        <f t="shared" si="5"/>
        <v>2075</v>
      </c>
      <c r="B58" s="1">
        <f t="shared" si="1"/>
        <v>110</v>
      </c>
      <c r="C58" s="1">
        <v>56</v>
      </c>
      <c r="D58" s="1">
        <f>IF(Summary!$G$25="M",VLOOKUP(B:B,'male g'!A:V,IF(A58&gt;2033,22,MATCH(A58,'male g'!$A$1:$V$1,0)),FALSE),VLOOKUP(B:B,'female g'!A:V,IF(A58&gt;2033,22,MATCH(A58,'female g'!$A$1:$V$1,0)),FALSE))</f>
        <v>0.44824126199999997</v>
      </c>
      <c r="E58" s="1">
        <f t="shared" si="2"/>
        <v>0.55175873799999997</v>
      </c>
      <c r="F58" s="1">
        <f t="shared" si="3"/>
        <v>0.57055279800000003</v>
      </c>
      <c r="G58" s="1">
        <f>1/(1+Summary!$O$2)^$C58</f>
        <v>6.5072763710887174E-2</v>
      </c>
      <c r="H58" s="1">
        <f>IF(B58&gt;64, Summary!$J$25, 0)*'TV 24'!G58*'TV 24'!F58</f>
        <v>644.01652235026165</v>
      </c>
      <c r="I58" s="1"/>
    </row>
    <row r="59" spans="1:9">
      <c r="A59" s="1">
        <f t="shared" si="5"/>
        <v>2076</v>
      </c>
      <c r="B59" s="1">
        <f t="shared" si="1"/>
        <v>111</v>
      </c>
      <c r="C59" s="1">
        <v>57</v>
      </c>
      <c r="D59" s="1">
        <f>IF(Summary!$G$25="M",VLOOKUP(B:B,'male g'!A:V,IF(A59&gt;2033,22,MATCH(A59,'male g'!$A$1:$V$1,0)),FALSE),VLOOKUP(B:B,'female g'!A:V,IF(A59&gt;2033,22,MATCH(A59,'female g'!$A$1:$V$1,0)),FALSE))</f>
        <v>0.46617251599999998</v>
      </c>
      <c r="E59" s="1">
        <f t="shared" si="2"/>
        <v>0.53382748400000002</v>
      </c>
      <c r="F59" s="1">
        <f t="shared" si="3"/>
        <v>0.55175873799999997</v>
      </c>
      <c r="G59" s="1">
        <f>1/(1+Summary!$O$2)^$C59</f>
        <v>6.1974060677035397E-2</v>
      </c>
      <c r="H59" s="1">
        <f>IF(B59&gt;64, Summary!$J$25, 0)*'TV 24'!G59*'TV 24'!F59</f>
        <v>593.1452959284303</v>
      </c>
      <c r="I59" s="1"/>
    </row>
    <row r="60" spans="1:9">
      <c r="A60" s="1">
        <f t="shared" si="5"/>
        <v>2077</v>
      </c>
      <c r="B60" s="1">
        <f t="shared" si="1"/>
        <v>112</v>
      </c>
      <c r="C60" s="1">
        <v>58</v>
      </c>
      <c r="D60" s="1">
        <f>IF(Summary!$G$25="M",VLOOKUP(B:B,'male g'!A:V,IF(A60&gt;2033,22,MATCH(A60,'male g'!$A$1:$V$1,0)),FALSE),VLOOKUP(B:B,'female g'!A:V,IF(A60&gt;2033,22,MATCH(A60,'female g'!$A$1:$V$1,0)),FALSE))</f>
        <v>0.48365765799999999</v>
      </c>
      <c r="E60" s="1">
        <f t="shared" si="2"/>
        <v>0.51634234199999995</v>
      </c>
      <c r="F60" s="1">
        <f t="shared" si="3"/>
        <v>0.53382748400000002</v>
      </c>
      <c r="G60" s="1">
        <f>1/(1+Summary!$O$2)^$C60</f>
        <v>5.9022914930509894E-2</v>
      </c>
      <c r="H60" s="1">
        <f>IF(B60&gt;64, Summary!$J$25, 0)*'TV 24'!G60*'TV 24'!F60</f>
        <v>546.54194921644034</v>
      </c>
      <c r="I60" s="1"/>
    </row>
    <row r="61" spans="1:9">
      <c r="A61" s="1">
        <f t="shared" si="5"/>
        <v>2078</v>
      </c>
      <c r="B61" s="1">
        <f t="shared" si="1"/>
        <v>113</v>
      </c>
      <c r="C61" s="1">
        <v>59</v>
      </c>
      <c r="D61" s="1">
        <f>IF(Summary!$G$25="M",VLOOKUP(B:B,'male g'!A:V,IF(A61&gt;2033,22,MATCH(A61,'male g'!$A$1:$V$1,0)),FALSE),VLOOKUP(B:B,'female g'!A:V,IF(A61&gt;2033,22,MATCH(A61,'female g'!$A$1:$V$1,0)),FALSE))</f>
        <v>0.49353991000000003</v>
      </c>
      <c r="E61" s="1">
        <f t="shared" si="2"/>
        <v>0.50646009000000003</v>
      </c>
      <c r="F61" s="1">
        <f t="shared" si="3"/>
        <v>0.51634234199999995</v>
      </c>
      <c r="G61" s="1">
        <f>1/(1+Summary!$O$2)^$C61</f>
        <v>5.6212299933818946E-2</v>
      </c>
      <c r="H61" s="1">
        <f>IF(B61&gt;64, Summary!$J$25, 0)*'TV 24'!G61*'TV 24'!F61</f>
        <v>503.46700370778325</v>
      </c>
      <c r="I61" s="1"/>
    </row>
    <row r="62" spans="1:9">
      <c r="A62" s="1">
        <f t="shared" si="5"/>
        <v>2079</v>
      </c>
      <c r="B62" s="1">
        <f t="shared" si="1"/>
        <v>114</v>
      </c>
      <c r="C62" s="1">
        <v>60</v>
      </c>
      <c r="D62" s="1">
        <f>IF(Summary!$G$25="M",VLOOKUP(B:B,'male g'!A:V,IF(A62&gt;2033,22,MATCH(A62,'male g'!$A$1:$V$1,0)),FALSE),VLOOKUP(B:B,'female g'!A:V,IF(A62&gt;2033,22,MATCH(A62,'female g'!$A$1:$V$1,0)),FALSE))</f>
        <v>0.49666062900000002</v>
      </c>
      <c r="E62" s="1">
        <f t="shared" si="2"/>
        <v>0.50333937100000004</v>
      </c>
      <c r="F62" s="1">
        <f t="shared" si="3"/>
        <v>0.50646009000000003</v>
      </c>
      <c r="G62" s="1">
        <f>1/(1+Summary!$O$2)^$C62</f>
        <v>5.3535523746494243E-2</v>
      </c>
      <c r="H62" s="1">
        <f>IF(B62&gt;64, Summary!$J$25, 0)*'TV 24'!G62*'TV 24'!F62</f>
        <v>470.31540210173256</v>
      </c>
      <c r="I62" s="1"/>
    </row>
    <row r="63" spans="1:9">
      <c r="A63" s="1">
        <f t="shared" si="5"/>
        <v>2080</v>
      </c>
      <c r="B63" s="1">
        <f t="shared" si="1"/>
        <v>115</v>
      </c>
      <c r="C63" s="1">
        <v>61</v>
      </c>
      <c r="D63" s="1">
        <f>IF(Summary!$G$25="M",VLOOKUP(B:B,'male g'!A:V,IF(A63&gt;2033,22,MATCH(A63,'male g'!$A$1:$V$1,0)),FALSE),VLOOKUP(B:B,'female g'!A:V,IF(A63&gt;2033,22,MATCH(A63,'female g'!$A$1:$V$1,0)),FALSE))</f>
        <v>0.5</v>
      </c>
      <c r="E63" s="1">
        <f t="shared" si="2"/>
        <v>0.5</v>
      </c>
      <c r="F63" s="1">
        <f t="shared" si="3"/>
        <v>0.50333937100000004</v>
      </c>
      <c r="G63" s="1">
        <f>1/(1+Summary!$O$2)^$C63</f>
        <v>5.0986213091899268E-2</v>
      </c>
      <c r="H63" s="1">
        <f>IF(B63&gt;64, Summary!$J$25, 0)*'TV 24'!G63*'TV 24'!F63</f>
        <v>445.15942893611128</v>
      </c>
      <c r="I63" s="1"/>
    </row>
    <row r="64" spans="1:9">
      <c r="A64" s="1">
        <f t="shared" si="5"/>
        <v>2081</v>
      </c>
      <c r="B64" s="1">
        <f t="shared" si="1"/>
        <v>116</v>
      </c>
      <c r="C64" s="1">
        <v>62</v>
      </c>
      <c r="D64" s="1">
        <f>IF(Summary!$G$25="M",VLOOKUP(B:B,'male g'!A:V,IF(A64&gt;2033,22,MATCH(A64,'male g'!$A$1:$V$1,0)),FALSE),VLOOKUP(B:B,'female g'!A:V,IF(A64&gt;2033,22,MATCH(A64,'female g'!$A$1:$V$1,0)),FALSE))</f>
        <v>0.5</v>
      </c>
      <c r="E64" s="1">
        <f t="shared" si="2"/>
        <v>0.5</v>
      </c>
      <c r="F64" s="1">
        <f t="shared" si="3"/>
        <v>0.5</v>
      </c>
      <c r="G64" s="1">
        <f>1/(1+Summary!$O$2)^$C64</f>
        <v>4.855829818276123E-2</v>
      </c>
      <c r="H64" s="1">
        <f>IF(B64&gt;64, Summary!$J$25, 0)*'TV 24'!G64*'TV 24'!F64</f>
        <v>421.14861792873211</v>
      </c>
      <c r="I64" s="1"/>
    </row>
    <row r="65" spans="1:9">
      <c r="A65" s="1">
        <f t="shared" si="5"/>
        <v>2082</v>
      </c>
      <c r="B65" s="1">
        <f t="shared" si="1"/>
        <v>117</v>
      </c>
      <c r="C65" s="1">
        <v>63</v>
      </c>
      <c r="D65" s="1">
        <f>IF(Summary!$G$25="M",VLOOKUP(B:B,'male g'!A:V,IF(A65&gt;2033,22,MATCH(A65,'male g'!$A$1:$V$1,0)),FALSE),VLOOKUP(B:B,'female g'!A:V,IF(A65&gt;2033,22,MATCH(A65,'female g'!$A$1:$V$1,0)),FALSE))</f>
        <v>0.5</v>
      </c>
      <c r="E65" s="1">
        <f t="shared" si="2"/>
        <v>0.5</v>
      </c>
      <c r="F65" s="1">
        <f t="shared" si="3"/>
        <v>0.5</v>
      </c>
      <c r="G65" s="1">
        <f>1/(1+Summary!$O$2)^$C65</f>
        <v>4.6245998269296387E-2</v>
      </c>
      <c r="H65" s="1">
        <f>IF(B65&gt;64, Summary!$J$25, 0)*'TV 24'!G65*'TV 24'!F65</f>
        <v>401.09392183688755</v>
      </c>
      <c r="I65" s="1"/>
    </row>
    <row r="66" spans="1:9">
      <c r="A66" s="1">
        <f t="shared" si="5"/>
        <v>2083</v>
      </c>
      <c r="B66" s="1">
        <f t="shared" si="1"/>
        <v>118</v>
      </c>
      <c r="C66" s="1">
        <v>64</v>
      </c>
      <c r="D66" s="1">
        <f>IF(Summary!$G$25="M",VLOOKUP(B:B,'male g'!A:V,IF(A66&gt;2033,22,MATCH(A66,'male g'!$A$1:$V$1,0)),FALSE),VLOOKUP(B:B,'female g'!A:V,IF(A66&gt;2033,22,MATCH(A66,'female g'!$A$1:$V$1,0)),FALSE))</f>
        <v>0.5</v>
      </c>
      <c r="E66" s="1">
        <f t="shared" si="2"/>
        <v>0.5</v>
      </c>
      <c r="F66" s="1">
        <f t="shared" si="3"/>
        <v>0.5</v>
      </c>
      <c r="G66" s="1">
        <f>1/(1+Summary!$O$2)^$C66</f>
        <v>4.4043807875520369E-2</v>
      </c>
      <c r="H66" s="1">
        <f>IF(B66&gt;64, Summary!$J$25, 0)*'TV 24'!G66*'TV 24'!F66</f>
        <v>381.99421127322626</v>
      </c>
      <c r="I66" s="1"/>
    </row>
    <row r="67" spans="1:9">
      <c r="A67" s="1">
        <f t="shared" si="5"/>
        <v>2084</v>
      </c>
      <c r="B67" s="1">
        <f t="shared" si="1"/>
        <v>119</v>
      </c>
      <c r="C67" s="1">
        <v>65</v>
      </c>
      <c r="D67" s="1">
        <f>IF(Summary!$G$25="M",VLOOKUP(B:B,'male g'!A:V,IF(A67&gt;2033,22,MATCH(A67,'male g'!$A$1:$V$1,0)),FALSE),VLOOKUP(B:B,'female g'!A:V,IF(A67&gt;2033,22,MATCH(A67,'female g'!$A$1:$V$1,0)),FALSE))</f>
        <v>0.5</v>
      </c>
      <c r="E67" s="1">
        <f t="shared" si="2"/>
        <v>0.5</v>
      </c>
      <c r="F67" s="1">
        <f t="shared" si="3"/>
        <v>0.5</v>
      </c>
      <c r="G67" s="1">
        <f>1/(1+Summary!$O$2)^$C67</f>
        <v>4.1946483690971779E-2</v>
      </c>
      <c r="H67" s="1">
        <f>IF(B67&gt;64, Summary!$J$25, 0)*'TV 24'!G67*'TV 24'!F67</f>
        <v>363.80401073640593</v>
      </c>
      <c r="I67" s="1"/>
    </row>
    <row r="68" spans="1:9">
      <c r="A68" s="1">
        <f t="shared" si="5"/>
        <v>2085</v>
      </c>
      <c r="B68" s="1">
        <f>$B$2+C68</f>
        <v>120</v>
      </c>
      <c r="C68" s="1">
        <v>66</v>
      </c>
      <c r="D68" s="1">
        <f>IF(Summary!$G$25="M",VLOOKUP(B:B,'male g'!A:V,IF(A68&gt;2033,22,MATCH(A68,'male g'!$A$1:$V$1,0)),FALSE),VLOOKUP(B:B,'female g'!A:V,IF(A68&gt;2033,22,MATCH(A68,'female g'!$A$1:$V$1,0)),FALSE))</f>
        <v>1</v>
      </c>
      <c r="E68" s="1">
        <f>1-D68</f>
        <v>0</v>
      </c>
      <c r="F68" s="1">
        <f>E67</f>
        <v>0.5</v>
      </c>
      <c r="G68" s="1">
        <f>1/(1+Summary!$O$2)^$C68</f>
        <v>3.9949032086639788E-2</v>
      </c>
      <c r="H68" s="1">
        <f>IF(B68&gt;64, Summary!$J$25, 0)*'TV 24'!G68*'TV 24'!F68</f>
        <v>346.48001022514848</v>
      </c>
      <c r="I68" s="1"/>
    </row>
    <row r="69" spans="1:9">
      <c r="A69" s="1"/>
    </row>
    <row r="70" spans="1:9">
      <c r="A70" s="1"/>
    </row>
    <row r="71" spans="1:9">
      <c r="A71" s="1"/>
    </row>
    <row r="72" spans="1:9">
      <c r="A72" s="1"/>
    </row>
    <row r="73" spans="1:9">
      <c r="A73" s="1"/>
    </row>
    <row r="74" spans="1:9">
      <c r="A74" s="1"/>
    </row>
    <row r="75" spans="1:9">
      <c r="A75" s="1"/>
    </row>
    <row r="76" spans="1:9">
      <c r="A76" s="1"/>
    </row>
    <row r="77" spans="1:9">
      <c r="A77" s="1"/>
    </row>
    <row r="78" spans="1:9">
      <c r="A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I98"/>
  <sheetViews>
    <sheetView workbookViewId="0">
      <selection activeCell="B65" sqref="B65"/>
    </sheetView>
  </sheetViews>
  <sheetFormatPr defaultColWidth="10.875" defaultRowHeight="15.75"/>
  <cols>
    <col min="4" max="5" width="23" customWidth="1"/>
    <col min="6" max="6" width="25.375" customWidth="1"/>
    <col min="7" max="8" width="23" customWidth="1"/>
    <col min="9" max="9" width="19.75" customWidth="1"/>
  </cols>
  <sheetData>
    <row r="1" spans="1:9">
      <c r="A1" s="1" t="s">
        <v>67</v>
      </c>
      <c r="B1" s="1" t="s">
        <v>64</v>
      </c>
      <c r="C1" s="1" t="s">
        <v>68</v>
      </c>
      <c r="D1" s="1" t="s">
        <v>69</v>
      </c>
      <c r="E1" s="1" t="s">
        <v>70</v>
      </c>
      <c r="F1" s="1" t="s">
        <v>71</v>
      </c>
      <c r="G1" s="1" t="s">
        <v>72</v>
      </c>
      <c r="H1" s="1" t="s">
        <v>73</v>
      </c>
      <c r="I1" s="1" t="s">
        <v>85</v>
      </c>
    </row>
    <row r="2" spans="1:9">
      <c r="A2" s="1">
        <f>YEAR(Summary!O1)</f>
        <v>2019</v>
      </c>
      <c r="B2" s="1">
        <f>Summary!H26</f>
        <v>54</v>
      </c>
      <c r="C2" s="1">
        <v>0</v>
      </c>
      <c r="D2" s="1">
        <f>IF(Summary!$G$26="M",VLOOKUP(B:B,'male g'!A:V,IF(A2&gt;2033,22,MATCH(A2,'male g'!$A$1:$V$1,0)),FALSE),VLOOKUP(B:B,'female g'!A:V,IF(A2&gt;2033,22,MATCH(A2,'female g'!$A$1:$V$1,0)),FALSE))</f>
        <v>5.2433238170473172E-3</v>
      </c>
      <c r="E2" s="1">
        <f>1-D2</f>
        <v>0.99475667618295271</v>
      </c>
      <c r="F2" s="1">
        <v>1</v>
      </c>
      <c r="G2" s="1">
        <f>1/(1+Summary!$O$2)^$C2</f>
        <v>1</v>
      </c>
      <c r="H2" s="1">
        <f>IF(B2&gt;64, Summary!$J$26, 0)*'TV 25'!G2*'TV 25'!F2</f>
        <v>0</v>
      </c>
      <c r="I2" s="1">
        <f>SUM(H2:H68)</f>
        <v>194463.88501859127</v>
      </c>
    </row>
    <row r="3" spans="1:9">
      <c r="A3" s="1">
        <f>$A$2+C3</f>
        <v>2020</v>
      </c>
      <c r="B3" s="1">
        <f>$B$2+C3</f>
        <v>55</v>
      </c>
      <c r="C3" s="1">
        <v>1</v>
      </c>
      <c r="D3" s="1">
        <f>IF(Summary!$G$26="M",VLOOKUP(B:B,'male g'!A:V,IF(A3&gt;2033,22,MATCH(A3,'male g'!$A$1:$V$1,0)),FALSE),VLOOKUP(B:B,'female g'!A:V,IF(A3&gt;2033,22,MATCH(A3,'female g'!$A$1:$V$1,0)),FALSE))</f>
        <v>5.5823576474697493E-3</v>
      </c>
      <c r="E3" s="1">
        <f>1-D3</f>
        <v>0.99441764235253027</v>
      </c>
      <c r="F3" s="1">
        <f>E2</f>
        <v>0.99475667618295271</v>
      </c>
      <c r="G3" s="1">
        <f>1/(1+Summary!$O$2)^$C3</f>
        <v>0.95238095238095233</v>
      </c>
      <c r="H3" s="1">
        <f>IF(B3&gt;64, Summary!$J$26, 0)*'TV 25'!G3*'TV 25'!F3</f>
        <v>0</v>
      </c>
      <c r="I3" s="1"/>
    </row>
    <row r="4" spans="1:9">
      <c r="A4" s="1">
        <f t="shared" ref="A4:A34" si="0">$A$2+C4</f>
        <v>2021</v>
      </c>
      <c r="B4" s="1">
        <f t="shared" ref="B4:B67" si="1">$B$2+C4</f>
        <v>56</v>
      </c>
      <c r="C4" s="1">
        <v>2</v>
      </c>
      <c r="D4" s="1">
        <f>IF(Summary!$G$26="M",VLOOKUP(B:B,'male g'!A:V,IF(A4&gt;2033,22,MATCH(A4,'male g'!$A$1:$V$1,0)),FALSE),VLOOKUP(B:B,'female g'!A:V,IF(A4&gt;2033,22,MATCH(A4,'female g'!$A$1:$V$1,0)),FALSE))</f>
        <v>5.9372072206952033E-3</v>
      </c>
      <c r="E4" s="1">
        <f t="shared" ref="E4:E67" si="2">1-D4</f>
        <v>0.99406279277930476</v>
      </c>
      <c r="F4" s="1">
        <f t="shared" ref="F4:F67" si="3">E3</f>
        <v>0.99441764235253027</v>
      </c>
      <c r="G4" s="1">
        <f>1/(1+Summary!$O$2)^$C4</f>
        <v>0.90702947845804982</v>
      </c>
      <c r="H4" s="1">
        <f>IF(B4&gt;64, Summary!$J$26, 0)*'TV 25'!G4*'TV 25'!F4</f>
        <v>0</v>
      </c>
      <c r="I4" s="1"/>
    </row>
    <row r="5" spans="1:9">
      <c r="A5" s="1">
        <f t="shared" si="0"/>
        <v>2022</v>
      </c>
      <c r="B5" s="1">
        <f t="shared" si="1"/>
        <v>57</v>
      </c>
      <c r="C5" s="1">
        <v>3</v>
      </c>
      <c r="D5" s="1">
        <f>IF(Summary!$G$26="M",VLOOKUP(B:B,'male g'!A:V,IF(A5&gt;2033,22,MATCH(A5,'male g'!$A$1:$V$1,0)),FALSE),VLOOKUP(B:B,'female g'!A:V,IF(A5&gt;2033,22,MATCH(A5,'female g'!$A$1:$V$1,0)),FALSE))</f>
        <v>6.3091668506391006E-3</v>
      </c>
      <c r="E5" s="1">
        <f t="shared" si="2"/>
        <v>0.99369083314936091</v>
      </c>
      <c r="F5" s="1">
        <f t="shared" si="3"/>
        <v>0.99406279277930476</v>
      </c>
      <c r="G5" s="1">
        <f>1/(1+Summary!$O$2)^$C5</f>
        <v>0.86383759853147601</v>
      </c>
      <c r="H5" s="1">
        <f>IF(B5&gt;64, Summary!$J$26, 0)*'TV 25'!G5*'TV 25'!F5</f>
        <v>0</v>
      </c>
      <c r="I5" s="1"/>
    </row>
    <row r="6" spans="1:9">
      <c r="A6" s="1">
        <f t="shared" si="0"/>
        <v>2023</v>
      </c>
      <c r="B6" s="1">
        <f t="shared" si="1"/>
        <v>58</v>
      </c>
      <c r="C6" s="1">
        <v>4</v>
      </c>
      <c r="D6" s="1">
        <f>IF(Summary!$G$26="M",VLOOKUP(B:B,'male g'!A:V,IF(A6&gt;2033,22,MATCH(A6,'male g'!$A$1:$V$1,0)),FALSE),VLOOKUP(B:B,'female g'!A:V,IF(A6&gt;2033,22,MATCH(A6,'female g'!$A$1:$V$1,0)),FALSE))</f>
        <v>6.7015437369218108E-3</v>
      </c>
      <c r="E6" s="1">
        <f t="shared" si="2"/>
        <v>0.99329845626307822</v>
      </c>
      <c r="F6" s="1">
        <f t="shared" si="3"/>
        <v>0.99369083314936091</v>
      </c>
      <c r="G6" s="1">
        <f>1/(1+Summary!$O$2)^$C6</f>
        <v>0.82270247479188197</v>
      </c>
      <c r="H6" s="1">
        <f>IF(B6&gt;64, Summary!$J$26, 0)*'TV 25'!G6*'TV 25'!F6</f>
        <v>0</v>
      </c>
      <c r="I6" s="1"/>
    </row>
    <row r="7" spans="1:9">
      <c r="A7" s="1">
        <f t="shared" si="0"/>
        <v>2024</v>
      </c>
      <c r="B7" s="1">
        <f t="shared" si="1"/>
        <v>59</v>
      </c>
      <c r="C7" s="1">
        <v>5</v>
      </c>
      <c r="D7" s="1">
        <f>IF(Summary!$G$26="M",VLOOKUP(B:B,'male g'!A:V,IF(A7&gt;2033,22,MATCH(A7,'male g'!$A$1:$V$1,0)),FALSE),VLOOKUP(B:B,'female g'!A:V,IF(A7&gt;2033,22,MATCH(A7,'female g'!$A$1:$V$1,0)),FALSE))</f>
        <v>7.1182823701906942E-3</v>
      </c>
      <c r="E7" s="1">
        <f t="shared" si="2"/>
        <v>0.99288171762980926</v>
      </c>
      <c r="F7" s="1">
        <f t="shared" si="3"/>
        <v>0.99329845626307822</v>
      </c>
      <c r="G7" s="1">
        <f>1/(1+Summary!$O$2)^$C7</f>
        <v>0.78352616646845896</v>
      </c>
      <c r="H7" s="1">
        <f>IF(B7&gt;64, Summary!$J$26, 0)*'TV 25'!G7*'TV 25'!F7</f>
        <v>0</v>
      </c>
      <c r="I7" s="1"/>
    </row>
    <row r="8" spans="1:9">
      <c r="A8" s="1">
        <f t="shared" si="0"/>
        <v>2025</v>
      </c>
      <c r="B8" s="1">
        <f t="shared" si="1"/>
        <v>60</v>
      </c>
      <c r="C8" s="1">
        <v>6</v>
      </c>
      <c r="D8" s="1">
        <f>IF(Summary!$G$26="M",VLOOKUP(B:B,'male g'!A:V,IF(A8&gt;2033,22,MATCH(A8,'male g'!$A$1:$V$1,0)),FALSE),VLOOKUP(B:B,'female g'!A:V,IF(A8&gt;2033,22,MATCH(A8,'female g'!$A$1:$V$1,0)),FALSE))</f>
        <v>7.5666801144468679E-3</v>
      </c>
      <c r="E8" s="1">
        <f t="shared" si="2"/>
        <v>0.99243331988555317</v>
      </c>
      <c r="F8" s="1">
        <f t="shared" si="3"/>
        <v>0.99288171762980926</v>
      </c>
      <c r="G8" s="1">
        <f>1/(1+Summary!$O$2)^$C8</f>
        <v>0.74621539663662761</v>
      </c>
      <c r="H8" s="1">
        <f>IF(B8&gt;64, Summary!$J$26, 0)*'TV 25'!G8*'TV 25'!F8</f>
        <v>0</v>
      </c>
      <c r="I8" s="1"/>
    </row>
    <row r="9" spans="1:9">
      <c r="A9" s="1">
        <f t="shared" si="0"/>
        <v>2026</v>
      </c>
      <c r="B9" s="1">
        <f t="shared" si="1"/>
        <v>61</v>
      </c>
      <c r="C9" s="1">
        <v>7</v>
      </c>
      <c r="D9" s="1">
        <f>IF(Summary!$G$26="M",VLOOKUP(B:B,'male g'!A:V,IF(A9&gt;2033,22,MATCH(A9,'male g'!$A$1:$V$1,0)),FALSE),VLOOKUP(B:B,'female g'!A:V,IF(A9&gt;2033,22,MATCH(A9,'female g'!$A$1:$V$1,0)),FALSE))</f>
        <v>8.0504950674902039E-3</v>
      </c>
      <c r="E9" s="1">
        <f t="shared" si="2"/>
        <v>0.99194950493250977</v>
      </c>
      <c r="F9" s="1">
        <f t="shared" si="3"/>
        <v>0.99243331988555317</v>
      </c>
      <c r="G9" s="1">
        <f>1/(1+Summary!$O$2)^$C9</f>
        <v>0.71068133013012147</v>
      </c>
      <c r="H9" s="1">
        <f>IF(B9&gt;64, Summary!$J$26, 0)*'TV 25'!G9*'TV 25'!F9</f>
        <v>0</v>
      </c>
      <c r="I9" s="1"/>
    </row>
    <row r="10" spans="1:9">
      <c r="A10" s="1">
        <f t="shared" si="0"/>
        <v>2027</v>
      </c>
      <c r="B10" s="1">
        <f t="shared" si="1"/>
        <v>62</v>
      </c>
      <c r="C10" s="1">
        <v>8</v>
      </c>
      <c r="D10" s="1">
        <f>IF(Summary!$G$26="M",VLOOKUP(B:B,'male g'!A:V,IF(A10&gt;2033,22,MATCH(A10,'male g'!$A$1:$V$1,0)),FALSE),VLOOKUP(B:B,'female g'!A:V,IF(A10&gt;2033,22,MATCH(A10,'female g'!$A$1:$V$1,0)),FALSE))</f>
        <v>8.5697475908665856E-3</v>
      </c>
      <c r="E10" s="1">
        <f t="shared" si="2"/>
        <v>0.99143025240913341</v>
      </c>
      <c r="F10" s="1">
        <f t="shared" si="3"/>
        <v>0.99194950493250977</v>
      </c>
      <c r="G10" s="1">
        <f>1/(1+Summary!$O$2)^$C10</f>
        <v>0.67683936202868722</v>
      </c>
      <c r="H10" s="1">
        <f>IF(B10&gt;64, Summary!$J$26, 0)*'TV 25'!G10*'TV 25'!F10</f>
        <v>0</v>
      </c>
      <c r="I10" s="1"/>
    </row>
    <row r="11" spans="1:9">
      <c r="A11" s="1">
        <f t="shared" si="0"/>
        <v>2028</v>
      </c>
      <c r="B11" s="1">
        <f t="shared" si="1"/>
        <v>63</v>
      </c>
      <c r="C11" s="1">
        <v>9</v>
      </c>
      <c r="D11" s="1">
        <f>IF(Summary!$G$26="M",VLOOKUP(B:B,'male g'!A:V,IF(A11&gt;2033,22,MATCH(A11,'male g'!$A$1:$V$1,0)),FALSE),VLOOKUP(B:B,'female g'!A:V,IF(A11&gt;2033,22,MATCH(A11,'female g'!$A$1:$V$1,0)),FALSE))</f>
        <v>9.1293506356685278E-3</v>
      </c>
      <c r="E11" s="1">
        <f t="shared" si="2"/>
        <v>0.99087064936433145</v>
      </c>
      <c r="F11" s="1">
        <f t="shared" si="3"/>
        <v>0.99143025240913341</v>
      </c>
      <c r="G11" s="1">
        <f>1/(1+Summary!$O$2)^$C11</f>
        <v>0.64460891621779726</v>
      </c>
      <c r="H11" s="1">
        <f>IF(B11&gt;64, Summary!$J$26, 0)*'TV 25'!G11*'TV 25'!F11</f>
        <v>0</v>
      </c>
      <c r="I11" s="1"/>
    </row>
    <row r="12" spans="1:9">
      <c r="A12" s="1">
        <f t="shared" si="0"/>
        <v>2029</v>
      </c>
      <c r="B12" s="1">
        <f t="shared" si="1"/>
        <v>64</v>
      </c>
      <c r="C12" s="1">
        <v>10</v>
      </c>
      <c r="D12" s="1">
        <f>IF(Summary!$G$26="M",VLOOKUP(B:B,'male g'!A:V,IF(A12&gt;2033,22,MATCH(A12,'male g'!$A$1:$V$1,0)),FALSE),VLOOKUP(B:B,'female g'!A:V,IF(A12&gt;2033,22,MATCH(A12,'female g'!$A$1:$V$1,0)),FALSE))</f>
        <v>9.7357321059500321E-3</v>
      </c>
      <c r="E12" s="1">
        <f t="shared" si="2"/>
        <v>0.99026426789404998</v>
      </c>
      <c r="F12" s="1">
        <f t="shared" si="3"/>
        <v>0.99087064936433145</v>
      </c>
      <c r="G12" s="1">
        <f>1/(1+Summary!$O$2)^$C12</f>
        <v>0.61391325354075932</v>
      </c>
      <c r="H12" s="1">
        <f>IF(B12&gt;64, Summary!$J$26, 0)*'TV 25'!G12*'TV 25'!F12</f>
        <v>0</v>
      </c>
      <c r="I12" s="1"/>
    </row>
    <row r="13" spans="1:9">
      <c r="A13" s="1">
        <f t="shared" si="0"/>
        <v>2030</v>
      </c>
      <c r="B13" s="1">
        <f t="shared" si="1"/>
        <v>65</v>
      </c>
      <c r="C13" s="1">
        <v>11</v>
      </c>
      <c r="D13" s="1">
        <f>IF(Summary!$G$26="M",VLOOKUP(B:B,'male g'!A:V,IF(A13&gt;2033,22,MATCH(A13,'male g'!$A$1:$V$1,0)),FALSE),VLOOKUP(B:B,'female g'!A:V,IF(A13&gt;2033,22,MATCH(A13,'female g'!$A$1:$V$1,0)),FALSE))</f>
        <v>1.0390651635583144E-2</v>
      </c>
      <c r="E13" s="1">
        <f t="shared" si="2"/>
        <v>0.98960934836441683</v>
      </c>
      <c r="F13" s="1">
        <f t="shared" si="3"/>
        <v>0.99026426789404998</v>
      </c>
      <c r="G13" s="1">
        <f>1/(1+Summary!$O$2)^$C13</f>
        <v>0.5846792890864374</v>
      </c>
      <c r="H13" s="1">
        <f>IF(B13&gt;64, Summary!$J$26, 0)*'TV 25'!G13*'TV 25'!F13</f>
        <v>10776.073999558525</v>
      </c>
      <c r="I13" s="1"/>
    </row>
    <row r="14" spans="1:9">
      <c r="A14" s="1">
        <f t="shared" si="0"/>
        <v>2031</v>
      </c>
      <c r="B14" s="1">
        <f t="shared" si="1"/>
        <v>66</v>
      </c>
      <c r="C14" s="1">
        <v>12</v>
      </c>
      <c r="D14" s="1">
        <f>IF(Summary!$G$26="M",VLOOKUP(B:B,'male g'!A:V,IF(A14&gt;2033,22,MATCH(A14,'male g'!$A$1:$V$1,0)),FALSE),VLOOKUP(B:B,'female g'!A:V,IF(A14&gt;2033,22,MATCH(A14,'female g'!$A$1:$V$1,0)),FALSE))</f>
        <v>1.1100690043574222E-2</v>
      </c>
      <c r="E14" s="1">
        <f t="shared" si="2"/>
        <v>0.98889930995642583</v>
      </c>
      <c r="F14" s="1">
        <f t="shared" si="3"/>
        <v>0.98960934836441683</v>
      </c>
      <c r="G14" s="1">
        <f>1/(1+Summary!$O$2)^$C14</f>
        <v>0.5568374181775595</v>
      </c>
      <c r="H14" s="1">
        <f>IF(B14&gt;64, Summary!$J$26, 0)*'TV 25'!G14*'TV 25'!F14</f>
        <v>10256.140145882197</v>
      </c>
      <c r="I14" s="1"/>
    </row>
    <row r="15" spans="1:9">
      <c r="A15" s="1">
        <f t="shared" si="0"/>
        <v>2032</v>
      </c>
      <c r="B15" s="1">
        <f t="shared" si="1"/>
        <v>67</v>
      </c>
      <c r="C15" s="1">
        <v>13</v>
      </c>
      <c r="D15" s="1">
        <f>IF(Summary!$G$26="M",VLOOKUP(B:B,'male g'!A:V,IF(A15&gt;2033,22,MATCH(A15,'male g'!$A$1:$V$1,0)),FALSE),VLOOKUP(B:B,'female g'!A:V,IF(A15&gt;2033,22,MATCH(A15,'female g'!$A$1:$V$1,0)),FALSE))</f>
        <v>1.1869382673685447E-2</v>
      </c>
      <c r="E15" s="1">
        <f t="shared" si="2"/>
        <v>0.98813061732631458</v>
      </c>
      <c r="F15" s="1">
        <f t="shared" si="3"/>
        <v>0.98889930995642583</v>
      </c>
      <c r="G15" s="1">
        <f>1/(1+Summary!$O$2)^$C15</f>
        <v>0.53032135064529462</v>
      </c>
      <c r="H15" s="1">
        <f>IF(B15&gt;64, Summary!$J$26, 0)*'TV 25'!G15*'TV 25'!F15</f>
        <v>9760.7442196324209</v>
      </c>
      <c r="I15" s="1"/>
    </row>
    <row r="16" spans="1:9">
      <c r="A16" s="1">
        <f t="shared" si="0"/>
        <v>2033</v>
      </c>
      <c r="B16" s="1">
        <f t="shared" si="1"/>
        <v>68</v>
      </c>
      <c r="C16" s="1">
        <v>14</v>
      </c>
      <c r="D16" s="1">
        <f>IF(Summary!$G$26="M",VLOOKUP(B:B,'male g'!A:V,IF(A16&gt;2033,22,MATCH(A16,'male g'!$A$1:$V$1,0)),FALSE),VLOOKUP(B:B,'female g'!A:V,IF(A16&gt;2033,22,MATCH(A16,'female g'!$A$1:$V$1,0)),FALSE))</f>
        <v>1.270777815055386E-2</v>
      </c>
      <c r="E16" s="1">
        <f t="shared" si="2"/>
        <v>0.98729222184944609</v>
      </c>
      <c r="F16" s="1">
        <f t="shared" si="3"/>
        <v>0.98813061732631458</v>
      </c>
      <c r="G16" s="1">
        <f>1/(1+Summary!$O$2)^$C16</f>
        <v>0.50506795299551888</v>
      </c>
      <c r="H16" s="1">
        <f>IF(B16&gt;64, Summary!$J$26, 0)*'TV 25'!G16*'TV 25'!F16</f>
        <v>9288.720937080594</v>
      </c>
      <c r="I16" s="1"/>
    </row>
    <row r="17" spans="1:9">
      <c r="A17" s="1">
        <f t="shared" si="0"/>
        <v>2034</v>
      </c>
      <c r="B17" s="1">
        <f t="shared" si="1"/>
        <v>69</v>
      </c>
      <c r="C17" s="1">
        <v>15</v>
      </c>
      <c r="D17" s="1">
        <f>IF(Summary!$G$26="M",VLOOKUP(B:B,'male g'!A:V,IF(A17&gt;2033,22,MATCH(A17,'male g'!$A$1:$V$1,0)),FALSE),VLOOKUP(B:B,'female g'!A:V,IF(A17&gt;2033,22,MATCH(A17,'female g'!$A$1:$V$1,0)),FALSE))</f>
        <v>1.3626686177724836E-2</v>
      </c>
      <c r="E17" s="1">
        <f t="shared" si="2"/>
        <v>0.98637331382227511</v>
      </c>
      <c r="F17" s="1">
        <f t="shared" si="3"/>
        <v>0.98729222184944609</v>
      </c>
      <c r="G17" s="1">
        <f>1/(1+Summary!$O$2)^$C17</f>
        <v>0.48101709809097021</v>
      </c>
      <c r="H17" s="1">
        <f>IF(B17&gt;64, Summary!$J$26, 0)*'TV 25'!G17*'TV 25'!F17</f>
        <v>8838.8950198890871</v>
      </c>
      <c r="I17" s="1"/>
    </row>
    <row r="18" spans="1:9">
      <c r="A18" s="1">
        <f t="shared" si="0"/>
        <v>2035</v>
      </c>
      <c r="B18" s="1">
        <f t="shared" si="1"/>
        <v>70</v>
      </c>
      <c r="C18" s="1">
        <v>16</v>
      </c>
      <c r="D18" s="1">
        <f>IF(Summary!$G$26="M",VLOOKUP(B:B,'male g'!A:V,IF(A18&gt;2033,22,MATCH(A18,'male g'!$A$1:$V$1,0)),FALSE),VLOOKUP(B:B,'female g'!A:V,IF(A18&gt;2033,22,MATCH(A18,'female g'!$A$1:$V$1,0)),FALSE))</f>
        <v>1.4793079982031035E-2</v>
      </c>
      <c r="E18" s="1">
        <f t="shared" si="2"/>
        <v>0.98520692001796895</v>
      </c>
      <c r="F18" s="1">
        <f t="shared" si="3"/>
        <v>0.98637331382227511</v>
      </c>
      <c r="G18" s="1">
        <f>1/(1+Summary!$O$2)^$C18</f>
        <v>0.45811152199140021</v>
      </c>
      <c r="H18" s="1">
        <f>IF(B18&gt;64, Summary!$J$26, 0)*'TV 25'!G18*'TV 25'!F18</f>
        <v>8410.1603290967541</v>
      </c>
      <c r="I18" s="1"/>
    </row>
    <row r="19" spans="1:9">
      <c r="A19" s="1">
        <f t="shared" si="0"/>
        <v>2036</v>
      </c>
      <c r="B19" s="1">
        <f t="shared" si="1"/>
        <v>71</v>
      </c>
      <c r="C19" s="1">
        <v>17</v>
      </c>
      <c r="D19" s="1">
        <f>IF(Summary!$G$26="M",VLOOKUP(B:B,'male g'!A:V,IF(A19&gt;2033,22,MATCH(A19,'male g'!$A$1:$V$1,0)),FALSE),VLOOKUP(B:B,'female g'!A:V,IF(A19&gt;2033,22,MATCH(A19,'female g'!$A$1:$V$1,0)),FALSE))</f>
        <v>1.6081052063459764E-2</v>
      </c>
      <c r="E19" s="1">
        <f t="shared" si="2"/>
        <v>0.98391894793654022</v>
      </c>
      <c r="F19" s="1">
        <f t="shared" si="3"/>
        <v>0.98520692001796895</v>
      </c>
      <c r="G19" s="1">
        <f>1/(1+Summary!$O$2)^$C19</f>
        <v>0.43629668761085727</v>
      </c>
      <c r="H19" s="1">
        <f>IF(B19&gt;64, Summary!$J$26, 0)*'TV 25'!G19*'TV 25'!F19</f>
        <v>8000.2050016644025</v>
      </c>
      <c r="I19" s="1"/>
    </row>
    <row r="20" spans="1:9">
      <c r="A20" s="1">
        <f t="shared" si="0"/>
        <v>2037</v>
      </c>
      <c r="B20" s="1">
        <f t="shared" si="1"/>
        <v>72</v>
      </c>
      <c r="C20" s="1">
        <v>18</v>
      </c>
      <c r="D20" s="1">
        <f>IF(Summary!$G$26="M",VLOOKUP(B:B,'male g'!A:V,IF(A20&gt;2033,22,MATCH(A20,'male g'!$A$1:$V$1,0)),FALSE),VLOOKUP(B:B,'female g'!A:V,IF(A20&gt;2033,22,MATCH(A20,'female g'!$A$1:$V$1,0)),FALSE))</f>
        <v>1.7512751333317752E-2</v>
      </c>
      <c r="E20" s="1">
        <f t="shared" si="2"/>
        <v>0.98248724866668224</v>
      </c>
      <c r="F20" s="1">
        <f t="shared" si="3"/>
        <v>0.98391894793654022</v>
      </c>
      <c r="G20" s="1">
        <f>1/(1+Summary!$O$2)^$C20</f>
        <v>0.41552065486748313</v>
      </c>
      <c r="H20" s="1">
        <f>IF(B20&gt;64, Summary!$J$26, 0)*'TV 25'!G20*'TV 25'!F20</f>
        <v>7609.2821368895002</v>
      </c>
      <c r="I20" s="1"/>
    </row>
    <row r="21" spans="1:9">
      <c r="A21" s="1">
        <f t="shared" si="0"/>
        <v>2038</v>
      </c>
      <c r="B21" s="1">
        <f t="shared" si="1"/>
        <v>73</v>
      </c>
      <c r="C21" s="1">
        <v>19</v>
      </c>
      <c r="D21" s="1">
        <f>IF(Summary!$G$26="M",VLOOKUP(B:B,'male g'!A:V,IF(A21&gt;2033,22,MATCH(A21,'male g'!$A$1:$V$1,0)),FALSE),VLOOKUP(B:B,'female g'!A:V,IF(A21&gt;2033,22,MATCH(A21,'female g'!$A$1:$V$1,0)),FALSE))</f>
        <v>1.9108502444741413E-2</v>
      </c>
      <c r="E21" s="1">
        <f t="shared" si="2"/>
        <v>0.98089149755525862</v>
      </c>
      <c r="F21" s="1">
        <f t="shared" si="3"/>
        <v>0.98248724866668224</v>
      </c>
      <c r="G21" s="1">
        <f>1/(1+Summary!$O$2)^$C21</f>
        <v>0.39573395701665059</v>
      </c>
      <c r="H21" s="1">
        <f>IF(B21&gt;64, Summary!$J$26, 0)*'TV 25'!G21*'TV 25'!F21</f>
        <v>7236.3903615857962</v>
      </c>
      <c r="I21" s="1"/>
    </row>
    <row r="22" spans="1:9">
      <c r="A22" s="1">
        <f t="shared" si="0"/>
        <v>2039</v>
      </c>
      <c r="B22" s="1">
        <f t="shared" si="1"/>
        <v>74</v>
      </c>
      <c r="C22" s="1">
        <v>20</v>
      </c>
      <c r="D22" s="1">
        <f>IF(Summary!$G$26="M",VLOOKUP(B:B,'male g'!A:V,IF(A22&gt;2033,22,MATCH(A22,'male g'!$A$1:$V$1,0)),FALSE),VLOOKUP(B:B,'female g'!A:V,IF(A22&gt;2033,22,MATCH(A22,'female g'!$A$1:$V$1,0)),FALSE))</f>
        <v>2.0891078905760852E-2</v>
      </c>
      <c r="E22" s="1">
        <f t="shared" si="2"/>
        <v>0.97910892109423919</v>
      </c>
      <c r="F22" s="1">
        <f t="shared" si="3"/>
        <v>0.98089149755525862</v>
      </c>
      <c r="G22" s="1">
        <f>1/(1+Summary!$O$2)^$C22</f>
        <v>0.37688948287300061</v>
      </c>
      <c r="H22" s="1">
        <f>IF(B22&gt;64, Summary!$J$26, 0)*'TV 25'!G22*'TV 25'!F22</f>
        <v>6880.6067150616427</v>
      </c>
      <c r="I22" s="1"/>
    </row>
    <row r="23" spans="1:9">
      <c r="A23" s="1">
        <f t="shared" si="0"/>
        <v>2040</v>
      </c>
      <c r="B23" s="1">
        <f t="shared" si="1"/>
        <v>75</v>
      </c>
      <c r="C23" s="1">
        <v>21</v>
      </c>
      <c r="D23" s="1">
        <f>IF(Summary!$G$26="M",VLOOKUP(B:B,'male g'!A:V,IF(A23&gt;2033,22,MATCH(A23,'male g'!$A$1:$V$1,0)),FALSE),VLOOKUP(B:B,'female g'!A:V,IF(A23&gt;2033,22,MATCH(A23,'female g'!$A$1:$V$1,0)),FALSE))</f>
        <v>2.289528896934603E-2</v>
      </c>
      <c r="E23" s="1">
        <f t="shared" si="2"/>
        <v>0.97710471103065399</v>
      </c>
      <c r="F23" s="1">
        <f t="shared" si="3"/>
        <v>0.97910892109423919</v>
      </c>
      <c r="G23" s="1">
        <f>1/(1+Summary!$O$2)^$C23</f>
        <v>0.35894236464095297</v>
      </c>
      <c r="H23" s="1">
        <f>IF(B23&gt;64, Summary!$J$26, 0)*'TV 25'!G23*'TV 25'!F23</f>
        <v>6541.0500686156829</v>
      </c>
      <c r="I23" s="1"/>
    </row>
    <row r="24" spans="1:9">
      <c r="A24" s="1">
        <f t="shared" si="0"/>
        <v>2041</v>
      </c>
      <c r="B24" s="1">
        <f t="shared" si="1"/>
        <v>76</v>
      </c>
      <c r="C24" s="1">
        <v>22</v>
      </c>
      <c r="D24" s="1">
        <f>IF(Summary!$G$26="M",VLOOKUP(B:B,'male g'!A:V,IF(A24&gt;2033,22,MATCH(A24,'male g'!$A$1:$V$1,0)),FALSE),VLOOKUP(B:B,'female g'!A:V,IF(A24&gt;2033,22,MATCH(A24,'female g'!$A$1:$V$1,0)),FALSE))</f>
        <v>2.513765115831567E-2</v>
      </c>
      <c r="E24" s="1">
        <f t="shared" si="2"/>
        <v>0.97486234884168432</v>
      </c>
      <c r="F24" s="1">
        <f t="shared" si="3"/>
        <v>0.97710471103065399</v>
      </c>
      <c r="G24" s="1">
        <f>1/(1+Summary!$O$2)^$C24</f>
        <v>0.3418498710866219</v>
      </c>
      <c r="H24" s="1">
        <f>IF(B24&gt;64, Summary!$J$26, 0)*'TV 25'!G24*'TV 25'!F24</f>
        <v>6216.8197258467608</v>
      </c>
      <c r="I24" s="1"/>
    </row>
    <row r="25" spans="1:9">
      <c r="A25" s="1">
        <f t="shared" si="0"/>
        <v>2042</v>
      </c>
      <c r="B25" s="1">
        <f t="shared" si="1"/>
        <v>77</v>
      </c>
      <c r="C25" s="1">
        <v>23</v>
      </c>
      <c r="D25" s="1">
        <f>IF(Summary!$G$26="M",VLOOKUP(B:B,'male g'!A:V,IF(A25&gt;2033,22,MATCH(A25,'male g'!$A$1:$V$1,0)),FALSE),VLOOKUP(B:B,'female g'!A:V,IF(A25&gt;2033,22,MATCH(A25,'female g'!$A$1:$V$1,0)),FALSE))</f>
        <v>2.7677948896305107E-2</v>
      </c>
      <c r="E25" s="1">
        <f t="shared" si="2"/>
        <v>0.97232205110369485</v>
      </c>
      <c r="F25" s="1">
        <f t="shared" si="3"/>
        <v>0.97486234884168432</v>
      </c>
      <c r="G25" s="1">
        <f>1/(1+Summary!$O$2)^$C25</f>
        <v>0.32557130579678267</v>
      </c>
      <c r="H25" s="1">
        <f>IF(B25&gt;64, Summary!$J$26, 0)*'TV 25'!G25*'TV 25'!F25</f>
        <v>5907.1930638754175</v>
      </c>
      <c r="I25" s="1"/>
    </row>
    <row r="26" spans="1:9">
      <c r="A26" s="1">
        <f t="shared" si="0"/>
        <v>2043</v>
      </c>
      <c r="B26" s="1">
        <f t="shared" si="1"/>
        <v>78</v>
      </c>
      <c r="C26" s="1">
        <v>24</v>
      </c>
      <c r="D26" s="1">
        <f>IF(Summary!$G$26="M",VLOOKUP(B:B,'male g'!A:V,IF(A26&gt;2033,22,MATCH(A26,'male g'!$A$1:$V$1,0)),FALSE),VLOOKUP(B:B,'female g'!A:V,IF(A26&gt;2033,22,MATCH(A26,'female g'!$A$1:$V$1,0)),FALSE))</f>
        <v>3.0545666614171758E-2</v>
      </c>
      <c r="E26" s="1">
        <f t="shared" si="2"/>
        <v>0.9694543333858282</v>
      </c>
      <c r="F26" s="1">
        <f t="shared" si="3"/>
        <v>0.97232205110369485</v>
      </c>
      <c r="G26" s="1">
        <f>1/(1+Summary!$O$2)^$C26</f>
        <v>0.31006791028265024</v>
      </c>
      <c r="H26" s="1">
        <f>IF(B26&gt;64, Summary!$J$26, 0)*'TV 25'!G26*'TV 25'!F26</f>
        <v>5611.2381824078448</v>
      </c>
      <c r="I26" s="1"/>
    </row>
    <row r="27" spans="1:9">
      <c r="A27" s="1">
        <f t="shared" si="0"/>
        <v>2044</v>
      </c>
      <c r="B27" s="1">
        <f t="shared" si="1"/>
        <v>79</v>
      </c>
      <c r="C27" s="1">
        <v>25</v>
      </c>
      <c r="D27" s="1">
        <f>IF(Summary!$G$26="M",VLOOKUP(B:B,'male g'!A:V,IF(A27&gt;2033,22,MATCH(A27,'male g'!$A$1:$V$1,0)),FALSE),VLOOKUP(B:B,'female g'!A:V,IF(A27&gt;2033,22,MATCH(A27,'female g'!$A$1:$V$1,0)),FALSE))</f>
        <v>3.3801426006075351E-2</v>
      </c>
      <c r="E27" s="1">
        <f t="shared" si="2"/>
        <v>0.96619857399392461</v>
      </c>
      <c r="F27" s="1">
        <f t="shared" si="3"/>
        <v>0.9694543333858282</v>
      </c>
      <c r="G27" s="1">
        <f>1/(1+Summary!$O$2)^$C27</f>
        <v>0.29530277169776209</v>
      </c>
      <c r="H27" s="1">
        <f>IF(B27&gt;64, Summary!$J$26, 0)*'TV 25'!G27*'TV 25'!F27</f>
        <v>5328.2749323255148</v>
      </c>
      <c r="I27" s="1"/>
    </row>
    <row r="28" spans="1:9">
      <c r="A28" s="1">
        <f t="shared" si="0"/>
        <v>2045</v>
      </c>
      <c r="B28" s="1">
        <f t="shared" si="1"/>
        <v>80</v>
      </c>
      <c r="C28" s="1">
        <v>26</v>
      </c>
      <c r="D28" s="1">
        <f>IF(Summary!$G$26="M",VLOOKUP(B:B,'male g'!A:V,IF(A28&gt;2033,22,MATCH(A28,'male g'!$A$1:$V$1,0)),FALSE),VLOOKUP(B:B,'female g'!A:V,IF(A28&gt;2033,22,MATCH(A28,'female g'!$A$1:$V$1,0)),FALSE))</f>
        <v>3.7482908060753731E-2</v>
      </c>
      <c r="E28" s="1">
        <f t="shared" si="2"/>
        <v>0.96251709193924628</v>
      </c>
      <c r="F28" s="1">
        <f t="shared" si="3"/>
        <v>0.96619857399392461</v>
      </c>
      <c r="G28" s="1">
        <f>1/(1+Summary!$O$2)^$C28</f>
        <v>0.28124073495024959</v>
      </c>
      <c r="H28" s="1">
        <f>IF(B28&gt;64, Summary!$J$26, 0)*'TV 25'!G28*'TV 25'!F28</f>
        <v>5057.5054874332291</v>
      </c>
      <c r="I28" s="1"/>
    </row>
    <row r="29" spans="1:9">
      <c r="A29" s="1">
        <f t="shared" si="0"/>
        <v>2046</v>
      </c>
      <c r="B29" s="1">
        <f t="shared" si="1"/>
        <v>81</v>
      </c>
      <c r="C29" s="1">
        <v>27</v>
      </c>
      <c r="D29" s="1">
        <f>IF(Summary!$G$26="M",VLOOKUP(B:B,'male g'!A:V,IF(A29&gt;2033,22,MATCH(A29,'male g'!$A$1:$V$1,0)),FALSE),VLOOKUP(B:B,'female g'!A:V,IF(A29&gt;2033,22,MATCH(A29,'female g'!$A$1:$V$1,0)),FALSE))</f>
        <v>4.1692652240478641E-2</v>
      </c>
      <c r="E29" s="1">
        <f t="shared" si="2"/>
        <v>0.95830734775952131</v>
      </c>
      <c r="F29" s="1">
        <f t="shared" si="3"/>
        <v>0.96251709193924628</v>
      </c>
      <c r="G29" s="1">
        <f>1/(1+Summary!$O$2)^$C29</f>
        <v>0.2678483190002377</v>
      </c>
      <c r="H29" s="1">
        <f>IF(B29&gt;64, Summary!$J$26, 0)*'TV 25'!G29*'TV 25'!F29</f>
        <v>4798.3190493782549</v>
      </c>
      <c r="I29" s="1"/>
    </row>
    <row r="30" spans="1:9">
      <c r="A30" s="1">
        <f t="shared" si="0"/>
        <v>2047</v>
      </c>
      <c r="B30" s="1">
        <f t="shared" si="1"/>
        <v>82</v>
      </c>
      <c r="C30" s="1">
        <v>28</v>
      </c>
      <c r="D30" s="1">
        <f>IF(Summary!$G$26="M",VLOOKUP(B:B,'male g'!A:V,IF(A30&gt;2033,22,MATCH(A30,'male g'!$A$1:$V$1,0)),FALSE),VLOOKUP(B:B,'female g'!A:V,IF(A30&gt;2033,22,MATCH(A30,'female g'!$A$1:$V$1,0)),FALSE))</f>
        <v>4.6458269197024199E-2</v>
      </c>
      <c r="E30" s="1">
        <f t="shared" si="2"/>
        <v>0.95354173080297577</v>
      </c>
      <c r="F30" s="1">
        <f t="shared" si="3"/>
        <v>0.95830734775952131</v>
      </c>
      <c r="G30" s="1">
        <f>1/(1+Summary!$O$2)^$C30</f>
        <v>0.25509363714308358</v>
      </c>
      <c r="H30" s="1">
        <f>IF(B30&gt;64, Summary!$J$26, 0)*'TV 25'!G30*'TV 25'!F30</f>
        <v>4549.8406906943383</v>
      </c>
      <c r="I30" s="1"/>
    </row>
    <row r="31" spans="1:9">
      <c r="A31" s="1">
        <f t="shared" si="0"/>
        <v>2048</v>
      </c>
      <c r="B31" s="1">
        <f t="shared" si="1"/>
        <v>83</v>
      </c>
      <c r="C31" s="1">
        <v>29</v>
      </c>
      <c r="D31" s="1">
        <f>IF(Summary!$G$26="M",VLOOKUP(B:B,'male g'!A:V,IF(A31&gt;2033,22,MATCH(A31,'male g'!$A$1:$V$1,0)),FALSE),VLOOKUP(B:B,'female g'!A:V,IF(A31&gt;2033,22,MATCH(A31,'female g'!$A$1:$V$1,0)),FALSE))</f>
        <v>5.1882087565112409E-2</v>
      </c>
      <c r="E31" s="1">
        <f t="shared" si="2"/>
        <v>0.94811791243488763</v>
      </c>
      <c r="F31" s="1">
        <f t="shared" si="3"/>
        <v>0.95354173080297577</v>
      </c>
      <c r="G31" s="1">
        <f>1/(1+Summary!$O$2)^$C31</f>
        <v>0.24294632108865097</v>
      </c>
      <c r="H31" s="1">
        <f>IF(B31&gt;64, Summary!$J$26, 0)*'TV 25'!G31*'TV 25'!F31</f>
        <v>4311.6329037021687</v>
      </c>
      <c r="I31" s="1"/>
    </row>
    <row r="32" spans="1:9">
      <c r="A32" s="1">
        <f t="shared" si="0"/>
        <v>2049</v>
      </c>
      <c r="B32" s="1">
        <f t="shared" si="1"/>
        <v>84</v>
      </c>
      <c r="C32" s="1">
        <v>30</v>
      </c>
      <c r="D32" s="1">
        <f>IF(Summary!$G$26="M",VLOOKUP(B:B,'male g'!A:V,IF(A32&gt;2033,22,MATCH(A32,'male g'!$A$1:$V$1,0)),FALSE),VLOOKUP(B:B,'female g'!A:V,IF(A32&gt;2033,22,MATCH(A32,'female g'!$A$1:$V$1,0)),FALSE))</f>
        <v>5.8015339398571217E-2</v>
      </c>
      <c r="E32" s="1">
        <f t="shared" si="2"/>
        <v>0.94198466060142882</v>
      </c>
      <c r="F32" s="1">
        <f t="shared" si="3"/>
        <v>0.94811791243488763</v>
      </c>
      <c r="G32" s="1">
        <f>1/(1+Summary!$O$2)^$C32</f>
        <v>0.23137744865585813</v>
      </c>
      <c r="H32" s="1">
        <f>IF(B32&gt;64, Summary!$J$26, 0)*'TV 25'!G32*'TV 25'!F32</f>
        <v>4082.9600053778368</v>
      </c>
      <c r="I32" s="1"/>
    </row>
    <row r="33" spans="1:9">
      <c r="A33" s="1">
        <f t="shared" si="0"/>
        <v>2050</v>
      </c>
      <c r="B33" s="1">
        <f t="shared" si="1"/>
        <v>85</v>
      </c>
      <c r="C33" s="1">
        <v>31</v>
      </c>
      <c r="D33" s="1">
        <f>IF(Summary!$G$26="M",VLOOKUP(B:B,'male g'!A:V,IF(A33&gt;2033,22,MATCH(A33,'male g'!$A$1:$V$1,0)),FALSE),VLOOKUP(B:B,'female g'!A:V,IF(A33&gt;2033,22,MATCH(A33,'female g'!$A$1:$V$1,0)),FALSE))</f>
        <v>6.4965454874702594E-2</v>
      </c>
      <c r="E33" s="1">
        <f t="shared" si="2"/>
        <v>0.93503454512529738</v>
      </c>
      <c r="F33" s="1">
        <f t="shared" si="3"/>
        <v>0.94198466060142882</v>
      </c>
      <c r="G33" s="1">
        <f>1/(1+Summary!$O$2)^$C33</f>
        <v>0.220359474910341</v>
      </c>
      <c r="H33" s="1">
        <f>IF(B33&gt;64, Summary!$J$26, 0)*'TV 25'!G33*'TV 25'!F33</f>
        <v>3863.3789205132266</v>
      </c>
      <c r="I33" s="1"/>
    </row>
    <row r="34" spans="1:9">
      <c r="A34" s="1">
        <f t="shared" si="0"/>
        <v>2051</v>
      </c>
      <c r="B34" s="1">
        <f t="shared" si="1"/>
        <v>86</v>
      </c>
      <c r="C34" s="1">
        <v>32</v>
      </c>
      <c r="D34" s="1">
        <f>IF(Summary!$G$26="M",VLOOKUP(B:B,'male g'!A:V,IF(A34&gt;2033,22,MATCH(A34,'male g'!$A$1:$V$1,0)),FALSE),VLOOKUP(B:B,'female g'!A:V,IF(A34&gt;2033,22,MATCH(A34,'female g'!$A$1:$V$1,0)),FALSE))</f>
        <v>7.2903222964449149E-2</v>
      </c>
      <c r="E34" s="1">
        <f t="shared" si="2"/>
        <v>0.92709677703555082</v>
      </c>
      <c r="F34" s="1">
        <f t="shared" si="3"/>
        <v>0.93503454512529738</v>
      </c>
      <c r="G34" s="1">
        <f>1/(1+Summary!$O$2)^$C34</f>
        <v>0.20986616658127716</v>
      </c>
      <c r="H34" s="1">
        <f>IF(B34&gt;64, Summary!$J$26, 0)*'TV 25'!G34*'TV 25'!F34</f>
        <v>3652.2612235910146</v>
      </c>
      <c r="I34" s="1"/>
    </row>
    <row r="35" spans="1:9">
      <c r="A35" s="1">
        <f>$A$2+C35</f>
        <v>2052</v>
      </c>
      <c r="B35" s="1">
        <f>$B$2+C35</f>
        <v>87</v>
      </c>
      <c r="C35" s="1">
        <v>33</v>
      </c>
      <c r="D35" s="1">
        <f>IF(Summary!$G$26="M",VLOOKUP(B:B,'male g'!A:V,IF(A35&gt;2033,22,MATCH(A35,'male g'!$A$1:$V$1,0)),FALSE),VLOOKUP(B:B,'female g'!A:V,IF(A35&gt;2033,22,MATCH(A35,'female g'!$A$1:$V$1,0)),FALSE))</f>
        <v>8.1848520672112443E-2</v>
      </c>
      <c r="E35" s="1">
        <f t="shared" si="2"/>
        <v>0.91815147932788754</v>
      </c>
      <c r="F35" s="1">
        <f t="shared" si="3"/>
        <v>0.92709677703555082</v>
      </c>
      <c r="G35" s="1">
        <f>1/(1+Summary!$O$2)^$C35</f>
        <v>0.19987253960121634</v>
      </c>
      <c r="H35" s="1">
        <f>IF(B35&gt;64, Summary!$J$26, 0)*'TV 25'!G35*'TV 25'!F35</f>
        <v>3448.8153934660118</v>
      </c>
      <c r="I35" s="1"/>
    </row>
    <row r="36" spans="1:9">
      <c r="A36" s="1">
        <f t="shared" ref="A36:A47" si="4">$A$2+C36</f>
        <v>2053</v>
      </c>
      <c r="B36" s="1">
        <f t="shared" si="1"/>
        <v>88</v>
      </c>
      <c r="C36" s="1">
        <v>34</v>
      </c>
      <c r="D36" s="1">
        <f>IF(Summary!$G$26="M",VLOOKUP(B:B,'male g'!A:V,IF(A36&gt;2033,22,MATCH(A36,'male g'!$A$1:$V$1,0)),FALSE),VLOOKUP(B:B,'female g'!A:V,IF(A36&gt;2033,22,MATCH(A36,'female g'!$A$1:$V$1,0)),FALSE))</f>
        <v>9.1889133554378416E-2</v>
      </c>
      <c r="E36" s="1">
        <f t="shared" si="2"/>
        <v>0.90811086644562156</v>
      </c>
      <c r="F36" s="1">
        <f t="shared" si="3"/>
        <v>0.91815147932788754</v>
      </c>
      <c r="G36" s="1">
        <f>1/(1+Summary!$O$2)^$C36</f>
        <v>0.19035479962020604</v>
      </c>
      <c r="H36" s="1">
        <f>IF(B36&gt;64, Summary!$J$26, 0)*'TV 25'!G36*'TV 25'!F36</f>
        <v>3252.8940357792967</v>
      </c>
      <c r="I36" s="1"/>
    </row>
    <row r="37" spans="1:9">
      <c r="A37" s="1">
        <f t="shared" si="4"/>
        <v>2054</v>
      </c>
      <c r="B37" s="1">
        <f t="shared" si="1"/>
        <v>89</v>
      </c>
      <c r="C37" s="1">
        <v>35</v>
      </c>
      <c r="D37" s="1">
        <f>IF(Summary!$G$26="M",VLOOKUP(B:B,'male g'!A:V,IF(A37&gt;2033,22,MATCH(A37,'male g'!$A$1:$V$1,0)),FALSE),VLOOKUP(B:B,'female g'!A:V,IF(A37&gt;2033,22,MATCH(A37,'female g'!$A$1:$V$1,0)),FALSE))</f>
        <v>0.1031648969350115</v>
      </c>
      <c r="E37" s="1">
        <f t="shared" si="2"/>
        <v>0.89683510306498848</v>
      </c>
      <c r="F37" s="1">
        <f t="shared" si="3"/>
        <v>0.90811086644562156</v>
      </c>
      <c r="G37" s="1">
        <f>1/(1+Summary!$O$2)^$C37</f>
        <v>0.18129028535257716</v>
      </c>
      <c r="H37" s="1">
        <f>IF(B37&gt;64, Summary!$J$26, 0)*'TV 25'!G37*'TV 25'!F37</f>
        <v>3064.1156381377996</v>
      </c>
      <c r="I37" s="1"/>
    </row>
    <row r="38" spans="1:9">
      <c r="A38" s="1">
        <f t="shared" si="4"/>
        <v>2055</v>
      </c>
      <c r="B38" s="1">
        <f t="shared" si="1"/>
        <v>90</v>
      </c>
      <c r="C38" s="1">
        <v>36</v>
      </c>
      <c r="D38" s="1">
        <f>IF(Summary!$G$26="M",VLOOKUP(B:B,'male g'!A:V,IF(A38&gt;2033,22,MATCH(A38,'male g'!$A$1:$V$1,0)),FALSE),VLOOKUP(B:B,'female g'!A:V,IF(A38&gt;2033,22,MATCH(A38,'female g'!$A$1:$V$1,0)),FALSE))</f>
        <v>0.11576084940657383</v>
      </c>
      <c r="E38" s="1">
        <f t="shared" si="2"/>
        <v>0.88423915059342617</v>
      </c>
      <c r="F38" s="1">
        <f t="shared" si="3"/>
        <v>0.89683510306498848</v>
      </c>
      <c r="G38" s="1">
        <f>1/(1+Summary!$O$2)^$C38</f>
        <v>0.17265741462150208</v>
      </c>
      <c r="H38" s="1">
        <f>IF(B38&gt;64, Summary!$J$26, 0)*'TV 25'!G38*'TV 25'!F38</f>
        <v>2881.9708145361178</v>
      </c>
      <c r="I38" s="1"/>
    </row>
    <row r="39" spans="1:9">
      <c r="A39" s="1">
        <f t="shared" si="4"/>
        <v>2056</v>
      </c>
      <c r="B39" s="1">
        <f t="shared" si="1"/>
        <v>91</v>
      </c>
      <c r="C39" s="1">
        <v>37</v>
      </c>
      <c r="D39" s="1">
        <f>IF(Summary!$G$26="M",VLOOKUP(B:B,'male g'!A:V,IF(A39&gt;2033,22,MATCH(A39,'male g'!$A$1:$V$1,0)),FALSE),VLOOKUP(B:B,'female g'!A:V,IF(A39&gt;2033,22,MATCH(A39,'female g'!$A$1:$V$1,0)),FALSE))</f>
        <v>0.12933245912292859</v>
      </c>
      <c r="E39" s="1">
        <f t="shared" si="2"/>
        <v>0.87066754087707143</v>
      </c>
      <c r="F39" s="1">
        <f t="shared" si="3"/>
        <v>0.88423915059342617</v>
      </c>
      <c r="G39" s="1">
        <f>1/(1+Summary!$O$2)^$C39</f>
        <v>0.1644356329728591</v>
      </c>
      <c r="H39" s="1">
        <f>IF(B39&gt;64, Summary!$J$26, 0)*'TV 25'!G39*'TV 25'!F39</f>
        <v>2706.1846140110501</v>
      </c>
      <c r="I39" s="1"/>
    </row>
    <row r="40" spans="1:9">
      <c r="A40" s="1">
        <f t="shared" si="4"/>
        <v>2057</v>
      </c>
      <c r="B40" s="1">
        <f t="shared" si="1"/>
        <v>92</v>
      </c>
      <c r="C40" s="1">
        <v>38</v>
      </c>
      <c r="D40" s="1">
        <f>IF(Summary!$G$26="M",VLOOKUP(B:B,'male g'!A:V,IF(A40&gt;2033,22,MATCH(A40,'male g'!$A$1:$V$1,0)),FALSE),VLOOKUP(B:B,'female g'!A:V,IF(A40&gt;2033,22,MATCH(A40,'female g'!$A$1:$V$1,0)),FALSE))</f>
        <v>0.14348300858520585</v>
      </c>
      <c r="E40" s="1">
        <f t="shared" si="2"/>
        <v>0.85651699141479409</v>
      </c>
      <c r="F40" s="1">
        <f t="shared" si="3"/>
        <v>0.87066754087707143</v>
      </c>
      <c r="G40" s="1">
        <f>1/(1+Summary!$O$2)^$C40</f>
        <v>0.15660536473605632</v>
      </c>
      <c r="H40" s="1">
        <f>IF(B40&gt;64, Summary!$J$26, 0)*'TV 25'!G40*'TV 25'!F40</f>
        <v>2537.7610974082399</v>
      </c>
      <c r="I40" s="1"/>
    </row>
    <row r="41" spans="1:9">
      <c r="A41" s="1">
        <f t="shared" si="4"/>
        <v>2058</v>
      </c>
      <c r="B41" s="1">
        <f t="shared" si="1"/>
        <v>93</v>
      </c>
      <c r="C41" s="1">
        <v>39</v>
      </c>
      <c r="D41" s="1">
        <f>IF(Summary!$G$26="M",VLOOKUP(B:B,'male g'!A:V,IF(A41&gt;2033,22,MATCH(A41,'male g'!$A$1:$V$1,0)),FALSE),VLOOKUP(B:B,'female g'!A:V,IF(A41&gt;2033,22,MATCH(A41,'female g'!$A$1:$V$1,0)),FALSE))</f>
        <v>0.15808258232710681</v>
      </c>
      <c r="E41" s="1">
        <f t="shared" si="2"/>
        <v>0.84191741767289319</v>
      </c>
      <c r="F41" s="1">
        <f t="shared" si="3"/>
        <v>0.85651699141479409</v>
      </c>
      <c r="G41" s="1">
        <f>1/(1+Summary!$O$2)^$C41</f>
        <v>0.14914796641529171</v>
      </c>
      <c r="H41" s="1">
        <f>IF(B41&gt;64, Summary!$J$26, 0)*'TV 25'!G41*'TV 25'!F41</f>
        <v>2377.6343443461988</v>
      </c>
      <c r="I41" s="1"/>
    </row>
    <row r="42" spans="1:9">
      <c r="A42" s="1">
        <f t="shared" si="4"/>
        <v>2059</v>
      </c>
      <c r="B42" s="1">
        <f t="shared" si="1"/>
        <v>94</v>
      </c>
      <c r="C42" s="1">
        <v>40</v>
      </c>
      <c r="D42" s="1">
        <f>IF(Summary!$G$26="M",VLOOKUP(B:B,'male g'!A:V,IF(A42&gt;2033,22,MATCH(A42,'male g'!$A$1:$V$1,0)),FALSE),VLOOKUP(B:B,'female g'!A:V,IF(A42&gt;2033,22,MATCH(A42,'female g'!$A$1:$V$1,0)),FALSE))</f>
        <v>0.17308956870926934</v>
      </c>
      <c r="E42" s="1">
        <f t="shared" si="2"/>
        <v>0.82691043129073072</v>
      </c>
      <c r="F42" s="1">
        <f t="shared" si="3"/>
        <v>0.84191741767289319</v>
      </c>
      <c r="G42" s="1">
        <f>1/(1+Summary!$O$2)^$C42</f>
        <v>0.14204568230027784</v>
      </c>
      <c r="H42" s="1">
        <f>IF(B42&gt;64, Summary!$J$26, 0)*'TV 25'!G42*'TV 25'!F42</f>
        <v>2225.8160916349957</v>
      </c>
      <c r="I42" s="1"/>
    </row>
    <row r="43" spans="1:9">
      <c r="A43" s="1">
        <f t="shared" si="4"/>
        <v>2060</v>
      </c>
      <c r="B43" s="1">
        <f t="shared" si="1"/>
        <v>95</v>
      </c>
      <c r="C43" s="1">
        <v>41</v>
      </c>
      <c r="D43" s="1">
        <f>IF(Summary!$G$26="M",VLOOKUP(B:B,'male g'!A:V,IF(A43&gt;2033,22,MATCH(A43,'male g'!$A$1:$V$1,0)),FALSE),VLOOKUP(B:B,'female g'!A:V,IF(A43&gt;2033,22,MATCH(A43,'female g'!$A$1:$V$1,0)),FALSE))</f>
        <v>0.1884638420447376</v>
      </c>
      <c r="E43" s="1">
        <f t="shared" si="2"/>
        <v>0.81153615795526246</v>
      </c>
      <c r="F43" s="1">
        <f t="shared" si="3"/>
        <v>0.82691043129073072</v>
      </c>
      <c r="G43" s="1">
        <f>1/(1+Summary!$O$2)^$C43</f>
        <v>0.13528160219074079</v>
      </c>
      <c r="H43" s="1">
        <f>IF(B43&gt;64, Summary!$J$26, 0)*'TV 25'!G43*'TV 25'!F43</f>
        <v>2082.0394536298072</v>
      </c>
      <c r="I43" s="1"/>
    </row>
    <row r="44" spans="1:9">
      <c r="A44" s="1">
        <f t="shared" si="4"/>
        <v>2061</v>
      </c>
      <c r="B44" s="1">
        <f t="shared" si="1"/>
        <v>96</v>
      </c>
      <c r="C44" s="1">
        <v>42</v>
      </c>
      <c r="D44" s="1">
        <f>IF(Summary!$G$26="M",VLOOKUP(B:B,'male g'!A:V,IF(A44&gt;2033,22,MATCH(A44,'male g'!$A$1:$V$1,0)),FALSE),VLOOKUP(B:B,'female g'!A:V,IF(A44&gt;2033,22,MATCH(A44,'female g'!$A$1:$V$1,0)),FALSE))</f>
        <v>0.20546988897968524</v>
      </c>
      <c r="E44" s="1">
        <f t="shared" si="2"/>
        <v>0.79453011102031479</v>
      </c>
      <c r="F44" s="1">
        <f t="shared" si="3"/>
        <v>0.81153615795526246</v>
      </c>
      <c r="G44" s="1">
        <f>1/(1+Summary!$O$2)^$C44</f>
        <v>0.12883962113403885</v>
      </c>
      <c r="H44" s="1">
        <f>IF(B44&gt;64, Summary!$J$26, 0)*'TV 25'!G44*'TV 25'!F44</f>
        <v>1946.0278888426594</v>
      </c>
      <c r="I44" s="1"/>
    </row>
    <row r="45" spans="1:9">
      <c r="A45" s="1">
        <f t="shared" si="4"/>
        <v>2062</v>
      </c>
      <c r="B45" s="1">
        <f t="shared" si="1"/>
        <v>97</v>
      </c>
      <c r="C45" s="1">
        <v>43</v>
      </c>
      <c r="D45" s="1">
        <f>IF(Summary!$G$26="M",VLOOKUP(B:B,'male g'!A:V,IF(A45&gt;2033,22,MATCH(A45,'male g'!$A$1:$V$1,0)),FALSE),VLOOKUP(B:B,'female g'!A:V,IF(A45&gt;2033,22,MATCH(A45,'female g'!$A$1:$V$1,0)),FALSE))</f>
        <v>0.22317315569892124</v>
      </c>
      <c r="E45" s="1">
        <f t="shared" si="2"/>
        <v>0.77682684430107873</v>
      </c>
      <c r="F45" s="1">
        <f t="shared" si="3"/>
        <v>0.79453011102031479</v>
      </c>
      <c r="G45" s="1">
        <f>1/(1+Summary!$O$2)^$C45</f>
        <v>0.12270440108003698</v>
      </c>
      <c r="H45" s="1">
        <f>IF(B45&gt;64, Summary!$J$26, 0)*'TV 25'!G45*'TV 25'!F45</f>
        <v>1814.5220370200013</v>
      </c>
      <c r="I45" s="1"/>
    </row>
    <row r="46" spans="1:9">
      <c r="A46" s="1">
        <f t="shared" si="4"/>
        <v>2063</v>
      </c>
      <c r="B46" s="1">
        <f t="shared" si="1"/>
        <v>98</v>
      </c>
      <c r="C46" s="1">
        <v>44</v>
      </c>
      <c r="D46" s="1">
        <f>IF(Summary!$G$26="M",VLOOKUP(B:B,'male g'!A:V,IF(A46&gt;2033,22,MATCH(A46,'male g'!$A$1:$V$1,0)),FALSE),VLOOKUP(B:B,'female g'!A:V,IF(A46&gt;2033,22,MATCH(A46,'female g'!$A$1:$V$1,0)),FALSE))</f>
        <v>0.2417371960764223</v>
      </c>
      <c r="E46" s="1">
        <f t="shared" si="2"/>
        <v>0.7582628039235777</v>
      </c>
      <c r="F46" s="1">
        <f t="shared" si="3"/>
        <v>0.77682684430107873</v>
      </c>
      <c r="G46" s="1">
        <f>1/(1+Summary!$O$2)^$C46</f>
        <v>0.11686133436193999</v>
      </c>
      <c r="H46" s="1">
        <f>IF(B46&gt;64, Summary!$J$26, 0)*'TV 25'!G46*'TV 25'!F46</f>
        <v>1689.6113257406716</v>
      </c>
      <c r="I46" s="1"/>
    </row>
    <row r="47" spans="1:9">
      <c r="A47" s="1">
        <f t="shared" si="4"/>
        <v>2064</v>
      </c>
      <c r="B47" s="1">
        <f t="shared" si="1"/>
        <v>99</v>
      </c>
      <c r="C47" s="1">
        <v>45</v>
      </c>
      <c r="D47" s="1">
        <f>IF(Summary!$G$26="M",VLOOKUP(B:B,'male g'!A:V,IF(A47&gt;2033,22,MATCH(A47,'male g'!$A$1:$V$1,0)),FALSE),VLOOKUP(B:B,'female g'!A:V,IF(A47&gt;2033,22,MATCH(A47,'female g'!$A$1:$V$1,0)),FALSE))</f>
        <v>0.26102364427750568</v>
      </c>
      <c r="E47" s="1">
        <f t="shared" si="2"/>
        <v>0.73897635572249432</v>
      </c>
      <c r="F47" s="1">
        <f t="shared" si="3"/>
        <v>0.7582628039235777</v>
      </c>
      <c r="G47" s="1">
        <f>1/(1+Summary!$O$2)^$C47</f>
        <v>0.1112965089161333</v>
      </c>
      <c r="H47" s="1">
        <f>IF(B47&gt;64, Summary!$J$26, 0)*'TV 25'!G47*'TV 25'!F47</f>
        <v>1570.6992654320165</v>
      </c>
      <c r="I47" s="1"/>
    </row>
    <row r="48" spans="1:9">
      <c r="A48" s="1">
        <f>$A$2+C48</f>
        <v>2065</v>
      </c>
      <c r="B48" s="1">
        <f>$B$2+C48</f>
        <v>100</v>
      </c>
      <c r="C48" s="1">
        <v>46</v>
      </c>
      <c r="D48" s="1">
        <f>IF(Summary!$G$26="M",VLOOKUP(B:B,'male g'!A:V,IF(A48&gt;2033,22,MATCH(A48,'male g'!$A$1:$V$1,0)),FALSE),VLOOKUP(B:B,'female g'!A:V,IF(A48&gt;2033,22,MATCH(A48,'female g'!$A$1:$V$1,0)),FALSE))</f>
        <v>0.2809127683704345</v>
      </c>
      <c r="E48" s="1">
        <f t="shared" si="2"/>
        <v>0.71908723162956556</v>
      </c>
      <c r="F48" s="1">
        <f t="shared" si="3"/>
        <v>0.73897635572249432</v>
      </c>
      <c r="G48" s="1">
        <f>1/(1+Summary!$O$2)^$C48</f>
        <v>0.10599667515822221</v>
      </c>
      <c r="H48" s="1">
        <f>IF(B48&gt;64, Summary!$J$26, 0)*'TV 25'!G48*'TV 25'!F48</f>
        <v>1457.8556758433824</v>
      </c>
      <c r="I48" s="1"/>
    </row>
    <row r="49" spans="1:9">
      <c r="A49" s="1">
        <f t="shared" ref="A49:A68" si="5">$A$2+C49</f>
        <v>2066</v>
      </c>
      <c r="B49" s="1">
        <f t="shared" si="1"/>
        <v>101</v>
      </c>
      <c r="C49" s="1">
        <v>47</v>
      </c>
      <c r="D49" s="1">
        <f>IF(Summary!$G$26="M",VLOOKUP(B:B,'male g'!A:V,IF(A49&gt;2033,22,MATCH(A49,'male g'!$A$1:$V$1,0)),FALSE),VLOOKUP(B:B,'female g'!A:V,IF(A49&gt;2033,22,MATCH(A49,'female g'!$A$1:$V$1,0)),FALSE))</f>
        <v>0.30146810411089092</v>
      </c>
      <c r="E49" s="1">
        <f t="shared" si="2"/>
        <v>0.69853189588910913</v>
      </c>
      <c r="F49" s="1">
        <f t="shared" si="3"/>
        <v>0.71908723162956556</v>
      </c>
      <c r="G49" s="1">
        <f>1/(1+Summary!$O$2)^$C49</f>
        <v>0.10094921443640208</v>
      </c>
      <c r="H49" s="1">
        <f>IF(B49&gt;64, Summary!$J$26, 0)*'TV 25'!G49*'TV 25'!F49</f>
        <v>1351.0650741195755</v>
      </c>
      <c r="I49" s="1"/>
    </row>
    <row r="50" spans="1:9">
      <c r="A50" s="1">
        <f t="shared" si="5"/>
        <v>2067</v>
      </c>
      <c r="B50" s="1">
        <f t="shared" si="1"/>
        <v>102</v>
      </c>
      <c r="C50" s="1">
        <v>48</v>
      </c>
      <c r="D50" s="1">
        <f>IF(Summary!$G$26="M",VLOOKUP(B:B,'male g'!A:V,IF(A50&gt;2033,22,MATCH(A50,'male g'!$A$1:$V$1,0)),FALSE),VLOOKUP(B:B,'female g'!A:V,IF(A50&gt;2033,22,MATCH(A50,'female g'!$A$1:$V$1,0)),FALSE))</f>
        <v>0.32206565548145499</v>
      </c>
      <c r="E50" s="1">
        <f t="shared" si="2"/>
        <v>0.67793434451854506</v>
      </c>
      <c r="F50" s="1">
        <f t="shared" si="3"/>
        <v>0.69853189588910913</v>
      </c>
      <c r="G50" s="1">
        <f>1/(1+Summary!$O$2)^$C50</f>
        <v>9.6142108987049613E-2</v>
      </c>
      <c r="H50" s="1">
        <f>IF(B50&gt;64, Summary!$J$26, 0)*'TV 25'!G50*'TV 25'!F50</f>
        <v>1249.9470971932449</v>
      </c>
      <c r="I50" s="1"/>
    </row>
    <row r="51" spans="1:9">
      <c r="A51" s="1">
        <f t="shared" si="5"/>
        <v>2068</v>
      </c>
      <c r="B51" s="1">
        <f t="shared" si="1"/>
        <v>103</v>
      </c>
      <c r="C51" s="1">
        <v>49</v>
      </c>
      <c r="D51" s="1">
        <f>IF(Summary!$G$26="M",VLOOKUP(B:B,'male g'!A:V,IF(A51&gt;2033,22,MATCH(A51,'male g'!$A$1:$V$1,0)),FALSE),VLOOKUP(B:B,'female g'!A:V,IF(A51&gt;2033,22,MATCH(A51,'female g'!$A$1:$V$1,0)),FALSE))</f>
        <v>0.3427697952313476</v>
      </c>
      <c r="E51" s="1">
        <f t="shared" si="2"/>
        <v>0.65723020476865246</v>
      </c>
      <c r="F51" s="1">
        <f t="shared" si="3"/>
        <v>0.67793434451854506</v>
      </c>
      <c r="G51" s="1">
        <f>1/(1+Summary!$O$2)^$C51</f>
        <v>9.1563913320999626E-2</v>
      </c>
      <c r="H51" s="1">
        <f>IF(B51&gt;64, Summary!$J$26, 0)*'TV 25'!G51*'TV 25'!F51</f>
        <v>1155.3238210233574</v>
      </c>
      <c r="I51" s="1"/>
    </row>
    <row r="52" spans="1:9">
      <c r="A52" s="1">
        <f t="shared" si="5"/>
        <v>2069</v>
      </c>
      <c r="B52" s="1">
        <f t="shared" si="1"/>
        <v>104</v>
      </c>
      <c r="C52" s="1">
        <v>50</v>
      </c>
      <c r="D52" s="1">
        <f>IF(Summary!$G$26="M",VLOOKUP(B:B,'male g'!A:V,IF(A52&gt;2033,22,MATCH(A52,'male g'!$A$1:$V$1,0)),FALSE),VLOOKUP(B:B,'female g'!A:V,IF(A52&gt;2033,22,MATCH(A52,'female g'!$A$1:$V$1,0)),FALSE))</f>
        <v>0.36312182573243618</v>
      </c>
      <c r="E52" s="1">
        <f t="shared" si="2"/>
        <v>0.63687817426756377</v>
      </c>
      <c r="F52" s="1">
        <f t="shared" si="3"/>
        <v>0.65723020476865246</v>
      </c>
      <c r="G52" s="1">
        <f>1/(1+Summary!$O$2)^$C52</f>
        <v>8.7203726972380588E-2</v>
      </c>
      <c r="H52" s="1">
        <f>IF(B52&gt;64, Summary!$J$26, 0)*'TV 25'!G52*'TV 25'!F52</f>
        <v>1066.7049420468472</v>
      </c>
      <c r="I52" s="1"/>
    </row>
    <row r="53" spans="1:9">
      <c r="A53" s="1">
        <f t="shared" si="5"/>
        <v>2070</v>
      </c>
      <c r="B53" s="1">
        <f t="shared" si="1"/>
        <v>105</v>
      </c>
      <c r="C53" s="1">
        <v>51</v>
      </c>
      <c r="D53" s="1">
        <f>IF(Summary!$G$26="M",VLOOKUP(B:B,'male g'!A:V,IF(A53&gt;2033,22,MATCH(A53,'male g'!$A$1:$V$1,0)),FALSE),VLOOKUP(B:B,'female g'!A:V,IF(A53&gt;2033,22,MATCH(A53,'female g'!$A$1:$V$1,0)),FALSE))</f>
        <v>0.38340857179772014</v>
      </c>
      <c r="E53" s="1">
        <f t="shared" si="2"/>
        <v>0.61659142820227986</v>
      </c>
      <c r="F53" s="1">
        <f t="shared" si="3"/>
        <v>0.63687817426756377</v>
      </c>
      <c r="G53" s="1">
        <f>1/(1+Summary!$O$2)^$C53</f>
        <v>8.3051168545124371E-2</v>
      </c>
      <c r="H53" s="1">
        <f>IF(B53&gt;64, Summary!$J$26, 0)*'TV 25'!G53*'TV 25'!F53</f>
        <v>984.45044506295608</v>
      </c>
      <c r="I53" s="1"/>
    </row>
    <row r="54" spans="1:9">
      <c r="A54" s="1">
        <f t="shared" si="5"/>
        <v>2071</v>
      </c>
      <c r="B54" s="1">
        <f t="shared" si="1"/>
        <v>106</v>
      </c>
      <c r="C54" s="1">
        <v>52</v>
      </c>
      <c r="D54" s="1">
        <f>IF(Summary!$G$26="M",VLOOKUP(B:B,'male g'!A:V,IF(A54&gt;2033,22,MATCH(A54,'male g'!$A$1:$V$1,0)),FALSE),VLOOKUP(B:B,'female g'!A:V,IF(A54&gt;2033,22,MATCH(A54,'female g'!$A$1:$V$1,0)),FALSE))</f>
        <v>0.4032562438470747</v>
      </c>
      <c r="E54" s="1">
        <f t="shared" si="2"/>
        <v>0.5967437561529253</v>
      </c>
      <c r="F54" s="1">
        <f t="shared" si="3"/>
        <v>0.61659142820227986</v>
      </c>
      <c r="G54" s="1">
        <f>1/(1+Summary!$O$2)^$C54</f>
        <v>7.9096350995356543E-2</v>
      </c>
      <c r="H54" s="1">
        <f>IF(B54&gt;64, Summary!$J$26, 0)*'TV 25'!G54*'TV 25'!F54</f>
        <v>907.70698525449654</v>
      </c>
      <c r="I54" s="1"/>
    </row>
    <row r="55" spans="1:9">
      <c r="A55" s="1">
        <f t="shared" si="5"/>
        <v>2072</v>
      </c>
      <c r="B55" s="1">
        <f t="shared" si="1"/>
        <v>107</v>
      </c>
      <c r="C55" s="1">
        <v>53</v>
      </c>
      <c r="D55" s="1">
        <f>IF(Summary!$G$26="M",VLOOKUP(B:B,'male g'!A:V,IF(A55&gt;2033,22,MATCH(A55,'male g'!$A$1:$V$1,0)),FALSE),VLOOKUP(B:B,'female g'!A:V,IF(A55&gt;2033,22,MATCH(A55,'female g'!$A$1:$V$1,0)),FALSE))</f>
        <v>0.42246723803499708</v>
      </c>
      <c r="E55" s="1">
        <f t="shared" si="2"/>
        <v>0.57753276196500292</v>
      </c>
      <c r="F55" s="1">
        <f t="shared" si="3"/>
        <v>0.5967437561529253</v>
      </c>
      <c r="G55" s="1">
        <f>1/(1+Summary!$O$2)^$C55</f>
        <v>7.5329858090815757E-2</v>
      </c>
      <c r="H55" s="1">
        <f>IF(B55&gt;64, Summary!$J$26, 0)*'TV 25'!G55*'TV 25'!F55</f>
        <v>836.65570964072708</v>
      </c>
      <c r="I55" s="1"/>
    </row>
    <row r="56" spans="1:9">
      <c r="A56" s="1">
        <f t="shared" si="5"/>
        <v>2073</v>
      </c>
      <c r="B56" s="1">
        <f t="shared" si="1"/>
        <v>108</v>
      </c>
      <c r="C56" s="1">
        <v>54</v>
      </c>
      <c r="D56" s="1">
        <f>IF(Summary!$G$26="M",VLOOKUP(B:B,'male g'!A:V,IF(A56&gt;2033,22,MATCH(A56,'male g'!$A$1:$V$1,0)),FALSE),VLOOKUP(B:B,'female g'!A:V,IF(A56&gt;2033,22,MATCH(A56,'female g'!$A$1:$V$1,0)),FALSE))</f>
        <v>0.44119749280646176</v>
      </c>
      <c r="E56" s="1">
        <f t="shared" si="2"/>
        <v>0.5588025071935383</v>
      </c>
      <c r="F56" s="1">
        <f t="shared" si="3"/>
        <v>0.57753276196500292</v>
      </c>
      <c r="G56" s="1">
        <f>1/(1+Summary!$O$2)^$C56</f>
        <v>7.1742721991253117E-2</v>
      </c>
      <c r="H56" s="1">
        <f>IF(B56&gt;64, Summary!$J$26, 0)*'TV 25'!G56*'TV 25'!F56</f>
        <v>771.16306753338552</v>
      </c>
      <c r="I56" s="1"/>
    </row>
    <row r="57" spans="1:9">
      <c r="A57" s="1">
        <f t="shared" si="5"/>
        <v>2074</v>
      </c>
      <c r="B57" s="1">
        <f t="shared" si="1"/>
        <v>109</v>
      </c>
      <c r="C57" s="1">
        <v>55</v>
      </c>
      <c r="D57" s="1">
        <f>IF(Summary!$G$26="M",VLOOKUP(B:B,'male g'!A:V,IF(A57&gt;2033,22,MATCH(A57,'male g'!$A$1:$V$1,0)),FALSE),VLOOKUP(B:B,'female g'!A:V,IF(A57&gt;2033,22,MATCH(A57,'female g'!$A$1:$V$1,0)),FALSE))</f>
        <v>0.45907299166148602</v>
      </c>
      <c r="E57" s="1">
        <f t="shared" si="2"/>
        <v>0.54092700833851404</v>
      </c>
      <c r="F57" s="1">
        <f t="shared" si="3"/>
        <v>0.5588025071935383</v>
      </c>
      <c r="G57" s="1">
        <f>1/(1+Summary!$O$2)^$C57</f>
        <v>6.8326401896431521E-2</v>
      </c>
      <c r="H57" s="1">
        <f>IF(B57&gt;64, Summary!$J$26, 0)*'TV 25'!G57*'TV 25'!F57</f>
        <v>710.62199159143415</v>
      </c>
      <c r="I57" s="1"/>
    </row>
    <row r="58" spans="1:9">
      <c r="A58" s="1">
        <f t="shared" si="5"/>
        <v>2075</v>
      </c>
      <c r="B58" s="1">
        <f t="shared" si="1"/>
        <v>110</v>
      </c>
      <c r="C58" s="1">
        <v>56</v>
      </c>
      <c r="D58" s="1">
        <f>IF(Summary!$G$26="M",VLOOKUP(B:B,'male g'!A:V,IF(A58&gt;2033,22,MATCH(A58,'male g'!$A$1:$V$1,0)),FALSE),VLOOKUP(B:B,'female g'!A:V,IF(A58&gt;2033,22,MATCH(A58,'female g'!$A$1:$V$1,0)),FALSE))</f>
        <v>0.47644967979565578</v>
      </c>
      <c r="E58" s="1">
        <f t="shared" si="2"/>
        <v>0.52355032020434422</v>
      </c>
      <c r="F58" s="1">
        <f t="shared" si="3"/>
        <v>0.54092700833851404</v>
      </c>
      <c r="G58" s="1">
        <f>1/(1+Summary!$O$2)^$C58</f>
        <v>6.5072763710887174E-2</v>
      </c>
      <c r="H58" s="1">
        <f>IF(B58&gt;64, Summary!$J$26, 0)*'TV 25'!G58*'TV 25'!F58</f>
        <v>655.13328441537465</v>
      </c>
      <c r="I58" s="1"/>
    </row>
    <row r="59" spans="1:9">
      <c r="A59" s="1">
        <f t="shared" si="5"/>
        <v>2076</v>
      </c>
      <c r="B59" s="1">
        <f t="shared" si="1"/>
        <v>111</v>
      </c>
      <c r="C59" s="1">
        <v>57</v>
      </c>
      <c r="D59" s="1">
        <f>IF(Summary!$G$26="M",VLOOKUP(B:B,'male g'!A:V,IF(A59&gt;2033,22,MATCH(A59,'male g'!$A$1:$V$1,0)),FALSE),VLOOKUP(B:B,'female g'!A:V,IF(A59&gt;2033,22,MATCH(A59,'female g'!$A$1:$V$1,0)),FALSE))</f>
        <v>0.48540620500607778</v>
      </c>
      <c r="E59" s="1">
        <f t="shared" si="2"/>
        <v>0.51459379499392222</v>
      </c>
      <c r="F59" s="1">
        <f t="shared" si="3"/>
        <v>0.52355032020434422</v>
      </c>
      <c r="G59" s="1">
        <f>1/(1+Summary!$O$2)^$C59</f>
        <v>6.1974060677035397E-2</v>
      </c>
      <c r="H59" s="1">
        <f>IF(B59&gt;64, Summary!$J$26, 0)*'TV 25'!G59*'TV 25'!F59</f>
        <v>603.89318538421333</v>
      </c>
      <c r="I59" s="1"/>
    </row>
    <row r="60" spans="1:9">
      <c r="A60" s="1">
        <f t="shared" si="5"/>
        <v>2077</v>
      </c>
      <c r="B60" s="1">
        <f t="shared" si="1"/>
        <v>112</v>
      </c>
      <c r="C60" s="1">
        <v>58</v>
      </c>
      <c r="D60" s="1">
        <f>IF(Summary!$G$26="M",VLOOKUP(B:B,'male g'!A:V,IF(A60&gt;2033,22,MATCH(A60,'male g'!$A$1:$V$1,0)),FALSE),VLOOKUP(B:B,'female g'!A:V,IF(A60&gt;2033,22,MATCH(A60,'female g'!$A$1:$V$1,0)),FALSE))</f>
        <v>0.48906519527204906</v>
      </c>
      <c r="E60" s="1">
        <f t="shared" si="2"/>
        <v>0.51093480472795094</v>
      </c>
      <c r="F60" s="1">
        <f t="shared" si="3"/>
        <v>0.51459379499392222</v>
      </c>
      <c r="G60" s="1">
        <f>1/(1+Summary!$O$2)^$C60</f>
        <v>5.9022914930509894E-2</v>
      </c>
      <c r="H60" s="1">
        <f>IF(B60&gt;64, Summary!$J$26, 0)*'TV 25'!G60*'TV 25'!F60</f>
        <v>565.29734455094876</v>
      </c>
      <c r="I60" s="1"/>
    </row>
    <row r="61" spans="1:9">
      <c r="A61" s="1">
        <f t="shared" si="5"/>
        <v>2078</v>
      </c>
      <c r="B61" s="1">
        <f t="shared" si="1"/>
        <v>113</v>
      </c>
      <c r="C61" s="1">
        <v>59</v>
      </c>
      <c r="D61" s="1">
        <f>IF(Summary!$G$26="M",VLOOKUP(B:B,'male g'!A:V,IF(A61&gt;2033,22,MATCH(A61,'male g'!$A$1:$V$1,0)),FALSE),VLOOKUP(B:B,'female g'!A:V,IF(A61&gt;2033,22,MATCH(A61,'female g'!$A$1:$V$1,0)),FALSE))</f>
        <v>0.49265177497129853</v>
      </c>
      <c r="E61" s="1">
        <f t="shared" si="2"/>
        <v>0.50734822502870147</v>
      </c>
      <c r="F61" s="1">
        <f t="shared" si="3"/>
        <v>0.51093480472795094</v>
      </c>
      <c r="G61" s="1">
        <f>1/(1+Summary!$O$2)^$C61</f>
        <v>5.6212299933818946E-2</v>
      </c>
      <c r="H61" s="1">
        <f>IF(B61&gt;64, Summary!$J$26, 0)*'TV 25'!G61*'TV 25'!F61</f>
        <v>534.55031385211237</v>
      </c>
      <c r="I61" s="1"/>
    </row>
    <row r="62" spans="1:9">
      <c r="A62" s="1">
        <f t="shared" si="5"/>
        <v>2079</v>
      </c>
      <c r="B62" s="1">
        <f t="shared" si="1"/>
        <v>114</v>
      </c>
      <c r="C62" s="1">
        <v>60</v>
      </c>
      <c r="D62" s="1">
        <f>IF(Summary!$G$26="M",VLOOKUP(B:B,'male g'!A:V,IF(A62&gt;2033,22,MATCH(A62,'male g'!$A$1:$V$1,0)),FALSE),VLOOKUP(B:B,'female g'!A:V,IF(A62&gt;2033,22,MATCH(A62,'female g'!$A$1:$V$1,0)),FALSE))</f>
        <v>0.49631296624312721</v>
      </c>
      <c r="E62" s="1">
        <f t="shared" si="2"/>
        <v>0.50368703375687285</v>
      </c>
      <c r="F62" s="1">
        <f t="shared" si="3"/>
        <v>0.50734822502870147</v>
      </c>
      <c r="G62" s="1">
        <f>1/(1+Summary!$O$2)^$C62</f>
        <v>5.3535523746494243E-2</v>
      </c>
      <c r="H62" s="1">
        <f>IF(B62&gt;64, Summary!$J$26, 0)*'TV 25'!G62*'TV 25'!F62</f>
        <v>505.52186830476558</v>
      </c>
      <c r="I62" s="1"/>
    </row>
    <row r="63" spans="1:9">
      <c r="A63" s="1">
        <f t="shared" si="5"/>
        <v>2080</v>
      </c>
      <c r="B63" s="1">
        <f t="shared" si="1"/>
        <v>115</v>
      </c>
      <c r="C63" s="1">
        <v>61</v>
      </c>
      <c r="D63" s="1">
        <f>IF(Summary!$G$26="M",VLOOKUP(B:B,'male g'!A:V,IF(A63&gt;2033,22,MATCH(A63,'male g'!$A$1:$V$1,0)),FALSE),VLOOKUP(B:B,'female g'!A:V,IF(A63&gt;2033,22,MATCH(A63,'female g'!$A$1:$V$1,0)),FALSE))</f>
        <v>0.5</v>
      </c>
      <c r="E63" s="1">
        <f t="shared" si="2"/>
        <v>0.5</v>
      </c>
      <c r="F63" s="1">
        <f t="shared" si="3"/>
        <v>0.50368703375687285</v>
      </c>
      <c r="G63" s="1">
        <f>1/(1+Summary!$O$2)^$C63</f>
        <v>5.0986213091899268E-2</v>
      </c>
      <c r="H63" s="1">
        <f>IF(B63&gt;64, Summary!$J$26, 0)*'TV 25'!G63*'TV 25'!F63</f>
        <v>477.97510154509814</v>
      </c>
      <c r="I63" s="1"/>
    </row>
    <row r="64" spans="1:9">
      <c r="A64" s="1">
        <f t="shared" si="5"/>
        <v>2081</v>
      </c>
      <c r="B64" s="1">
        <f t="shared" si="1"/>
        <v>116</v>
      </c>
      <c r="C64" s="1">
        <v>62</v>
      </c>
      <c r="D64" s="1">
        <f>IF(Summary!$G$26="M",VLOOKUP(B:B,'male g'!A:V,IF(A64&gt;2033,22,MATCH(A64,'male g'!$A$1:$V$1,0)),FALSE),VLOOKUP(B:B,'female g'!A:V,IF(A64&gt;2033,22,MATCH(A64,'female g'!$A$1:$V$1,0)),FALSE))</f>
        <v>0.5</v>
      </c>
      <c r="E64" s="1">
        <f t="shared" si="2"/>
        <v>0.5</v>
      </c>
      <c r="F64" s="1">
        <f t="shared" si="3"/>
        <v>0.5</v>
      </c>
      <c r="G64" s="1">
        <f>1/(1+Summary!$O$2)^$C64</f>
        <v>4.855829818276123E-2</v>
      </c>
      <c r="H64" s="1">
        <f>IF(B64&gt;64, Summary!$J$26, 0)*'TV 25'!G64*'TV 25'!F64</f>
        <v>451.88217277361247</v>
      </c>
      <c r="I64" s="1"/>
    </row>
    <row r="65" spans="1:9">
      <c r="A65" s="1">
        <f t="shared" si="5"/>
        <v>2082</v>
      </c>
      <c r="B65" s="1">
        <f t="shared" si="1"/>
        <v>117</v>
      </c>
      <c r="C65" s="1">
        <v>63</v>
      </c>
      <c r="D65" s="1">
        <f>IF(Summary!$G$26="M",VLOOKUP(B:B,'male g'!A:V,IF(A65&gt;2033,22,MATCH(A65,'male g'!$A$1:$V$1,0)),FALSE),VLOOKUP(B:B,'female g'!A:V,IF(A65&gt;2033,22,MATCH(A65,'female g'!$A$1:$V$1,0)),FALSE))</f>
        <v>0.5</v>
      </c>
      <c r="E65" s="1">
        <f t="shared" si="2"/>
        <v>0.5</v>
      </c>
      <c r="F65" s="1">
        <f t="shared" si="3"/>
        <v>0.5</v>
      </c>
      <c r="G65" s="1">
        <f>1/(1+Summary!$O$2)^$C65</f>
        <v>4.6245998269296387E-2</v>
      </c>
      <c r="H65" s="1">
        <f>IF(B65&gt;64, Summary!$J$26, 0)*'TV 25'!G65*'TV 25'!F65</f>
        <v>430.36397407010691</v>
      </c>
      <c r="I65" s="1"/>
    </row>
    <row r="66" spans="1:9">
      <c r="A66" s="1">
        <f t="shared" si="5"/>
        <v>2083</v>
      </c>
      <c r="B66" s="1">
        <f t="shared" si="1"/>
        <v>118</v>
      </c>
      <c r="C66" s="1">
        <v>64</v>
      </c>
      <c r="D66" s="1">
        <f>IF(Summary!$G$26="M",VLOOKUP(B:B,'male g'!A:V,IF(A66&gt;2033,22,MATCH(A66,'male g'!$A$1:$V$1,0)),FALSE),VLOOKUP(B:B,'female g'!A:V,IF(A66&gt;2033,22,MATCH(A66,'female g'!$A$1:$V$1,0)),FALSE))</f>
        <v>0.5</v>
      </c>
      <c r="E66" s="1">
        <f t="shared" si="2"/>
        <v>0.5</v>
      </c>
      <c r="F66" s="1">
        <f t="shared" si="3"/>
        <v>0.5</v>
      </c>
      <c r="G66" s="1">
        <f>1/(1+Summary!$O$2)^$C66</f>
        <v>4.4043807875520369E-2</v>
      </c>
      <c r="H66" s="1">
        <f>IF(B66&gt;64, Summary!$J$26, 0)*'TV 25'!G66*'TV 25'!F66</f>
        <v>409.87045149533992</v>
      </c>
      <c r="I66" s="1"/>
    </row>
    <row r="67" spans="1:9">
      <c r="A67" s="1">
        <f t="shared" si="5"/>
        <v>2084</v>
      </c>
      <c r="B67" s="1">
        <f t="shared" si="1"/>
        <v>119</v>
      </c>
      <c r="C67" s="1">
        <v>65</v>
      </c>
      <c r="D67" s="1">
        <f>IF(Summary!$G$26="M",VLOOKUP(B:B,'male g'!A:V,IF(A67&gt;2033,22,MATCH(A67,'male g'!$A$1:$V$1,0)),FALSE),VLOOKUP(B:B,'female g'!A:V,IF(A67&gt;2033,22,MATCH(A67,'female g'!$A$1:$V$1,0)),FALSE))</f>
        <v>0.5</v>
      </c>
      <c r="E67" s="1">
        <f t="shared" si="2"/>
        <v>0.5</v>
      </c>
      <c r="F67" s="1">
        <f t="shared" si="3"/>
        <v>0.5</v>
      </c>
      <c r="G67" s="1">
        <f>1/(1+Summary!$O$2)^$C67</f>
        <v>4.1946483690971779E-2</v>
      </c>
      <c r="H67" s="1">
        <f>IF(B67&gt;64, Summary!$J$26, 0)*'TV 25'!G67*'TV 25'!F67</f>
        <v>390.35281094794277</v>
      </c>
      <c r="I67" s="1"/>
    </row>
    <row r="68" spans="1:9">
      <c r="A68" s="1">
        <f t="shared" si="5"/>
        <v>2085</v>
      </c>
      <c r="B68" s="1">
        <f>$B$2+C68</f>
        <v>120</v>
      </c>
      <c r="C68" s="1">
        <v>66</v>
      </c>
      <c r="D68" s="1">
        <f>IF(Summary!$G$26="M",VLOOKUP(B:B,'male g'!A:V,IF(A68&gt;2033,22,MATCH(A68,'male g'!$A$1:$V$1,0)),FALSE),VLOOKUP(B:B,'female g'!A:V,IF(A68&gt;2033,22,MATCH(A68,'female g'!$A$1:$V$1,0)),FALSE))</f>
        <v>1</v>
      </c>
      <c r="E68" s="1">
        <f>1-D68</f>
        <v>0</v>
      </c>
      <c r="F68" s="1">
        <f>E67</f>
        <v>0.5</v>
      </c>
      <c r="G68" s="1">
        <f>1/(1+Summary!$O$2)^$C68</f>
        <v>3.9949032086639788E-2</v>
      </c>
      <c r="H68" s="1">
        <f>IF(B68&gt;64, Summary!$J$26, 0)*'TV 25'!G68*'TV 25'!F68</f>
        <v>371.76458185518356</v>
      </c>
      <c r="I68" s="1"/>
    </row>
    <row r="69" spans="1:9">
      <c r="A69" s="1"/>
    </row>
    <row r="70" spans="1:9">
      <c r="A70" s="1"/>
    </row>
    <row r="71" spans="1:9">
      <c r="A71" s="1"/>
    </row>
    <row r="72" spans="1:9">
      <c r="A72" s="1"/>
    </row>
    <row r="73" spans="1:9">
      <c r="A73" s="1"/>
    </row>
    <row r="74" spans="1:9">
      <c r="A74" s="1"/>
    </row>
    <row r="75" spans="1:9">
      <c r="A75" s="1"/>
    </row>
    <row r="76" spans="1:9">
      <c r="A76" s="1"/>
    </row>
    <row r="77" spans="1:9">
      <c r="A77" s="1"/>
    </row>
    <row r="78" spans="1:9">
      <c r="A78" s="1"/>
    </row>
    <row r="79" spans="1:9">
      <c r="A79" s="1"/>
    </row>
    <row r="80" spans="1:9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</sheetData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Summary</vt:lpstr>
      <vt:lpstr>Total Data Set</vt:lpstr>
      <vt:lpstr>post retirement male</vt:lpstr>
      <vt:lpstr>post retirement female</vt:lpstr>
      <vt:lpstr>female g</vt:lpstr>
      <vt:lpstr>male g</vt:lpstr>
      <vt:lpstr>TV 1</vt:lpstr>
      <vt:lpstr>TV 2</vt:lpstr>
      <vt:lpstr>TV 3</vt:lpstr>
      <vt:lpstr>TV 4</vt:lpstr>
      <vt:lpstr>TV 5</vt:lpstr>
      <vt:lpstr>TV 6</vt:lpstr>
      <vt:lpstr>TV 7</vt:lpstr>
      <vt:lpstr>TV 8</vt:lpstr>
      <vt:lpstr>TV 9</vt:lpstr>
      <vt:lpstr>TV 10</vt:lpstr>
      <vt:lpstr>TV 11</vt:lpstr>
      <vt:lpstr>TV 12</vt:lpstr>
      <vt:lpstr>TV 13</vt:lpstr>
      <vt:lpstr>TV 14</vt:lpstr>
      <vt:lpstr>TV 15</vt:lpstr>
      <vt:lpstr>TV 16</vt:lpstr>
      <vt:lpstr>TV 17</vt:lpstr>
      <vt:lpstr>TV 18</vt:lpstr>
      <vt:lpstr>TV 19</vt:lpstr>
      <vt:lpstr>TV 20</vt:lpstr>
      <vt:lpstr>TV 21</vt:lpstr>
      <vt:lpstr>TV 22</vt:lpstr>
      <vt:lpstr>TV 23</vt:lpstr>
      <vt:lpstr>TV 24</vt:lpstr>
      <vt:lpstr>TV 25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Minghao Liu</dc:creator>
  <cp:lastModifiedBy>裘小萍</cp:lastModifiedBy>
  <dcterms:created xsi:type="dcterms:W3CDTF">2019-06-16T06:25:22Z</dcterms:created>
  <dcterms:modified xsi:type="dcterms:W3CDTF">2019-07-22T23:40:33Z</dcterms:modified>
</cp:coreProperties>
</file>