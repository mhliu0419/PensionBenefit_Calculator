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05" yWindow="-105" windowWidth="23250" windowHeight="12570" tabRatio="791"/>
  </bookViews>
  <sheets>
    <sheet name="Summary" sheetId="1" r:id="rId1"/>
    <sheet name="Total Data Set" sheetId="3" r:id="rId2"/>
    <sheet name="post retirement male" sheetId="29" r:id="rId3"/>
    <sheet name="post retirement female" sheetId="30" r:id="rId4"/>
    <sheet name="R1" sheetId="4" r:id="rId5"/>
    <sheet name="R2" sheetId="5" r:id="rId6"/>
    <sheet name="R3" sheetId="7" r:id="rId7"/>
    <sheet name="R4" sheetId="17" r:id="rId8"/>
    <sheet name="R5" sheetId="16" r:id="rId9"/>
    <sheet name="R6" sheetId="15" r:id="rId10"/>
    <sheet name="R7" sheetId="14" r:id="rId11"/>
    <sheet name="R8" sheetId="13" r:id="rId12"/>
    <sheet name="R9" sheetId="12" r:id="rId13"/>
    <sheet name="R10" sheetId="11" r:id="rId14"/>
    <sheet name="R11" sheetId="10" r:id="rId15"/>
    <sheet name="R12" sheetId="9" r:id="rId16"/>
    <sheet name="R13" sheetId="8" r:id="rId17"/>
    <sheet name="R14" sheetId="20" r:id="rId18"/>
    <sheet name="R15" sheetId="19" r:id="rId19"/>
    <sheet name="R16" sheetId="18" r:id="rId20"/>
    <sheet name="R17" sheetId="24" r:id="rId21"/>
    <sheet name="R18" sheetId="23" r:id="rId22"/>
    <sheet name="R19" sheetId="22" r:id="rId23"/>
    <sheet name="R20" sheetId="21" r:id="rId24"/>
  </sheets>
  <functionGroups builtInGroupCount="17"/>
  <definedNames>
    <definedName name="AAA">#REF!</definedName>
    <definedName name="calc">#REF!</definedName>
    <definedName name="Calc1">#REF!</definedName>
    <definedName name="Calc2">#REF!</definedName>
    <definedName name="calc3">#REF!</definedName>
    <definedName name="Hist1">#REF!</definedName>
    <definedName name="Hist2">#REF!</definedName>
    <definedName name="qMale">'Total Data Set'!$G$7:$G$107</definedName>
  </definedNames>
  <calcPr calcId="144525" concurrentCalc="0"/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" i="1"/>
  <c r="I2" i="1"/>
  <c r="I3" i="1"/>
  <c r="I4" i="1"/>
  <c r="H5" i="1"/>
  <c r="I5" i="1"/>
  <c r="H6" i="1"/>
  <c r="I6" i="1"/>
  <c r="H7" i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L23" i="1"/>
  <c r="A4" i="4"/>
  <c r="C2" i="4"/>
  <c r="Q3" i="4"/>
  <c r="C3" i="4"/>
  <c r="B2" i="4"/>
  <c r="B3" i="4"/>
  <c r="L3" i="4"/>
  <c r="L2" i="4"/>
  <c r="C65" i="4"/>
  <c r="B65" i="4"/>
  <c r="L65" i="4"/>
  <c r="C64" i="4"/>
  <c r="B64" i="4"/>
  <c r="L64" i="4"/>
  <c r="C63" i="4"/>
  <c r="B63" i="4"/>
  <c r="L63" i="4"/>
  <c r="C62" i="4"/>
  <c r="B62" i="4"/>
  <c r="L62" i="4"/>
  <c r="C4" i="4"/>
  <c r="B4" i="4"/>
  <c r="L4" i="4"/>
  <c r="C5" i="4"/>
  <c r="B5" i="4"/>
  <c r="L5" i="4"/>
  <c r="C6" i="4"/>
  <c r="B6" i="4"/>
  <c r="L6" i="4"/>
  <c r="C7" i="4"/>
  <c r="B7" i="4"/>
  <c r="L7" i="4"/>
  <c r="C8" i="4"/>
  <c r="B8" i="4"/>
  <c r="L8" i="4"/>
  <c r="C9" i="4"/>
  <c r="B9" i="4"/>
  <c r="L9" i="4"/>
  <c r="C10" i="4"/>
  <c r="B10" i="4"/>
  <c r="L10" i="4"/>
  <c r="C11" i="4"/>
  <c r="B11" i="4"/>
  <c r="L11" i="4"/>
  <c r="C12" i="4"/>
  <c r="B12" i="4"/>
  <c r="L12" i="4"/>
  <c r="C13" i="4"/>
  <c r="B13" i="4"/>
  <c r="L13" i="4"/>
  <c r="C14" i="4"/>
  <c r="B14" i="4"/>
  <c r="L14" i="4"/>
  <c r="C15" i="4"/>
  <c r="B15" i="4"/>
  <c r="L15" i="4"/>
  <c r="C16" i="4"/>
  <c r="B16" i="4"/>
  <c r="L16" i="4"/>
  <c r="C17" i="4"/>
  <c r="B17" i="4"/>
  <c r="L17" i="4"/>
  <c r="C18" i="4"/>
  <c r="B18" i="4"/>
  <c r="L18" i="4"/>
  <c r="C19" i="4"/>
  <c r="B19" i="4"/>
  <c r="L19" i="4"/>
  <c r="C20" i="4"/>
  <c r="B20" i="4"/>
  <c r="L20" i="4"/>
  <c r="C21" i="4"/>
  <c r="B21" i="4"/>
  <c r="L21" i="4"/>
  <c r="C22" i="4"/>
  <c r="B22" i="4"/>
  <c r="L22" i="4"/>
  <c r="C23" i="4"/>
  <c r="B23" i="4"/>
  <c r="L23" i="4"/>
  <c r="C24" i="4"/>
  <c r="B24" i="4"/>
  <c r="L24" i="4"/>
  <c r="C25" i="4"/>
  <c r="B25" i="4"/>
  <c r="L25" i="4"/>
  <c r="C26" i="4"/>
  <c r="B26" i="4"/>
  <c r="L26" i="4"/>
  <c r="C27" i="4"/>
  <c r="B27" i="4"/>
  <c r="L27" i="4"/>
  <c r="C28" i="4"/>
  <c r="B28" i="4"/>
  <c r="L28" i="4"/>
  <c r="C29" i="4"/>
  <c r="B29" i="4"/>
  <c r="L29" i="4"/>
  <c r="C30" i="4"/>
  <c r="B30" i="4"/>
  <c r="L30" i="4"/>
  <c r="C31" i="4"/>
  <c r="B31" i="4"/>
  <c r="L31" i="4"/>
  <c r="C32" i="4"/>
  <c r="B32" i="4"/>
  <c r="L32" i="4"/>
  <c r="C33" i="4"/>
  <c r="B33" i="4"/>
  <c r="L33" i="4"/>
  <c r="C34" i="4"/>
  <c r="B34" i="4"/>
  <c r="L34" i="4"/>
  <c r="C35" i="4"/>
  <c r="B35" i="4"/>
  <c r="L35" i="4"/>
  <c r="C36" i="4"/>
  <c r="B36" i="4"/>
  <c r="L36" i="4"/>
  <c r="C37" i="4"/>
  <c r="B37" i="4"/>
  <c r="L37" i="4"/>
  <c r="C38" i="4"/>
  <c r="B38" i="4"/>
  <c r="L38" i="4"/>
  <c r="C39" i="4"/>
  <c r="B39" i="4"/>
  <c r="L39" i="4"/>
  <c r="C40" i="4"/>
  <c r="B40" i="4"/>
  <c r="L40" i="4"/>
  <c r="C41" i="4"/>
  <c r="B41" i="4"/>
  <c r="L41" i="4"/>
  <c r="C42" i="4"/>
  <c r="B42" i="4"/>
  <c r="L42" i="4"/>
  <c r="C43" i="4"/>
  <c r="B43" i="4"/>
  <c r="L43" i="4"/>
  <c r="C44" i="4"/>
  <c r="B44" i="4"/>
  <c r="L44" i="4"/>
  <c r="C45" i="4"/>
  <c r="B45" i="4"/>
  <c r="L45" i="4"/>
  <c r="C46" i="4"/>
  <c r="B46" i="4"/>
  <c r="L46" i="4"/>
  <c r="C47" i="4"/>
  <c r="B47" i="4"/>
  <c r="L47" i="4"/>
  <c r="C48" i="4"/>
  <c r="B48" i="4"/>
  <c r="L48" i="4"/>
  <c r="C49" i="4"/>
  <c r="B49" i="4"/>
  <c r="L49" i="4"/>
  <c r="C50" i="4"/>
  <c r="B50" i="4"/>
  <c r="L50" i="4"/>
  <c r="C51" i="4"/>
  <c r="B51" i="4"/>
  <c r="L51" i="4"/>
  <c r="C52" i="4"/>
  <c r="B52" i="4"/>
  <c r="L52" i="4"/>
  <c r="C53" i="4"/>
  <c r="B53" i="4"/>
  <c r="L53" i="4"/>
  <c r="C54" i="4"/>
  <c r="B54" i="4"/>
  <c r="L54" i="4"/>
  <c r="C55" i="4"/>
  <c r="B55" i="4"/>
  <c r="L55" i="4"/>
  <c r="C56" i="4"/>
  <c r="B56" i="4"/>
  <c r="L56" i="4"/>
  <c r="C57" i="4"/>
  <c r="B57" i="4"/>
  <c r="L57" i="4"/>
  <c r="C58" i="4"/>
  <c r="B58" i="4"/>
  <c r="L58" i="4"/>
  <c r="C59" i="4"/>
  <c r="B59" i="4"/>
  <c r="L59" i="4"/>
  <c r="C60" i="4"/>
  <c r="B60" i="4"/>
  <c r="L60" i="4"/>
  <c r="C61" i="4"/>
  <c r="B61" i="4"/>
  <c r="L61" i="4"/>
  <c r="C66" i="4"/>
  <c r="B66" i="4"/>
  <c r="L66" i="4"/>
  <c r="M2" i="4"/>
  <c r="N3" i="4"/>
  <c r="M3" i="4"/>
  <c r="N4" i="4"/>
  <c r="M4" i="4"/>
  <c r="N5" i="4"/>
  <c r="M5" i="4"/>
  <c r="N6" i="4"/>
  <c r="M6" i="4"/>
  <c r="N7" i="4"/>
  <c r="M7" i="4"/>
  <c r="N8" i="4"/>
  <c r="M8" i="4"/>
  <c r="N9" i="4"/>
  <c r="M9" i="4"/>
  <c r="N10" i="4"/>
  <c r="M10" i="4"/>
  <c r="N11" i="4"/>
  <c r="M11" i="4"/>
  <c r="N12" i="4"/>
  <c r="M12" i="4"/>
  <c r="N13" i="4"/>
  <c r="M13" i="4"/>
  <c r="N14" i="4"/>
  <c r="M14" i="4"/>
  <c r="N15" i="4"/>
  <c r="M15" i="4"/>
  <c r="N16" i="4"/>
  <c r="M16" i="4"/>
  <c r="N17" i="4"/>
  <c r="M17" i="4"/>
  <c r="N18" i="4"/>
  <c r="M18" i="4"/>
  <c r="N19" i="4"/>
  <c r="M19" i="4"/>
  <c r="N20" i="4"/>
  <c r="M20" i="4"/>
  <c r="N21" i="4"/>
  <c r="M21" i="4"/>
  <c r="N22" i="4"/>
  <c r="M22" i="4"/>
  <c r="N23" i="4"/>
  <c r="M23" i="4"/>
  <c r="N24" i="4"/>
  <c r="M24" i="4"/>
  <c r="N25" i="4"/>
  <c r="M25" i="4"/>
  <c r="N26" i="4"/>
  <c r="M26" i="4"/>
  <c r="N27" i="4"/>
  <c r="M27" i="4"/>
  <c r="N28" i="4"/>
  <c r="M28" i="4"/>
  <c r="N29" i="4"/>
  <c r="M29" i="4"/>
  <c r="N30" i="4"/>
  <c r="M30" i="4"/>
  <c r="N31" i="4"/>
  <c r="M31" i="4"/>
  <c r="N32" i="4"/>
  <c r="M32" i="4"/>
  <c r="N33" i="4"/>
  <c r="M33" i="4"/>
  <c r="N34" i="4"/>
  <c r="M34" i="4"/>
  <c r="N35" i="4"/>
  <c r="M35" i="4"/>
  <c r="N36" i="4"/>
  <c r="M36" i="4"/>
  <c r="N37" i="4"/>
  <c r="M37" i="4"/>
  <c r="N38" i="4"/>
  <c r="M38" i="4"/>
  <c r="N39" i="4"/>
  <c r="M66" i="4"/>
  <c r="M65" i="4"/>
  <c r="M64" i="4"/>
  <c r="M63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E66" i="4"/>
  <c r="E65" i="4"/>
  <c r="E64" i="4"/>
  <c r="E63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H3" i="4"/>
  <c r="F2" i="4"/>
  <c r="G3" i="4"/>
  <c r="I3" i="4"/>
  <c r="H2" i="21"/>
  <c r="O2" i="21"/>
  <c r="A4" i="21"/>
  <c r="C2" i="21"/>
  <c r="L2" i="21"/>
  <c r="M2" i="21"/>
  <c r="N3" i="21"/>
  <c r="H3" i="21"/>
  <c r="O3" i="21"/>
  <c r="C3" i="21"/>
  <c r="L3" i="21"/>
  <c r="M3" i="21"/>
  <c r="N4" i="21"/>
  <c r="H4" i="21"/>
  <c r="O4" i="21"/>
  <c r="C4" i="21"/>
  <c r="L4" i="21"/>
  <c r="M4" i="21"/>
  <c r="N5" i="21"/>
  <c r="H5" i="21"/>
  <c r="O5" i="21"/>
  <c r="C5" i="21"/>
  <c r="L5" i="21"/>
  <c r="M5" i="21"/>
  <c r="N6" i="21"/>
  <c r="H6" i="21"/>
  <c r="O6" i="21"/>
  <c r="C6" i="21"/>
  <c r="L6" i="21"/>
  <c r="M6" i="21"/>
  <c r="N7" i="21"/>
  <c r="H7" i="21"/>
  <c r="O7" i="21"/>
  <c r="C7" i="21"/>
  <c r="L7" i="21"/>
  <c r="M7" i="21"/>
  <c r="N8" i="21"/>
  <c r="H8" i="21"/>
  <c r="O8" i="21"/>
  <c r="C8" i="21"/>
  <c r="L8" i="21"/>
  <c r="M8" i="21"/>
  <c r="N9" i="21"/>
  <c r="H9" i="21"/>
  <c r="O9" i="21"/>
  <c r="C9" i="21"/>
  <c r="L9" i="21"/>
  <c r="M9" i="21"/>
  <c r="N10" i="21"/>
  <c r="H10" i="21"/>
  <c r="O10" i="21"/>
  <c r="C10" i="21"/>
  <c r="L10" i="21"/>
  <c r="M10" i="21"/>
  <c r="N11" i="21"/>
  <c r="H11" i="21"/>
  <c r="O11" i="21"/>
  <c r="C11" i="21"/>
  <c r="L11" i="21"/>
  <c r="M11" i="21"/>
  <c r="N12" i="21"/>
  <c r="H12" i="21"/>
  <c r="O12" i="21"/>
  <c r="C12" i="21"/>
  <c r="L12" i="21"/>
  <c r="M12" i="21"/>
  <c r="N13" i="21"/>
  <c r="H13" i="21"/>
  <c r="O13" i="21"/>
  <c r="C13" i="21"/>
  <c r="L13" i="21"/>
  <c r="M13" i="21"/>
  <c r="N14" i="21"/>
  <c r="H14" i="21"/>
  <c r="O14" i="21"/>
  <c r="C14" i="21"/>
  <c r="L14" i="21"/>
  <c r="M14" i="21"/>
  <c r="N15" i="21"/>
  <c r="H15" i="21"/>
  <c r="O15" i="21"/>
  <c r="C15" i="21"/>
  <c r="L15" i="21"/>
  <c r="M15" i="21"/>
  <c r="N16" i="21"/>
  <c r="H16" i="21"/>
  <c r="O16" i="21"/>
  <c r="C16" i="21"/>
  <c r="L16" i="21"/>
  <c r="M16" i="21"/>
  <c r="N17" i="21"/>
  <c r="H17" i="21"/>
  <c r="O17" i="21"/>
  <c r="C17" i="21"/>
  <c r="L17" i="21"/>
  <c r="M17" i="21"/>
  <c r="N18" i="21"/>
  <c r="H18" i="21"/>
  <c r="O18" i="21"/>
  <c r="C18" i="21"/>
  <c r="L18" i="21"/>
  <c r="M18" i="21"/>
  <c r="N19" i="21"/>
  <c r="H19" i="21"/>
  <c r="O19" i="21"/>
  <c r="C19" i="21"/>
  <c r="L19" i="21"/>
  <c r="M19" i="21"/>
  <c r="N20" i="21"/>
  <c r="H20" i="21"/>
  <c r="O20" i="21"/>
  <c r="C20" i="21"/>
  <c r="L20" i="21"/>
  <c r="M20" i="21"/>
  <c r="N21" i="21"/>
  <c r="H21" i="21"/>
  <c r="O21" i="21"/>
  <c r="C21" i="21"/>
  <c r="L21" i="21"/>
  <c r="M21" i="21"/>
  <c r="N22" i="21"/>
  <c r="H22" i="21"/>
  <c r="O22" i="21"/>
  <c r="P2" i="21"/>
  <c r="H2" i="22"/>
  <c r="O2" i="22"/>
  <c r="A4" i="22"/>
  <c r="C2" i="22"/>
  <c r="L2" i="22"/>
  <c r="M2" i="22"/>
  <c r="N3" i="22"/>
  <c r="H3" i="22"/>
  <c r="O3" i="22"/>
  <c r="C3" i="22"/>
  <c r="L3" i="22"/>
  <c r="M3" i="22"/>
  <c r="N4" i="22"/>
  <c r="H4" i="22"/>
  <c r="O4" i="22"/>
  <c r="C4" i="22"/>
  <c r="L4" i="22"/>
  <c r="M4" i="22"/>
  <c r="N5" i="22"/>
  <c r="H5" i="22"/>
  <c r="O5" i="22"/>
  <c r="C5" i="22"/>
  <c r="L5" i="22"/>
  <c r="M5" i="22"/>
  <c r="N6" i="22"/>
  <c r="H6" i="22"/>
  <c r="O6" i="22"/>
  <c r="C6" i="22"/>
  <c r="L6" i="22"/>
  <c r="M6" i="22"/>
  <c r="N7" i="22"/>
  <c r="H7" i="22"/>
  <c r="O7" i="22"/>
  <c r="C7" i="22"/>
  <c r="L7" i="22"/>
  <c r="M7" i="22"/>
  <c r="N8" i="22"/>
  <c r="H8" i="22"/>
  <c r="O8" i="22"/>
  <c r="C8" i="22"/>
  <c r="L8" i="22"/>
  <c r="M8" i="22"/>
  <c r="N9" i="22"/>
  <c r="H9" i="22"/>
  <c r="O9" i="22"/>
  <c r="C9" i="22"/>
  <c r="L9" i="22"/>
  <c r="M9" i="22"/>
  <c r="N10" i="22"/>
  <c r="H10" i="22"/>
  <c r="O10" i="22"/>
  <c r="C10" i="22"/>
  <c r="L10" i="22"/>
  <c r="M10" i="22"/>
  <c r="N11" i="22"/>
  <c r="H11" i="22"/>
  <c r="O11" i="22"/>
  <c r="C11" i="22"/>
  <c r="L11" i="22"/>
  <c r="M11" i="22"/>
  <c r="N12" i="22"/>
  <c r="H12" i="22"/>
  <c r="O12" i="22"/>
  <c r="C12" i="22"/>
  <c r="L12" i="22"/>
  <c r="M12" i="22"/>
  <c r="N13" i="22"/>
  <c r="H13" i="22"/>
  <c r="O13" i="22"/>
  <c r="C13" i="22"/>
  <c r="L13" i="22"/>
  <c r="M13" i="22"/>
  <c r="N14" i="22"/>
  <c r="H14" i="22"/>
  <c r="O14" i="22"/>
  <c r="C14" i="22"/>
  <c r="L14" i="22"/>
  <c r="M14" i="22"/>
  <c r="N15" i="22"/>
  <c r="H15" i="22"/>
  <c r="O15" i="22"/>
  <c r="C15" i="22"/>
  <c r="L15" i="22"/>
  <c r="M15" i="22"/>
  <c r="N16" i="22"/>
  <c r="H16" i="22"/>
  <c r="O16" i="22"/>
  <c r="C16" i="22"/>
  <c r="L16" i="22"/>
  <c r="M16" i="22"/>
  <c r="N17" i="22"/>
  <c r="H17" i="22"/>
  <c r="O17" i="22"/>
  <c r="C17" i="22"/>
  <c r="L17" i="22"/>
  <c r="M17" i="22"/>
  <c r="N18" i="22"/>
  <c r="H18" i="22"/>
  <c r="O18" i="22"/>
  <c r="C18" i="22"/>
  <c r="L18" i="22"/>
  <c r="M18" i="22"/>
  <c r="N19" i="22"/>
  <c r="H19" i="22"/>
  <c r="O19" i="22"/>
  <c r="C19" i="22"/>
  <c r="L19" i="22"/>
  <c r="M19" i="22"/>
  <c r="N20" i="22"/>
  <c r="H20" i="22"/>
  <c r="O20" i="22"/>
  <c r="C20" i="22"/>
  <c r="L20" i="22"/>
  <c r="M20" i="22"/>
  <c r="N21" i="22"/>
  <c r="H21" i="22"/>
  <c r="O21" i="22"/>
  <c r="C21" i="22"/>
  <c r="L21" i="22"/>
  <c r="M21" i="22"/>
  <c r="N22" i="22"/>
  <c r="H22" i="22"/>
  <c r="O22" i="22"/>
  <c r="C22" i="22"/>
  <c r="L22" i="22"/>
  <c r="M22" i="22"/>
  <c r="N23" i="22"/>
  <c r="H23" i="22"/>
  <c r="O23" i="22"/>
  <c r="C23" i="22"/>
  <c r="L23" i="22"/>
  <c r="M23" i="22"/>
  <c r="N24" i="22"/>
  <c r="H24" i="22"/>
  <c r="O24" i="22"/>
  <c r="C24" i="22"/>
  <c r="L24" i="22"/>
  <c r="M24" i="22"/>
  <c r="N25" i="22"/>
  <c r="H25" i="22"/>
  <c r="O25" i="22"/>
  <c r="P2" i="22"/>
  <c r="H2" i="23"/>
  <c r="O2" i="23"/>
  <c r="A4" i="23"/>
  <c r="C2" i="23"/>
  <c r="L2" i="23"/>
  <c r="M2" i="23"/>
  <c r="N3" i="23"/>
  <c r="H3" i="23"/>
  <c r="O3" i="23"/>
  <c r="C3" i="23"/>
  <c r="L3" i="23"/>
  <c r="M3" i="23"/>
  <c r="N4" i="23"/>
  <c r="H4" i="23"/>
  <c r="O4" i="23"/>
  <c r="C4" i="23"/>
  <c r="L4" i="23"/>
  <c r="M4" i="23"/>
  <c r="N5" i="23"/>
  <c r="H5" i="23"/>
  <c r="O5" i="23"/>
  <c r="C5" i="23"/>
  <c r="L5" i="23"/>
  <c r="M5" i="23"/>
  <c r="N6" i="23"/>
  <c r="H6" i="23"/>
  <c r="O6" i="23"/>
  <c r="C6" i="23"/>
  <c r="L6" i="23"/>
  <c r="M6" i="23"/>
  <c r="N7" i="23"/>
  <c r="H7" i="23"/>
  <c r="O7" i="23"/>
  <c r="C7" i="23"/>
  <c r="L7" i="23"/>
  <c r="M7" i="23"/>
  <c r="N8" i="23"/>
  <c r="H8" i="23"/>
  <c r="O8" i="23"/>
  <c r="C8" i="23"/>
  <c r="L8" i="23"/>
  <c r="M8" i="23"/>
  <c r="N9" i="23"/>
  <c r="H9" i="23"/>
  <c r="O9" i="23"/>
  <c r="C9" i="23"/>
  <c r="L9" i="23"/>
  <c r="M9" i="23"/>
  <c r="N10" i="23"/>
  <c r="H10" i="23"/>
  <c r="O10" i="23"/>
  <c r="C10" i="23"/>
  <c r="L10" i="23"/>
  <c r="M10" i="23"/>
  <c r="N11" i="23"/>
  <c r="H11" i="23"/>
  <c r="O11" i="23"/>
  <c r="C11" i="23"/>
  <c r="L11" i="23"/>
  <c r="M11" i="23"/>
  <c r="N12" i="23"/>
  <c r="H12" i="23"/>
  <c r="O12" i="23"/>
  <c r="C12" i="23"/>
  <c r="L12" i="23"/>
  <c r="M12" i="23"/>
  <c r="N13" i="23"/>
  <c r="H13" i="23"/>
  <c r="O13" i="23"/>
  <c r="C13" i="23"/>
  <c r="L13" i="23"/>
  <c r="M13" i="23"/>
  <c r="N14" i="23"/>
  <c r="H14" i="23"/>
  <c r="O14" i="23"/>
  <c r="C14" i="23"/>
  <c r="L14" i="23"/>
  <c r="M14" i="23"/>
  <c r="N15" i="23"/>
  <c r="H15" i="23"/>
  <c r="O15" i="23"/>
  <c r="C15" i="23"/>
  <c r="L15" i="23"/>
  <c r="M15" i="23"/>
  <c r="N16" i="23"/>
  <c r="H16" i="23"/>
  <c r="O16" i="23"/>
  <c r="C16" i="23"/>
  <c r="L16" i="23"/>
  <c r="M16" i="23"/>
  <c r="N17" i="23"/>
  <c r="H17" i="23"/>
  <c r="O17" i="23"/>
  <c r="C17" i="23"/>
  <c r="L17" i="23"/>
  <c r="M17" i="23"/>
  <c r="N18" i="23"/>
  <c r="H18" i="23"/>
  <c r="O18" i="23"/>
  <c r="C18" i="23"/>
  <c r="L18" i="23"/>
  <c r="M18" i="23"/>
  <c r="N19" i="23"/>
  <c r="H19" i="23"/>
  <c r="O19" i="23"/>
  <c r="C19" i="23"/>
  <c r="L19" i="23"/>
  <c r="M19" i="23"/>
  <c r="N20" i="23"/>
  <c r="H20" i="23"/>
  <c r="O20" i="23"/>
  <c r="C20" i="23"/>
  <c r="L20" i="23"/>
  <c r="M20" i="23"/>
  <c r="N21" i="23"/>
  <c r="H21" i="23"/>
  <c r="O21" i="23"/>
  <c r="C21" i="23"/>
  <c r="L21" i="23"/>
  <c r="M21" i="23"/>
  <c r="N22" i="23"/>
  <c r="H22" i="23"/>
  <c r="O22" i="23"/>
  <c r="C22" i="23"/>
  <c r="L22" i="23"/>
  <c r="M22" i="23"/>
  <c r="N23" i="23"/>
  <c r="H23" i="23"/>
  <c r="O23" i="23"/>
  <c r="C23" i="23"/>
  <c r="L23" i="23"/>
  <c r="M23" i="23"/>
  <c r="N24" i="23"/>
  <c r="H24" i="23"/>
  <c r="O24" i="23"/>
  <c r="C24" i="23"/>
  <c r="L24" i="23"/>
  <c r="M24" i="23"/>
  <c r="N25" i="23"/>
  <c r="H25" i="23"/>
  <c r="O25" i="23"/>
  <c r="C25" i="23"/>
  <c r="L25" i="23"/>
  <c r="M25" i="23"/>
  <c r="N26" i="23"/>
  <c r="H26" i="23"/>
  <c r="O26" i="23"/>
  <c r="C26" i="23"/>
  <c r="L26" i="23"/>
  <c r="M26" i="23"/>
  <c r="N27" i="23"/>
  <c r="H27" i="23"/>
  <c r="O27" i="23"/>
  <c r="P2" i="23"/>
  <c r="H2" i="24"/>
  <c r="O2" i="24"/>
  <c r="A4" i="24"/>
  <c r="C2" i="24"/>
  <c r="L2" i="24"/>
  <c r="M2" i="24"/>
  <c r="N3" i="24"/>
  <c r="H3" i="24"/>
  <c r="O3" i="24"/>
  <c r="C3" i="24"/>
  <c r="L3" i="24"/>
  <c r="M3" i="24"/>
  <c r="N4" i="24"/>
  <c r="H4" i="24"/>
  <c r="O4" i="24"/>
  <c r="C4" i="24"/>
  <c r="L4" i="24"/>
  <c r="M4" i="24"/>
  <c r="N5" i="24"/>
  <c r="H5" i="24"/>
  <c r="O5" i="24"/>
  <c r="C5" i="24"/>
  <c r="L5" i="24"/>
  <c r="M5" i="24"/>
  <c r="N6" i="24"/>
  <c r="H6" i="24"/>
  <c r="O6" i="24"/>
  <c r="C6" i="24"/>
  <c r="L6" i="24"/>
  <c r="M6" i="24"/>
  <c r="N7" i="24"/>
  <c r="H7" i="24"/>
  <c r="O7" i="24"/>
  <c r="C7" i="24"/>
  <c r="L7" i="24"/>
  <c r="M7" i="24"/>
  <c r="N8" i="24"/>
  <c r="H8" i="24"/>
  <c r="O8" i="24"/>
  <c r="C8" i="24"/>
  <c r="L8" i="24"/>
  <c r="M8" i="24"/>
  <c r="N9" i="24"/>
  <c r="H9" i="24"/>
  <c r="O9" i="24"/>
  <c r="C9" i="24"/>
  <c r="L9" i="24"/>
  <c r="M9" i="24"/>
  <c r="N10" i="24"/>
  <c r="H10" i="24"/>
  <c r="O10" i="24"/>
  <c r="C10" i="24"/>
  <c r="L10" i="24"/>
  <c r="M10" i="24"/>
  <c r="N11" i="24"/>
  <c r="H11" i="24"/>
  <c r="O11" i="24"/>
  <c r="C11" i="24"/>
  <c r="L11" i="24"/>
  <c r="M11" i="24"/>
  <c r="N12" i="24"/>
  <c r="H12" i="24"/>
  <c r="O12" i="24"/>
  <c r="C12" i="24"/>
  <c r="L12" i="24"/>
  <c r="M12" i="24"/>
  <c r="N13" i="24"/>
  <c r="H13" i="24"/>
  <c r="O13" i="24"/>
  <c r="C13" i="24"/>
  <c r="L13" i="24"/>
  <c r="M13" i="24"/>
  <c r="N14" i="24"/>
  <c r="H14" i="24"/>
  <c r="O14" i="24"/>
  <c r="C14" i="24"/>
  <c r="L14" i="24"/>
  <c r="M14" i="24"/>
  <c r="N15" i="24"/>
  <c r="H15" i="24"/>
  <c r="O15" i="24"/>
  <c r="C15" i="24"/>
  <c r="L15" i="24"/>
  <c r="M15" i="24"/>
  <c r="N16" i="24"/>
  <c r="H16" i="24"/>
  <c r="O16" i="24"/>
  <c r="C16" i="24"/>
  <c r="L16" i="24"/>
  <c r="M16" i="24"/>
  <c r="N17" i="24"/>
  <c r="H17" i="24"/>
  <c r="O17" i="24"/>
  <c r="C17" i="24"/>
  <c r="L17" i="24"/>
  <c r="M17" i="24"/>
  <c r="N18" i="24"/>
  <c r="H18" i="24"/>
  <c r="O18" i="24"/>
  <c r="C18" i="24"/>
  <c r="L18" i="24"/>
  <c r="M18" i="24"/>
  <c r="N19" i="24"/>
  <c r="H19" i="24"/>
  <c r="O19" i="24"/>
  <c r="C19" i="24"/>
  <c r="L19" i="24"/>
  <c r="M19" i="24"/>
  <c r="N20" i="24"/>
  <c r="H20" i="24"/>
  <c r="O20" i="24"/>
  <c r="C20" i="24"/>
  <c r="L20" i="24"/>
  <c r="M20" i="24"/>
  <c r="N21" i="24"/>
  <c r="H21" i="24"/>
  <c r="O21" i="24"/>
  <c r="C21" i="24"/>
  <c r="L21" i="24"/>
  <c r="M21" i="24"/>
  <c r="N22" i="24"/>
  <c r="H22" i="24"/>
  <c r="O22" i="24"/>
  <c r="C22" i="24"/>
  <c r="L22" i="24"/>
  <c r="M22" i="24"/>
  <c r="N23" i="24"/>
  <c r="H23" i="24"/>
  <c r="O23" i="24"/>
  <c r="C23" i="24"/>
  <c r="L23" i="24"/>
  <c r="M23" i="24"/>
  <c r="N24" i="24"/>
  <c r="H24" i="24"/>
  <c r="O24" i="24"/>
  <c r="C24" i="24"/>
  <c r="L24" i="24"/>
  <c r="M24" i="24"/>
  <c r="N25" i="24"/>
  <c r="H25" i="24"/>
  <c r="O25" i="24"/>
  <c r="C25" i="24"/>
  <c r="L25" i="24"/>
  <c r="M25" i="24"/>
  <c r="N26" i="24"/>
  <c r="H26" i="24"/>
  <c r="O26" i="24"/>
  <c r="C26" i="24"/>
  <c r="L26" i="24"/>
  <c r="M26" i="24"/>
  <c r="N27" i="24"/>
  <c r="H27" i="24"/>
  <c r="O27" i="24"/>
  <c r="C27" i="24"/>
  <c r="L27" i="24"/>
  <c r="M27" i="24"/>
  <c r="N28" i="24"/>
  <c r="H28" i="24"/>
  <c r="O28" i="24"/>
  <c r="C28" i="24"/>
  <c r="L28" i="24"/>
  <c r="M28" i="24"/>
  <c r="N29" i="24"/>
  <c r="H29" i="24"/>
  <c r="O29" i="24"/>
  <c r="C29" i="24"/>
  <c r="L29" i="24"/>
  <c r="M29" i="24"/>
  <c r="N30" i="24"/>
  <c r="H30" i="24"/>
  <c r="O30" i="24"/>
  <c r="P2" i="24"/>
  <c r="H2" i="18"/>
  <c r="O2" i="18"/>
  <c r="A4" i="18"/>
  <c r="C2" i="18"/>
  <c r="L2" i="18"/>
  <c r="M2" i="18"/>
  <c r="N3" i="18"/>
  <c r="H3" i="18"/>
  <c r="O3" i="18"/>
  <c r="C3" i="18"/>
  <c r="L3" i="18"/>
  <c r="M3" i="18"/>
  <c r="N4" i="18"/>
  <c r="H4" i="18"/>
  <c r="O4" i="18"/>
  <c r="C4" i="18"/>
  <c r="L4" i="18"/>
  <c r="M4" i="18"/>
  <c r="N5" i="18"/>
  <c r="H5" i="18"/>
  <c r="O5" i="18"/>
  <c r="C5" i="18"/>
  <c r="L5" i="18"/>
  <c r="M5" i="18"/>
  <c r="N6" i="18"/>
  <c r="H6" i="18"/>
  <c r="O6" i="18"/>
  <c r="C6" i="18"/>
  <c r="L6" i="18"/>
  <c r="M6" i="18"/>
  <c r="N7" i="18"/>
  <c r="H7" i="18"/>
  <c r="O7" i="18"/>
  <c r="C7" i="18"/>
  <c r="L7" i="18"/>
  <c r="M7" i="18"/>
  <c r="N8" i="18"/>
  <c r="H8" i="18"/>
  <c r="O8" i="18"/>
  <c r="C8" i="18"/>
  <c r="L8" i="18"/>
  <c r="M8" i="18"/>
  <c r="N9" i="18"/>
  <c r="H9" i="18"/>
  <c r="O9" i="18"/>
  <c r="C9" i="18"/>
  <c r="L9" i="18"/>
  <c r="M9" i="18"/>
  <c r="N10" i="18"/>
  <c r="H10" i="18"/>
  <c r="O10" i="18"/>
  <c r="C10" i="18"/>
  <c r="L10" i="18"/>
  <c r="M10" i="18"/>
  <c r="N11" i="18"/>
  <c r="H11" i="18"/>
  <c r="O11" i="18"/>
  <c r="C11" i="18"/>
  <c r="L11" i="18"/>
  <c r="M11" i="18"/>
  <c r="N12" i="18"/>
  <c r="H12" i="18"/>
  <c r="O12" i="18"/>
  <c r="C12" i="18"/>
  <c r="L12" i="18"/>
  <c r="M12" i="18"/>
  <c r="N13" i="18"/>
  <c r="H13" i="18"/>
  <c r="O13" i="18"/>
  <c r="C13" i="18"/>
  <c r="L13" i="18"/>
  <c r="M13" i="18"/>
  <c r="N14" i="18"/>
  <c r="H14" i="18"/>
  <c r="O14" i="18"/>
  <c r="C14" i="18"/>
  <c r="L14" i="18"/>
  <c r="M14" i="18"/>
  <c r="N15" i="18"/>
  <c r="H15" i="18"/>
  <c r="O15" i="18"/>
  <c r="C15" i="18"/>
  <c r="L15" i="18"/>
  <c r="M15" i="18"/>
  <c r="N16" i="18"/>
  <c r="H16" i="18"/>
  <c r="O16" i="18"/>
  <c r="C16" i="18"/>
  <c r="L16" i="18"/>
  <c r="M16" i="18"/>
  <c r="N17" i="18"/>
  <c r="H17" i="18"/>
  <c r="O17" i="18"/>
  <c r="C17" i="18"/>
  <c r="L17" i="18"/>
  <c r="M17" i="18"/>
  <c r="N18" i="18"/>
  <c r="H18" i="18"/>
  <c r="O18" i="18"/>
  <c r="C18" i="18"/>
  <c r="L18" i="18"/>
  <c r="M18" i="18"/>
  <c r="N19" i="18"/>
  <c r="H19" i="18"/>
  <c r="O19" i="18"/>
  <c r="C19" i="18"/>
  <c r="L19" i="18"/>
  <c r="M19" i="18"/>
  <c r="N20" i="18"/>
  <c r="H20" i="18"/>
  <c r="O20" i="18"/>
  <c r="C20" i="18"/>
  <c r="L20" i="18"/>
  <c r="M20" i="18"/>
  <c r="N21" i="18"/>
  <c r="H21" i="18"/>
  <c r="O21" i="18"/>
  <c r="C21" i="18"/>
  <c r="L21" i="18"/>
  <c r="M21" i="18"/>
  <c r="N22" i="18"/>
  <c r="H22" i="18"/>
  <c r="O22" i="18"/>
  <c r="C22" i="18"/>
  <c r="L22" i="18"/>
  <c r="M22" i="18"/>
  <c r="N23" i="18"/>
  <c r="H23" i="18"/>
  <c r="O23" i="18"/>
  <c r="C23" i="18"/>
  <c r="L23" i="18"/>
  <c r="M23" i="18"/>
  <c r="N24" i="18"/>
  <c r="H24" i="18"/>
  <c r="O24" i="18"/>
  <c r="C24" i="18"/>
  <c r="L24" i="18"/>
  <c r="M24" i="18"/>
  <c r="N25" i="18"/>
  <c r="H25" i="18"/>
  <c r="O25" i="18"/>
  <c r="C25" i="18"/>
  <c r="L25" i="18"/>
  <c r="M25" i="18"/>
  <c r="N26" i="18"/>
  <c r="H26" i="18"/>
  <c r="O26" i="18"/>
  <c r="C26" i="18"/>
  <c r="L26" i="18"/>
  <c r="M26" i="18"/>
  <c r="N27" i="18"/>
  <c r="H27" i="18"/>
  <c r="O27" i="18"/>
  <c r="C27" i="18"/>
  <c r="L27" i="18"/>
  <c r="M27" i="18"/>
  <c r="N28" i="18"/>
  <c r="H28" i="18"/>
  <c r="O28" i="18"/>
  <c r="C28" i="18"/>
  <c r="L28" i="18"/>
  <c r="M28" i="18"/>
  <c r="N29" i="18"/>
  <c r="H29" i="18"/>
  <c r="O29" i="18"/>
  <c r="C29" i="18"/>
  <c r="L29" i="18"/>
  <c r="M29" i="18"/>
  <c r="N30" i="18"/>
  <c r="H30" i="18"/>
  <c r="O30" i="18"/>
  <c r="C30" i="18"/>
  <c r="L30" i="18"/>
  <c r="M30" i="18"/>
  <c r="N31" i="18"/>
  <c r="H31" i="18"/>
  <c r="O31" i="18"/>
  <c r="C31" i="18"/>
  <c r="L31" i="18"/>
  <c r="M31" i="18"/>
  <c r="N32" i="18"/>
  <c r="H32" i="18"/>
  <c r="O32" i="18"/>
  <c r="P2" i="18"/>
  <c r="H2" i="19"/>
  <c r="O2" i="19"/>
  <c r="A4" i="19"/>
  <c r="C2" i="19"/>
  <c r="L2" i="19"/>
  <c r="M2" i="19"/>
  <c r="N3" i="19"/>
  <c r="H3" i="19"/>
  <c r="O3" i="19"/>
  <c r="C3" i="19"/>
  <c r="L3" i="19"/>
  <c r="M3" i="19"/>
  <c r="N4" i="19"/>
  <c r="H4" i="19"/>
  <c r="O4" i="19"/>
  <c r="C4" i="19"/>
  <c r="L4" i="19"/>
  <c r="M4" i="19"/>
  <c r="N5" i="19"/>
  <c r="H5" i="19"/>
  <c r="O5" i="19"/>
  <c r="C5" i="19"/>
  <c r="L5" i="19"/>
  <c r="M5" i="19"/>
  <c r="N6" i="19"/>
  <c r="H6" i="19"/>
  <c r="O6" i="19"/>
  <c r="C6" i="19"/>
  <c r="L6" i="19"/>
  <c r="M6" i="19"/>
  <c r="N7" i="19"/>
  <c r="H7" i="19"/>
  <c r="O7" i="19"/>
  <c r="C7" i="19"/>
  <c r="L7" i="19"/>
  <c r="M7" i="19"/>
  <c r="N8" i="19"/>
  <c r="H8" i="19"/>
  <c r="O8" i="19"/>
  <c r="C8" i="19"/>
  <c r="L8" i="19"/>
  <c r="M8" i="19"/>
  <c r="N9" i="19"/>
  <c r="H9" i="19"/>
  <c r="O9" i="19"/>
  <c r="C9" i="19"/>
  <c r="L9" i="19"/>
  <c r="M9" i="19"/>
  <c r="N10" i="19"/>
  <c r="H10" i="19"/>
  <c r="O10" i="19"/>
  <c r="C10" i="19"/>
  <c r="L10" i="19"/>
  <c r="M10" i="19"/>
  <c r="N11" i="19"/>
  <c r="H11" i="19"/>
  <c r="O11" i="19"/>
  <c r="C11" i="19"/>
  <c r="L11" i="19"/>
  <c r="M11" i="19"/>
  <c r="N12" i="19"/>
  <c r="H12" i="19"/>
  <c r="O12" i="19"/>
  <c r="C12" i="19"/>
  <c r="L12" i="19"/>
  <c r="M12" i="19"/>
  <c r="N13" i="19"/>
  <c r="H13" i="19"/>
  <c r="O13" i="19"/>
  <c r="C13" i="19"/>
  <c r="L13" i="19"/>
  <c r="M13" i="19"/>
  <c r="N14" i="19"/>
  <c r="H14" i="19"/>
  <c r="O14" i="19"/>
  <c r="C14" i="19"/>
  <c r="L14" i="19"/>
  <c r="M14" i="19"/>
  <c r="N15" i="19"/>
  <c r="H15" i="19"/>
  <c r="O15" i="19"/>
  <c r="C15" i="19"/>
  <c r="L15" i="19"/>
  <c r="M15" i="19"/>
  <c r="N16" i="19"/>
  <c r="H16" i="19"/>
  <c r="O16" i="19"/>
  <c r="C16" i="19"/>
  <c r="L16" i="19"/>
  <c r="M16" i="19"/>
  <c r="N17" i="19"/>
  <c r="H17" i="19"/>
  <c r="O17" i="19"/>
  <c r="C17" i="19"/>
  <c r="L17" i="19"/>
  <c r="M17" i="19"/>
  <c r="N18" i="19"/>
  <c r="H18" i="19"/>
  <c r="O18" i="19"/>
  <c r="C18" i="19"/>
  <c r="L18" i="19"/>
  <c r="M18" i="19"/>
  <c r="N19" i="19"/>
  <c r="H19" i="19"/>
  <c r="O19" i="19"/>
  <c r="C19" i="19"/>
  <c r="L19" i="19"/>
  <c r="M19" i="19"/>
  <c r="N20" i="19"/>
  <c r="H20" i="19"/>
  <c r="O20" i="19"/>
  <c r="C20" i="19"/>
  <c r="L20" i="19"/>
  <c r="M20" i="19"/>
  <c r="N21" i="19"/>
  <c r="H21" i="19"/>
  <c r="O21" i="19"/>
  <c r="C21" i="19"/>
  <c r="L21" i="19"/>
  <c r="M21" i="19"/>
  <c r="N22" i="19"/>
  <c r="H22" i="19"/>
  <c r="O22" i="19"/>
  <c r="C22" i="19"/>
  <c r="L22" i="19"/>
  <c r="M22" i="19"/>
  <c r="N23" i="19"/>
  <c r="H23" i="19"/>
  <c r="O23" i="19"/>
  <c r="C23" i="19"/>
  <c r="L23" i="19"/>
  <c r="M23" i="19"/>
  <c r="N24" i="19"/>
  <c r="H24" i="19"/>
  <c r="O24" i="19"/>
  <c r="C24" i="19"/>
  <c r="L24" i="19"/>
  <c r="M24" i="19"/>
  <c r="N25" i="19"/>
  <c r="H25" i="19"/>
  <c r="O25" i="19"/>
  <c r="C25" i="19"/>
  <c r="L25" i="19"/>
  <c r="M25" i="19"/>
  <c r="N26" i="19"/>
  <c r="H26" i="19"/>
  <c r="O26" i="19"/>
  <c r="C26" i="19"/>
  <c r="L26" i="19"/>
  <c r="M26" i="19"/>
  <c r="N27" i="19"/>
  <c r="H27" i="19"/>
  <c r="O27" i="19"/>
  <c r="C27" i="19"/>
  <c r="L27" i="19"/>
  <c r="M27" i="19"/>
  <c r="N28" i="19"/>
  <c r="H28" i="19"/>
  <c r="O28" i="19"/>
  <c r="C28" i="19"/>
  <c r="L28" i="19"/>
  <c r="M28" i="19"/>
  <c r="N29" i="19"/>
  <c r="H29" i="19"/>
  <c r="O29" i="19"/>
  <c r="C29" i="19"/>
  <c r="L29" i="19"/>
  <c r="M29" i="19"/>
  <c r="N30" i="19"/>
  <c r="H30" i="19"/>
  <c r="O30" i="19"/>
  <c r="C30" i="19"/>
  <c r="L30" i="19"/>
  <c r="M30" i="19"/>
  <c r="N31" i="19"/>
  <c r="H31" i="19"/>
  <c r="O31" i="19"/>
  <c r="C31" i="19"/>
  <c r="L31" i="19"/>
  <c r="M31" i="19"/>
  <c r="N32" i="19"/>
  <c r="H32" i="19"/>
  <c r="O32" i="19"/>
  <c r="C32" i="19"/>
  <c r="L32" i="19"/>
  <c r="M32" i="19"/>
  <c r="N33" i="19"/>
  <c r="H33" i="19"/>
  <c r="O33" i="19"/>
  <c r="C33" i="19"/>
  <c r="L33" i="19"/>
  <c r="M33" i="19"/>
  <c r="N34" i="19"/>
  <c r="H34" i="19"/>
  <c r="O34" i="19"/>
  <c r="C34" i="19"/>
  <c r="L34" i="19"/>
  <c r="M34" i="19"/>
  <c r="N35" i="19"/>
  <c r="H35" i="19"/>
  <c r="O35" i="19"/>
  <c r="P2" i="19"/>
  <c r="H2" i="20"/>
  <c r="O2" i="20"/>
  <c r="A4" i="20"/>
  <c r="C2" i="20"/>
  <c r="L2" i="20"/>
  <c r="M2" i="20"/>
  <c r="N3" i="20"/>
  <c r="H3" i="20"/>
  <c r="O3" i="20"/>
  <c r="C3" i="20"/>
  <c r="L3" i="20"/>
  <c r="M3" i="20"/>
  <c r="N4" i="20"/>
  <c r="H4" i="20"/>
  <c r="O4" i="20"/>
  <c r="C4" i="20"/>
  <c r="L4" i="20"/>
  <c r="M4" i="20"/>
  <c r="N5" i="20"/>
  <c r="H5" i="20"/>
  <c r="O5" i="20"/>
  <c r="C5" i="20"/>
  <c r="L5" i="20"/>
  <c r="M5" i="20"/>
  <c r="N6" i="20"/>
  <c r="H6" i="20"/>
  <c r="O6" i="20"/>
  <c r="C6" i="20"/>
  <c r="L6" i="20"/>
  <c r="M6" i="20"/>
  <c r="N7" i="20"/>
  <c r="H7" i="20"/>
  <c r="O7" i="20"/>
  <c r="C7" i="20"/>
  <c r="L7" i="20"/>
  <c r="M7" i="20"/>
  <c r="N8" i="20"/>
  <c r="H8" i="20"/>
  <c r="O8" i="20"/>
  <c r="C8" i="20"/>
  <c r="L8" i="20"/>
  <c r="M8" i="20"/>
  <c r="N9" i="20"/>
  <c r="H9" i="20"/>
  <c r="O9" i="20"/>
  <c r="C9" i="20"/>
  <c r="L9" i="20"/>
  <c r="M9" i="20"/>
  <c r="N10" i="20"/>
  <c r="H10" i="20"/>
  <c r="O10" i="20"/>
  <c r="C10" i="20"/>
  <c r="L10" i="20"/>
  <c r="M10" i="20"/>
  <c r="N11" i="20"/>
  <c r="H11" i="20"/>
  <c r="O11" i="20"/>
  <c r="C11" i="20"/>
  <c r="L11" i="20"/>
  <c r="M11" i="20"/>
  <c r="N12" i="20"/>
  <c r="H12" i="20"/>
  <c r="O12" i="20"/>
  <c r="C12" i="20"/>
  <c r="L12" i="20"/>
  <c r="M12" i="20"/>
  <c r="N13" i="20"/>
  <c r="H13" i="20"/>
  <c r="O13" i="20"/>
  <c r="C13" i="20"/>
  <c r="L13" i="20"/>
  <c r="M13" i="20"/>
  <c r="N14" i="20"/>
  <c r="H14" i="20"/>
  <c r="O14" i="20"/>
  <c r="C14" i="20"/>
  <c r="L14" i="20"/>
  <c r="M14" i="20"/>
  <c r="N15" i="20"/>
  <c r="H15" i="20"/>
  <c r="O15" i="20"/>
  <c r="C15" i="20"/>
  <c r="L15" i="20"/>
  <c r="M15" i="20"/>
  <c r="N16" i="20"/>
  <c r="H16" i="20"/>
  <c r="O16" i="20"/>
  <c r="C16" i="20"/>
  <c r="L16" i="20"/>
  <c r="M16" i="20"/>
  <c r="N17" i="20"/>
  <c r="H17" i="20"/>
  <c r="O17" i="20"/>
  <c r="C17" i="20"/>
  <c r="L17" i="20"/>
  <c r="M17" i="20"/>
  <c r="N18" i="20"/>
  <c r="H18" i="20"/>
  <c r="O18" i="20"/>
  <c r="C18" i="20"/>
  <c r="L18" i="20"/>
  <c r="M18" i="20"/>
  <c r="N19" i="20"/>
  <c r="H19" i="20"/>
  <c r="O19" i="20"/>
  <c r="C19" i="20"/>
  <c r="L19" i="20"/>
  <c r="M19" i="20"/>
  <c r="N20" i="20"/>
  <c r="H20" i="20"/>
  <c r="O20" i="20"/>
  <c r="C20" i="20"/>
  <c r="L20" i="20"/>
  <c r="M20" i="20"/>
  <c r="N21" i="20"/>
  <c r="H21" i="20"/>
  <c r="O21" i="20"/>
  <c r="C21" i="20"/>
  <c r="L21" i="20"/>
  <c r="M21" i="20"/>
  <c r="N22" i="20"/>
  <c r="H22" i="20"/>
  <c r="O22" i="20"/>
  <c r="C22" i="20"/>
  <c r="L22" i="20"/>
  <c r="M22" i="20"/>
  <c r="N23" i="20"/>
  <c r="H23" i="20"/>
  <c r="O23" i="20"/>
  <c r="C23" i="20"/>
  <c r="L23" i="20"/>
  <c r="M23" i="20"/>
  <c r="N24" i="20"/>
  <c r="H24" i="20"/>
  <c r="O24" i="20"/>
  <c r="C24" i="20"/>
  <c r="L24" i="20"/>
  <c r="M24" i="20"/>
  <c r="N25" i="20"/>
  <c r="H25" i="20"/>
  <c r="O25" i="20"/>
  <c r="C25" i="20"/>
  <c r="L25" i="20"/>
  <c r="M25" i="20"/>
  <c r="N26" i="20"/>
  <c r="H26" i="20"/>
  <c r="O26" i="20"/>
  <c r="C26" i="20"/>
  <c r="L26" i="20"/>
  <c r="M26" i="20"/>
  <c r="N27" i="20"/>
  <c r="H27" i="20"/>
  <c r="O27" i="20"/>
  <c r="C27" i="20"/>
  <c r="L27" i="20"/>
  <c r="M27" i="20"/>
  <c r="N28" i="20"/>
  <c r="H28" i="20"/>
  <c r="O28" i="20"/>
  <c r="C28" i="20"/>
  <c r="L28" i="20"/>
  <c r="M28" i="20"/>
  <c r="N29" i="20"/>
  <c r="H29" i="20"/>
  <c r="O29" i="20"/>
  <c r="C29" i="20"/>
  <c r="L29" i="20"/>
  <c r="M29" i="20"/>
  <c r="N30" i="20"/>
  <c r="H30" i="20"/>
  <c r="O30" i="20"/>
  <c r="C30" i="20"/>
  <c r="L30" i="20"/>
  <c r="M30" i="20"/>
  <c r="N31" i="20"/>
  <c r="H31" i="20"/>
  <c r="O31" i="20"/>
  <c r="C31" i="20"/>
  <c r="L31" i="20"/>
  <c r="M31" i="20"/>
  <c r="N32" i="20"/>
  <c r="H32" i="20"/>
  <c r="O32" i="20"/>
  <c r="C32" i="20"/>
  <c r="L32" i="20"/>
  <c r="M32" i="20"/>
  <c r="N33" i="20"/>
  <c r="H33" i="20"/>
  <c r="O33" i="20"/>
  <c r="C33" i="20"/>
  <c r="L33" i="20"/>
  <c r="M33" i="20"/>
  <c r="N34" i="20"/>
  <c r="H34" i="20"/>
  <c r="O34" i="20"/>
  <c r="C34" i="20"/>
  <c r="L34" i="20"/>
  <c r="M34" i="20"/>
  <c r="N35" i="20"/>
  <c r="H35" i="20"/>
  <c r="O35" i="20"/>
  <c r="C35" i="20"/>
  <c r="L35" i="20"/>
  <c r="M35" i="20"/>
  <c r="N36" i="20"/>
  <c r="H36" i="20"/>
  <c r="O36" i="20"/>
  <c r="C36" i="20"/>
  <c r="L36" i="20"/>
  <c r="M36" i="20"/>
  <c r="N37" i="20"/>
  <c r="H37" i="20"/>
  <c r="O37" i="20"/>
  <c r="P2" i="20"/>
  <c r="H2" i="8"/>
  <c r="O2" i="8"/>
  <c r="A4" i="8"/>
  <c r="C2" i="8"/>
  <c r="L2" i="8"/>
  <c r="M2" i="8"/>
  <c r="N3" i="8"/>
  <c r="H3" i="8"/>
  <c r="O3" i="8"/>
  <c r="C3" i="8"/>
  <c r="L3" i="8"/>
  <c r="M3" i="8"/>
  <c r="N4" i="8"/>
  <c r="H4" i="8"/>
  <c r="O4" i="8"/>
  <c r="C4" i="8"/>
  <c r="L4" i="8"/>
  <c r="M4" i="8"/>
  <c r="N5" i="8"/>
  <c r="H5" i="8"/>
  <c r="O5" i="8"/>
  <c r="C5" i="8"/>
  <c r="L5" i="8"/>
  <c r="M5" i="8"/>
  <c r="N6" i="8"/>
  <c r="H6" i="8"/>
  <c r="O6" i="8"/>
  <c r="C6" i="8"/>
  <c r="L6" i="8"/>
  <c r="M6" i="8"/>
  <c r="N7" i="8"/>
  <c r="H7" i="8"/>
  <c r="O7" i="8"/>
  <c r="C7" i="8"/>
  <c r="L7" i="8"/>
  <c r="M7" i="8"/>
  <c r="N8" i="8"/>
  <c r="H8" i="8"/>
  <c r="O8" i="8"/>
  <c r="C8" i="8"/>
  <c r="L8" i="8"/>
  <c r="M8" i="8"/>
  <c r="N9" i="8"/>
  <c r="H9" i="8"/>
  <c r="O9" i="8"/>
  <c r="C9" i="8"/>
  <c r="L9" i="8"/>
  <c r="M9" i="8"/>
  <c r="N10" i="8"/>
  <c r="H10" i="8"/>
  <c r="O10" i="8"/>
  <c r="C10" i="8"/>
  <c r="L10" i="8"/>
  <c r="M10" i="8"/>
  <c r="N11" i="8"/>
  <c r="H11" i="8"/>
  <c r="O11" i="8"/>
  <c r="C11" i="8"/>
  <c r="L11" i="8"/>
  <c r="M11" i="8"/>
  <c r="N12" i="8"/>
  <c r="H12" i="8"/>
  <c r="O12" i="8"/>
  <c r="C12" i="8"/>
  <c r="L12" i="8"/>
  <c r="M12" i="8"/>
  <c r="N13" i="8"/>
  <c r="H13" i="8"/>
  <c r="O13" i="8"/>
  <c r="C13" i="8"/>
  <c r="L13" i="8"/>
  <c r="M13" i="8"/>
  <c r="N14" i="8"/>
  <c r="H14" i="8"/>
  <c r="O14" i="8"/>
  <c r="C14" i="8"/>
  <c r="L14" i="8"/>
  <c r="M14" i="8"/>
  <c r="N15" i="8"/>
  <c r="H15" i="8"/>
  <c r="O15" i="8"/>
  <c r="C15" i="8"/>
  <c r="L15" i="8"/>
  <c r="M15" i="8"/>
  <c r="N16" i="8"/>
  <c r="H16" i="8"/>
  <c r="O16" i="8"/>
  <c r="C16" i="8"/>
  <c r="L16" i="8"/>
  <c r="M16" i="8"/>
  <c r="N17" i="8"/>
  <c r="H17" i="8"/>
  <c r="O17" i="8"/>
  <c r="C17" i="8"/>
  <c r="L17" i="8"/>
  <c r="M17" i="8"/>
  <c r="N18" i="8"/>
  <c r="H18" i="8"/>
  <c r="O18" i="8"/>
  <c r="C18" i="8"/>
  <c r="L18" i="8"/>
  <c r="M18" i="8"/>
  <c r="N19" i="8"/>
  <c r="H19" i="8"/>
  <c r="O19" i="8"/>
  <c r="C19" i="8"/>
  <c r="L19" i="8"/>
  <c r="M19" i="8"/>
  <c r="N20" i="8"/>
  <c r="H20" i="8"/>
  <c r="O20" i="8"/>
  <c r="C20" i="8"/>
  <c r="L20" i="8"/>
  <c r="M20" i="8"/>
  <c r="N21" i="8"/>
  <c r="H21" i="8"/>
  <c r="O21" i="8"/>
  <c r="C21" i="8"/>
  <c r="L21" i="8"/>
  <c r="M21" i="8"/>
  <c r="N22" i="8"/>
  <c r="H22" i="8"/>
  <c r="O22" i="8"/>
  <c r="C22" i="8"/>
  <c r="L22" i="8"/>
  <c r="M22" i="8"/>
  <c r="N23" i="8"/>
  <c r="H23" i="8"/>
  <c r="O23" i="8"/>
  <c r="C23" i="8"/>
  <c r="L23" i="8"/>
  <c r="M23" i="8"/>
  <c r="N24" i="8"/>
  <c r="H24" i="8"/>
  <c r="O24" i="8"/>
  <c r="C24" i="8"/>
  <c r="L24" i="8"/>
  <c r="M24" i="8"/>
  <c r="N25" i="8"/>
  <c r="H25" i="8"/>
  <c r="O25" i="8"/>
  <c r="C25" i="8"/>
  <c r="L25" i="8"/>
  <c r="M25" i="8"/>
  <c r="N26" i="8"/>
  <c r="H26" i="8"/>
  <c r="O26" i="8"/>
  <c r="C26" i="8"/>
  <c r="L26" i="8"/>
  <c r="M26" i="8"/>
  <c r="N27" i="8"/>
  <c r="H27" i="8"/>
  <c r="O27" i="8"/>
  <c r="C27" i="8"/>
  <c r="L27" i="8"/>
  <c r="M27" i="8"/>
  <c r="N28" i="8"/>
  <c r="H28" i="8"/>
  <c r="O28" i="8"/>
  <c r="C28" i="8"/>
  <c r="L28" i="8"/>
  <c r="M28" i="8"/>
  <c r="N29" i="8"/>
  <c r="H29" i="8"/>
  <c r="O29" i="8"/>
  <c r="C29" i="8"/>
  <c r="L29" i="8"/>
  <c r="M29" i="8"/>
  <c r="N30" i="8"/>
  <c r="H30" i="8"/>
  <c r="O30" i="8"/>
  <c r="C30" i="8"/>
  <c r="L30" i="8"/>
  <c r="M30" i="8"/>
  <c r="N31" i="8"/>
  <c r="H31" i="8"/>
  <c r="O31" i="8"/>
  <c r="C31" i="8"/>
  <c r="L31" i="8"/>
  <c r="M31" i="8"/>
  <c r="N32" i="8"/>
  <c r="H32" i="8"/>
  <c r="O32" i="8"/>
  <c r="C32" i="8"/>
  <c r="L32" i="8"/>
  <c r="M32" i="8"/>
  <c r="N33" i="8"/>
  <c r="H33" i="8"/>
  <c r="O33" i="8"/>
  <c r="C33" i="8"/>
  <c r="L33" i="8"/>
  <c r="M33" i="8"/>
  <c r="N34" i="8"/>
  <c r="H34" i="8"/>
  <c r="O34" i="8"/>
  <c r="C34" i="8"/>
  <c r="L34" i="8"/>
  <c r="M34" i="8"/>
  <c r="N35" i="8"/>
  <c r="H35" i="8"/>
  <c r="O35" i="8"/>
  <c r="C35" i="8"/>
  <c r="L35" i="8"/>
  <c r="M35" i="8"/>
  <c r="N36" i="8"/>
  <c r="H36" i="8"/>
  <c r="O36" i="8"/>
  <c r="C36" i="8"/>
  <c r="L36" i="8"/>
  <c r="M36" i="8"/>
  <c r="N37" i="8"/>
  <c r="H37" i="8"/>
  <c r="O37" i="8"/>
  <c r="C37" i="8"/>
  <c r="L37" i="8"/>
  <c r="M37" i="8"/>
  <c r="N38" i="8"/>
  <c r="H38" i="8"/>
  <c r="O38" i="8"/>
  <c r="C38" i="8"/>
  <c r="L38" i="8"/>
  <c r="M38" i="8"/>
  <c r="N39" i="8"/>
  <c r="H39" i="8"/>
  <c r="O39" i="8"/>
  <c r="C39" i="8"/>
  <c r="L39" i="8"/>
  <c r="M39" i="8"/>
  <c r="N40" i="8"/>
  <c r="H40" i="8"/>
  <c r="O40" i="8"/>
  <c r="P2" i="8"/>
  <c r="H2" i="9"/>
  <c r="O2" i="9"/>
  <c r="A4" i="9"/>
  <c r="C2" i="9"/>
  <c r="L2" i="9"/>
  <c r="M2" i="9"/>
  <c r="N3" i="9"/>
  <c r="H3" i="9"/>
  <c r="O3" i="9"/>
  <c r="C3" i="9"/>
  <c r="L3" i="9"/>
  <c r="M3" i="9"/>
  <c r="N4" i="9"/>
  <c r="H4" i="9"/>
  <c r="O4" i="9"/>
  <c r="C4" i="9"/>
  <c r="L4" i="9"/>
  <c r="M4" i="9"/>
  <c r="N5" i="9"/>
  <c r="H5" i="9"/>
  <c r="O5" i="9"/>
  <c r="C5" i="9"/>
  <c r="L5" i="9"/>
  <c r="M5" i="9"/>
  <c r="N6" i="9"/>
  <c r="H6" i="9"/>
  <c r="O6" i="9"/>
  <c r="C6" i="9"/>
  <c r="L6" i="9"/>
  <c r="M6" i="9"/>
  <c r="N7" i="9"/>
  <c r="H7" i="9"/>
  <c r="O7" i="9"/>
  <c r="C7" i="9"/>
  <c r="L7" i="9"/>
  <c r="M7" i="9"/>
  <c r="N8" i="9"/>
  <c r="H8" i="9"/>
  <c r="O8" i="9"/>
  <c r="C8" i="9"/>
  <c r="L8" i="9"/>
  <c r="M8" i="9"/>
  <c r="N9" i="9"/>
  <c r="H9" i="9"/>
  <c r="O9" i="9"/>
  <c r="C9" i="9"/>
  <c r="L9" i="9"/>
  <c r="M9" i="9"/>
  <c r="N10" i="9"/>
  <c r="H10" i="9"/>
  <c r="O10" i="9"/>
  <c r="C10" i="9"/>
  <c r="L10" i="9"/>
  <c r="M10" i="9"/>
  <c r="N11" i="9"/>
  <c r="H11" i="9"/>
  <c r="O11" i="9"/>
  <c r="C11" i="9"/>
  <c r="L11" i="9"/>
  <c r="M11" i="9"/>
  <c r="N12" i="9"/>
  <c r="H12" i="9"/>
  <c r="O12" i="9"/>
  <c r="C12" i="9"/>
  <c r="L12" i="9"/>
  <c r="M12" i="9"/>
  <c r="N13" i="9"/>
  <c r="H13" i="9"/>
  <c r="O13" i="9"/>
  <c r="C13" i="9"/>
  <c r="L13" i="9"/>
  <c r="M13" i="9"/>
  <c r="N14" i="9"/>
  <c r="H14" i="9"/>
  <c r="O14" i="9"/>
  <c r="C14" i="9"/>
  <c r="L14" i="9"/>
  <c r="M14" i="9"/>
  <c r="N15" i="9"/>
  <c r="H15" i="9"/>
  <c r="O15" i="9"/>
  <c r="C15" i="9"/>
  <c r="L15" i="9"/>
  <c r="M15" i="9"/>
  <c r="N16" i="9"/>
  <c r="H16" i="9"/>
  <c r="O16" i="9"/>
  <c r="C16" i="9"/>
  <c r="L16" i="9"/>
  <c r="M16" i="9"/>
  <c r="N17" i="9"/>
  <c r="H17" i="9"/>
  <c r="O17" i="9"/>
  <c r="C17" i="9"/>
  <c r="L17" i="9"/>
  <c r="M17" i="9"/>
  <c r="N18" i="9"/>
  <c r="H18" i="9"/>
  <c r="O18" i="9"/>
  <c r="C18" i="9"/>
  <c r="L18" i="9"/>
  <c r="M18" i="9"/>
  <c r="N19" i="9"/>
  <c r="H19" i="9"/>
  <c r="O19" i="9"/>
  <c r="C19" i="9"/>
  <c r="L19" i="9"/>
  <c r="M19" i="9"/>
  <c r="N20" i="9"/>
  <c r="H20" i="9"/>
  <c r="O20" i="9"/>
  <c r="C20" i="9"/>
  <c r="L20" i="9"/>
  <c r="M20" i="9"/>
  <c r="N21" i="9"/>
  <c r="H21" i="9"/>
  <c r="O21" i="9"/>
  <c r="C21" i="9"/>
  <c r="L21" i="9"/>
  <c r="M21" i="9"/>
  <c r="N22" i="9"/>
  <c r="H22" i="9"/>
  <c r="O22" i="9"/>
  <c r="C22" i="9"/>
  <c r="L22" i="9"/>
  <c r="M22" i="9"/>
  <c r="N23" i="9"/>
  <c r="H23" i="9"/>
  <c r="O23" i="9"/>
  <c r="C23" i="9"/>
  <c r="L23" i="9"/>
  <c r="M23" i="9"/>
  <c r="N24" i="9"/>
  <c r="H24" i="9"/>
  <c r="O24" i="9"/>
  <c r="C24" i="9"/>
  <c r="L24" i="9"/>
  <c r="M24" i="9"/>
  <c r="N25" i="9"/>
  <c r="H25" i="9"/>
  <c r="O25" i="9"/>
  <c r="C25" i="9"/>
  <c r="L25" i="9"/>
  <c r="M25" i="9"/>
  <c r="N26" i="9"/>
  <c r="H26" i="9"/>
  <c r="O26" i="9"/>
  <c r="C26" i="9"/>
  <c r="L26" i="9"/>
  <c r="M26" i="9"/>
  <c r="N27" i="9"/>
  <c r="H27" i="9"/>
  <c r="O27" i="9"/>
  <c r="C27" i="9"/>
  <c r="L27" i="9"/>
  <c r="M27" i="9"/>
  <c r="N28" i="9"/>
  <c r="H28" i="9"/>
  <c r="O28" i="9"/>
  <c r="C28" i="9"/>
  <c r="L28" i="9"/>
  <c r="M28" i="9"/>
  <c r="N29" i="9"/>
  <c r="H29" i="9"/>
  <c r="O29" i="9"/>
  <c r="C29" i="9"/>
  <c r="L29" i="9"/>
  <c r="M29" i="9"/>
  <c r="N30" i="9"/>
  <c r="H30" i="9"/>
  <c r="O30" i="9"/>
  <c r="C30" i="9"/>
  <c r="L30" i="9"/>
  <c r="M30" i="9"/>
  <c r="N31" i="9"/>
  <c r="H31" i="9"/>
  <c r="O31" i="9"/>
  <c r="C31" i="9"/>
  <c r="L31" i="9"/>
  <c r="M31" i="9"/>
  <c r="N32" i="9"/>
  <c r="H32" i="9"/>
  <c r="O32" i="9"/>
  <c r="C32" i="9"/>
  <c r="L32" i="9"/>
  <c r="M32" i="9"/>
  <c r="N33" i="9"/>
  <c r="H33" i="9"/>
  <c r="O33" i="9"/>
  <c r="C33" i="9"/>
  <c r="L33" i="9"/>
  <c r="M33" i="9"/>
  <c r="N34" i="9"/>
  <c r="H34" i="9"/>
  <c r="O34" i="9"/>
  <c r="C34" i="9"/>
  <c r="L34" i="9"/>
  <c r="M34" i="9"/>
  <c r="N35" i="9"/>
  <c r="H35" i="9"/>
  <c r="O35" i="9"/>
  <c r="C35" i="9"/>
  <c r="L35" i="9"/>
  <c r="M35" i="9"/>
  <c r="N36" i="9"/>
  <c r="H36" i="9"/>
  <c r="O36" i="9"/>
  <c r="C36" i="9"/>
  <c r="L36" i="9"/>
  <c r="M36" i="9"/>
  <c r="N37" i="9"/>
  <c r="H37" i="9"/>
  <c r="O37" i="9"/>
  <c r="C37" i="9"/>
  <c r="L37" i="9"/>
  <c r="M37" i="9"/>
  <c r="N38" i="9"/>
  <c r="H38" i="9"/>
  <c r="O38" i="9"/>
  <c r="C38" i="9"/>
  <c r="L38" i="9"/>
  <c r="M38" i="9"/>
  <c r="N39" i="9"/>
  <c r="H39" i="9"/>
  <c r="O39" i="9"/>
  <c r="C39" i="9"/>
  <c r="L39" i="9"/>
  <c r="M39" i="9"/>
  <c r="N40" i="9"/>
  <c r="H40" i="9"/>
  <c r="O40" i="9"/>
  <c r="C40" i="9"/>
  <c r="L40" i="9"/>
  <c r="M40" i="9"/>
  <c r="N41" i="9"/>
  <c r="H41" i="9"/>
  <c r="O41" i="9"/>
  <c r="C41" i="9"/>
  <c r="L41" i="9"/>
  <c r="M41" i="9"/>
  <c r="N42" i="9"/>
  <c r="H42" i="9"/>
  <c r="O42" i="9"/>
  <c r="P2" i="9"/>
  <c r="H2" i="10"/>
  <c r="O2" i="10"/>
  <c r="A4" i="10"/>
  <c r="C2" i="10"/>
  <c r="L2" i="10"/>
  <c r="M2" i="10"/>
  <c r="N3" i="10"/>
  <c r="H3" i="10"/>
  <c r="O3" i="10"/>
  <c r="C3" i="10"/>
  <c r="L3" i="10"/>
  <c r="M3" i="10"/>
  <c r="N4" i="10"/>
  <c r="H4" i="10"/>
  <c r="O4" i="10"/>
  <c r="C4" i="10"/>
  <c r="L4" i="10"/>
  <c r="M4" i="10"/>
  <c r="N5" i="10"/>
  <c r="H5" i="10"/>
  <c r="O5" i="10"/>
  <c r="C5" i="10"/>
  <c r="L5" i="10"/>
  <c r="M5" i="10"/>
  <c r="N6" i="10"/>
  <c r="H6" i="10"/>
  <c r="O6" i="10"/>
  <c r="C6" i="10"/>
  <c r="L6" i="10"/>
  <c r="M6" i="10"/>
  <c r="N7" i="10"/>
  <c r="H7" i="10"/>
  <c r="O7" i="10"/>
  <c r="C7" i="10"/>
  <c r="L7" i="10"/>
  <c r="M7" i="10"/>
  <c r="N8" i="10"/>
  <c r="H8" i="10"/>
  <c r="O8" i="10"/>
  <c r="C8" i="10"/>
  <c r="L8" i="10"/>
  <c r="M8" i="10"/>
  <c r="N9" i="10"/>
  <c r="H9" i="10"/>
  <c r="O9" i="10"/>
  <c r="C9" i="10"/>
  <c r="L9" i="10"/>
  <c r="M9" i="10"/>
  <c r="N10" i="10"/>
  <c r="H10" i="10"/>
  <c r="O10" i="10"/>
  <c r="C10" i="10"/>
  <c r="L10" i="10"/>
  <c r="M10" i="10"/>
  <c r="N11" i="10"/>
  <c r="H11" i="10"/>
  <c r="O11" i="10"/>
  <c r="C11" i="10"/>
  <c r="L11" i="10"/>
  <c r="M11" i="10"/>
  <c r="N12" i="10"/>
  <c r="H12" i="10"/>
  <c r="O12" i="10"/>
  <c r="C12" i="10"/>
  <c r="L12" i="10"/>
  <c r="M12" i="10"/>
  <c r="N13" i="10"/>
  <c r="H13" i="10"/>
  <c r="O13" i="10"/>
  <c r="C13" i="10"/>
  <c r="L13" i="10"/>
  <c r="M13" i="10"/>
  <c r="N14" i="10"/>
  <c r="H14" i="10"/>
  <c r="O14" i="10"/>
  <c r="C14" i="10"/>
  <c r="L14" i="10"/>
  <c r="M14" i="10"/>
  <c r="N15" i="10"/>
  <c r="H15" i="10"/>
  <c r="O15" i="10"/>
  <c r="C15" i="10"/>
  <c r="L15" i="10"/>
  <c r="M15" i="10"/>
  <c r="N16" i="10"/>
  <c r="H16" i="10"/>
  <c r="O16" i="10"/>
  <c r="C16" i="10"/>
  <c r="L16" i="10"/>
  <c r="M16" i="10"/>
  <c r="N17" i="10"/>
  <c r="H17" i="10"/>
  <c r="O17" i="10"/>
  <c r="C17" i="10"/>
  <c r="L17" i="10"/>
  <c r="M17" i="10"/>
  <c r="N18" i="10"/>
  <c r="H18" i="10"/>
  <c r="O18" i="10"/>
  <c r="C18" i="10"/>
  <c r="L18" i="10"/>
  <c r="M18" i="10"/>
  <c r="N19" i="10"/>
  <c r="H19" i="10"/>
  <c r="O19" i="10"/>
  <c r="C19" i="10"/>
  <c r="L19" i="10"/>
  <c r="M19" i="10"/>
  <c r="N20" i="10"/>
  <c r="H20" i="10"/>
  <c r="O20" i="10"/>
  <c r="C20" i="10"/>
  <c r="L20" i="10"/>
  <c r="M20" i="10"/>
  <c r="N21" i="10"/>
  <c r="H21" i="10"/>
  <c r="O21" i="10"/>
  <c r="C21" i="10"/>
  <c r="L21" i="10"/>
  <c r="M21" i="10"/>
  <c r="N22" i="10"/>
  <c r="H22" i="10"/>
  <c r="O22" i="10"/>
  <c r="C22" i="10"/>
  <c r="L22" i="10"/>
  <c r="M22" i="10"/>
  <c r="N23" i="10"/>
  <c r="H23" i="10"/>
  <c r="O23" i="10"/>
  <c r="C23" i="10"/>
  <c r="L23" i="10"/>
  <c r="M23" i="10"/>
  <c r="N24" i="10"/>
  <c r="H24" i="10"/>
  <c r="O24" i="10"/>
  <c r="C24" i="10"/>
  <c r="L24" i="10"/>
  <c r="M24" i="10"/>
  <c r="N25" i="10"/>
  <c r="H25" i="10"/>
  <c r="O25" i="10"/>
  <c r="C25" i="10"/>
  <c r="L25" i="10"/>
  <c r="M25" i="10"/>
  <c r="N26" i="10"/>
  <c r="H26" i="10"/>
  <c r="O26" i="10"/>
  <c r="C26" i="10"/>
  <c r="L26" i="10"/>
  <c r="M26" i="10"/>
  <c r="N27" i="10"/>
  <c r="H27" i="10"/>
  <c r="O27" i="10"/>
  <c r="C27" i="10"/>
  <c r="L27" i="10"/>
  <c r="M27" i="10"/>
  <c r="N28" i="10"/>
  <c r="H28" i="10"/>
  <c r="O28" i="10"/>
  <c r="C28" i="10"/>
  <c r="L28" i="10"/>
  <c r="M28" i="10"/>
  <c r="N29" i="10"/>
  <c r="H29" i="10"/>
  <c r="O29" i="10"/>
  <c r="C29" i="10"/>
  <c r="L29" i="10"/>
  <c r="M29" i="10"/>
  <c r="N30" i="10"/>
  <c r="H30" i="10"/>
  <c r="O30" i="10"/>
  <c r="C30" i="10"/>
  <c r="L30" i="10"/>
  <c r="M30" i="10"/>
  <c r="N31" i="10"/>
  <c r="H31" i="10"/>
  <c r="O31" i="10"/>
  <c r="C31" i="10"/>
  <c r="L31" i="10"/>
  <c r="M31" i="10"/>
  <c r="N32" i="10"/>
  <c r="H32" i="10"/>
  <c r="O32" i="10"/>
  <c r="C32" i="10"/>
  <c r="L32" i="10"/>
  <c r="M32" i="10"/>
  <c r="N33" i="10"/>
  <c r="H33" i="10"/>
  <c r="O33" i="10"/>
  <c r="C33" i="10"/>
  <c r="L33" i="10"/>
  <c r="M33" i="10"/>
  <c r="N34" i="10"/>
  <c r="H34" i="10"/>
  <c r="O34" i="10"/>
  <c r="C34" i="10"/>
  <c r="L34" i="10"/>
  <c r="M34" i="10"/>
  <c r="N35" i="10"/>
  <c r="H35" i="10"/>
  <c r="O35" i="10"/>
  <c r="C35" i="10"/>
  <c r="L35" i="10"/>
  <c r="M35" i="10"/>
  <c r="N36" i="10"/>
  <c r="H36" i="10"/>
  <c r="O36" i="10"/>
  <c r="C36" i="10"/>
  <c r="L36" i="10"/>
  <c r="M36" i="10"/>
  <c r="N37" i="10"/>
  <c r="H37" i="10"/>
  <c r="O37" i="10"/>
  <c r="C37" i="10"/>
  <c r="L37" i="10"/>
  <c r="M37" i="10"/>
  <c r="N38" i="10"/>
  <c r="H38" i="10"/>
  <c r="O38" i="10"/>
  <c r="C38" i="10"/>
  <c r="L38" i="10"/>
  <c r="M38" i="10"/>
  <c r="N39" i="10"/>
  <c r="H39" i="10"/>
  <c r="O39" i="10"/>
  <c r="C39" i="10"/>
  <c r="L39" i="10"/>
  <c r="M39" i="10"/>
  <c r="N40" i="10"/>
  <c r="H40" i="10"/>
  <c r="O40" i="10"/>
  <c r="C40" i="10"/>
  <c r="L40" i="10"/>
  <c r="M40" i="10"/>
  <c r="N41" i="10"/>
  <c r="H41" i="10"/>
  <c r="O41" i="10"/>
  <c r="C41" i="10"/>
  <c r="L41" i="10"/>
  <c r="M41" i="10"/>
  <c r="N42" i="10"/>
  <c r="H42" i="10"/>
  <c r="O42" i="10"/>
  <c r="C42" i="10"/>
  <c r="L42" i="10"/>
  <c r="M42" i="10"/>
  <c r="N43" i="10"/>
  <c r="H43" i="10"/>
  <c r="O43" i="10"/>
  <c r="C43" i="10"/>
  <c r="L43" i="10"/>
  <c r="M43" i="10"/>
  <c r="N44" i="10"/>
  <c r="H44" i="10"/>
  <c r="O44" i="10"/>
  <c r="C44" i="10"/>
  <c r="L44" i="10"/>
  <c r="M44" i="10"/>
  <c r="N45" i="10"/>
  <c r="H45" i="10"/>
  <c r="O45" i="10"/>
  <c r="P2" i="10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C22" i="21"/>
  <c r="B22" i="21"/>
  <c r="L22" i="21"/>
  <c r="M22" i="21"/>
  <c r="B2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C25" i="22"/>
  <c r="B25" i="22"/>
  <c r="L25" i="22"/>
  <c r="M25" i="22"/>
  <c r="B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C27" i="23"/>
  <c r="B27" i="23"/>
  <c r="L27" i="23"/>
  <c r="M27" i="23"/>
  <c r="B2" i="24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C30" i="24"/>
  <c r="B30" i="24"/>
  <c r="L30" i="24"/>
  <c r="M30" i="24"/>
  <c r="C32" i="18"/>
  <c r="L32" i="18"/>
  <c r="M32" i="18"/>
  <c r="B2" i="19"/>
  <c r="B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C35" i="19"/>
  <c r="B35" i="19"/>
  <c r="L35" i="19"/>
  <c r="M35" i="19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C37" i="20"/>
  <c r="B37" i="20"/>
  <c r="L37" i="20"/>
  <c r="M37" i="20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C40" i="8"/>
  <c r="B40" i="8"/>
  <c r="L40" i="8"/>
  <c r="M40" i="8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C42" i="9"/>
  <c r="B42" i="9"/>
  <c r="L42" i="9"/>
  <c r="M42" i="9"/>
  <c r="B2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C45" i="10"/>
  <c r="B45" i="10"/>
  <c r="L45" i="10"/>
  <c r="M45" i="10"/>
  <c r="H2" i="11"/>
  <c r="O2" i="11"/>
  <c r="A4" i="11"/>
  <c r="C2" i="11"/>
  <c r="L2" i="11"/>
  <c r="M2" i="11"/>
  <c r="N3" i="11"/>
  <c r="H3" i="11"/>
  <c r="O3" i="11"/>
  <c r="C3" i="11"/>
  <c r="L3" i="11"/>
  <c r="M3" i="11"/>
  <c r="N4" i="11"/>
  <c r="H4" i="11"/>
  <c r="O4" i="11"/>
  <c r="C4" i="11"/>
  <c r="L4" i="11"/>
  <c r="M4" i="11"/>
  <c r="N5" i="11"/>
  <c r="H5" i="11"/>
  <c r="O5" i="11"/>
  <c r="C5" i="11"/>
  <c r="L5" i="11"/>
  <c r="M5" i="11"/>
  <c r="N6" i="11"/>
  <c r="H6" i="11"/>
  <c r="O6" i="11"/>
  <c r="C6" i="11"/>
  <c r="L6" i="11"/>
  <c r="M6" i="11"/>
  <c r="N7" i="11"/>
  <c r="H7" i="11"/>
  <c r="O7" i="11"/>
  <c r="C7" i="11"/>
  <c r="L7" i="11"/>
  <c r="M7" i="11"/>
  <c r="N8" i="11"/>
  <c r="H8" i="11"/>
  <c r="O8" i="11"/>
  <c r="C8" i="11"/>
  <c r="L8" i="11"/>
  <c r="M8" i="11"/>
  <c r="N9" i="11"/>
  <c r="H9" i="11"/>
  <c r="O9" i="11"/>
  <c r="C9" i="11"/>
  <c r="L9" i="11"/>
  <c r="M9" i="11"/>
  <c r="N10" i="11"/>
  <c r="H10" i="11"/>
  <c r="O10" i="11"/>
  <c r="C10" i="11"/>
  <c r="L10" i="11"/>
  <c r="M10" i="11"/>
  <c r="N11" i="11"/>
  <c r="H11" i="11"/>
  <c r="O11" i="11"/>
  <c r="C11" i="11"/>
  <c r="L11" i="11"/>
  <c r="M11" i="11"/>
  <c r="N12" i="11"/>
  <c r="H12" i="11"/>
  <c r="O12" i="11"/>
  <c r="C12" i="11"/>
  <c r="L12" i="11"/>
  <c r="M12" i="11"/>
  <c r="N13" i="11"/>
  <c r="H13" i="11"/>
  <c r="O13" i="11"/>
  <c r="C13" i="11"/>
  <c r="L13" i="11"/>
  <c r="M13" i="11"/>
  <c r="N14" i="11"/>
  <c r="H14" i="11"/>
  <c r="O14" i="11"/>
  <c r="C14" i="11"/>
  <c r="L14" i="11"/>
  <c r="M14" i="11"/>
  <c r="N15" i="11"/>
  <c r="H15" i="11"/>
  <c r="O15" i="11"/>
  <c r="C15" i="11"/>
  <c r="L15" i="11"/>
  <c r="M15" i="11"/>
  <c r="N16" i="11"/>
  <c r="H16" i="11"/>
  <c r="O16" i="11"/>
  <c r="C16" i="11"/>
  <c r="L16" i="11"/>
  <c r="M16" i="11"/>
  <c r="N17" i="11"/>
  <c r="H17" i="11"/>
  <c r="O17" i="11"/>
  <c r="C17" i="11"/>
  <c r="L17" i="11"/>
  <c r="M17" i="11"/>
  <c r="N18" i="11"/>
  <c r="H18" i="11"/>
  <c r="O18" i="11"/>
  <c r="C18" i="11"/>
  <c r="L18" i="11"/>
  <c r="M18" i="11"/>
  <c r="N19" i="11"/>
  <c r="H19" i="11"/>
  <c r="O19" i="11"/>
  <c r="C19" i="11"/>
  <c r="L19" i="11"/>
  <c r="M19" i="11"/>
  <c r="N20" i="11"/>
  <c r="H20" i="11"/>
  <c r="O20" i="11"/>
  <c r="C20" i="11"/>
  <c r="L20" i="11"/>
  <c r="M20" i="11"/>
  <c r="N21" i="11"/>
  <c r="H21" i="11"/>
  <c r="O21" i="11"/>
  <c r="C21" i="11"/>
  <c r="L21" i="11"/>
  <c r="M21" i="11"/>
  <c r="N22" i="11"/>
  <c r="H22" i="11"/>
  <c r="O22" i="11"/>
  <c r="C22" i="11"/>
  <c r="L22" i="11"/>
  <c r="M22" i="11"/>
  <c r="N23" i="11"/>
  <c r="H23" i="11"/>
  <c r="O23" i="11"/>
  <c r="C23" i="11"/>
  <c r="L23" i="11"/>
  <c r="M23" i="11"/>
  <c r="N24" i="11"/>
  <c r="H24" i="11"/>
  <c r="O24" i="11"/>
  <c r="C24" i="11"/>
  <c r="L24" i="11"/>
  <c r="M24" i="11"/>
  <c r="N25" i="11"/>
  <c r="H25" i="11"/>
  <c r="O25" i="11"/>
  <c r="C25" i="11"/>
  <c r="L25" i="11"/>
  <c r="M25" i="11"/>
  <c r="N26" i="11"/>
  <c r="H26" i="11"/>
  <c r="O26" i="11"/>
  <c r="C26" i="11"/>
  <c r="L26" i="11"/>
  <c r="M26" i="11"/>
  <c r="N27" i="11"/>
  <c r="H27" i="11"/>
  <c r="O27" i="11"/>
  <c r="C27" i="11"/>
  <c r="L27" i="11"/>
  <c r="M27" i="11"/>
  <c r="N28" i="11"/>
  <c r="H28" i="11"/>
  <c r="O28" i="11"/>
  <c r="C28" i="11"/>
  <c r="L28" i="11"/>
  <c r="M28" i="11"/>
  <c r="N29" i="11"/>
  <c r="H29" i="11"/>
  <c r="O29" i="11"/>
  <c r="C29" i="11"/>
  <c r="L29" i="11"/>
  <c r="M29" i="11"/>
  <c r="N30" i="11"/>
  <c r="H30" i="11"/>
  <c r="O30" i="11"/>
  <c r="C30" i="11"/>
  <c r="L30" i="11"/>
  <c r="M30" i="11"/>
  <c r="N31" i="11"/>
  <c r="H31" i="11"/>
  <c r="O31" i="11"/>
  <c r="C31" i="11"/>
  <c r="L31" i="11"/>
  <c r="M31" i="11"/>
  <c r="N32" i="11"/>
  <c r="H32" i="11"/>
  <c r="O32" i="11"/>
  <c r="C32" i="11"/>
  <c r="L32" i="11"/>
  <c r="M32" i="11"/>
  <c r="N33" i="11"/>
  <c r="H33" i="11"/>
  <c r="O33" i="11"/>
  <c r="C33" i="11"/>
  <c r="L33" i="11"/>
  <c r="M33" i="11"/>
  <c r="N34" i="11"/>
  <c r="H34" i="11"/>
  <c r="O34" i="11"/>
  <c r="C34" i="11"/>
  <c r="L34" i="11"/>
  <c r="M34" i="11"/>
  <c r="N35" i="11"/>
  <c r="H35" i="11"/>
  <c r="O35" i="11"/>
  <c r="C35" i="11"/>
  <c r="L35" i="11"/>
  <c r="M35" i="11"/>
  <c r="N36" i="11"/>
  <c r="H36" i="11"/>
  <c r="O36" i="11"/>
  <c r="C36" i="11"/>
  <c r="L36" i="11"/>
  <c r="M36" i="11"/>
  <c r="N37" i="11"/>
  <c r="H37" i="11"/>
  <c r="O37" i="11"/>
  <c r="C37" i="11"/>
  <c r="L37" i="11"/>
  <c r="M37" i="11"/>
  <c r="N38" i="11"/>
  <c r="H38" i="11"/>
  <c r="O38" i="11"/>
  <c r="C38" i="11"/>
  <c r="L38" i="11"/>
  <c r="M38" i="11"/>
  <c r="N39" i="11"/>
  <c r="H39" i="11"/>
  <c r="O39" i="11"/>
  <c r="C39" i="11"/>
  <c r="L39" i="11"/>
  <c r="M39" i="11"/>
  <c r="N40" i="11"/>
  <c r="H40" i="11"/>
  <c r="O40" i="11"/>
  <c r="C40" i="11"/>
  <c r="L40" i="11"/>
  <c r="M40" i="11"/>
  <c r="N41" i="11"/>
  <c r="H41" i="11"/>
  <c r="O41" i="11"/>
  <c r="C41" i="11"/>
  <c r="L41" i="11"/>
  <c r="M41" i="11"/>
  <c r="N42" i="11"/>
  <c r="H42" i="11"/>
  <c r="O42" i="11"/>
  <c r="C42" i="11"/>
  <c r="L42" i="11"/>
  <c r="M42" i="11"/>
  <c r="N43" i="11"/>
  <c r="H43" i="11"/>
  <c r="O43" i="11"/>
  <c r="C43" i="11"/>
  <c r="L43" i="11"/>
  <c r="M43" i="11"/>
  <c r="N44" i="11"/>
  <c r="H44" i="11"/>
  <c r="O44" i="11"/>
  <c r="C44" i="11"/>
  <c r="L44" i="11"/>
  <c r="M44" i="11"/>
  <c r="N45" i="11"/>
  <c r="H45" i="11"/>
  <c r="O45" i="11"/>
  <c r="C45" i="11"/>
  <c r="L45" i="11"/>
  <c r="M45" i="11"/>
  <c r="N46" i="11"/>
  <c r="H46" i="11"/>
  <c r="O46" i="11"/>
  <c r="C46" i="11"/>
  <c r="L46" i="11"/>
  <c r="M46" i="11"/>
  <c r="N47" i="11"/>
  <c r="H47" i="11"/>
  <c r="O47" i="11"/>
  <c r="P2" i="11"/>
  <c r="C47" i="11"/>
  <c r="L47" i="11"/>
  <c r="M47" i="11"/>
  <c r="H2" i="12"/>
  <c r="O2" i="12"/>
  <c r="A4" i="12"/>
  <c r="C2" i="12"/>
  <c r="B2" i="12"/>
  <c r="L2" i="12"/>
  <c r="M2" i="12"/>
  <c r="N3" i="12"/>
  <c r="H3" i="12"/>
  <c r="O3" i="12"/>
  <c r="C3" i="12"/>
  <c r="B3" i="12"/>
  <c r="L3" i="12"/>
  <c r="M3" i="12"/>
  <c r="N4" i="12"/>
  <c r="H4" i="12"/>
  <c r="O4" i="12"/>
  <c r="C4" i="12"/>
  <c r="B4" i="12"/>
  <c r="L4" i="12"/>
  <c r="M4" i="12"/>
  <c r="N5" i="12"/>
  <c r="H5" i="12"/>
  <c r="O5" i="12"/>
  <c r="C5" i="12"/>
  <c r="B5" i="12"/>
  <c r="L5" i="12"/>
  <c r="M5" i="12"/>
  <c r="N6" i="12"/>
  <c r="H6" i="12"/>
  <c r="O6" i="12"/>
  <c r="C6" i="12"/>
  <c r="B6" i="12"/>
  <c r="L6" i="12"/>
  <c r="M6" i="12"/>
  <c r="N7" i="12"/>
  <c r="H7" i="12"/>
  <c r="O7" i="12"/>
  <c r="C7" i="12"/>
  <c r="B7" i="12"/>
  <c r="L7" i="12"/>
  <c r="M7" i="12"/>
  <c r="N8" i="12"/>
  <c r="H8" i="12"/>
  <c r="O8" i="12"/>
  <c r="C8" i="12"/>
  <c r="B8" i="12"/>
  <c r="L8" i="12"/>
  <c r="M8" i="12"/>
  <c r="N9" i="12"/>
  <c r="H9" i="12"/>
  <c r="O9" i="12"/>
  <c r="C9" i="12"/>
  <c r="B9" i="12"/>
  <c r="L9" i="12"/>
  <c r="M9" i="12"/>
  <c r="N10" i="12"/>
  <c r="H10" i="12"/>
  <c r="O10" i="12"/>
  <c r="C10" i="12"/>
  <c r="B10" i="12"/>
  <c r="L10" i="12"/>
  <c r="M10" i="12"/>
  <c r="N11" i="12"/>
  <c r="H11" i="12"/>
  <c r="O11" i="12"/>
  <c r="C11" i="12"/>
  <c r="B11" i="12"/>
  <c r="L11" i="12"/>
  <c r="M11" i="12"/>
  <c r="N12" i="12"/>
  <c r="H12" i="12"/>
  <c r="O12" i="12"/>
  <c r="C12" i="12"/>
  <c r="B12" i="12"/>
  <c r="L12" i="12"/>
  <c r="M12" i="12"/>
  <c r="N13" i="12"/>
  <c r="H13" i="12"/>
  <c r="O13" i="12"/>
  <c r="C13" i="12"/>
  <c r="B13" i="12"/>
  <c r="L13" i="12"/>
  <c r="M13" i="12"/>
  <c r="N14" i="12"/>
  <c r="H14" i="12"/>
  <c r="O14" i="12"/>
  <c r="C14" i="12"/>
  <c r="B14" i="12"/>
  <c r="L14" i="12"/>
  <c r="M14" i="12"/>
  <c r="N15" i="12"/>
  <c r="H15" i="12"/>
  <c r="O15" i="12"/>
  <c r="C15" i="12"/>
  <c r="B15" i="12"/>
  <c r="L15" i="12"/>
  <c r="M15" i="12"/>
  <c r="N16" i="12"/>
  <c r="H16" i="12"/>
  <c r="O16" i="12"/>
  <c r="C16" i="12"/>
  <c r="B16" i="12"/>
  <c r="L16" i="12"/>
  <c r="M16" i="12"/>
  <c r="N17" i="12"/>
  <c r="H17" i="12"/>
  <c r="O17" i="12"/>
  <c r="C17" i="12"/>
  <c r="B17" i="12"/>
  <c r="L17" i="12"/>
  <c r="M17" i="12"/>
  <c r="N18" i="12"/>
  <c r="H18" i="12"/>
  <c r="O18" i="12"/>
  <c r="C18" i="12"/>
  <c r="B18" i="12"/>
  <c r="L18" i="12"/>
  <c r="M18" i="12"/>
  <c r="N19" i="12"/>
  <c r="H19" i="12"/>
  <c r="O19" i="12"/>
  <c r="C19" i="12"/>
  <c r="B19" i="12"/>
  <c r="L19" i="12"/>
  <c r="M19" i="12"/>
  <c r="N20" i="12"/>
  <c r="H20" i="12"/>
  <c r="O20" i="12"/>
  <c r="C20" i="12"/>
  <c r="B20" i="12"/>
  <c r="L20" i="12"/>
  <c r="M20" i="12"/>
  <c r="N21" i="12"/>
  <c r="H21" i="12"/>
  <c r="O21" i="12"/>
  <c r="C21" i="12"/>
  <c r="B21" i="12"/>
  <c r="L21" i="12"/>
  <c r="M21" i="12"/>
  <c r="N22" i="12"/>
  <c r="H22" i="12"/>
  <c r="O22" i="12"/>
  <c r="C22" i="12"/>
  <c r="B22" i="12"/>
  <c r="L22" i="12"/>
  <c r="M22" i="12"/>
  <c r="N23" i="12"/>
  <c r="H23" i="12"/>
  <c r="O23" i="12"/>
  <c r="C23" i="12"/>
  <c r="B23" i="12"/>
  <c r="L23" i="12"/>
  <c r="M23" i="12"/>
  <c r="N24" i="12"/>
  <c r="H24" i="12"/>
  <c r="O24" i="12"/>
  <c r="C24" i="12"/>
  <c r="B24" i="12"/>
  <c r="L24" i="12"/>
  <c r="M24" i="12"/>
  <c r="N25" i="12"/>
  <c r="H25" i="12"/>
  <c r="O25" i="12"/>
  <c r="C25" i="12"/>
  <c r="B25" i="12"/>
  <c r="L25" i="12"/>
  <c r="M25" i="12"/>
  <c r="N26" i="12"/>
  <c r="H26" i="12"/>
  <c r="O26" i="12"/>
  <c r="C26" i="12"/>
  <c r="B26" i="12"/>
  <c r="L26" i="12"/>
  <c r="M26" i="12"/>
  <c r="N27" i="12"/>
  <c r="H27" i="12"/>
  <c r="O27" i="12"/>
  <c r="C27" i="12"/>
  <c r="B27" i="12"/>
  <c r="L27" i="12"/>
  <c r="M27" i="12"/>
  <c r="N28" i="12"/>
  <c r="H28" i="12"/>
  <c r="O28" i="12"/>
  <c r="C28" i="12"/>
  <c r="B28" i="12"/>
  <c r="L28" i="12"/>
  <c r="M28" i="12"/>
  <c r="N29" i="12"/>
  <c r="H29" i="12"/>
  <c r="O29" i="12"/>
  <c r="C29" i="12"/>
  <c r="B29" i="12"/>
  <c r="L29" i="12"/>
  <c r="M29" i="12"/>
  <c r="N30" i="12"/>
  <c r="H30" i="12"/>
  <c r="O30" i="12"/>
  <c r="C30" i="12"/>
  <c r="B30" i="12"/>
  <c r="L30" i="12"/>
  <c r="M30" i="12"/>
  <c r="N31" i="12"/>
  <c r="H31" i="12"/>
  <c r="O31" i="12"/>
  <c r="C31" i="12"/>
  <c r="B31" i="12"/>
  <c r="L31" i="12"/>
  <c r="M31" i="12"/>
  <c r="N32" i="12"/>
  <c r="H32" i="12"/>
  <c r="O32" i="12"/>
  <c r="C32" i="12"/>
  <c r="B32" i="12"/>
  <c r="L32" i="12"/>
  <c r="M32" i="12"/>
  <c r="N33" i="12"/>
  <c r="H33" i="12"/>
  <c r="O33" i="12"/>
  <c r="C33" i="12"/>
  <c r="B33" i="12"/>
  <c r="L33" i="12"/>
  <c r="M33" i="12"/>
  <c r="N34" i="12"/>
  <c r="H34" i="12"/>
  <c r="O34" i="12"/>
  <c r="C34" i="12"/>
  <c r="B34" i="12"/>
  <c r="L34" i="12"/>
  <c r="M34" i="12"/>
  <c r="N35" i="12"/>
  <c r="H35" i="12"/>
  <c r="O35" i="12"/>
  <c r="C35" i="12"/>
  <c r="B35" i="12"/>
  <c r="L35" i="12"/>
  <c r="M35" i="12"/>
  <c r="N36" i="12"/>
  <c r="H36" i="12"/>
  <c r="O36" i="12"/>
  <c r="C36" i="12"/>
  <c r="B36" i="12"/>
  <c r="L36" i="12"/>
  <c r="M36" i="12"/>
  <c r="N37" i="12"/>
  <c r="H37" i="12"/>
  <c r="O37" i="12"/>
  <c r="C37" i="12"/>
  <c r="B37" i="12"/>
  <c r="L37" i="12"/>
  <c r="M37" i="12"/>
  <c r="N38" i="12"/>
  <c r="H38" i="12"/>
  <c r="O38" i="12"/>
  <c r="C38" i="12"/>
  <c r="B38" i="12"/>
  <c r="L38" i="12"/>
  <c r="M38" i="12"/>
  <c r="N39" i="12"/>
  <c r="H39" i="12"/>
  <c r="O39" i="12"/>
  <c r="C39" i="12"/>
  <c r="B39" i="12"/>
  <c r="L39" i="12"/>
  <c r="M39" i="12"/>
  <c r="N40" i="12"/>
  <c r="H40" i="12"/>
  <c r="O40" i="12"/>
  <c r="C40" i="12"/>
  <c r="B40" i="12"/>
  <c r="L40" i="12"/>
  <c r="M40" i="12"/>
  <c r="N41" i="12"/>
  <c r="H41" i="12"/>
  <c r="O41" i="12"/>
  <c r="C41" i="12"/>
  <c r="B41" i="12"/>
  <c r="L41" i="12"/>
  <c r="M41" i="12"/>
  <c r="N42" i="12"/>
  <c r="H42" i="12"/>
  <c r="O42" i="12"/>
  <c r="C42" i="12"/>
  <c r="B42" i="12"/>
  <c r="L42" i="12"/>
  <c r="M42" i="12"/>
  <c r="N43" i="12"/>
  <c r="H43" i="12"/>
  <c r="O43" i="12"/>
  <c r="C43" i="12"/>
  <c r="B43" i="12"/>
  <c r="L43" i="12"/>
  <c r="M43" i="12"/>
  <c r="N44" i="12"/>
  <c r="H44" i="12"/>
  <c r="O44" i="12"/>
  <c r="C44" i="12"/>
  <c r="B44" i="12"/>
  <c r="L44" i="12"/>
  <c r="M44" i="12"/>
  <c r="N45" i="12"/>
  <c r="H45" i="12"/>
  <c r="O45" i="12"/>
  <c r="C45" i="12"/>
  <c r="B45" i="12"/>
  <c r="L45" i="12"/>
  <c r="M45" i="12"/>
  <c r="N46" i="12"/>
  <c r="H46" i="12"/>
  <c r="O46" i="12"/>
  <c r="C46" i="12"/>
  <c r="B46" i="12"/>
  <c r="L46" i="12"/>
  <c r="M46" i="12"/>
  <c r="N47" i="12"/>
  <c r="H47" i="12"/>
  <c r="O47" i="12"/>
  <c r="C47" i="12"/>
  <c r="B47" i="12"/>
  <c r="L47" i="12"/>
  <c r="M47" i="12"/>
  <c r="N48" i="12"/>
  <c r="H48" i="12"/>
  <c r="O48" i="12"/>
  <c r="C48" i="12"/>
  <c r="B48" i="12"/>
  <c r="L48" i="12"/>
  <c r="M48" i="12"/>
  <c r="N49" i="12"/>
  <c r="H49" i="12"/>
  <c r="O49" i="12"/>
  <c r="C49" i="12"/>
  <c r="B49" i="12"/>
  <c r="L49" i="12"/>
  <c r="M49" i="12"/>
  <c r="N50" i="12"/>
  <c r="H50" i="12"/>
  <c r="O50" i="12"/>
  <c r="P2" i="12"/>
  <c r="C50" i="12"/>
  <c r="B50" i="12"/>
  <c r="L50" i="12"/>
  <c r="M50" i="12"/>
  <c r="H2" i="13"/>
  <c r="O2" i="13"/>
  <c r="A4" i="13"/>
  <c r="C2" i="13"/>
  <c r="L2" i="13"/>
  <c r="M2" i="13"/>
  <c r="N3" i="13"/>
  <c r="H3" i="13"/>
  <c r="O3" i="13"/>
  <c r="C3" i="13"/>
  <c r="L3" i="13"/>
  <c r="M3" i="13"/>
  <c r="N4" i="13"/>
  <c r="H4" i="13"/>
  <c r="O4" i="13"/>
  <c r="C4" i="13"/>
  <c r="L4" i="13"/>
  <c r="M4" i="13"/>
  <c r="N5" i="13"/>
  <c r="H5" i="13"/>
  <c r="O5" i="13"/>
  <c r="C5" i="13"/>
  <c r="L5" i="13"/>
  <c r="M5" i="13"/>
  <c r="N6" i="13"/>
  <c r="H6" i="13"/>
  <c r="O6" i="13"/>
  <c r="C6" i="13"/>
  <c r="L6" i="13"/>
  <c r="M6" i="13"/>
  <c r="N7" i="13"/>
  <c r="H7" i="13"/>
  <c r="O7" i="13"/>
  <c r="C7" i="13"/>
  <c r="L7" i="13"/>
  <c r="M7" i="13"/>
  <c r="N8" i="13"/>
  <c r="H8" i="13"/>
  <c r="O8" i="13"/>
  <c r="C8" i="13"/>
  <c r="L8" i="13"/>
  <c r="M8" i="13"/>
  <c r="N9" i="13"/>
  <c r="H9" i="13"/>
  <c r="O9" i="13"/>
  <c r="C9" i="13"/>
  <c r="L9" i="13"/>
  <c r="M9" i="13"/>
  <c r="N10" i="13"/>
  <c r="H10" i="13"/>
  <c r="O10" i="13"/>
  <c r="C10" i="13"/>
  <c r="L10" i="13"/>
  <c r="M10" i="13"/>
  <c r="N11" i="13"/>
  <c r="H11" i="13"/>
  <c r="O11" i="13"/>
  <c r="C11" i="13"/>
  <c r="L11" i="13"/>
  <c r="M11" i="13"/>
  <c r="N12" i="13"/>
  <c r="H12" i="13"/>
  <c r="O12" i="13"/>
  <c r="C12" i="13"/>
  <c r="L12" i="13"/>
  <c r="M12" i="13"/>
  <c r="N13" i="13"/>
  <c r="H13" i="13"/>
  <c r="O13" i="13"/>
  <c r="C13" i="13"/>
  <c r="L13" i="13"/>
  <c r="M13" i="13"/>
  <c r="N14" i="13"/>
  <c r="H14" i="13"/>
  <c r="O14" i="13"/>
  <c r="C14" i="13"/>
  <c r="L14" i="13"/>
  <c r="M14" i="13"/>
  <c r="N15" i="13"/>
  <c r="H15" i="13"/>
  <c r="O15" i="13"/>
  <c r="C15" i="13"/>
  <c r="L15" i="13"/>
  <c r="M15" i="13"/>
  <c r="N16" i="13"/>
  <c r="H16" i="13"/>
  <c r="O16" i="13"/>
  <c r="C16" i="13"/>
  <c r="L16" i="13"/>
  <c r="M16" i="13"/>
  <c r="N17" i="13"/>
  <c r="H17" i="13"/>
  <c r="O17" i="13"/>
  <c r="C17" i="13"/>
  <c r="L17" i="13"/>
  <c r="M17" i="13"/>
  <c r="N18" i="13"/>
  <c r="H18" i="13"/>
  <c r="O18" i="13"/>
  <c r="C18" i="13"/>
  <c r="L18" i="13"/>
  <c r="M18" i="13"/>
  <c r="N19" i="13"/>
  <c r="H19" i="13"/>
  <c r="O19" i="13"/>
  <c r="C19" i="13"/>
  <c r="L19" i="13"/>
  <c r="M19" i="13"/>
  <c r="N20" i="13"/>
  <c r="H20" i="13"/>
  <c r="O20" i="13"/>
  <c r="C20" i="13"/>
  <c r="L20" i="13"/>
  <c r="M20" i="13"/>
  <c r="N21" i="13"/>
  <c r="H21" i="13"/>
  <c r="O21" i="13"/>
  <c r="C21" i="13"/>
  <c r="L21" i="13"/>
  <c r="M21" i="13"/>
  <c r="N22" i="13"/>
  <c r="H22" i="13"/>
  <c r="O22" i="13"/>
  <c r="C22" i="13"/>
  <c r="L22" i="13"/>
  <c r="M22" i="13"/>
  <c r="N23" i="13"/>
  <c r="H23" i="13"/>
  <c r="O23" i="13"/>
  <c r="C23" i="13"/>
  <c r="L23" i="13"/>
  <c r="M23" i="13"/>
  <c r="N24" i="13"/>
  <c r="H24" i="13"/>
  <c r="O24" i="13"/>
  <c r="C24" i="13"/>
  <c r="L24" i="13"/>
  <c r="M24" i="13"/>
  <c r="N25" i="13"/>
  <c r="H25" i="13"/>
  <c r="O25" i="13"/>
  <c r="C25" i="13"/>
  <c r="L25" i="13"/>
  <c r="M25" i="13"/>
  <c r="N26" i="13"/>
  <c r="H26" i="13"/>
  <c r="O26" i="13"/>
  <c r="C26" i="13"/>
  <c r="L26" i="13"/>
  <c r="M26" i="13"/>
  <c r="N27" i="13"/>
  <c r="H27" i="13"/>
  <c r="O27" i="13"/>
  <c r="C27" i="13"/>
  <c r="L27" i="13"/>
  <c r="M27" i="13"/>
  <c r="N28" i="13"/>
  <c r="H28" i="13"/>
  <c r="O28" i="13"/>
  <c r="C28" i="13"/>
  <c r="L28" i="13"/>
  <c r="M28" i="13"/>
  <c r="N29" i="13"/>
  <c r="H29" i="13"/>
  <c r="O29" i="13"/>
  <c r="C29" i="13"/>
  <c r="L29" i="13"/>
  <c r="M29" i="13"/>
  <c r="N30" i="13"/>
  <c r="H30" i="13"/>
  <c r="O30" i="13"/>
  <c r="C30" i="13"/>
  <c r="L30" i="13"/>
  <c r="M30" i="13"/>
  <c r="N31" i="13"/>
  <c r="H31" i="13"/>
  <c r="O31" i="13"/>
  <c r="C31" i="13"/>
  <c r="L31" i="13"/>
  <c r="M31" i="13"/>
  <c r="N32" i="13"/>
  <c r="H32" i="13"/>
  <c r="O32" i="13"/>
  <c r="C32" i="13"/>
  <c r="L32" i="13"/>
  <c r="M32" i="13"/>
  <c r="N33" i="13"/>
  <c r="H33" i="13"/>
  <c r="O33" i="13"/>
  <c r="C33" i="13"/>
  <c r="L33" i="13"/>
  <c r="M33" i="13"/>
  <c r="N34" i="13"/>
  <c r="H34" i="13"/>
  <c r="O34" i="13"/>
  <c r="C34" i="13"/>
  <c r="L34" i="13"/>
  <c r="M34" i="13"/>
  <c r="N35" i="13"/>
  <c r="H35" i="13"/>
  <c r="O35" i="13"/>
  <c r="C35" i="13"/>
  <c r="L35" i="13"/>
  <c r="M35" i="13"/>
  <c r="N36" i="13"/>
  <c r="H36" i="13"/>
  <c r="O36" i="13"/>
  <c r="C36" i="13"/>
  <c r="L36" i="13"/>
  <c r="M36" i="13"/>
  <c r="N37" i="13"/>
  <c r="H37" i="13"/>
  <c r="O37" i="13"/>
  <c r="C37" i="13"/>
  <c r="L37" i="13"/>
  <c r="M37" i="13"/>
  <c r="N38" i="13"/>
  <c r="H38" i="13"/>
  <c r="O38" i="13"/>
  <c r="C38" i="13"/>
  <c r="L38" i="13"/>
  <c r="M38" i="13"/>
  <c r="N39" i="13"/>
  <c r="H39" i="13"/>
  <c r="O39" i="13"/>
  <c r="C39" i="13"/>
  <c r="L39" i="13"/>
  <c r="M39" i="13"/>
  <c r="N40" i="13"/>
  <c r="H40" i="13"/>
  <c r="O40" i="13"/>
  <c r="C40" i="13"/>
  <c r="L40" i="13"/>
  <c r="M40" i="13"/>
  <c r="N41" i="13"/>
  <c r="H41" i="13"/>
  <c r="O41" i="13"/>
  <c r="C41" i="13"/>
  <c r="L41" i="13"/>
  <c r="M41" i="13"/>
  <c r="N42" i="13"/>
  <c r="H42" i="13"/>
  <c r="O42" i="13"/>
  <c r="C42" i="13"/>
  <c r="L42" i="13"/>
  <c r="M42" i="13"/>
  <c r="N43" i="13"/>
  <c r="H43" i="13"/>
  <c r="O43" i="13"/>
  <c r="C43" i="13"/>
  <c r="L43" i="13"/>
  <c r="M43" i="13"/>
  <c r="N44" i="13"/>
  <c r="H44" i="13"/>
  <c r="O44" i="13"/>
  <c r="C44" i="13"/>
  <c r="L44" i="13"/>
  <c r="M44" i="13"/>
  <c r="N45" i="13"/>
  <c r="H45" i="13"/>
  <c r="O45" i="13"/>
  <c r="C45" i="13"/>
  <c r="L45" i="13"/>
  <c r="M45" i="13"/>
  <c r="N46" i="13"/>
  <c r="H46" i="13"/>
  <c r="O46" i="13"/>
  <c r="C46" i="13"/>
  <c r="L46" i="13"/>
  <c r="M46" i="13"/>
  <c r="N47" i="13"/>
  <c r="H47" i="13"/>
  <c r="O47" i="13"/>
  <c r="C47" i="13"/>
  <c r="L47" i="13"/>
  <c r="M47" i="13"/>
  <c r="N48" i="13"/>
  <c r="H48" i="13"/>
  <c r="O48" i="13"/>
  <c r="C48" i="13"/>
  <c r="L48" i="13"/>
  <c r="M48" i="13"/>
  <c r="N49" i="13"/>
  <c r="H49" i="13"/>
  <c r="O49" i="13"/>
  <c r="C49" i="13"/>
  <c r="L49" i="13"/>
  <c r="M49" i="13"/>
  <c r="N50" i="13"/>
  <c r="H50" i="13"/>
  <c r="O50" i="13"/>
  <c r="C50" i="13"/>
  <c r="L50" i="13"/>
  <c r="M50" i="13"/>
  <c r="N51" i="13"/>
  <c r="H51" i="13"/>
  <c r="O51" i="13"/>
  <c r="C51" i="13"/>
  <c r="L51" i="13"/>
  <c r="M51" i="13"/>
  <c r="N52" i="13"/>
  <c r="H52" i="13"/>
  <c r="O52" i="13"/>
  <c r="P2" i="13"/>
  <c r="C52" i="13"/>
  <c r="L52" i="13"/>
  <c r="M52" i="13"/>
  <c r="H2" i="14"/>
  <c r="O2" i="14"/>
  <c r="A4" i="14"/>
  <c r="C2" i="14"/>
  <c r="L2" i="14"/>
  <c r="M2" i="14"/>
  <c r="N3" i="14"/>
  <c r="H3" i="14"/>
  <c r="O3" i="14"/>
  <c r="C3" i="14"/>
  <c r="L3" i="14"/>
  <c r="M3" i="14"/>
  <c r="N4" i="14"/>
  <c r="H4" i="14"/>
  <c r="O4" i="14"/>
  <c r="C4" i="14"/>
  <c r="L4" i="14"/>
  <c r="M4" i="14"/>
  <c r="N5" i="14"/>
  <c r="H5" i="14"/>
  <c r="O5" i="14"/>
  <c r="C5" i="14"/>
  <c r="L5" i="14"/>
  <c r="M5" i="14"/>
  <c r="N6" i="14"/>
  <c r="H6" i="14"/>
  <c r="O6" i="14"/>
  <c r="C6" i="14"/>
  <c r="L6" i="14"/>
  <c r="M6" i="14"/>
  <c r="N7" i="14"/>
  <c r="H7" i="14"/>
  <c r="O7" i="14"/>
  <c r="C7" i="14"/>
  <c r="L7" i="14"/>
  <c r="M7" i="14"/>
  <c r="N8" i="14"/>
  <c r="H8" i="14"/>
  <c r="O8" i="14"/>
  <c r="C8" i="14"/>
  <c r="L8" i="14"/>
  <c r="M8" i="14"/>
  <c r="N9" i="14"/>
  <c r="H9" i="14"/>
  <c r="O9" i="14"/>
  <c r="C9" i="14"/>
  <c r="L9" i="14"/>
  <c r="M9" i="14"/>
  <c r="N10" i="14"/>
  <c r="H10" i="14"/>
  <c r="O10" i="14"/>
  <c r="C10" i="14"/>
  <c r="L10" i="14"/>
  <c r="M10" i="14"/>
  <c r="N11" i="14"/>
  <c r="H11" i="14"/>
  <c r="O11" i="14"/>
  <c r="C11" i="14"/>
  <c r="L11" i="14"/>
  <c r="M11" i="14"/>
  <c r="N12" i="14"/>
  <c r="H12" i="14"/>
  <c r="O12" i="14"/>
  <c r="C12" i="14"/>
  <c r="L12" i="14"/>
  <c r="M12" i="14"/>
  <c r="N13" i="14"/>
  <c r="H13" i="14"/>
  <c r="O13" i="14"/>
  <c r="C13" i="14"/>
  <c r="L13" i="14"/>
  <c r="M13" i="14"/>
  <c r="N14" i="14"/>
  <c r="H14" i="14"/>
  <c r="O14" i="14"/>
  <c r="C14" i="14"/>
  <c r="L14" i="14"/>
  <c r="M14" i="14"/>
  <c r="N15" i="14"/>
  <c r="H15" i="14"/>
  <c r="O15" i="14"/>
  <c r="C15" i="14"/>
  <c r="L15" i="14"/>
  <c r="M15" i="14"/>
  <c r="N16" i="14"/>
  <c r="H16" i="14"/>
  <c r="O16" i="14"/>
  <c r="C16" i="14"/>
  <c r="L16" i="14"/>
  <c r="M16" i="14"/>
  <c r="N17" i="14"/>
  <c r="H17" i="14"/>
  <c r="O17" i="14"/>
  <c r="C17" i="14"/>
  <c r="L17" i="14"/>
  <c r="M17" i="14"/>
  <c r="N18" i="14"/>
  <c r="H18" i="14"/>
  <c r="O18" i="14"/>
  <c r="C18" i="14"/>
  <c r="L18" i="14"/>
  <c r="M18" i="14"/>
  <c r="N19" i="14"/>
  <c r="H19" i="14"/>
  <c r="O19" i="14"/>
  <c r="C19" i="14"/>
  <c r="L19" i="14"/>
  <c r="M19" i="14"/>
  <c r="N20" i="14"/>
  <c r="H20" i="14"/>
  <c r="O20" i="14"/>
  <c r="C20" i="14"/>
  <c r="L20" i="14"/>
  <c r="M20" i="14"/>
  <c r="N21" i="14"/>
  <c r="H21" i="14"/>
  <c r="O21" i="14"/>
  <c r="C21" i="14"/>
  <c r="L21" i="14"/>
  <c r="M21" i="14"/>
  <c r="N22" i="14"/>
  <c r="H22" i="14"/>
  <c r="O22" i="14"/>
  <c r="C22" i="14"/>
  <c r="L22" i="14"/>
  <c r="M22" i="14"/>
  <c r="N23" i="14"/>
  <c r="H23" i="14"/>
  <c r="O23" i="14"/>
  <c r="C23" i="14"/>
  <c r="L23" i="14"/>
  <c r="M23" i="14"/>
  <c r="N24" i="14"/>
  <c r="H24" i="14"/>
  <c r="O24" i="14"/>
  <c r="C24" i="14"/>
  <c r="L24" i="14"/>
  <c r="M24" i="14"/>
  <c r="N25" i="14"/>
  <c r="H25" i="14"/>
  <c r="O25" i="14"/>
  <c r="C25" i="14"/>
  <c r="L25" i="14"/>
  <c r="M25" i="14"/>
  <c r="N26" i="14"/>
  <c r="H26" i="14"/>
  <c r="O26" i="14"/>
  <c r="C26" i="14"/>
  <c r="L26" i="14"/>
  <c r="M26" i="14"/>
  <c r="N27" i="14"/>
  <c r="H27" i="14"/>
  <c r="O27" i="14"/>
  <c r="C27" i="14"/>
  <c r="L27" i="14"/>
  <c r="M27" i="14"/>
  <c r="N28" i="14"/>
  <c r="H28" i="14"/>
  <c r="O28" i="14"/>
  <c r="C28" i="14"/>
  <c r="L28" i="14"/>
  <c r="M28" i="14"/>
  <c r="N29" i="14"/>
  <c r="H29" i="14"/>
  <c r="O29" i="14"/>
  <c r="C29" i="14"/>
  <c r="L29" i="14"/>
  <c r="M29" i="14"/>
  <c r="N30" i="14"/>
  <c r="H30" i="14"/>
  <c r="O30" i="14"/>
  <c r="C30" i="14"/>
  <c r="L30" i="14"/>
  <c r="M30" i="14"/>
  <c r="N31" i="14"/>
  <c r="H31" i="14"/>
  <c r="O31" i="14"/>
  <c r="C31" i="14"/>
  <c r="L31" i="14"/>
  <c r="M31" i="14"/>
  <c r="N32" i="14"/>
  <c r="H32" i="14"/>
  <c r="O32" i="14"/>
  <c r="C32" i="14"/>
  <c r="L32" i="14"/>
  <c r="M32" i="14"/>
  <c r="N33" i="14"/>
  <c r="H33" i="14"/>
  <c r="O33" i="14"/>
  <c r="C33" i="14"/>
  <c r="L33" i="14"/>
  <c r="M33" i="14"/>
  <c r="N34" i="14"/>
  <c r="H34" i="14"/>
  <c r="O34" i="14"/>
  <c r="C34" i="14"/>
  <c r="L34" i="14"/>
  <c r="M34" i="14"/>
  <c r="N35" i="14"/>
  <c r="H35" i="14"/>
  <c r="O35" i="14"/>
  <c r="C35" i="14"/>
  <c r="L35" i="14"/>
  <c r="M35" i="14"/>
  <c r="N36" i="14"/>
  <c r="H36" i="14"/>
  <c r="O36" i="14"/>
  <c r="C36" i="14"/>
  <c r="L36" i="14"/>
  <c r="M36" i="14"/>
  <c r="N37" i="14"/>
  <c r="H37" i="14"/>
  <c r="O37" i="14"/>
  <c r="C37" i="14"/>
  <c r="L37" i="14"/>
  <c r="M37" i="14"/>
  <c r="N38" i="14"/>
  <c r="H38" i="14"/>
  <c r="O38" i="14"/>
  <c r="C38" i="14"/>
  <c r="L38" i="14"/>
  <c r="M38" i="14"/>
  <c r="N39" i="14"/>
  <c r="H39" i="14"/>
  <c r="O39" i="14"/>
  <c r="C39" i="14"/>
  <c r="L39" i="14"/>
  <c r="M39" i="14"/>
  <c r="N40" i="14"/>
  <c r="H40" i="14"/>
  <c r="O40" i="14"/>
  <c r="C40" i="14"/>
  <c r="L40" i="14"/>
  <c r="M40" i="14"/>
  <c r="N41" i="14"/>
  <c r="H41" i="14"/>
  <c r="O41" i="14"/>
  <c r="C41" i="14"/>
  <c r="L41" i="14"/>
  <c r="M41" i="14"/>
  <c r="N42" i="14"/>
  <c r="H42" i="14"/>
  <c r="O42" i="14"/>
  <c r="C42" i="14"/>
  <c r="L42" i="14"/>
  <c r="M42" i="14"/>
  <c r="N43" i="14"/>
  <c r="H43" i="14"/>
  <c r="O43" i="14"/>
  <c r="C43" i="14"/>
  <c r="L43" i="14"/>
  <c r="M43" i="14"/>
  <c r="N44" i="14"/>
  <c r="H44" i="14"/>
  <c r="O44" i="14"/>
  <c r="C44" i="14"/>
  <c r="L44" i="14"/>
  <c r="M44" i="14"/>
  <c r="N45" i="14"/>
  <c r="H45" i="14"/>
  <c r="O45" i="14"/>
  <c r="C45" i="14"/>
  <c r="L45" i="14"/>
  <c r="M45" i="14"/>
  <c r="N46" i="14"/>
  <c r="H46" i="14"/>
  <c r="O46" i="14"/>
  <c r="C46" i="14"/>
  <c r="L46" i="14"/>
  <c r="M46" i="14"/>
  <c r="N47" i="14"/>
  <c r="H47" i="14"/>
  <c r="O47" i="14"/>
  <c r="C47" i="14"/>
  <c r="L47" i="14"/>
  <c r="M47" i="14"/>
  <c r="N48" i="14"/>
  <c r="H48" i="14"/>
  <c r="O48" i="14"/>
  <c r="C48" i="14"/>
  <c r="L48" i="14"/>
  <c r="M48" i="14"/>
  <c r="N49" i="14"/>
  <c r="H49" i="14"/>
  <c r="O49" i="14"/>
  <c r="C49" i="14"/>
  <c r="L49" i="14"/>
  <c r="M49" i="14"/>
  <c r="N50" i="14"/>
  <c r="H50" i="14"/>
  <c r="O50" i="14"/>
  <c r="C50" i="14"/>
  <c r="L50" i="14"/>
  <c r="M50" i="14"/>
  <c r="N51" i="14"/>
  <c r="H51" i="14"/>
  <c r="O51" i="14"/>
  <c r="C51" i="14"/>
  <c r="L51" i="14"/>
  <c r="M51" i="14"/>
  <c r="N52" i="14"/>
  <c r="H52" i="14"/>
  <c r="O52" i="14"/>
  <c r="C52" i="14"/>
  <c r="L52" i="14"/>
  <c r="M52" i="14"/>
  <c r="N53" i="14"/>
  <c r="H53" i="14"/>
  <c r="O53" i="14"/>
  <c r="C53" i="14"/>
  <c r="L53" i="14"/>
  <c r="M53" i="14"/>
  <c r="N54" i="14"/>
  <c r="H54" i="14"/>
  <c r="O54" i="14"/>
  <c r="C54" i="14"/>
  <c r="L54" i="14"/>
  <c r="M54" i="14"/>
  <c r="N55" i="14"/>
  <c r="H55" i="14"/>
  <c r="O55" i="14"/>
  <c r="P2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C55" i="14"/>
  <c r="B55" i="14"/>
  <c r="L55" i="14"/>
  <c r="M55" i="14"/>
  <c r="H2" i="16"/>
  <c r="O2" i="16"/>
  <c r="A4" i="16"/>
  <c r="C2" i="16"/>
  <c r="B2" i="16"/>
  <c r="L2" i="16"/>
  <c r="M2" i="16"/>
  <c r="N3" i="16"/>
  <c r="H3" i="16"/>
  <c r="O3" i="16"/>
  <c r="C3" i="16"/>
  <c r="B3" i="16"/>
  <c r="L3" i="16"/>
  <c r="M3" i="16"/>
  <c r="N4" i="16"/>
  <c r="H4" i="16"/>
  <c r="O4" i="16"/>
  <c r="C4" i="16"/>
  <c r="B4" i="16"/>
  <c r="L4" i="16"/>
  <c r="M4" i="16"/>
  <c r="N5" i="16"/>
  <c r="H5" i="16"/>
  <c r="O5" i="16"/>
  <c r="C5" i="16"/>
  <c r="B5" i="16"/>
  <c r="L5" i="16"/>
  <c r="M5" i="16"/>
  <c r="N6" i="16"/>
  <c r="H6" i="16"/>
  <c r="O6" i="16"/>
  <c r="C6" i="16"/>
  <c r="B6" i="16"/>
  <c r="L6" i="16"/>
  <c r="M6" i="16"/>
  <c r="N7" i="16"/>
  <c r="H7" i="16"/>
  <c r="O7" i="16"/>
  <c r="C7" i="16"/>
  <c r="B7" i="16"/>
  <c r="L7" i="16"/>
  <c r="M7" i="16"/>
  <c r="N8" i="16"/>
  <c r="H8" i="16"/>
  <c r="O8" i="16"/>
  <c r="C8" i="16"/>
  <c r="B8" i="16"/>
  <c r="L8" i="16"/>
  <c r="M8" i="16"/>
  <c r="N9" i="16"/>
  <c r="H9" i="16"/>
  <c r="O9" i="16"/>
  <c r="C9" i="16"/>
  <c r="B9" i="16"/>
  <c r="L9" i="16"/>
  <c r="M9" i="16"/>
  <c r="N10" i="16"/>
  <c r="H10" i="16"/>
  <c r="O10" i="16"/>
  <c r="C10" i="16"/>
  <c r="B10" i="16"/>
  <c r="L10" i="16"/>
  <c r="M10" i="16"/>
  <c r="N11" i="16"/>
  <c r="H11" i="16"/>
  <c r="O11" i="16"/>
  <c r="C11" i="16"/>
  <c r="B11" i="16"/>
  <c r="L11" i="16"/>
  <c r="M11" i="16"/>
  <c r="N12" i="16"/>
  <c r="H12" i="16"/>
  <c r="O12" i="16"/>
  <c r="C12" i="16"/>
  <c r="B12" i="16"/>
  <c r="L12" i="16"/>
  <c r="M12" i="16"/>
  <c r="N13" i="16"/>
  <c r="H13" i="16"/>
  <c r="O13" i="16"/>
  <c r="C13" i="16"/>
  <c r="B13" i="16"/>
  <c r="L13" i="16"/>
  <c r="M13" i="16"/>
  <c r="N14" i="16"/>
  <c r="H14" i="16"/>
  <c r="O14" i="16"/>
  <c r="C14" i="16"/>
  <c r="B14" i="16"/>
  <c r="L14" i="16"/>
  <c r="M14" i="16"/>
  <c r="N15" i="16"/>
  <c r="H15" i="16"/>
  <c r="O15" i="16"/>
  <c r="C15" i="16"/>
  <c r="B15" i="16"/>
  <c r="L15" i="16"/>
  <c r="M15" i="16"/>
  <c r="N16" i="16"/>
  <c r="H16" i="16"/>
  <c r="O16" i="16"/>
  <c r="C16" i="16"/>
  <c r="B16" i="16"/>
  <c r="L16" i="16"/>
  <c r="M16" i="16"/>
  <c r="N17" i="16"/>
  <c r="H17" i="16"/>
  <c r="O17" i="16"/>
  <c r="C17" i="16"/>
  <c r="B17" i="16"/>
  <c r="L17" i="16"/>
  <c r="M17" i="16"/>
  <c r="N18" i="16"/>
  <c r="H18" i="16"/>
  <c r="O18" i="16"/>
  <c r="C18" i="16"/>
  <c r="B18" i="16"/>
  <c r="L18" i="16"/>
  <c r="M18" i="16"/>
  <c r="N19" i="16"/>
  <c r="H19" i="16"/>
  <c r="O19" i="16"/>
  <c r="C19" i="16"/>
  <c r="B19" i="16"/>
  <c r="L19" i="16"/>
  <c r="M19" i="16"/>
  <c r="N20" i="16"/>
  <c r="H20" i="16"/>
  <c r="O20" i="16"/>
  <c r="C20" i="16"/>
  <c r="B20" i="16"/>
  <c r="L20" i="16"/>
  <c r="M20" i="16"/>
  <c r="N21" i="16"/>
  <c r="H21" i="16"/>
  <c r="O21" i="16"/>
  <c r="C21" i="16"/>
  <c r="B21" i="16"/>
  <c r="L21" i="16"/>
  <c r="M21" i="16"/>
  <c r="N22" i="16"/>
  <c r="H22" i="16"/>
  <c r="O22" i="16"/>
  <c r="C22" i="16"/>
  <c r="B22" i="16"/>
  <c r="L22" i="16"/>
  <c r="M22" i="16"/>
  <c r="N23" i="16"/>
  <c r="H23" i="16"/>
  <c r="O23" i="16"/>
  <c r="C23" i="16"/>
  <c r="B23" i="16"/>
  <c r="L23" i="16"/>
  <c r="M23" i="16"/>
  <c r="N24" i="16"/>
  <c r="H24" i="16"/>
  <c r="O24" i="16"/>
  <c r="C24" i="16"/>
  <c r="B24" i="16"/>
  <c r="L24" i="16"/>
  <c r="M24" i="16"/>
  <c r="N25" i="16"/>
  <c r="H25" i="16"/>
  <c r="O25" i="16"/>
  <c r="C25" i="16"/>
  <c r="B25" i="16"/>
  <c r="L25" i="16"/>
  <c r="M25" i="16"/>
  <c r="N26" i="16"/>
  <c r="H26" i="16"/>
  <c r="O26" i="16"/>
  <c r="C26" i="16"/>
  <c r="B26" i="16"/>
  <c r="L26" i="16"/>
  <c r="M26" i="16"/>
  <c r="N27" i="16"/>
  <c r="H27" i="16"/>
  <c r="O27" i="16"/>
  <c r="C27" i="16"/>
  <c r="B27" i="16"/>
  <c r="L27" i="16"/>
  <c r="M27" i="16"/>
  <c r="N28" i="16"/>
  <c r="H28" i="16"/>
  <c r="O28" i="16"/>
  <c r="C28" i="16"/>
  <c r="B28" i="16"/>
  <c r="L28" i="16"/>
  <c r="M28" i="16"/>
  <c r="N29" i="16"/>
  <c r="H29" i="16"/>
  <c r="O29" i="16"/>
  <c r="C29" i="16"/>
  <c r="B29" i="16"/>
  <c r="L29" i="16"/>
  <c r="M29" i="16"/>
  <c r="N30" i="16"/>
  <c r="H30" i="16"/>
  <c r="O30" i="16"/>
  <c r="C30" i="16"/>
  <c r="B30" i="16"/>
  <c r="L30" i="16"/>
  <c r="M30" i="16"/>
  <c r="N31" i="16"/>
  <c r="H31" i="16"/>
  <c r="O31" i="16"/>
  <c r="C31" i="16"/>
  <c r="B31" i="16"/>
  <c r="L31" i="16"/>
  <c r="M31" i="16"/>
  <c r="N32" i="16"/>
  <c r="H32" i="16"/>
  <c r="O32" i="16"/>
  <c r="C32" i="16"/>
  <c r="B32" i="16"/>
  <c r="L32" i="16"/>
  <c r="M32" i="16"/>
  <c r="N33" i="16"/>
  <c r="H33" i="16"/>
  <c r="O33" i="16"/>
  <c r="C33" i="16"/>
  <c r="B33" i="16"/>
  <c r="L33" i="16"/>
  <c r="M33" i="16"/>
  <c r="N34" i="16"/>
  <c r="H34" i="16"/>
  <c r="O34" i="16"/>
  <c r="C34" i="16"/>
  <c r="B34" i="16"/>
  <c r="L34" i="16"/>
  <c r="M34" i="16"/>
  <c r="N35" i="16"/>
  <c r="H35" i="16"/>
  <c r="O35" i="16"/>
  <c r="C35" i="16"/>
  <c r="B35" i="16"/>
  <c r="L35" i="16"/>
  <c r="M35" i="16"/>
  <c r="N36" i="16"/>
  <c r="H36" i="16"/>
  <c r="O36" i="16"/>
  <c r="C36" i="16"/>
  <c r="B36" i="16"/>
  <c r="L36" i="16"/>
  <c r="M36" i="16"/>
  <c r="N37" i="16"/>
  <c r="H37" i="16"/>
  <c r="O37" i="16"/>
  <c r="C37" i="16"/>
  <c r="B37" i="16"/>
  <c r="L37" i="16"/>
  <c r="M37" i="16"/>
  <c r="N38" i="16"/>
  <c r="H38" i="16"/>
  <c r="O38" i="16"/>
  <c r="C38" i="16"/>
  <c r="B38" i="16"/>
  <c r="L38" i="16"/>
  <c r="M38" i="16"/>
  <c r="N39" i="16"/>
  <c r="H39" i="16"/>
  <c r="O39" i="16"/>
  <c r="C39" i="16"/>
  <c r="B39" i="16"/>
  <c r="L39" i="16"/>
  <c r="M39" i="16"/>
  <c r="N40" i="16"/>
  <c r="H40" i="16"/>
  <c r="O40" i="16"/>
  <c r="C40" i="16"/>
  <c r="B40" i="16"/>
  <c r="L40" i="16"/>
  <c r="M40" i="16"/>
  <c r="N41" i="16"/>
  <c r="H41" i="16"/>
  <c r="O41" i="16"/>
  <c r="C41" i="16"/>
  <c r="B41" i="16"/>
  <c r="L41" i="16"/>
  <c r="M41" i="16"/>
  <c r="N42" i="16"/>
  <c r="H42" i="16"/>
  <c r="O42" i="16"/>
  <c r="C42" i="16"/>
  <c r="B42" i="16"/>
  <c r="L42" i="16"/>
  <c r="M42" i="16"/>
  <c r="N43" i="16"/>
  <c r="H43" i="16"/>
  <c r="O43" i="16"/>
  <c r="C43" i="16"/>
  <c r="B43" i="16"/>
  <c r="L43" i="16"/>
  <c r="M43" i="16"/>
  <c r="N44" i="16"/>
  <c r="H44" i="16"/>
  <c r="O44" i="16"/>
  <c r="C44" i="16"/>
  <c r="B44" i="16"/>
  <c r="L44" i="16"/>
  <c r="M44" i="16"/>
  <c r="N45" i="16"/>
  <c r="H45" i="16"/>
  <c r="O45" i="16"/>
  <c r="C45" i="16"/>
  <c r="B45" i="16"/>
  <c r="L45" i="16"/>
  <c r="M45" i="16"/>
  <c r="N46" i="16"/>
  <c r="H46" i="16"/>
  <c r="O46" i="16"/>
  <c r="C46" i="16"/>
  <c r="B46" i="16"/>
  <c r="L46" i="16"/>
  <c r="M46" i="16"/>
  <c r="N47" i="16"/>
  <c r="H47" i="16"/>
  <c r="O47" i="16"/>
  <c r="C47" i="16"/>
  <c r="B47" i="16"/>
  <c r="L47" i="16"/>
  <c r="M47" i="16"/>
  <c r="N48" i="16"/>
  <c r="H48" i="16"/>
  <c r="O48" i="16"/>
  <c r="C48" i="16"/>
  <c r="B48" i="16"/>
  <c r="L48" i="16"/>
  <c r="M48" i="16"/>
  <c r="N49" i="16"/>
  <c r="H49" i="16"/>
  <c r="O49" i="16"/>
  <c r="C49" i="16"/>
  <c r="B49" i="16"/>
  <c r="L49" i="16"/>
  <c r="M49" i="16"/>
  <c r="N50" i="16"/>
  <c r="H50" i="16"/>
  <c r="O50" i="16"/>
  <c r="C50" i="16"/>
  <c r="B50" i="16"/>
  <c r="L50" i="16"/>
  <c r="M50" i="16"/>
  <c r="N51" i="16"/>
  <c r="H51" i="16"/>
  <c r="O51" i="16"/>
  <c r="C51" i="16"/>
  <c r="B51" i="16"/>
  <c r="L51" i="16"/>
  <c r="M51" i="16"/>
  <c r="N52" i="16"/>
  <c r="H52" i="16"/>
  <c r="O52" i="16"/>
  <c r="C52" i="16"/>
  <c r="B52" i="16"/>
  <c r="L52" i="16"/>
  <c r="M52" i="16"/>
  <c r="N53" i="16"/>
  <c r="H53" i="16"/>
  <c r="O53" i="16"/>
  <c r="C53" i="16"/>
  <c r="B53" i="16"/>
  <c r="L53" i="16"/>
  <c r="M53" i="16"/>
  <c r="N54" i="16"/>
  <c r="H54" i="16"/>
  <c r="O54" i="16"/>
  <c r="C54" i="16"/>
  <c r="B54" i="16"/>
  <c r="L54" i="16"/>
  <c r="M54" i="16"/>
  <c r="N55" i="16"/>
  <c r="H55" i="16"/>
  <c r="O55" i="16"/>
  <c r="C55" i="16"/>
  <c r="B55" i="16"/>
  <c r="L55" i="16"/>
  <c r="M55" i="16"/>
  <c r="N56" i="16"/>
  <c r="H56" i="16"/>
  <c r="O56" i="16"/>
  <c r="C56" i="16"/>
  <c r="B56" i="16"/>
  <c r="L56" i="16"/>
  <c r="M56" i="16"/>
  <c r="N57" i="16"/>
  <c r="H57" i="16"/>
  <c r="O57" i="16"/>
  <c r="C57" i="16"/>
  <c r="B57" i="16"/>
  <c r="L57" i="16"/>
  <c r="M57" i="16"/>
  <c r="N58" i="16"/>
  <c r="H58" i="16"/>
  <c r="O58" i="16"/>
  <c r="C58" i="16"/>
  <c r="B58" i="16"/>
  <c r="L58" i="16"/>
  <c r="M58" i="16"/>
  <c r="N59" i="16"/>
  <c r="H59" i="16"/>
  <c r="O59" i="16"/>
  <c r="C59" i="16"/>
  <c r="B59" i="16"/>
  <c r="L59" i="16"/>
  <c r="M59" i="16"/>
  <c r="N60" i="16"/>
  <c r="H60" i="16"/>
  <c r="O60" i="16"/>
  <c r="P2" i="16"/>
  <c r="H2" i="4"/>
  <c r="O2" i="4"/>
  <c r="O3" i="4"/>
  <c r="H4" i="4"/>
  <c r="O4" i="4"/>
  <c r="H5" i="4"/>
  <c r="O5" i="4"/>
  <c r="H6" i="4"/>
  <c r="O6" i="4"/>
  <c r="H7" i="4"/>
  <c r="O7" i="4"/>
  <c r="H8" i="4"/>
  <c r="O8" i="4"/>
  <c r="H9" i="4"/>
  <c r="O9" i="4"/>
  <c r="H10" i="4"/>
  <c r="O10" i="4"/>
  <c r="H11" i="4"/>
  <c r="O11" i="4"/>
  <c r="H12" i="4"/>
  <c r="O12" i="4"/>
  <c r="H13" i="4"/>
  <c r="O13" i="4"/>
  <c r="H14" i="4"/>
  <c r="O14" i="4"/>
  <c r="H15" i="4"/>
  <c r="O15" i="4"/>
  <c r="H16" i="4"/>
  <c r="O16" i="4"/>
  <c r="H17" i="4"/>
  <c r="O17" i="4"/>
  <c r="H18" i="4"/>
  <c r="O18" i="4"/>
  <c r="H19" i="4"/>
  <c r="O19" i="4"/>
  <c r="H20" i="4"/>
  <c r="O20" i="4"/>
  <c r="H21" i="4"/>
  <c r="O21" i="4"/>
  <c r="H22" i="4"/>
  <c r="O22" i="4"/>
  <c r="H23" i="4"/>
  <c r="O23" i="4"/>
  <c r="H24" i="4"/>
  <c r="O24" i="4"/>
  <c r="H25" i="4"/>
  <c r="O25" i="4"/>
  <c r="H26" i="4"/>
  <c r="O26" i="4"/>
  <c r="H27" i="4"/>
  <c r="O27" i="4"/>
  <c r="H28" i="4"/>
  <c r="O28" i="4"/>
  <c r="H29" i="4"/>
  <c r="O29" i="4"/>
  <c r="H30" i="4"/>
  <c r="O30" i="4"/>
  <c r="H31" i="4"/>
  <c r="O31" i="4"/>
  <c r="H32" i="4"/>
  <c r="O32" i="4"/>
  <c r="H33" i="4"/>
  <c r="O33" i="4"/>
  <c r="H34" i="4"/>
  <c r="O34" i="4"/>
  <c r="H35" i="4"/>
  <c r="O35" i="4"/>
  <c r="H36" i="4"/>
  <c r="O36" i="4"/>
  <c r="H37" i="4"/>
  <c r="O37" i="4"/>
  <c r="H38" i="4"/>
  <c r="O38" i="4"/>
  <c r="H39" i="4"/>
  <c r="O39" i="4"/>
  <c r="N40" i="4"/>
  <c r="H40" i="4"/>
  <c r="O40" i="4"/>
  <c r="N41" i="4"/>
  <c r="H41" i="4"/>
  <c r="O41" i="4"/>
  <c r="N42" i="4"/>
  <c r="H42" i="4"/>
  <c r="O42" i="4"/>
  <c r="N43" i="4"/>
  <c r="H43" i="4"/>
  <c r="O43" i="4"/>
  <c r="N44" i="4"/>
  <c r="H44" i="4"/>
  <c r="O44" i="4"/>
  <c r="N45" i="4"/>
  <c r="H45" i="4"/>
  <c r="O45" i="4"/>
  <c r="N46" i="4"/>
  <c r="H46" i="4"/>
  <c r="O46" i="4"/>
  <c r="N47" i="4"/>
  <c r="H47" i="4"/>
  <c r="O47" i="4"/>
  <c r="N48" i="4"/>
  <c r="H48" i="4"/>
  <c r="O48" i="4"/>
  <c r="N49" i="4"/>
  <c r="H49" i="4"/>
  <c r="O49" i="4"/>
  <c r="N50" i="4"/>
  <c r="H50" i="4"/>
  <c r="O50" i="4"/>
  <c r="N51" i="4"/>
  <c r="H51" i="4"/>
  <c r="O51" i="4"/>
  <c r="N52" i="4"/>
  <c r="H52" i="4"/>
  <c r="O52" i="4"/>
  <c r="N53" i="4"/>
  <c r="H53" i="4"/>
  <c r="O53" i="4"/>
  <c r="N54" i="4"/>
  <c r="H54" i="4"/>
  <c r="O54" i="4"/>
  <c r="N55" i="4"/>
  <c r="H55" i="4"/>
  <c r="O55" i="4"/>
  <c r="N56" i="4"/>
  <c r="H56" i="4"/>
  <c r="O56" i="4"/>
  <c r="N57" i="4"/>
  <c r="H57" i="4"/>
  <c r="O57" i="4"/>
  <c r="N58" i="4"/>
  <c r="H58" i="4"/>
  <c r="O58" i="4"/>
  <c r="N59" i="4"/>
  <c r="H59" i="4"/>
  <c r="O59" i="4"/>
  <c r="N60" i="4"/>
  <c r="H60" i="4"/>
  <c r="O60" i="4"/>
  <c r="N61" i="4"/>
  <c r="H61" i="4"/>
  <c r="O61" i="4"/>
  <c r="N62" i="4"/>
  <c r="H62" i="4"/>
  <c r="O62" i="4"/>
  <c r="N63" i="4"/>
  <c r="H63" i="4"/>
  <c r="O63" i="4"/>
  <c r="N64" i="4"/>
  <c r="H64" i="4"/>
  <c r="O64" i="4"/>
  <c r="N65" i="4"/>
  <c r="H65" i="4"/>
  <c r="O65" i="4"/>
  <c r="N66" i="4"/>
  <c r="H66" i="4"/>
  <c r="O66" i="4"/>
  <c r="P2" i="4"/>
  <c r="N2" i="5"/>
  <c r="H2" i="5"/>
  <c r="O2" i="5"/>
  <c r="A4" i="5"/>
  <c r="C2" i="5"/>
  <c r="L2" i="5"/>
  <c r="M2" i="5"/>
  <c r="N3" i="5"/>
  <c r="H3" i="5"/>
  <c r="O3" i="5"/>
  <c r="C3" i="5"/>
  <c r="L3" i="5"/>
  <c r="M3" i="5"/>
  <c r="N4" i="5"/>
  <c r="H4" i="5"/>
  <c r="O4" i="5"/>
  <c r="C4" i="5"/>
  <c r="L4" i="5"/>
  <c r="M4" i="5"/>
  <c r="N5" i="5"/>
  <c r="H5" i="5"/>
  <c r="O5" i="5"/>
  <c r="C5" i="5"/>
  <c r="L5" i="5"/>
  <c r="M5" i="5"/>
  <c r="N6" i="5"/>
  <c r="H6" i="5"/>
  <c r="O6" i="5"/>
  <c r="C6" i="5"/>
  <c r="L6" i="5"/>
  <c r="M6" i="5"/>
  <c r="N7" i="5"/>
  <c r="H7" i="5"/>
  <c r="O7" i="5"/>
  <c r="C7" i="5"/>
  <c r="L7" i="5"/>
  <c r="M7" i="5"/>
  <c r="N8" i="5"/>
  <c r="H8" i="5"/>
  <c r="O8" i="5"/>
  <c r="C8" i="5"/>
  <c r="L8" i="5"/>
  <c r="M8" i="5"/>
  <c r="N9" i="5"/>
  <c r="H9" i="5"/>
  <c r="O9" i="5"/>
  <c r="C9" i="5"/>
  <c r="L9" i="5"/>
  <c r="M9" i="5"/>
  <c r="N10" i="5"/>
  <c r="H10" i="5"/>
  <c r="O10" i="5"/>
  <c r="C10" i="5"/>
  <c r="L10" i="5"/>
  <c r="M10" i="5"/>
  <c r="N11" i="5"/>
  <c r="H11" i="5"/>
  <c r="O11" i="5"/>
  <c r="C11" i="5"/>
  <c r="L11" i="5"/>
  <c r="M11" i="5"/>
  <c r="N12" i="5"/>
  <c r="H12" i="5"/>
  <c r="O12" i="5"/>
  <c r="C12" i="5"/>
  <c r="L12" i="5"/>
  <c r="M12" i="5"/>
  <c r="N13" i="5"/>
  <c r="H13" i="5"/>
  <c r="O13" i="5"/>
  <c r="C13" i="5"/>
  <c r="L13" i="5"/>
  <c r="M13" i="5"/>
  <c r="N14" i="5"/>
  <c r="H14" i="5"/>
  <c r="O14" i="5"/>
  <c r="C14" i="5"/>
  <c r="L14" i="5"/>
  <c r="M14" i="5"/>
  <c r="N15" i="5"/>
  <c r="H15" i="5"/>
  <c r="O15" i="5"/>
  <c r="C15" i="5"/>
  <c r="L15" i="5"/>
  <c r="M15" i="5"/>
  <c r="N16" i="5"/>
  <c r="H16" i="5"/>
  <c r="O16" i="5"/>
  <c r="C16" i="5"/>
  <c r="L16" i="5"/>
  <c r="M16" i="5"/>
  <c r="N17" i="5"/>
  <c r="H17" i="5"/>
  <c r="O17" i="5"/>
  <c r="C17" i="5"/>
  <c r="L17" i="5"/>
  <c r="M17" i="5"/>
  <c r="N18" i="5"/>
  <c r="H18" i="5"/>
  <c r="O18" i="5"/>
  <c r="C18" i="5"/>
  <c r="L18" i="5"/>
  <c r="M18" i="5"/>
  <c r="N19" i="5"/>
  <c r="H19" i="5"/>
  <c r="O19" i="5"/>
  <c r="C19" i="5"/>
  <c r="L19" i="5"/>
  <c r="M19" i="5"/>
  <c r="N20" i="5"/>
  <c r="H20" i="5"/>
  <c r="O20" i="5"/>
  <c r="C20" i="5"/>
  <c r="L20" i="5"/>
  <c r="M20" i="5"/>
  <c r="N21" i="5"/>
  <c r="H21" i="5"/>
  <c r="O21" i="5"/>
  <c r="C21" i="5"/>
  <c r="L21" i="5"/>
  <c r="M21" i="5"/>
  <c r="N22" i="5"/>
  <c r="H22" i="5"/>
  <c r="O22" i="5"/>
  <c r="C22" i="5"/>
  <c r="L22" i="5"/>
  <c r="M22" i="5"/>
  <c r="N23" i="5"/>
  <c r="H23" i="5"/>
  <c r="O23" i="5"/>
  <c r="C23" i="5"/>
  <c r="L23" i="5"/>
  <c r="M23" i="5"/>
  <c r="N24" i="5"/>
  <c r="H24" i="5"/>
  <c r="O24" i="5"/>
  <c r="C24" i="5"/>
  <c r="L24" i="5"/>
  <c r="M24" i="5"/>
  <c r="N25" i="5"/>
  <c r="H25" i="5"/>
  <c r="O25" i="5"/>
  <c r="C25" i="5"/>
  <c r="L25" i="5"/>
  <c r="M25" i="5"/>
  <c r="N26" i="5"/>
  <c r="H26" i="5"/>
  <c r="O26" i="5"/>
  <c r="C26" i="5"/>
  <c r="L26" i="5"/>
  <c r="M26" i="5"/>
  <c r="N27" i="5"/>
  <c r="H27" i="5"/>
  <c r="O27" i="5"/>
  <c r="C27" i="5"/>
  <c r="L27" i="5"/>
  <c r="M27" i="5"/>
  <c r="N28" i="5"/>
  <c r="H28" i="5"/>
  <c r="O28" i="5"/>
  <c r="C28" i="5"/>
  <c r="L28" i="5"/>
  <c r="M28" i="5"/>
  <c r="N29" i="5"/>
  <c r="H29" i="5"/>
  <c r="O29" i="5"/>
  <c r="C29" i="5"/>
  <c r="L29" i="5"/>
  <c r="M29" i="5"/>
  <c r="N30" i="5"/>
  <c r="H30" i="5"/>
  <c r="O30" i="5"/>
  <c r="C30" i="5"/>
  <c r="L30" i="5"/>
  <c r="M30" i="5"/>
  <c r="N31" i="5"/>
  <c r="H31" i="5"/>
  <c r="O31" i="5"/>
  <c r="C31" i="5"/>
  <c r="L31" i="5"/>
  <c r="M31" i="5"/>
  <c r="N32" i="5"/>
  <c r="H32" i="5"/>
  <c r="O32" i="5"/>
  <c r="C32" i="5"/>
  <c r="L32" i="5"/>
  <c r="M32" i="5"/>
  <c r="N33" i="5"/>
  <c r="H33" i="5"/>
  <c r="O33" i="5"/>
  <c r="C33" i="5"/>
  <c r="L33" i="5"/>
  <c r="M33" i="5"/>
  <c r="N34" i="5"/>
  <c r="H34" i="5"/>
  <c r="O34" i="5"/>
  <c r="C34" i="5"/>
  <c r="L34" i="5"/>
  <c r="M34" i="5"/>
  <c r="N35" i="5"/>
  <c r="H35" i="5"/>
  <c r="O35" i="5"/>
  <c r="C35" i="5"/>
  <c r="L35" i="5"/>
  <c r="M35" i="5"/>
  <c r="N36" i="5"/>
  <c r="H36" i="5"/>
  <c r="O36" i="5"/>
  <c r="C36" i="5"/>
  <c r="L36" i="5"/>
  <c r="M36" i="5"/>
  <c r="N37" i="5"/>
  <c r="H37" i="5"/>
  <c r="O37" i="5"/>
  <c r="C37" i="5"/>
  <c r="L37" i="5"/>
  <c r="M37" i="5"/>
  <c r="N38" i="5"/>
  <c r="H38" i="5"/>
  <c r="O38" i="5"/>
  <c r="C38" i="5"/>
  <c r="L38" i="5"/>
  <c r="M38" i="5"/>
  <c r="N39" i="5"/>
  <c r="H39" i="5"/>
  <c r="O39" i="5"/>
  <c r="C39" i="5"/>
  <c r="L39" i="5"/>
  <c r="M39" i="5"/>
  <c r="N40" i="5"/>
  <c r="H40" i="5"/>
  <c r="O40" i="5"/>
  <c r="C40" i="5"/>
  <c r="L40" i="5"/>
  <c r="M40" i="5"/>
  <c r="N41" i="5"/>
  <c r="H41" i="5"/>
  <c r="O41" i="5"/>
  <c r="C41" i="5"/>
  <c r="L41" i="5"/>
  <c r="M41" i="5"/>
  <c r="N42" i="5"/>
  <c r="H42" i="5"/>
  <c r="O42" i="5"/>
  <c r="C42" i="5"/>
  <c r="L42" i="5"/>
  <c r="M42" i="5"/>
  <c r="N43" i="5"/>
  <c r="H43" i="5"/>
  <c r="O43" i="5"/>
  <c r="C43" i="5"/>
  <c r="L43" i="5"/>
  <c r="M43" i="5"/>
  <c r="N44" i="5"/>
  <c r="H44" i="5"/>
  <c r="O44" i="5"/>
  <c r="C44" i="5"/>
  <c r="L44" i="5"/>
  <c r="M44" i="5"/>
  <c r="N45" i="5"/>
  <c r="H45" i="5"/>
  <c r="O45" i="5"/>
  <c r="C45" i="5"/>
  <c r="L45" i="5"/>
  <c r="M45" i="5"/>
  <c r="N46" i="5"/>
  <c r="H46" i="5"/>
  <c r="O46" i="5"/>
  <c r="C46" i="5"/>
  <c r="L46" i="5"/>
  <c r="M46" i="5"/>
  <c r="N47" i="5"/>
  <c r="H47" i="5"/>
  <c r="O47" i="5"/>
  <c r="C47" i="5"/>
  <c r="L47" i="5"/>
  <c r="M47" i="5"/>
  <c r="N48" i="5"/>
  <c r="H48" i="5"/>
  <c r="O48" i="5"/>
  <c r="C48" i="5"/>
  <c r="L48" i="5"/>
  <c r="M48" i="5"/>
  <c r="N49" i="5"/>
  <c r="H49" i="5"/>
  <c r="O49" i="5"/>
  <c r="C49" i="5"/>
  <c r="L49" i="5"/>
  <c r="M49" i="5"/>
  <c r="N50" i="5"/>
  <c r="H50" i="5"/>
  <c r="O50" i="5"/>
  <c r="C50" i="5"/>
  <c r="L50" i="5"/>
  <c r="M50" i="5"/>
  <c r="N51" i="5"/>
  <c r="H51" i="5"/>
  <c r="O51" i="5"/>
  <c r="C51" i="5"/>
  <c r="L51" i="5"/>
  <c r="M51" i="5"/>
  <c r="N52" i="5"/>
  <c r="H52" i="5"/>
  <c r="O52" i="5"/>
  <c r="C52" i="5"/>
  <c r="L52" i="5"/>
  <c r="M52" i="5"/>
  <c r="N53" i="5"/>
  <c r="H53" i="5"/>
  <c r="O53" i="5"/>
  <c r="C53" i="5"/>
  <c r="L53" i="5"/>
  <c r="M53" i="5"/>
  <c r="N54" i="5"/>
  <c r="H54" i="5"/>
  <c r="O54" i="5"/>
  <c r="C54" i="5"/>
  <c r="L54" i="5"/>
  <c r="M54" i="5"/>
  <c r="N55" i="5"/>
  <c r="H55" i="5"/>
  <c r="O55" i="5"/>
  <c r="C55" i="5"/>
  <c r="L55" i="5"/>
  <c r="M55" i="5"/>
  <c r="N56" i="5"/>
  <c r="H56" i="5"/>
  <c r="O56" i="5"/>
  <c r="C56" i="5"/>
  <c r="L56" i="5"/>
  <c r="M56" i="5"/>
  <c r="N57" i="5"/>
  <c r="H57" i="5"/>
  <c r="O57" i="5"/>
  <c r="C57" i="5"/>
  <c r="L57" i="5"/>
  <c r="M57" i="5"/>
  <c r="N58" i="5"/>
  <c r="H58" i="5"/>
  <c r="O58" i="5"/>
  <c r="C58" i="5"/>
  <c r="L58" i="5"/>
  <c r="M58" i="5"/>
  <c r="N59" i="5"/>
  <c r="H59" i="5"/>
  <c r="O59" i="5"/>
  <c r="C59" i="5"/>
  <c r="L59" i="5"/>
  <c r="M59" i="5"/>
  <c r="N60" i="5"/>
  <c r="H60" i="5"/>
  <c r="O60" i="5"/>
  <c r="C60" i="5"/>
  <c r="L60" i="5"/>
  <c r="M60" i="5"/>
  <c r="N61" i="5"/>
  <c r="H61" i="5"/>
  <c r="O61" i="5"/>
  <c r="C61" i="5"/>
  <c r="L61" i="5"/>
  <c r="M61" i="5"/>
  <c r="N62" i="5"/>
  <c r="H62" i="5"/>
  <c r="O62" i="5"/>
  <c r="C62" i="5"/>
  <c r="L62" i="5"/>
  <c r="M62" i="5"/>
  <c r="N63" i="5"/>
  <c r="H63" i="5"/>
  <c r="O63" i="5"/>
  <c r="C63" i="5"/>
  <c r="L63" i="5"/>
  <c r="M63" i="5"/>
  <c r="N64" i="5"/>
  <c r="H64" i="5"/>
  <c r="O64" i="5"/>
  <c r="C64" i="5"/>
  <c r="L64" i="5"/>
  <c r="M64" i="5"/>
  <c r="N65" i="5"/>
  <c r="H65" i="5"/>
  <c r="O65" i="5"/>
  <c r="C65" i="5"/>
  <c r="L65" i="5"/>
  <c r="M65" i="5"/>
  <c r="N66" i="5"/>
  <c r="H66" i="5"/>
  <c r="O66" i="5"/>
  <c r="P2" i="5"/>
  <c r="H2" i="7"/>
  <c r="O2" i="7"/>
  <c r="A4" i="7"/>
  <c r="C2" i="7"/>
  <c r="L2" i="7"/>
  <c r="M2" i="7"/>
  <c r="N3" i="7"/>
  <c r="H3" i="7"/>
  <c r="O3" i="7"/>
  <c r="C3" i="7"/>
  <c r="L3" i="7"/>
  <c r="M3" i="7"/>
  <c r="N4" i="7"/>
  <c r="H4" i="7"/>
  <c r="O4" i="7"/>
  <c r="C4" i="7"/>
  <c r="L4" i="7"/>
  <c r="M4" i="7"/>
  <c r="N5" i="7"/>
  <c r="H5" i="7"/>
  <c r="O5" i="7"/>
  <c r="C5" i="7"/>
  <c r="L5" i="7"/>
  <c r="M5" i="7"/>
  <c r="N6" i="7"/>
  <c r="H6" i="7"/>
  <c r="O6" i="7"/>
  <c r="C6" i="7"/>
  <c r="L6" i="7"/>
  <c r="M6" i="7"/>
  <c r="N7" i="7"/>
  <c r="H7" i="7"/>
  <c r="O7" i="7"/>
  <c r="C7" i="7"/>
  <c r="L7" i="7"/>
  <c r="M7" i="7"/>
  <c r="N8" i="7"/>
  <c r="H8" i="7"/>
  <c r="O8" i="7"/>
  <c r="C8" i="7"/>
  <c r="L8" i="7"/>
  <c r="M8" i="7"/>
  <c r="N9" i="7"/>
  <c r="H9" i="7"/>
  <c r="O9" i="7"/>
  <c r="C9" i="7"/>
  <c r="L9" i="7"/>
  <c r="M9" i="7"/>
  <c r="N10" i="7"/>
  <c r="H10" i="7"/>
  <c r="O10" i="7"/>
  <c r="C10" i="7"/>
  <c r="L10" i="7"/>
  <c r="M10" i="7"/>
  <c r="N11" i="7"/>
  <c r="H11" i="7"/>
  <c r="O11" i="7"/>
  <c r="C11" i="7"/>
  <c r="L11" i="7"/>
  <c r="M11" i="7"/>
  <c r="N12" i="7"/>
  <c r="H12" i="7"/>
  <c r="O12" i="7"/>
  <c r="C12" i="7"/>
  <c r="L12" i="7"/>
  <c r="M12" i="7"/>
  <c r="N13" i="7"/>
  <c r="H13" i="7"/>
  <c r="O13" i="7"/>
  <c r="C13" i="7"/>
  <c r="L13" i="7"/>
  <c r="M13" i="7"/>
  <c r="N14" i="7"/>
  <c r="H14" i="7"/>
  <c r="O14" i="7"/>
  <c r="C14" i="7"/>
  <c r="L14" i="7"/>
  <c r="M14" i="7"/>
  <c r="N15" i="7"/>
  <c r="H15" i="7"/>
  <c r="O15" i="7"/>
  <c r="C15" i="7"/>
  <c r="L15" i="7"/>
  <c r="M15" i="7"/>
  <c r="N16" i="7"/>
  <c r="H16" i="7"/>
  <c r="O16" i="7"/>
  <c r="C16" i="7"/>
  <c r="L16" i="7"/>
  <c r="M16" i="7"/>
  <c r="N17" i="7"/>
  <c r="H17" i="7"/>
  <c r="O17" i="7"/>
  <c r="C17" i="7"/>
  <c r="L17" i="7"/>
  <c r="M17" i="7"/>
  <c r="N18" i="7"/>
  <c r="H18" i="7"/>
  <c r="O18" i="7"/>
  <c r="C18" i="7"/>
  <c r="L18" i="7"/>
  <c r="M18" i="7"/>
  <c r="N19" i="7"/>
  <c r="H19" i="7"/>
  <c r="O19" i="7"/>
  <c r="C19" i="7"/>
  <c r="L19" i="7"/>
  <c r="M19" i="7"/>
  <c r="N20" i="7"/>
  <c r="H20" i="7"/>
  <c r="O20" i="7"/>
  <c r="C20" i="7"/>
  <c r="L20" i="7"/>
  <c r="M20" i="7"/>
  <c r="N21" i="7"/>
  <c r="H21" i="7"/>
  <c r="O21" i="7"/>
  <c r="C21" i="7"/>
  <c r="L21" i="7"/>
  <c r="M21" i="7"/>
  <c r="N22" i="7"/>
  <c r="H22" i="7"/>
  <c r="O22" i="7"/>
  <c r="C22" i="7"/>
  <c r="L22" i="7"/>
  <c r="M22" i="7"/>
  <c r="N23" i="7"/>
  <c r="H23" i="7"/>
  <c r="O23" i="7"/>
  <c r="C23" i="7"/>
  <c r="L23" i="7"/>
  <c r="M23" i="7"/>
  <c r="N24" i="7"/>
  <c r="H24" i="7"/>
  <c r="O24" i="7"/>
  <c r="C24" i="7"/>
  <c r="L24" i="7"/>
  <c r="M24" i="7"/>
  <c r="N25" i="7"/>
  <c r="H25" i="7"/>
  <c r="O25" i="7"/>
  <c r="C25" i="7"/>
  <c r="L25" i="7"/>
  <c r="M25" i="7"/>
  <c r="N26" i="7"/>
  <c r="H26" i="7"/>
  <c r="O26" i="7"/>
  <c r="C26" i="7"/>
  <c r="L26" i="7"/>
  <c r="M26" i="7"/>
  <c r="N27" i="7"/>
  <c r="H27" i="7"/>
  <c r="O27" i="7"/>
  <c r="C27" i="7"/>
  <c r="L27" i="7"/>
  <c r="M27" i="7"/>
  <c r="N28" i="7"/>
  <c r="H28" i="7"/>
  <c r="O28" i="7"/>
  <c r="C28" i="7"/>
  <c r="L28" i="7"/>
  <c r="M28" i="7"/>
  <c r="N29" i="7"/>
  <c r="H29" i="7"/>
  <c r="O29" i="7"/>
  <c r="C29" i="7"/>
  <c r="L29" i="7"/>
  <c r="M29" i="7"/>
  <c r="N30" i="7"/>
  <c r="H30" i="7"/>
  <c r="O30" i="7"/>
  <c r="C30" i="7"/>
  <c r="L30" i="7"/>
  <c r="M30" i="7"/>
  <c r="N31" i="7"/>
  <c r="H31" i="7"/>
  <c r="O31" i="7"/>
  <c r="C31" i="7"/>
  <c r="L31" i="7"/>
  <c r="M31" i="7"/>
  <c r="N32" i="7"/>
  <c r="H32" i="7"/>
  <c r="O32" i="7"/>
  <c r="C32" i="7"/>
  <c r="L32" i="7"/>
  <c r="M32" i="7"/>
  <c r="N33" i="7"/>
  <c r="H33" i="7"/>
  <c r="O33" i="7"/>
  <c r="C33" i="7"/>
  <c r="L33" i="7"/>
  <c r="M33" i="7"/>
  <c r="N34" i="7"/>
  <c r="H34" i="7"/>
  <c r="O34" i="7"/>
  <c r="C34" i="7"/>
  <c r="L34" i="7"/>
  <c r="M34" i="7"/>
  <c r="N35" i="7"/>
  <c r="H35" i="7"/>
  <c r="O35" i="7"/>
  <c r="C35" i="7"/>
  <c r="L35" i="7"/>
  <c r="M35" i="7"/>
  <c r="N36" i="7"/>
  <c r="H36" i="7"/>
  <c r="O36" i="7"/>
  <c r="C36" i="7"/>
  <c r="L36" i="7"/>
  <c r="M36" i="7"/>
  <c r="N37" i="7"/>
  <c r="H37" i="7"/>
  <c r="O37" i="7"/>
  <c r="C37" i="7"/>
  <c r="L37" i="7"/>
  <c r="M37" i="7"/>
  <c r="N38" i="7"/>
  <c r="H38" i="7"/>
  <c r="O38" i="7"/>
  <c r="C38" i="7"/>
  <c r="L38" i="7"/>
  <c r="M38" i="7"/>
  <c r="N39" i="7"/>
  <c r="H39" i="7"/>
  <c r="O39" i="7"/>
  <c r="C39" i="7"/>
  <c r="L39" i="7"/>
  <c r="M39" i="7"/>
  <c r="N40" i="7"/>
  <c r="H40" i="7"/>
  <c r="O40" i="7"/>
  <c r="C40" i="7"/>
  <c r="L40" i="7"/>
  <c r="M40" i="7"/>
  <c r="N41" i="7"/>
  <c r="H41" i="7"/>
  <c r="O41" i="7"/>
  <c r="C41" i="7"/>
  <c r="L41" i="7"/>
  <c r="M41" i="7"/>
  <c r="N42" i="7"/>
  <c r="H42" i="7"/>
  <c r="O42" i="7"/>
  <c r="C42" i="7"/>
  <c r="L42" i="7"/>
  <c r="M42" i="7"/>
  <c r="N43" i="7"/>
  <c r="H43" i="7"/>
  <c r="O43" i="7"/>
  <c r="C43" i="7"/>
  <c r="L43" i="7"/>
  <c r="M43" i="7"/>
  <c r="N44" i="7"/>
  <c r="H44" i="7"/>
  <c r="O44" i="7"/>
  <c r="C44" i="7"/>
  <c r="L44" i="7"/>
  <c r="M44" i="7"/>
  <c r="N45" i="7"/>
  <c r="H45" i="7"/>
  <c r="O45" i="7"/>
  <c r="C45" i="7"/>
  <c r="L45" i="7"/>
  <c r="M45" i="7"/>
  <c r="N46" i="7"/>
  <c r="H46" i="7"/>
  <c r="O46" i="7"/>
  <c r="C46" i="7"/>
  <c r="L46" i="7"/>
  <c r="M46" i="7"/>
  <c r="N47" i="7"/>
  <c r="H47" i="7"/>
  <c r="O47" i="7"/>
  <c r="C47" i="7"/>
  <c r="L47" i="7"/>
  <c r="M47" i="7"/>
  <c r="N48" i="7"/>
  <c r="H48" i="7"/>
  <c r="O48" i="7"/>
  <c r="C48" i="7"/>
  <c r="L48" i="7"/>
  <c r="M48" i="7"/>
  <c r="N49" i="7"/>
  <c r="H49" i="7"/>
  <c r="O49" i="7"/>
  <c r="C49" i="7"/>
  <c r="L49" i="7"/>
  <c r="M49" i="7"/>
  <c r="N50" i="7"/>
  <c r="H50" i="7"/>
  <c r="O50" i="7"/>
  <c r="C50" i="7"/>
  <c r="L50" i="7"/>
  <c r="M50" i="7"/>
  <c r="N51" i="7"/>
  <c r="H51" i="7"/>
  <c r="O51" i="7"/>
  <c r="C51" i="7"/>
  <c r="L51" i="7"/>
  <c r="M51" i="7"/>
  <c r="N52" i="7"/>
  <c r="H52" i="7"/>
  <c r="O52" i="7"/>
  <c r="C52" i="7"/>
  <c r="L52" i="7"/>
  <c r="M52" i="7"/>
  <c r="N53" i="7"/>
  <c r="H53" i="7"/>
  <c r="O53" i="7"/>
  <c r="C53" i="7"/>
  <c r="L53" i="7"/>
  <c r="M53" i="7"/>
  <c r="N54" i="7"/>
  <c r="H54" i="7"/>
  <c r="O54" i="7"/>
  <c r="C54" i="7"/>
  <c r="L54" i="7"/>
  <c r="M54" i="7"/>
  <c r="N55" i="7"/>
  <c r="H55" i="7"/>
  <c r="O55" i="7"/>
  <c r="C55" i="7"/>
  <c r="L55" i="7"/>
  <c r="M55" i="7"/>
  <c r="N56" i="7"/>
  <c r="H56" i="7"/>
  <c r="O56" i="7"/>
  <c r="C56" i="7"/>
  <c r="L56" i="7"/>
  <c r="M56" i="7"/>
  <c r="N57" i="7"/>
  <c r="H57" i="7"/>
  <c r="O57" i="7"/>
  <c r="C57" i="7"/>
  <c r="L57" i="7"/>
  <c r="M57" i="7"/>
  <c r="N58" i="7"/>
  <c r="H58" i="7"/>
  <c r="O58" i="7"/>
  <c r="C58" i="7"/>
  <c r="L58" i="7"/>
  <c r="M58" i="7"/>
  <c r="N59" i="7"/>
  <c r="H59" i="7"/>
  <c r="O59" i="7"/>
  <c r="C59" i="7"/>
  <c r="L59" i="7"/>
  <c r="M59" i="7"/>
  <c r="N60" i="7"/>
  <c r="H60" i="7"/>
  <c r="O60" i="7"/>
  <c r="C60" i="7"/>
  <c r="L60" i="7"/>
  <c r="M60" i="7"/>
  <c r="N61" i="7"/>
  <c r="H61" i="7"/>
  <c r="O61" i="7"/>
  <c r="C61" i="7"/>
  <c r="L61" i="7"/>
  <c r="M61" i="7"/>
  <c r="N62" i="7"/>
  <c r="H62" i="7"/>
  <c r="O62" i="7"/>
  <c r="C62" i="7"/>
  <c r="L62" i="7"/>
  <c r="M62" i="7"/>
  <c r="N63" i="7"/>
  <c r="H63" i="7"/>
  <c r="O63" i="7"/>
  <c r="C63" i="7"/>
  <c r="L63" i="7"/>
  <c r="M63" i="7"/>
  <c r="N64" i="7"/>
  <c r="H64" i="7"/>
  <c r="O64" i="7"/>
  <c r="C64" i="7"/>
  <c r="L64" i="7"/>
  <c r="M64" i="7"/>
  <c r="N65" i="7"/>
  <c r="H65" i="7"/>
  <c r="O65" i="7"/>
  <c r="P2" i="7"/>
  <c r="H2" i="17"/>
  <c r="O2" i="17"/>
  <c r="A4" i="17"/>
  <c r="C2" i="17"/>
  <c r="B2" i="17"/>
  <c r="L2" i="17"/>
  <c r="M2" i="17"/>
  <c r="N3" i="17"/>
  <c r="H3" i="17"/>
  <c r="O3" i="17"/>
  <c r="C3" i="17"/>
  <c r="B3" i="17"/>
  <c r="L3" i="17"/>
  <c r="M3" i="17"/>
  <c r="N4" i="17"/>
  <c r="H4" i="17"/>
  <c r="O4" i="17"/>
  <c r="C4" i="17"/>
  <c r="B4" i="17"/>
  <c r="L4" i="17"/>
  <c r="M4" i="17"/>
  <c r="N5" i="17"/>
  <c r="H5" i="17"/>
  <c r="O5" i="17"/>
  <c r="C5" i="17"/>
  <c r="B5" i="17"/>
  <c r="L5" i="17"/>
  <c r="M5" i="17"/>
  <c r="N6" i="17"/>
  <c r="H6" i="17"/>
  <c r="O6" i="17"/>
  <c r="C6" i="17"/>
  <c r="B6" i="17"/>
  <c r="L6" i="17"/>
  <c r="M6" i="17"/>
  <c r="N7" i="17"/>
  <c r="H7" i="17"/>
  <c r="O7" i="17"/>
  <c r="C7" i="17"/>
  <c r="B7" i="17"/>
  <c r="L7" i="17"/>
  <c r="M7" i="17"/>
  <c r="N8" i="17"/>
  <c r="H8" i="17"/>
  <c r="O8" i="17"/>
  <c r="C8" i="17"/>
  <c r="B8" i="17"/>
  <c r="L8" i="17"/>
  <c r="M8" i="17"/>
  <c r="N9" i="17"/>
  <c r="H9" i="17"/>
  <c r="O9" i="17"/>
  <c r="C9" i="17"/>
  <c r="B9" i="17"/>
  <c r="L9" i="17"/>
  <c r="M9" i="17"/>
  <c r="N10" i="17"/>
  <c r="H10" i="17"/>
  <c r="O10" i="17"/>
  <c r="C10" i="17"/>
  <c r="B10" i="17"/>
  <c r="L10" i="17"/>
  <c r="M10" i="17"/>
  <c r="N11" i="17"/>
  <c r="H11" i="17"/>
  <c r="O11" i="17"/>
  <c r="C11" i="17"/>
  <c r="B11" i="17"/>
  <c r="L11" i="17"/>
  <c r="M11" i="17"/>
  <c r="N12" i="17"/>
  <c r="H12" i="17"/>
  <c r="O12" i="17"/>
  <c r="C12" i="17"/>
  <c r="B12" i="17"/>
  <c r="L12" i="17"/>
  <c r="M12" i="17"/>
  <c r="N13" i="17"/>
  <c r="H13" i="17"/>
  <c r="O13" i="17"/>
  <c r="C13" i="17"/>
  <c r="B13" i="17"/>
  <c r="L13" i="17"/>
  <c r="M13" i="17"/>
  <c r="N14" i="17"/>
  <c r="H14" i="17"/>
  <c r="O14" i="17"/>
  <c r="C14" i="17"/>
  <c r="B14" i="17"/>
  <c r="L14" i="17"/>
  <c r="M14" i="17"/>
  <c r="N15" i="17"/>
  <c r="H15" i="17"/>
  <c r="O15" i="17"/>
  <c r="C15" i="17"/>
  <c r="B15" i="17"/>
  <c r="L15" i="17"/>
  <c r="M15" i="17"/>
  <c r="N16" i="17"/>
  <c r="H16" i="17"/>
  <c r="O16" i="17"/>
  <c r="C16" i="17"/>
  <c r="B16" i="17"/>
  <c r="L16" i="17"/>
  <c r="M16" i="17"/>
  <c r="N17" i="17"/>
  <c r="H17" i="17"/>
  <c r="O17" i="17"/>
  <c r="C17" i="17"/>
  <c r="B17" i="17"/>
  <c r="L17" i="17"/>
  <c r="M17" i="17"/>
  <c r="N18" i="17"/>
  <c r="H18" i="17"/>
  <c r="O18" i="17"/>
  <c r="C18" i="17"/>
  <c r="B18" i="17"/>
  <c r="L18" i="17"/>
  <c r="M18" i="17"/>
  <c r="N19" i="17"/>
  <c r="H19" i="17"/>
  <c r="O19" i="17"/>
  <c r="C19" i="17"/>
  <c r="B19" i="17"/>
  <c r="L19" i="17"/>
  <c r="M19" i="17"/>
  <c r="N20" i="17"/>
  <c r="H20" i="17"/>
  <c r="O20" i="17"/>
  <c r="C20" i="17"/>
  <c r="B20" i="17"/>
  <c r="L20" i="17"/>
  <c r="M20" i="17"/>
  <c r="N21" i="17"/>
  <c r="H21" i="17"/>
  <c r="O21" i="17"/>
  <c r="C21" i="17"/>
  <c r="B21" i="17"/>
  <c r="L21" i="17"/>
  <c r="M21" i="17"/>
  <c r="N22" i="17"/>
  <c r="H22" i="17"/>
  <c r="O22" i="17"/>
  <c r="C22" i="17"/>
  <c r="B22" i="17"/>
  <c r="L22" i="17"/>
  <c r="M22" i="17"/>
  <c r="N23" i="17"/>
  <c r="H23" i="17"/>
  <c r="O23" i="17"/>
  <c r="C23" i="17"/>
  <c r="B23" i="17"/>
  <c r="L23" i="17"/>
  <c r="M23" i="17"/>
  <c r="N24" i="17"/>
  <c r="H24" i="17"/>
  <c r="O24" i="17"/>
  <c r="C24" i="17"/>
  <c r="B24" i="17"/>
  <c r="L24" i="17"/>
  <c r="M24" i="17"/>
  <c r="N25" i="17"/>
  <c r="H25" i="17"/>
  <c r="O25" i="17"/>
  <c r="C25" i="17"/>
  <c r="B25" i="17"/>
  <c r="L25" i="17"/>
  <c r="M25" i="17"/>
  <c r="N26" i="17"/>
  <c r="H26" i="17"/>
  <c r="O26" i="17"/>
  <c r="C26" i="17"/>
  <c r="B26" i="17"/>
  <c r="L26" i="17"/>
  <c r="M26" i="17"/>
  <c r="N27" i="17"/>
  <c r="H27" i="17"/>
  <c r="O27" i="17"/>
  <c r="C27" i="17"/>
  <c r="B27" i="17"/>
  <c r="L27" i="17"/>
  <c r="M27" i="17"/>
  <c r="N28" i="17"/>
  <c r="H28" i="17"/>
  <c r="O28" i="17"/>
  <c r="C28" i="17"/>
  <c r="B28" i="17"/>
  <c r="L28" i="17"/>
  <c r="M28" i="17"/>
  <c r="N29" i="17"/>
  <c r="H29" i="17"/>
  <c r="O29" i="17"/>
  <c r="C29" i="17"/>
  <c r="B29" i="17"/>
  <c r="L29" i="17"/>
  <c r="M29" i="17"/>
  <c r="N30" i="17"/>
  <c r="H30" i="17"/>
  <c r="O30" i="17"/>
  <c r="C30" i="17"/>
  <c r="B30" i="17"/>
  <c r="L30" i="17"/>
  <c r="M30" i="17"/>
  <c r="N31" i="17"/>
  <c r="H31" i="17"/>
  <c r="O31" i="17"/>
  <c r="C31" i="17"/>
  <c r="B31" i="17"/>
  <c r="L31" i="17"/>
  <c r="M31" i="17"/>
  <c r="N32" i="17"/>
  <c r="H32" i="17"/>
  <c r="O32" i="17"/>
  <c r="C32" i="17"/>
  <c r="B32" i="17"/>
  <c r="L32" i="17"/>
  <c r="M32" i="17"/>
  <c r="N33" i="17"/>
  <c r="H33" i="17"/>
  <c r="O33" i="17"/>
  <c r="C33" i="17"/>
  <c r="B33" i="17"/>
  <c r="L33" i="17"/>
  <c r="M33" i="17"/>
  <c r="N34" i="17"/>
  <c r="H34" i="17"/>
  <c r="O34" i="17"/>
  <c r="C34" i="17"/>
  <c r="B34" i="17"/>
  <c r="L34" i="17"/>
  <c r="M34" i="17"/>
  <c r="N35" i="17"/>
  <c r="H35" i="17"/>
  <c r="O35" i="17"/>
  <c r="C35" i="17"/>
  <c r="B35" i="17"/>
  <c r="L35" i="17"/>
  <c r="M35" i="17"/>
  <c r="N36" i="17"/>
  <c r="H36" i="17"/>
  <c r="O36" i="17"/>
  <c r="C36" i="17"/>
  <c r="B36" i="17"/>
  <c r="L36" i="17"/>
  <c r="M36" i="17"/>
  <c r="N37" i="17"/>
  <c r="H37" i="17"/>
  <c r="O37" i="17"/>
  <c r="C37" i="17"/>
  <c r="B37" i="17"/>
  <c r="L37" i="17"/>
  <c r="M37" i="17"/>
  <c r="N38" i="17"/>
  <c r="H38" i="17"/>
  <c r="O38" i="17"/>
  <c r="C38" i="17"/>
  <c r="B38" i="17"/>
  <c r="L38" i="17"/>
  <c r="M38" i="17"/>
  <c r="N39" i="17"/>
  <c r="H39" i="17"/>
  <c r="O39" i="17"/>
  <c r="C39" i="17"/>
  <c r="B39" i="17"/>
  <c r="L39" i="17"/>
  <c r="M39" i="17"/>
  <c r="N40" i="17"/>
  <c r="H40" i="17"/>
  <c r="O40" i="17"/>
  <c r="C40" i="17"/>
  <c r="B40" i="17"/>
  <c r="L40" i="17"/>
  <c r="M40" i="17"/>
  <c r="N41" i="17"/>
  <c r="H41" i="17"/>
  <c r="O41" i="17"/>
  <c r="C41" i="17"/>
  <c r="B41" i="17"/>
  <c r="L41" i="17"/>
  <c r="M41" i="17"/>
  <c r="N42" i="17"/>
  <c r="H42" i="17"/>
  <c r="O42" i="17"/>
  <c r="C42" i="17"/>
  <c r="B42" i="17"/>
  <c r="L42" i="17"/>
  <c r="M42" i="17"/>
  <c r="N43" i="17"/>
  <c r="H43" i="17"/>
  <c r="O43" i="17"/>
  <c r="C43" i="17"/>
  <c r="B43" i="17"/>
  <c r="L43" i="17"/>
  <c r="M43" i="17"/>
  <c r="N44" i="17"/>
  <c r="H44" i="17"/>
  <c r="O44" i="17"/>
  <c r="C44" i="17"/>
  <c r="B44" i="17"/>
  <c r="L44" i="17"/>
  <c r="M44" i="17"/>
  <c r="N45" i="17"/>
  <c r="H45" i="17"/>
  <c r="O45" i="17"/>
  <c r="C45" i="17"/>
  <c r="B45" i="17"/>
  <c r="L45" i="17"/>
  <c r="M45" i="17"/>
  <c r="N46" i="17"/>
  <c r="H46" i="17"/>
  <c r="O46" i="17"/>
  <c r="C46" i="17"/>
  <c r="B46" i="17"/>
  <c r="L46" i="17"/>
  <c r="M46" i="17"/>
  <c r="N47" i="17"/>
  <c r="H47" i="17"/>
  <c r="O47" i="17"/>
  <c r="C47" i="17"/>
  <c r="B47" i="17"/>
  <c r="L47" i="17"/>
  <c r="M47" i="17"/>
  <c r="N48" i="17"/>
  <c r="H48" i="17"/>
  <c r="O48" i="17"/>
  <c r="C48" i="17"/>
  <c r="B48" i="17"/>
  <c r="L48" i="17"/>
  <c r="M48" i="17"/>
  <c r="N49" i="17"/>
  <c r="H49" i="17"/>
  <c r="O49" i="17"/>
  <c r="C49" i="17"/>
  <c r="B49" i="17"/>
  <c r="L49" i="17"/>
  <c r="M49" i="17"/>
  <c r="N50" i="17"/>
  <c r="H50" i="17"/>
  <c r="O50" i="17"/>
  <c r="C50" i="17"/>
  <c r="B50" i="17"/>
  <c r="L50" i="17"/>
  <c r="M50" i="17"/>
  <c r="N51" i="17"/>
  <c r="H51" i="17"/>
  <c r="O51" i="17"/>
  <c r="C51" i="17"/>
  <c r="B51" i="17"/>
  <c r="L51" i="17"/>
  <c r="M51" i="17"/>
  <c r="N52" i="17"/>
  <c r="H52" i="17"/>
  <c r="O52" i="17"/>
  <c r="C52" i="17"/>
  <c r="B52" i="17"/>
  <c r="L52" i="17"/>
  <c r="M52" i="17"/>
  <c r="N53" i="17"/>
  <c r="H53" i="17"/>
  <c r="O53" i="17"/>
  <c r="C53" i="17"/>
  <c r="B53" i="17"/>
  <c r="L53" i="17"/>
  <c r="M53" i="17"/>
  <c r="N54" i="17"/>
  <c r="H54" i="17"/>
  <c r="O54" i="17"/>
  <c r="C54" i="17"/>
  <c r="B54" i="17"/>
  <c r="L54" i="17"/>
  <c r="M54" i="17"/>
  <c r="N55" i="17"/>
  <c r="H55" i="17"/>
  <c r="O55" i="17"/>
  <c r="C55" i="17"/>
  <c r="B55" i="17"/>
  <c r="L55" i="17"/>
  <c r="M55" i="17"/>
  <c r="N56" i="17"/>
  <c r="H56" i="17"/>
  <c r="O56" i="17"/>
  <c r="C56" i="17"/>
  <c r="B56" i="17"/>
  <c r="L56" i="17"/>
  <c r="M56" i="17"/>
  <c r="N57" i="17"/>
  <c r="H57" i="17"/>
  <c r="O57" i="17"/>
  <c r="C57" i="17"/>
  <c r="B57" i="17"/>
  <c r="L57" i="17"/>
  <c r="M57" i="17"/>
  <c r="N58" i="17"/>
  <c r="H58" i="17"/>
  <c r="O58" i="17"/>
  <c r="C58" i="17"/>
  <c r="B58" i="17"/>
  <c r="L58" i="17"/>
  <c r="M58" i="17"/>
  <c r="N59" i="17"/>
  <c r="H59" i="17"/>
  <c r="O59" i="17"/>
  <c r="C59" i="17"/>
  <c r="B59" i="17"/>
  <c r="L59" i="17"/>
  <c r="M59" i="17"/>
  <c r="N60" i="17"/>
  <c r="H60" i="17"/>
  <c r="O60" i="17"/>
  <c r="C60" i="17"/>
  <c r="B60" i="17"/>
  <c r="L60" i="17"/>
  <c r="M60" i="17"/>
  <c r="N61" i="17"/>
  <c r="H61" i="17"/>
  <c r="O61" i="17"/>
  <c r="C61" i="17"/>
  <c r="B61" i="17"/>
  <c r="L61" i="17"/>
  <c r="M61" i="17"/>
  <c r="N62" i="17"/>
  <c r="H62" i="17"/>
  <c r="O62" i="17"/>
  <c r="P2" i="17"/>
  <c r="H2" i="15"/>
  <c r="O2" i="15"/>
  <c r="A4" i="15"/>
  <c r="C2" i="15"/>
  <c r="L2" i="15"/>
  <c r="M2" i="15"/>
  <c r="N3" i="15"/>
  <c r="H3" i="15"/>
  <c r="O3" i="15"/>
  <c r="C3" i="15"/>
  <c r="L3" i="15"/>
  <c r="M3" i="15"/>
  <c r="N4" i="15"/>
  <c r="H4" i="15"/>
  <c r="O4" i="15"/>
  <c r="C4" i="15"/>
  <c r="L4" i="15"/>
  <c r="M4" i="15"/>
  <c r="N5" i="15"/>
  <c r="H5" i="15"/>
  <c r="O5" i="15"/>
  <c r="C5" i="15"/>
  <c r="L5" i="15"/>
  <c r="M5" i="15"/>
  <c r="N6" i="15"/>
  <c r="H6" i="15"/>
  <c r="O6" i="15"/>
  <c r="C6" i="15"/>
  <c r="L6" i="15"/>
  <c r="M6" i="15"/>
  <c r="N7" i="15"/>
  <c r="H7" i="15"/>
  <c r="O7" i="15"/>
  <c r="C7" i="15"/>
  <c r="L7" i="15"/>
  <c r="M7" i="15"/>
  <c r="N8" i="15"/>
  <c r="H8" i="15"/>
  <c r="O8" i="15"/>
  <c r="C8" i="15"/>
  <c r="L8" i="15"/>
  <c r="M8" i="15"/>
  <c r="N9" i="15"/>
  <c r="H9" i="15"/>
  <c r="O9" i="15"/>
  <c r="C9" i="15"/>
  <c r="L9" i="15"/>
  <c r="M9" i="15"/>
  <c r="N10" i="15"/>
  <c r="H10" i="15"/>
  <c r="O10" i="15"/>
  <c r="C10" i="15"/>
  <c r="L10" i="15"/>
  <c r="M10" i="15"/>
  <c r="N11" i="15"/>
  <c r="H11" i="15"/>
  <c r="O11" i="15"/>
  <c r="C11" i="15"/>
  <c r="L11" i="15"/>
  <c r="M11" i="15"/>
  <c r="N12" i="15"/>
  <c r="H12" i="15"/>
  <c r="O12" i="15"/>
  <c r="C12" i="15"/>
  <c r="L12" i="15"/>
  <c r="M12" i="15"/>
  <c r="N13" i="15"/>
  <c r="H13" i="15"/>
  <c r="O13" i="15"/>
  <c r="C13" i="15"/>
  <c r="L13" i="15"/>
  <c r="M13" i="15"/>
  <c r="N14" i="15"/>
  <c r="H14" i="15"/>
  <c r="O14" i="15"/>
  <c r="C14" i="15"/>
  <c r="L14" i="15"/>
  <c r="M14" i="15"/>
  <c r="N15" i="15"/>
  <c r="H15" i="15"/>
  <c r="O15" i="15"/>
  <c r="C15" i="15"/>
  <c r="L15" i="15"/>
  <c r="M15" i="15"/>
  <c r="N16" i="15"/>
  <c r="H16" i="15"/>
  <c r="O16" i="15"/>
  <c r="C16" i="15"/>
  <c r="L16" i="15"/>
  <c r="M16" i="15"/>
  <c r="N17" i="15"/>
  <c r="H17" i="15"/>
  <c r="O17" i="15"/>
  <c r="C17" i="15"/>
  <c r="L17" i="15"/>
  <c r="M17" i="15"/>
  <c r="N18" i="15"/>
  <c r="H18" i="15"/>
  <c r="O18" i="15"/>
  <c r="C18" i="15"/>
  <c r="L18" i="15"/>
  <c r="M18" i="15"/>
  <c r="N19" i="15"/>
  <c r="H19" i="15"/>
  <c r="O19" i="15"/>
  <c r="C19" i="15"/>
  <c r="L19" i="15"/>
  <c r="M19" i="15"/>
  <c r="N20" i="15"/>
  <c r="H20" i="15"/>
  <c r="O20" i="15"/>
  <c r="C20" i="15"/>
  <c r="L20" i="15"/>
  <c r="M20" i="15"/>
  <c r="N21" i="15"/>
  <c r="H21" i="15"/>
  <c r="O21" i="15"/>
  <c r="C21" i="15"/>
  <c r="L21" i="15"/>
  <c r="M21" i="15"/>
  <c r="N22" i="15"/>
  <c r="H22" i="15"/>
  <c r="O22" i="15"/>
  <c r="C22" i="15"/>
  <c r="L22" i="15"/>
  <c r="M22" i="15"/>
  <c r="N23" i="15"/>
  <c r="H23" i="15"/>
  <c r="O23" i="15"/>
  <c r="C23" i="15"/>
  <c r="L23" i="15"/>
  <c r="M23" i="15"/>
  <c r="N24" i="15"/>
  <c r="H24" i="15"/>
  <c r="O24" i="15"/>
  <c r="C24" i="15"/>
  <c r="L24" i="15"/>
  <c r="M24" i="15"/>
  <c r="N25" i="15"/>
  <c r="H25" i="15"/>
  <c r="O25" i="15"/>
  <c r="C25" i="15"/>
  <c r="L25" i="15"/>
  <c r="M25" i="15"/>
  <c r="N26" i="15"/>
  <c r="H26" i="15"/>
  <c r="O26" i="15"/>
  <c r="C26" i="15"/>
  <c r="L26" i="15"/>
  <c r="M26" i="15"/>
  <c r="N27" i="15"/>
  <c r="H27" i="15"/>
  <c r="O27" i="15"/>
  <c r="C27" i="15"/>
  <c r="L27" i="15"/>
  <c r="M27" i="15"/>
  <c r="N28" i="15"/>
  <c r="H28" i="15"/>
  <c r="O28" i="15"/>
  <c r="C28" i="15"/>
  <c r="L28" i="15"/>
  <c r="M28" i="15"/>
  <c r="N29" i="15"/>
  <c r="H29" i="15"/>
  <c r="O29" i="15"/>
  <c r="C29" i="15"/>
  <c r="L29" i="15"/>
  <c r="M29" i="15"/>
  <c r="N30" i="15"/>
  <c r="H30" i="15"/>
  <c r="O30" i="15"/>
  <c r="C30" i="15"/>
  <c r="L30" i="15"/>
  <c r="M30" i="15"/>
  <c r="N31" i="15"/>
  <c r="H31" i="15"/>
  <c r="O31" i="15"/>
  <c r="C31" i="15"/>
  <c r="L31" i="15"/>
  <c r="M31" i="15"/>
  <c r="N32" i="15"/>
  <c r="H32" i="15"/>
  <c r="O32" i="15"/>
  <c r="C32" i="15"/>
  <c r="L32" i="15"/>
  <c r="M32" i="15"/>
  <c r="N33" i="15"/>
  <c r="H33" i="15"/>
  <c r="O33" i="15"/>
  <c r="C33" i="15"/>
  <c r="L33" i="15"/>
  <c r="M33" i="15"/>
  <c r="N34" i="15"/>
  <c r="H34" i="15"/>
  <c r="O34" i="15"/>
  <c r="C34" i="15"/>
  <c r="L34" i="15"/>
  <c r="M34" i="15"/>
  <c r="N35" i="15"/>
  <c r="H35" i="15"/>
  <c r="O35" i="15"/>
  <c r="C35" i="15"/>
  <c r="L35" i="15"/>
  <c r="M35" i="15"/>
  <c r="N36" i="15"/>
  <c r="H36" i="15"/>
  <c r="O36" i="15"/>
  <c r="C36" i="15"/>
  <c r="L36" i="15"/>
  <c r="M36" i="15"/>
  <c r="N37" i="15"/>
  <c r="H37" i="15"/>
  <c r="O37" i="15"/>
  <c r="C37" i="15"/>
  <c r="L37" i="15"/>
  <c r="M37" i="15"/>
  <c r="N38" i="15"/>
  <c r="H38" i="15"/>
  <c r="O38" i="15"/>
  <c r="C38" i="15"/>
  <c r="L38" i="15"/>
  <c r="M38" i="15"/>
  <c r="N39" i="15"/>
  <c r="H39" i="15"/>
  <c r="O39" i="15"/>
  <c r="C39" i="15"/>
  <c r="L39" i="15"/>
  <c r="M39" i="15"/>
  <c r="N40" i="15"/>
  <c r="H40" i="15"/>
  <c r="O40" i="15"/>
  <c r="C40" i="15"/>
  <c r="L40" i="15"/>
  <c r="M40" i="15"/>
  <c r="N41" i="15"/>
  <c r="H41" i="15"/>
  <c r="O41" i="15"/>
  <c r="C41" i="15"/>
  <c r="L41" i="15"/>
  <c r="M41" i="15"/>
  <c r="N42" i="15"/>
  <c r="H42" i="15"/>
  <c r="O42" i="15"/>
  <c r="C42" i="15"/>
  <c r="L42" i="15"/>
  <c r="M42" i="15"/>
  <c r="N43" i="15"/>
  <c r="H43" i="15"/>
  <c r="O43" i="15"/>
  <c r="C43" i="15"/>
  <c r="L43" i="15"/>
  <c r="M43" i="15"/>
  <c r="N44" i="15"/>
  <c r="H44" i="15"/>
  <c r="O44" i="15"/>
  <c r="C44" i="15"/>
  <c r="L44" i="15"/>
  <c r="M44" i="15"/>
  <c r="N45" i="15"/>
  <c r="H45" i="15"/>
  <c r="O45" i="15"/>
  <c r="C45" i="15"/>
  <c r="L45" i="15"/>
  <c r="M45" i="15"/>
  <c r="N46" i="15"/>
  <c r="H46" i="15"/>
  <c r="O46" i="15"/>
  <c r="C46" i="15"/>
  <c r="L46" i="15"/>
  <c r="M46" i="15"/>
  <c r="N47" i="15"/>
  <c r="H47" i="15"/>
  <c r="O47" i="15"/>
  <c r="C47" i="15"/>
  <c r="L47" i="15"/>
  <c r="M47" i="15"/>
  <c r="N48" i="15"/>
  <c r="H48" i="15"/>
  <c r="O48" i="15"/>
  <c r="C48" i="15"/>
  <c r="L48" i="15"/>
  <c r="M48" i="15"/>
  <c r="N49" i="15"/>
  <c r="H49" i="15"/>
  <c r="O49" i="15"/>
  <c r="C49" i="15"/>
  <c r="L49" i="15"/>
  <c r="M49" i="15"/>
  <c r="N50" i="15"/>
  <c r="H50" i="15"/>
  <c r="O50" i="15"/>
  <c r="C50" i="15"/>
  <c r="L50" i="15"/>
  <c r="M50" i="15"/>
  <c r="N51" i="15"/>
  <c r="H51" i="15"/>
  <c r="O51" i="15"/>
  <c r="C51" i="15"/>
  <c r="L51" i="15"/>
  <c r="M51" i="15"/>
  <c r="N52" i="15"/>
  <c r="H52" i="15"/>
  <c r="O52" i="15"/>
  <c r="C52" i="15"/>
  <c r="L52" i="15"/>
  <c r="M52" i="15"/>
  <c r="N53" i="15"/>
  <c r="H53" i="15"/>
  <c r="O53" i="15"/>
  <c r="C53" i="15"/>
  <c r="L53" i="15"/>
  <c r="M53" i="15"/>
  <c r="N54" i="15"/>
  <c r="H54" i="15"/>
  <c r="O54" i="15"/>
  <c r="C54" i="15"/>
  <c r="L54" i="15"/>
  <c r="M54" i="15"/>
  <c r="N55" i="15"/>
  <c r="H55" i="15"/>
  <c r="O55" i="15"/>
  <c r="C55" i="15"/>
  <c r="L55" i="15"/>
  <c r="M55" i="15"/>
  <c r="N56" i="15"/>
  <c r="H56" i="15"/>
  <c r="O56" i="15"/>
  <c r="C56" i="15"/>
  <c r="L56" i="15"/>
  <c r="M56" i="15"/>
  <c r="N57" i="15"/>
  <c r="H57" i="15"/>
  <c r="O57" i="15"/>
  <c r="P2" i="15"/>
  <c r="C57" i="15"/>
  <c r="L57" i="15"/>
  <c r="M57" i="15"/>
  <c r="C60" i="16"/>
  <c r="B60" i="16"/>
  <c r="L60" i="16"/>
  <c r="M60" i="16"/>
  <c r="C62" i="17"/>
  <c r="B62" i="17"/>
  <c r="L62" i="17"/>
  <c r="M62" i="17"/>
  <c r="B2" i="18"/>
  <c r="B2" i="11"/>
  <c r="B2" i="13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C65" i="7"/>
  <c r="L65" i="7"/>
  <c r="M65" i="7"/>
  <c r="C66" i="5"/>
  <c r="L66" i="5"/>
  <c r="M66" i="5"/>
  <c r="I2" i="4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E2" i="5"/>
  <c r="B2" i="7"/>
  <c r="B3" i="7"/>
  <c r="B4" i="7"/>
  <c r="B5" i="7"/>
  <c r="B6" i="7"/>
  <c r="B7" i="7"/>
  <c r="B8" i="7"/>
  <c r="B9" i="7"/>
  <c r="B10" i="7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2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E2" i="8"/>
  <c r="F2" i="8"/>
  <c r="G3" i="8"/>
  <c r="I3" i="8"/>
  <c r="E3" i="8"/>
  <c r="F3" i="8"/>
  <c r="G4" i="8"/>
  <c r="I4" i="8"/>
  <c r="E4" i="8"/>
  <c r="F4" i="8"/>
  <c r="G5" i="8"/>
  <c r="I5" i="8"/>
  <c r="E5" i="8"/>
  <c r="F5" i="8"/>
  <c r="G6" i="8"/>
  <c r="I6" i="8"/>
  <c r="E6" i="8"/>
  <c r="F6" i="8"/>
  <c r="G7" i="8"/>
  <c r="I7" i="8"/>
  <c r="E7" i="8"/>
  <c r="F7" i="8"/>
  <c r="G8" i="8"/>
  <c r="I8" i="8"/>
  <c r="E8" i="8"/>
  <c r="F8" i="8"/>
  <c r="G9" i="8"/>
  <c r="I9" i="8"/>
  <c r="E9" i="8"/>
  <c r="F9" i="8"/>
  <c r="G10" i="8"/>
  <c r="I10" i="8"/>
  <c r="E10" i="8"/>
  <c r="F10" i="8"/>
  <c r="G11" i="8"/>
  <c r="I11" i="8"/>
  <c r="E11" i="8"/>
  <c r="F11" i="8"/>
  <c r="G12" i="8"/>
  <c r="I12" i="8"/>
  <c r="E12" i="8"/>
  <c r="F12" i="8"/>
  <c r="G13" i="8"/>
  <c r="I13" i="8"/>
  <c r="E13" i="8"/>
  <c r="F13" i="8"/>
  <c r="G14" i="8"/>
  <c r="I14" i="8"/>
  <c r="E14" i="8"/>
  <c r="F14" i="8"/>
  <c r="G15" i="8"/>
  <c r="I15" i="8"/>
  <c r="E15" i="8"/>
  <c r="F15" i="8"/>
  <c r="G16" i="8"/>
  <c r="I16" i="8"/>
  <c r="E16" i="8"/>
  <c r="F16" i="8"/>
  <c r="G17" i="8"/>
  <c r="I17" i="8"/>
  <c r="E17" i="8"/>
  <c r="F17" i="8"/>
  <c r="G18" i="8"/>
  <c r="I18" i="8"/>
  <c r="E18" i="8"/>
  <c r="F18" i="8"/>
  <c r="G19" i="8"/>
  <c r="I19" i="8"/>
  <c r="E19" i="8"/>
  <c r="F19" i="8"/>
  <c r="G20" i="8"/>
  <c r="I20" i="8"/>
  <c r="E20" i="8"/>
  <c r="F20" i="8"/>
  <c r="G21" i="8"/>
  <c r="I21" i="8"/>
  <c r="E21" i="8"/>
  <c r="F21" i="8"/>
  <c r="G22" i="8"/>
  <c r="I22" i="8"/>
  <c r="E22" i="8"/>
  <c r="F22" i="8"/>
  <c r="G23" i="8"/>
  <c r="I23" i="8"/>
  <c r="E23" i="8"/>
  <c r="F23" i="8"/>
  <c r="G24" i="8"/>
  <c r="I24" i="8"/>
  <c r="E24" i="8"/>
  <c r="F24" i="8"/>
  <c r="G25" i="8"/>
  <c r="I25" i="8"/>
  <c r="E25" i="8"/>
  <c r="F25" i="8"/>
  <c r="G26" i="8"/>
  <c r="I26" i="8"/>
  <c r="E26" i="8"/>
  <c r="F26" i="8"/>
  <c r="G27" i="8"/>
  <c r="I27" i="8"/>
  <c r="E27" i="8"/>
  <c r="F27" i="8"/>
  <c r="G28" i="8"/>
  <c r="I28" i="8"/>
  <c r="E28" i="8"/>
  <c r="F28" i="8"/>
  <c r="G29" i="8"/>
  <c r="I29" i="8"/>
  <c r="E29" i="8"/>
  <c r="F29" i="8"/>
  <c r="G30" i="8"/>
  <c r="I30" i="8"/>
  <c r="E30" i="8"/>
  <c r="F30" i="8"/>
  <c r="G31" i="8"/>
  <c r="I31" i="8"/>
  <c r="E31" i="8"/>
  <c r="F31" i="8"/>
  <c r="G32" i="8"/>
  <c r="I32" i="8"/>
  <c r="E32" i="8"/>
  <c r="F32" i="8"/>
  <c r="G33" i="8"/>
  <c r="I33" i="8"/>
  <c r="E33" i="8"/>
  <c r="F33" i="8"/>
  <c r="G34" i="8"/>
  <c r="I34" i="8"/>
  <c r="E34" i="8"/>
  <c r="F34" i="8"/>
  <c r="G35" i="8"/>
  <c r="I35" i="8"/>
  <c r="E35" i="8"/>
  <c r="F35" i="8"/>
  <c r="G36" i="8"/>
  <c r="I36" i="8"/>
  <c r="E36" i="8"/>
  <c r="F36" i="8"/>
  <c r="G37" i="8"/>
  <c r="I37" i="8"/>
  <c r="E37" i="8"/>
  <c r="F37" i="8"/>
  <c r="G38" i="8"/>
  <c r="I38" i="8"/>
  <c r="E38" i="8"/>
  <c r="F38" i="8"/>
  <c r="G39" i="8"/>
  <c r="I39" i="8"/>
  <c r="E39" i="8"/>
  <c r="F39" i="8"/>
  <c r="G40" i="8"/>
  <c r="I40" i="8"/>
  <c r="I2" i="8"/>
  <c r="I2" i="9"/>
  <c r="E2" i="10"/>
  <c r="F2" i="10"/>
  <c r="G3" i="10"/>
  <c r="I3" i="10"/>
  <c r="E3" i="10"/>
  <c r="F3" i="10"/>
  <c r="G4" i="10"/>
  <c r="I4" i="10"/>
  <c r="E4" i="10"/>
  <c r="F4" i="10"/>
  <c r="G5" i="10"/>
  <c r="I5" i="10"/>
  <c r="E5" i="10"/>
  <c r="F5" i="10"/>
  <c r="G6" i="10"/>
  <c r="I6" i="10"/>
  <c r="E6" i="10"/>
  <c r="F6" i="10"/>
  <c r="G7" i="10"/>
  <c r="I7" i="10"/>
  <c r="E7" i="10"/>
  <c r="F7" i="10"/>
  <c r="G8" i="10"/>
  <c r="I8" i="10"/>
  <c r="E8" i="10"/>
  <c r="F8" i="10"/>
  <c r="G9" i="10"/>
  <c r="I9" i="10"/>
  <c r="E9" i="10"/>
  <c r="F9" i="10"/>
  <c r="G10" i="10"/>
  <c r="I10" i="10"/>
  <c r="E10" i="10"/>
  <c r="F10" i="10"/>
  <c r="G11" i="10"/>
  <c r="I11" i="10"/>
  <c r="E11" i="10"/>
  <c r="F11" i="10"/>
  <c r="G12" i="10"/>
  <c r="I12" i="10"/>
  <c r="E12" i="10"/>
  <c r="F12" i="10"/>
  <c r="G13" i="10"/>
  <c r="I13" i="10"/>
  <c r="E13" i="10"/>
  <c r="F13" i="10"/>
  <c r="G14" i="10"/>
  <c r="I14" i="10"/>
  <c r="E14" i="10"/>
  <c r="F14" i="10"/>
  <c r="G15" i="10"/>
  <c r="I15" i="10"/>
  <c r="E15" i="10"/>
  <c r="F15" i="10"/>
  <c r="G16" i="10"/>
  <c r="I16" i="10"/>
  <c r="E16" i="10"/>
  <c r="F16" i="10"/>
  <c r="G17" i="10"/>
  <c r="I17" i="10"/>
  <c r="E17" i="10"/>
  <c r="F17" i="10"/>
  <c r="G18" i="10"/>
  <c r="I18" i="10"/>
  <c r="E18" i="10"/>
  <c r="F18" i="10"/>
  <c r="G19" i="10"/>
  <c r="I19" i="10"/>
  <c r="E19" i="10"/>
  <c r="F19" i="10"/>
  <c r="G20" i="10"/>
  <c r="I20" i="10"/>
  <c r="E20" i="10"/>
  <c r="F20" i="10"/>
  <c r="G21" i="10"/>
  <c r="I21" i="10"/>
  <c r="E21" i="10"/>
  <c r="F21" i="10"/>
  <c r="G22" i="10"/>
  <c r="I22" i="10"/>
  <c r="E22" i="10"/>
  <c r="F22" i="10"/>
  <c r="G23" i="10"/>
  <c r="I23" i="10"/>
  <c r="E23" i="10"/>
  <c r="F23" i="10"/>
  <c r="G24" i="10"/>
  <c r="I24" i="10"/>
  <c r="E24" i="10"/>
  <c r="F24" i="10"/>
  <c r="G25" i="10"/>
  <c r="I25" i="10"/>
  <c r="E25" i="10"/>
  <c r="F25" i="10"/>
  <c r="G26" i="10"/>
  <c r="I26" i="10"/>
  <c r="E26" i="10"/>
  <c r="F26" i="10"/>
  <c r="G27" i="10"/>
  <c r="I27" i="10"/>
  <c r="E27" i="10"/>
  <c r="F27" i="10"/>
  <c r="G28" i="10"/>
  <c r="I28" i="10"/>
  <c r="E28" i="10"/>
  <c r="F28" i="10"/>
  <c r="G29" i="10"/>
  <c r="I29" i="10"/>
  <c r="E29" i="10"/>
  <c r="F29" i="10"/>
  <c r="G30" i="10"/>
  <c r="I30" i="10"/>
  <c r="E30" i="10"/>
  <c r="F30" i="10"/>
  <c r="G31" i="10"/>
  <c r="I31" i="10"/>
  <c r="E31" i="10"/>
  <c r="F31" i="10"/>
  <c r="G32" i="10"/>
  <c r="I32" i="10"/>
  <c r="E32" i="10"/>
  <c r="F32" i="10"/>
  <c r="G33" i="10"/>
  <c r="I33" i="10"/>
  <c r="E33" i="10"/>
  <c r="F33" i="10"/>
  <c r="G34" i="10"/>
  <c r="I34" i="10"/>
  <c r="E34" i="10"/>
  <c r="F34" i="10"/>
  <c r="G35" i="10"/>
  <c r="I35" i="10"/>
  <c r="E35" i="10"/>
  <c r="F35" i="10"/>
  <c r="G36" i="10"/>
  <c r="I36" i="10"/>
  <c r="E36" i="10"/>
  <c r="F36" i="10"/>
  <c r="G37" i="10"/>
  <c r="I37" i="10"/>
  <c r="E37" i="10"/>
  <c r="F37" i="10"/>
  <c r="G38" i="10"/>
  <c r="I38" i="10"/>
  <c r="E38" i="10"/>
  <c r="F38" i="10"/>
  <c r="G39" i="10"/>
  <c r="I39" i="10"/>
  <c r="E39" i="10"/>
  <c r="F39" i="10"/>
  <c r="G40" i="10"/>
  <c r="I40" i="10"/>
  <c r="E40" i="10"/>
  <c r="F40" i="10"/>
  <c r="G41" i="10"/>
  <c r="I41" i="10"/>
  <c r="E41" i="10"/>
  <c r="F41" i="10"/>
  <c r="G42" i="10"/>
  <c r="I42" i="10"/>
  <c r="E42" i="10"/>
  <c r="F42" i="10"/>
  <c r="G43" i="10"/>
  <c r="I43" i="10"/>
  <c r="E43" i="10"/>
  <c r="F43" i="10"/>
  <c r="G44" i="10"/>
  <c r="I44" i="10"/>
  <c r="E44" i="10"/>
  <c r="F44" i="10"/>
  <c r="G45" i="10"/>
  <c r="I45" i="10"/>
  <c r="I2" i="10"/>
  <c r="E2" i="11"/>
  <c r="F2" i="11"/>
  <c r="G3" i="11"/>
  <c r="I3" i="11"/>
  <c r="E3" i="11"/>
  <c r="F3" i="11"/>
  <c r="G4" i="11"/>
  <c r="I4" i="11"/>
  <c r="E4" i="11"/>
  <c r="F4" i="11"/>
  <c r="G5" i="11"/>
  <c r="I5" i="11"/>
  <c r="E5" i="11"/>
  <c r="F5" i="11"/>
  <c r="G6" i="11"/>
  <c r="I6" i="11"/>
  <c r="E6" i="11"/>
  <c r="F6" i="11"/>
  <c r="G7" i="11"/>
  <c r="I7" i="11"/>
  <c r="E7" i="11"/>
  <c r="F7" i="11"/>
  <c r="G8" i="11"/>
  <c r="I8" i="11"/>
  <c r="E8" i="11"/>
  <c r="F8" i="11"/>
  <c r="G9" i="11"/>
  <c r="I9" i="11"/>
  <c r="E9" i="11"/>
  <c r="F9" i="11"/>
  <c r="G10" i="11"/>
  <c r="I10" i="11"/>
  <c r="E10" i="11"/>
  <c r="F10" i="11"/>
  <c r="G11" i="11"/>
  <c r="I11" i="11"/>
  <c r="E11" i="11"/>
  <c r="F11" i="11"/>
  <c r="G12" i="11"/>
  <c r="I12" i="11"/>
  <c r="E12" i="11"/>
  <c r="F12" i="11"/>
  <c r="G13" i="11"/>
  <c r="I13" i="11"/>
  <c r="E13" i="11"/>
  <c r="F13" i="11"/>
  <c r="G14" i="11"/>
  <c r="I14" i="11"/>
  <c r="E14" i="11"/>
  <c r="F14" i="11"/>
  <c r="G15" i="11"/>
  <c r="I15" i="11"/>
  <c r="E15" i="11"/>
  <c r="F15" i="11"/>
  <c r="G16" i="11"/>
  <c r="I16" i="11"/>
  <c r="E16" i="11"/>
  <c r="F16" i="11"/>
  <c r="G17" i="11"/>
  <c r="I17" i="11"/>
  <c r="E17" i="11"/>
  <c r="F17" i="11"/>
  <c r="G18" i="11"/>
  <c r="I18" i="11"/>
  <c r="E18" i="11"/>
  <c r="F18" i="11"/>
  <c r="G19" i="11"/>
  <c r="I19" i="11"/>
  <c r="E19" i="11"/>
  <c r="F19" i="11"/>
  <c r="G20" i="11"/>
  <c r="I20" i="11"/>
  <c r="E20" i="11"/>
  <c r="F20" i="11"/>
  <c r="G21" i="11"/>
  <c r="I21" i="11"/>
  <c r="E21" i="11"/>
  <c r="F21" i="11"/>
  <c r="G22" i="11"/>
  <c r="I22" i="11"/>
  <c r="E22" i="11"/>
  <c r="F22" i="11"/>
  <c r="G23" i="11"/>
  <c r="I23" i="11"/>
  <c r="E23" i="11"/>
  <c r="F23" i="11"/>
  <c r="G24" i="11"/>
  <c r="I24" i="11"/>
  <c r="E24" i="11"/>
  <c r="F24" i="11"/>
  <c r="G25" i="11"/>
  <c r="I25" i="11"/>
  <c r="E25" i="11"/>
  <c r="F25" i="11"/>
  <c r="G26" i="11"/>
  <c r="I26" i="11"/>
  <c r="E26" i="11"/>
  <c r="F26" i="11"/>
  <c r="G27" i="11"/>
  <c r="I27" i="11"/>
  <c r="E27" i="11"/>
  <c r="F27" i="11"/>
  <c r="G28" i="11"/>
  <c r="I28" i="11"/>
  <c r="E28" i="11"/>
  <c r="F28" i="11"/>
  <c r="G29" i="11"/>
  <c r="I29" i="11"/>
  <c r="E29" i="11"/>
  <c r="F29" i="11"/>
  <c r="G30" i="11"/>
  <c r="I30" i="11"/>
  <c r="E30" i="11"/>
  <c r="F30" i="11"/>
  <c r="G31" i="11"/>
  <c r="I31" i="11"/>
  <c r="E31" i="11"/>
  <c r="F31" i="11"/>
  <c r="G32" i="11"/>
  <c r="I32" i="11"/>
  <c r="E32" i="11"/>
  <c r="F32" i="11"/>
  <c r="G33" i="11"/>
  <c r="I33" i="11"/>
  <c r="E33" i="11"/>
  <c r="F33" i="11"/>
  <c r="G34" i="11"/>
  <c r="I34" i="11"/>
  <c r="E34" i="11"/>
  <c r="F34" i="11"/>
  <c r="G35" i="11"/>
  <c r="I35" i="11"/>
  <c r="E35" i="11"/>
  <c r="F35" i="11"/>
  <c r="G36" i="11"/>
  <c r="I36" i="11"/>
  <c r="E36" i="11"/>
  <c r="F36" i="11"/>
  <c r="G37" i="11"/>
  <c r="I37" i="11"/>
  <c r="E37" i="11"/>
  <c r="F37" i="11"/>
  <c r="G38" i="11"/>
  <c r="I38" i="11"/>
  <c r="E38" i="11"/>
  <c r="F38" i="11"/>
  <c r="G39" i="11"/>
  <c r="I39" i="11"/>
  <c r="E39" i="11"/>
  <c r="F39" i="11"/>
  <c r="G40" i="11"/>
  <c r="I40" i="11"/>
  <c r="E40" i="11"/>
  <c r="F40" i="11"/>
  <c r="G41" i="11"/>
  <c r="I41" i="11"/>
  <c r="E41" i="11"/>
  <c r="F41" i="11"/>
  <c r="G42" i="11"/>
  <c r="I42" i="11"/>
  <c r="E42" i="11"/>
  <c r="F42" i="11"/>
  <c r="G43" i="11"/>
  <c r="I43" i="11"/>
  <c r="E43" i="11"/>
  <c r="F43" i="11"/>
  <c r="G44" i="11"/>
  <c r="I44" i="11"/>
  <c r="E44" i="11"/>
  <c r="F44" i="11"/>
  <c r="G45" i="11"/>
  <c r="I45" i="11"/>
  <c r="E45" i="11"/>
  <c r="F45" i="11"/>
  <c r="G46" i="11"/>
  <c r="I46" i="11"/>
  <c r="E46" i="11"/>
  <c r="F46" i="11"/>
  <c r="G47" i="11"/>
  <c r="I47" i="11"/>
  <c r="I2" i="11"/>
  <c r="E2" i="12"/>
  <c r="F2" i="12"/>
  <c r="G3" i="12"/>
  <c r="I3" i="12"/>
  <c r="E3" i="12"/>
  <c r="F3" i="12"/>
  <c r="G4" i="12"/>
  <c r="I4" i="12"/>
  <c r="E4" i="12"/>
  <c r="F4" i="12"/>
  <c r="G5" i="12"/>
  <c r="I5" i="12"/>
  <c r="E5" i="12"/>
  <c r="F5" i="12"/>
  <c r="G6" i="12"/>
  <c r="I6" i="12"/>
  <c r="E6" i="12"/>
  <c r="F6" i="12"/>
  <c r="G7" i="12"/>
  <c r="I7" i="12"/>
  <c r="E7" i="12"/>
  <c r="F7" i="12"/>
  <c r="G8" i="12"/>
  <c r="I8" i="12"/>
  <c r="E8" i="12"/>
  <c r="F8" i="12"/>
  <c r="G9" i="12"/>
  <c r="I9" i="12"/>
  <c r="E9" i="12"/>
  <c r="F9" i="12"/>
  <c r="G10" i="12"/>
  <c r="I10" i="12"/>
  <c r="E10" i="12"/>
  <c r="F10" i="12"/>
  <c r="G11" i="12"/>
  <c r="I11" i="12"/>
  <c r="E11" i="12"/>
  <c r="F11" i="12"/>
  <c r="G12" i="12"/>
  <c r="I12" i="12"/>
  <c r="E12" i="12"/>
  <c r="F12" i="12"/>
  <c r="G13" i="12"/>
  <c r="I13" i="12"/>
  <c r="E13" i="12"/>
  <c r="F13" i="12"/>
  <c r="G14" i="12"/>
  <c r="I14" i="12"/>
  <c r="E14" i="12"/>
  <c r="F14" i="12"/>
  <c r="G15" i="12"/>
  <c r="I15" i="12"/>
  <c r="E15" i="12"/>
  <c r="F15" i="12"/>
  <c r="G16" i="12"/>
  <c r="I16" i="12"/>
  <c r="E16" i="12"/>
  <c r="F16" i="12"/>
  <c r="G17" i="12"/>
  <c r="I17" i="12"/>
  <c r="E17" i="12"/>
  <c r="F17" i="12"/>
  <c r="G18" i="12"/>
  <c r="I18" i="12"/>
  <c r="E18" i="12"/>
  <c r="F18" i="12"/>
  <c r="G19" i="12"/>
  <c r="I19" i="12"/>
  <c r="E19" i="12"/>
  <c r="F19" i="12"/>
  <c r="G20" i="12"/>
  <c r="I20" i="12"/>
  <c r="E20" i="12"/>
  <c r="F20" i="12"/>
  <c r="G21" i="12"/>
  <c r="I21" i="12"/>
  <c r="E21" i="12"/>
  <c r="F21" i="12"/>
  <c r="G22" i="12"/>
  <c r="I22" i="12"/>
  <c r="E22" i="12"/>
  <c r="F22" i="12"/>
  <c r="G23" i="12"/>
  <c r="I23" i="12"/>
  <c r="E23" i="12"/>
  <c r="F23" i="12"/>
  <c r="G24" i="12"/>
  <c r="I24" i="12"/>
  <c r="E24" i="12"/>
  <c r="F24" i="12"/>
  <c r="G25" i="12"/>
  <c r="I25" i="12"/>
  <c r="E25" i="12"/>
  <c r="F25" i="12"/>
  <c r="G26" i="12"/>
  <c r="I26" i="12"/>
  <c r="E26" i="12"/>
  <c r="F26" i="12"/>
  <c r="G27" i="12"/>
  <c r="I27" i="12"/>
  <c r="E27" i="12"/>
  <c r="F27" i="12"/>
  <c r="G28" i="12"/>
  <c r="I28" i="12"/>
  <c r="E28" i="12"/>
  <c r="F28" i="12"/>
  <c r="G29" i="12"/>
  <c r="I29" i="12"/>
  <c r="E29" i="12"/>
  <c r="F29" i="12"/>
  <c r="G30" i="12"/>
  <c r="I30" i="12"/>
  <c r="E30" i="12"/>
  <c r="F30" i="12"/>
  <c r="G31" i="12"/>
  <c r="I31" i="12"/>
  <c r="E31" i="12"/>
  <c r="F31" i="12"/>
  <c r="G32" i="12"/>
  <c r="I32" i="12"/>
  <c r="E32" i="12"/>
  <c r="F32" i="12"/>
  <c r="G33" i="12"/>
  <c r="I33" i="12"/>
  <c r="E33" i="12"/>
  <c r="F33" i="12"/>
  <c r="G34" i="12"/>
  <c r="I34" i="12"/>
  <c r="E34" i="12"/>
  <c r="F34" i="12"/>
  <c r="G35" i="12"/>
  <c r="I35" i="12"/>
  <c r="E35" i="12"/>
  <c r="F35" i="12"/>
  <c r="G36" i="12"/>
  <c r="I36" i="12"/>
  <c r="E36" i="12"/>
  <c r="F36" i="12"/>
  <c r="G37" i="12"/>
  <c r="I37" i="12"/>
  <c r="E37" i="12"/>
  <c r="F37" i="12"/>
  <c r="G38" i="12"/>
  <c r="I38" i="12"/>
  <c r="E38" i="12"/>
  <c r="F38" i="12"/>
  <c r="G39" i="12"/>
  <c r="I39" i="12"/>
  <c r="E39" i="12"/>
  <c r="F39" i="12"/>
  <c r="G40" i="12"/>
  <c r="I40" i="12"/>
  <c r="E40" i="12"/>
  <c r="F40" i="12"/>
  <c r="G41" i="12"/>
  <c r="I41" i="12"/>
  <c r="E41" i="12"/>
  <c r="F41" i="12"/>
  <c r="G42" i="12"/>
  <c r="I42" i="12"/>
  <c r="E42" i="12"/>
  <c r="F42" i="12"/>
  <c r="G43" i="12"/>
  <c r="I43" i="12"/>
  <c r="E43" i="12"/>
  <c r="F43" i="12"/>
  <c r="G44" i="12"/>
  <c r="I44" i="12"/>
  <c r="E44" i="12"/>
  <c r="F44" i="12"/>
  <c r="G45" i="12"/>
  <c r="I45" i="12"/>
  <c r="E45" i="12"/>
  <c r="F45" i="12"/>
  <c r="G46" i="12"/>
  <c r="I46" i="12"/>
  <c r="E46" i="12"/>
  <c r="F46" i="12"/>
  <c r="G47" i="12"/>
  <c r="I47" i="12"/>
  <c r="E47" i="12"/>
  <c r="F47" i="12"/>
  <c r="G48" i="12"/>
  <c r="I48" i="12"/>
  <c r="E48" i="12"/>
  <c r="F48" i="12"/>
  <c r="G49" i="12"/>
  <c r="I49" i="12"/>
  <c r="E49" i="12"/>
  <c r="F49" i="12"/>
  <c r="G50" i="12"/>
  <c r="I50" i="12"/>
  <c r="I2" i="12"/>
  <c r="E2" i="13"/>
  <c r="F2" i="13"/>
  <c r="G3" i="13"/>
  <c r="I3" i="13"/>
  <c r="E3" i="13"/>
  <c r="F3" i="13"/>
  <c r="G4" i="13"/>
  <c r="I4" i="13"/>
  <c r="E4" i="13"/>
  <c r="F4" i="13"/>
  <c r="G5" i="13"/>
  <c r="I5" i="13"/>
  <c r="E5" i="13"/>
  <c r="F5" i="13"/>
  <c r="G6" i="13"/>
  <c r="I6" i="13"/>
  <c r="E6" i="13"/>
  <c r="F6" i="13"/>
  <c r="G7" i="13"/>
  <c r="I7" i="13"/>
  <c r="E7" i="13"/>
  <c r="F7" i="13"/>
  <c r="G8" i="13"/>
  <c r="I8" i="13"/>
  <c r="E8" i="13"/>
  <c r="F8" i="13"/>
  <c r="G9" i="13"/>
  <c r="I9" i="13"/>
  <c r="E9" i="13"/>
  <c r="F9" i="13"/>
  <c r="G10" i="13"/>
  <c r="I10" i="13"/>
  <c r="E10" i="13"/>
  <c r="F10" i="13"/>
  <c r="G11" i="13"/>
  <c r="I11" i="13"/>
  <c r="E11" i="13"/>
  <c r="F11" i="13"/>
  <c r="G12" i="13"/>
  <c r="I12" i="13"/>
  <c r="E12" i="13"/>
  <c r="F12" i="13"/>
  <c r="G13" i="13"/>
  <c r="I13" i="13"/>
  <c r="E13" i="13"/>
  <c r="F13" i="13"/>
  <c r="G14" i="13"/>
  <c r="I14" i="13"/>
  <c r="E14" i="13"/>
  <c r="F14" i="13"/>
  <c r="G15" i="13"/>
  <c r="I15" i="13"/>
  <c r="E15" i="13"/>
  <c r="F15" i="13"/>
  <c r="G16" i="13"/>
  <c r="I16" i="13"/>
  <c r="E16" i="13"/>
  <c r="F16" i="13"/>
  <c r="G17" i="13"/>
  <c r="I17" i="13"/>
  <c r="E17" i="13"/>
  <c r="F17" i="13"/>
  <c r="G18" i="13"/>
  <c r="I18" i="13"/>
  <c r="E18" i="13"/>
  <c r="F18" i="13"/>
  <c r="G19" i="13"/>
  <c r="I19" i="13"/>
  <c r="E19" i="13"/>
  <c r="F19" i="13"/>
  <c r="G20" i="13"/>
  <c r="I20" i="13"/>
  <c r="E20" i="13"/>
  <c r="F20" i="13"/>
  <c r="G21" i="13"/>
  <c r="I21" i="13"/>
  <c r="E21" i="13"/>
  <c r="F21" i="13"/>
  <c r="G22" i="13"/>
  <c r="I22" i="13"/>
  <c r="E22" i="13"/>
  <c r="F22" i="13"/>
  <c r="G23" i="13"/>
  <c r="I23" i="13"/>
  <c r="E23" i="13"/>
  <c r="F23" i="13"/>
  <c r="G24" i="13"/>
  <c r="I24" i="13"/>
  <c r="E24" i="13"/>
  <c r="F24" i="13"/>
  <c r="G25" i="13"/>
  <c r="I25" i="13"/>
  <c r="E25" i="13"/>
  <c r="F25" i="13"/>
  <c r="G26" i="13"/>
  <c r="I26" i="13"/>
  <c r="E26" i="13"/>
  <c r="F26" i="13"/>
  <c r="G27" i="13"/>
  <c r="I27" i="13"/>
  <c r="E27" i="13"/>
  <c r="F27" i="13"/>
  <c r="G28" i="13"/>
  <c r="I28" i="13"/>
  <c r="E28" i="13"/>
  <c r="F28" i="13"/>
  <c r="G29" i="13"/>
  <c r="I29" i="13"/>
  <c r="E29" i="13"/>
  <c r="F29" i="13"/>
  <c r="G30" i="13"/>
  <c r="I30" i="13"/>
  <c r="E30" i="13"/>
  <c r="F30" i="13"/>
  <c r="G31" i="13"/>
  <c r="I31" i="13"/>
  <c r="E31" i="13"/>
  <c r="F31" i="13"/>
  <c r="G32" i="13"/>
  <c r="I32" i="13"/>
  <c r="E32" i="13"/>
  <c r="F32" i="13"/>
  <c r="G33" i="13"/>
  <c r="I33" i="13"/>
  <c r="E33" i="13"/>
  <c r="F33" i="13"/>
  <c r="G34" i="13"/>
  <c r="I34" i="13"/>
  <c r="E34" i="13"/>
  <c r="F34" i="13"/>
  <c r="G35" i="13"/>
  <c r="I35" i="13"/>
  <c r="E35" i="13"/>
  <c r="F35" i="13"/>
  <c r="G36" i="13"/>
  <c r="I36" i="13"/>
  <c r="E36" i="13"/>
  <c r="F36" i="13"/>
  <c r="G37" i="13"/>
  <c r="I37" i="13"/>
  <c r="E37" i="13"/>
  <c r="F37" i="13"/>
  <c r="G38" i="13"/>
  <c r="I38" i="13"/>
  <c r="E38" i="13"/>
  <c r="F38" i="13"/>
  <c r="G39" i="13"/>
  <c r="I39" i="13"/>
  <c r="E39" i="13"/>
  <c r="F39" i="13"/>
  <c r="G40" i="13"/>
  <c r="I40" i="13"/>
  <c r="E40" i="13"/>
  <c r="F40" i="13"/>
  <c r="G41" i="13"/>
  <c r="I41" i="13"/>
  <c r="E41" i="13"/>
  <c r="F41" i="13"/>
  <c r="G42" i="13"/>
  <c r="I42" i="13"/>
  <c r="E42" i="13"/>
  <c r="F42" i="13"/>
  <c r="G43" i="13"/>
  <c r="I43" i="13"/>
  <c r="E43" i="13"/>
  <c r="F43" i="13"/>
  <c r="G44" i="13"/>
  <c r="I44" i="13"/>
  <c r="E44" i="13"/>
  <c r="F44" i="13"/>
  <c r="G45" i="13"/>
  <c r="I45" i="13"/>
  <c r="E45" i="13"/>
  <c r="F45" i="13"/>
  <c r="G46" i="13"/>
  <c r="I46" i="13"/>
  <c r="E46" i="13"/>
  <c r="F46" i="13"/>
  <c r="G47" i="13"/>
  <c r="I47" i="13"/>
  <c r="E47" i="13"/>
  <c r="F47" i="13"/>
  <c r="G48" i="13"/>
  <c r="I48" i="13"/>
  <c r="E48" i="13"/>
  <c r="F48" i="13"/>
  <c r="G49" i="13"/>
  <c r="I49" i="13"/>
  <c r="E49" i="13"/>
  <c r="F49" i="13"/>
  <c r="G50" i="13"/>
  <c r="I50" i="13"/>
  <c r="E50" i="13"/>
  <c r="F50" i="13"/>
  <c r="G51" i="13"/>
  <c r="I51" i="13"/>
  <c r="E51" i="13"/>
  <c r="F51" i="13"/>
  <c r="G52" i="13"/>
  <c r="I52" i="13"/>
  <c r="I2" i="13"/>
  <c r="E2" i="23"/>
  <c r="E2" i="16"/>
  <c r="F2" i="16"/>
  <c r="G3" i="16"/>
  <c r="I3" i="16"/>
  <c r="E3" i="16"/>
  <c r="F3" i="16"/>
  <c r="G4" i="16"/>
  <c r="I4" i="16"/>
  <c r="E4" i="16"/>
  <c r="F4" i="16"/>
  <c r="G5" i="16"/>
  <c r="I5" i="16"/>
  <c r="E5" i="16"/>
  <c r="F5" i="16"/>
  <c r="G6" i="16"/>
  <c r="I6" i="16"/>
  <c r="E6" i="16"/>
  <c r="F6" i="16"/>
  <c r="G7" i="16"/>
  <c r="I7" i="16"/>
  <c r="E7" i="16"/>
  <c r="F7" i="16"/>
  <c r="G8" i="16"/>
  <c r="I8" i="16"/>
  <c r="E8" i="16"/>
  <c r="F8" i="16"/>
  <c r="G9" i="16"/>
  <c r="I9" i="16"/>
  <c r="E9" i="16"/>
  <c r="F9" i="16"/>
  <c r="G10" i="16"/>
  <c r="I10" i="16"/>
  <c r="E10" i="16"/>
  <c r="F10" i="16"/>
  <c r="G11" i="16"/>
  <c r="I11" i="16"/>
  <c r="E11" i="16"/>
  <c r="F11" i="16"/>
  <c r="G12" i="16"/>
  <c r="I12" i="16"/>
  <c r="E12" i="16"/>
  <c r="F12" i="16"/>
  <c r="G13" i="16"/>
  <c r="I13" i="16"/>
  <c r="E13" i="16"/>
  <c r="F13" i="16"/>
  <c r="G14" i="16"/>
  <c r="I14" i="16"/>
  <c r="E14" i="16"/>
  <c r="F14" i="16"/>
  <c r="G15" i="16"/>
  <c r="I15" i="16"/>
  <c r="E15" i="16"/>
  <c r="F15" i="16"/>
  <c r="G16" i="16"/>
  <c r="I16" i="16"/>
  <c r="E16" i="16"/>
  <c r="F16" i="16"/>
  <c r="G17" i="16"/>
  <c r="I17" i="16"/>
  <c r="E17" i="16"/>
  <c r="F17" i="16"/>
  <c r="G18" i="16"/>
  <c r="I18" i="16"/>
  <c r="E18" i="16"/>
  <c r="F18" i="16"/>
  <c r="G19" i="16"/>
  <c r="I19" i="16"/>
  <c r="E19" i="16"/>
  <c r="F19" i="16"/>
  <c r="G20" i="16"/>
  <c r="I20" i="16"/>
  <c r="E20" i="16"/>
  <c r="F20" i="16"/>
  <c r="G21" i="16"/>
  <c r="I21" i="16"/>
  <c r="E21" i="16"/>
  <c r="F21" i="16"/>
  <c r="G22" i="16"/>
  <c r="I22" i="16"/>
  <c r="E22" i="16"/>
  <c r="F22" i="16"/>
  <c r="G23" i="16"/>
  <c r="I23" i="16"/>
  <c r="E23" i="16"/>
  <c r="F23" i="16"/>
  <c r="G24" i="16"/>
  <c r="I24" i="16"/>
  <c r="E24" i="16"/>
  <c r="F24" i="16"/>
  <c r="G25" i="16"/>
  <c r="I25" i="16"/>
  <c r="E25" i="16"/>
  <c r="F25" i="16"/>
  <c r="G26" i="16"/>
  <c r="I26" i="16"/>
  <c r="E26" i="16"/>
  <c r="F26" i="16"/>
  <c r="G27" i="16"/>
  <c r="I27" i="16"/>
  <c r="E27" i="16"/>
  <c r="F27" i="16"/>
  <c r="G28" i="16"/>
  <c r="I28" i="16"/>
  <c r="E28" i="16"/>
  <c r="F28" i="16"/>
  <c r="G29" i="16"/>
  <c r="I29" i="16"/>
  <c r="E29" i="16"/>
  <c r="F29" i="16"/>
  <c r="G30" i="16"/>
  <c r="I30" i="16"/>
  <c r="E30" i="16"/>
  <c r="F30" i="16"/>
  <c r="G31" i="16"/>
  <c r="I31" i="16"/>
  <c r="E31" i="16"/>
  <c r="F31" i="16"/>
  <c r="G32" i="16"/>
  <c r="I32" i="16"/>
  <c r="E32" i="16"/>
  <c r="F32" i="16"/>
  <c r="G33" i="16"/>
  <c r="I33" i="16"/>
  <c r="E33" i="16"/>
  <c r="F33" i="16"/>
  <c r="G34" i="16"/>
  <c r="I34" i="16"/>
  <c r="E34" i="16"/>
  <c r="F34" i="16"/>
  <c r="G35" i="16"/>
  <c r="I35" i="16"/>
  <c r="E35" i="16"/>
  <c r="F35" i="16"/>
  <c r="G36" i="16"/>
  <c r="I36" i="16"/>
  <c r="E36" i="16"/>
  <c r="F36" i="16"/>
  <c r="G37" i="16"/>
  <c r="I37" i="16"/>
  <c r="E37" i="16"/>
  <c r="F37" i="16"/>
  <c r="G38" i="16"/>
  <c r="I38" i="16"/>
  <c r="E38" i="16"/>
  <c r="F38" i="16"/>
  <c r="G39" i="16"/>
  <c r="I39" i="16"/>
  <c r="E39" i="16"/>
  <c r="F39" i="16"/>
  <c r="G40" i="16"/>
  <c r="I40" i="16"/>
  <c r="E40" i="16"/>
  <c r="F40" i="16"/>
  <c r="G41" i="16"/>
  <c r="I41" i="16"/>
  <c r="E41" i="16"/>
  <c r="F41" i="16"/>
  <c r="G42" i="16"/>
  <c r="I42" i="16"/>
  <c r="E42" i="16"/>
  <c r="F42" i="16"/>
  <c r="G43" i="16"/>
  <c r="I43" i="16"/>
  <c r="E43" i="16"/>
  <c r="F43" i="16"/>
  <c r="G44" i="16"/>
  <c r="I44" i="16"/>
  <c r="E44" i="16"/>
  <c r="F44" i="16"/>
  <c r="G45" i="16"/>
  <c r="I45" i="16"/>
  <c r="E45" i="16"/>
  <c r="F45" i="16"/>
  <c r="G46" i="16"/>
  <c r="I46" i="16"/>
  <c r="E46" i="16"/>
  <c r="F46" i="16"/>
  <c r="G47" i="16"/>
  <c r="I47" i="16"/>
  <c r="E47" i="16"/>
  <c r="F47" i="16"/>
  <c r="G48" i="16"/>
  <c r="I48" i="16"/>
  <c r="E48" i="16"/>
  <c r="F48" i="16"/>
  <c r="G49" i="16"/>
  <c r="I49" i="16"/>
  <c r="E49" i="16"/>
  <c r="F49" i="16"/>
  <c r="G50" i="16"/>
  <c r="I50" i="16"/>
  <c r="E50" i="16"/>
  <c r="F50" i="16"/>
  <c r="G51" i="16"/>
  <c r="I51" i="16"/>
  <c r="E51" i="16"/>
  <c r="F51" i="16"/>
  <c r="G52" i="16"/>
  <c r="I52" i="16"/>
  <c r="E52" i="16"/>
  <c r="F52" i="16"/>
  <c r="G53" i="16"/>
  <c r="I53" i="16"/>
  <c r="E53" i="16"/>
  <c r="F53" i="16"/>
  <c r="G54" i="16"/>
  <c r="I54" i="16"/>
  <c r="E54" i="16"/>
  <c r="F54" i="16"/>
  <c r="G55" i="16"/>
  <c r="I55" i="16"/>
  <c r="E55" i="16"/>
  <c r="F55" i="16"/>
  <c r="G56" i="16"/>
  <c r="I56" i="16"/>
  <c r="E56" i="16"/>
  <c r="F56" i="16"/>
  <c r="G57" i="16"/>
  <c r="I57" i="16"/>
  <c r="E57" i="16"/>
  <c r="F57" i="16"/>
  <c r="G58" i="16"/>
  <c r="I58" i="16"/>
  <c r="E58" i="16"/>
  <c r="F58" i="16"/>
  <c r="G59" i="16"/>
  <c r="I59" i="16"/>
  <c r="E59" i="16"/>
  <c r="F59" i="16"/>
  <c r="G60" i="16"/>
  <c r="I60" i="16"/>
  <c r="I2" i="16"/>
  <c r="E2" i="15"/>
  <c r="F2" i="15"/>
  <c r="G3" i="15"/>
  <c r="I3" i="15"/>
  <c r="E3" i="15"/>
  <c r="F3" i="15"/>
  <c r="G4" i="15"/>
  <c r="I4" i="15"/>
  <c r="E4" i="15"/>
  <c r="F4" i="15"/>
  <c r="G5" i="15"/>
  <c r="I5" i="15"/>
  <c r="E5" i="15"/>
  <c r="F5" i="15"/>
  <c r="G6" i="15"/>
  <c r="I6" i="15"/>
  <c r="E6" i="15"/>
  <c r="F6" i="15"/>
  <c r="G7" i="15"/>
  <c r="I7" i="15"/>
  <c r="E7" i="15"/>
  <c r="F7" i="15"/>
  <c r="G8" i="15"/>
  <c r="I8" i="15"/>
  <c r="E8" i="15"/>
  <c r="F8" i="15"/>
  <c r="G9" i="15"/>
  <c r="I9" i="15"/>
  <c r="E9" i="15"/>
  <c r="F9" i="15"/>
  <c r="G10" i="15"/>
  <c r="I10" i="15"/>
  <c r="E10" i="15"/>
  <c r="F10" i="15"/>
  <c r="G11" i="15"/>
  <c r="I11" i="15"/>
  <c r="E11" i="15"/>
  <c r="F11" i="15"/>
  <c r="G12" i="15"/>
  <c r="I12" i="15"/>
  <c r="E12" i="15"/>
  <c r="F12" i="15"/>
  <c r="G13" i="15"/>
  <c r="I13" i="15"/>
  <c r="E13" i="15"/>
  <c r="F13" i="15"/>
  <c r="G14" i="15"/>
  <c r="I14" i="15"/>
  <c r="E14" i="15"/>
  <c r="F14" i="15"/>
  <c r="G15" i="15"/>
  <c r="I15" i="15"/>
  <c r="E15" i="15"/>
  <c r="F15" i="15"/>
  <c r="G16" i="15"/>
  <c r="I16" i="15"/>
  <c r="E16" i="15"/>
  <c r="F16" i="15"/>
  <c r="G17" i="15"/>
  <c r="I17" i="15"/>
  <c r="E17" i="15"/>
  <c r="F17" i="15"/>
  <c r="G18" i="15"/>
  <c r="I18" i="15"/>
  <c r="E18" i="15"/>
  <c r="F18" i="15"/>
  <c r="G19" i="15"/>
  <c r="I19" i="15"/>
  <c r="E19" i="15"/>
  <c r="F19" i="15"/>
  <c r="G20" i="15"/>
  <c r="I20" i="15"/>
  <c r="E20" i="15"/>
  <c r="F20" i="15"/>
  <c r="G21" i="15"/>
  <c r="I21" i="15"/>
  <c r="E21" i="15"/>
  <c r="F21" i="15"/>
  <c r="G22" i="15"/>
  <c r="I22" i="15"/>
  <c r="E22" i="15"/>
  <c r="F22" i="15"/>
  <c r="G23" i="15"/>
  <c r="I23" i="15"/>
  <c r="E23" i="15"/>
  <c r="F23" i="15"/>
  <c r="G24" i="15"/>
  <c r="I24" i="15"/>
  <c r="E24" i="15"/>
  <c r="F24" i="15"/>
  <c r="G25" i="15"/>
  <c r="I25" i="15"/>
  <c r="E25" i="15"/>
  <c r="F25" i="15"/>
  <c r="G26" i="15"/>
  <c r="I26" i="15"/>
  <c r="E26" i="15"/>
  <c r="F26" i="15"/>
  <c r="G27" i="15"/>
  <c r="I27" i="15"/>
  <c r="E27" i="15"/>
  <c r="F27" i="15"/>
  <c r="G28" i="15"/>
  <c r="I28" i="15"/>
  <c r="E28" i="15"/>
  <c r="F28" i="15"/>
  <c r="G29" i="15"/>
  <c r="I29" i="15"/>
  <c r="E29" i="15"/>
  <c r="F29" i="15"/>
  <c r="G30" i="15"/>
  <c r="I30" i="15"/>
  <c r="E30" i="15"/>
  <c r="F30" i="15"/>
  <c r="G31" i="15"/>
  <c r="I31" i="15"/>
  <c r="E31" i="15"/>
  <c r="F31" i="15"/>
  <c r="G32" i="15"/>
  <c r="I32" i="15"/>
  <c r="E32" i="15"/>
  <c r="F32" i="15"/>
  <c r="G33" i="15"/>
  <c r="I33" i="15"/>
  <c r="E33" i="15"/>
  <c r="F33" i="15"/>
  <c r="G34" i="15"/>
  <c r="I34" i="15"/>
  <c r="E34" i="15"/>
  <c r="F34" i="15"/>
  <c r="G35" i="15"/>
  <c r="I35" i="15"/>
  <c r="E35" i="15"/>
  <c r="F35" i="15"/>
  <c r="G36" i="15"/>
  <c r="I36" i="15"/>
  <c r="E36" i="15"/>
  <c r="F36" i="15"/>
  <c r="G37" i="15"/>
  <c r="I37" i="15"/>
  <c r="E37" i="15"/>
  <c r="F37" i="15"/>
  <c r="G38" i="15"/>
  <c r="I38" i="15"/>
  <c r="E38" i="15"/>
  <c r="F38" i="15"/>
  <c r="G39" i="15"/>
  <c r="I39" i="15"/>
  <c r="E39" i="15"/>
  <c r="F39" i="15"/>
  <c r="G40" i="15"/>
  <c r="I40" i="15"/>
  <c r="E40" i="15"/>
  <c r="F40" i="15"/>
  <c r="G41" i="15"/>
  <c r="I41" i="15"/>
  <c r="E41" i="15"/>
  <c r="F41" i="15"/>
  <c r="G42" i="15"/>
  <c r="I42" i="15"/>
  <c r="E42" i="15"/>
  <c r="F42" i="15"/>
  <c r="G43" i="15"/>
  <c r="I43" i="15"/>
  <c r="E43" i="15"/>
  <c r="F43" i="15"/>
  <c r="G44" i="15"/>
  <c r="I44" i="15"/>
  <c r="E44" i="15"/>
  <c r="F44" i="15"/>
  <c r="G45" i="15"/>
  <c r="I45" i="15"/>
  <c r="E45" i="15"/>
  <c r="F45" i="15"/>
  <c r="G46" i="15"/>
  <c r="I46" i="15"/>
  <c r="E46" i="15"/>
  <c r="F46" i="15"/>
  <c r="G47" i="15"/>
  <c r="I47" i="15"/>
  <c r="E47" i="15"/>
  <c r="F47" i="15"/>
  <c r="G48" i="15"/>
  <c r="I48" i="15"/>
  <c r="E48" i="15"/>
  <c r="F48" i="15"/>
  <c r="G49" i="15"/>
  <c r="I49" i="15"/>
  <c r="E49" i="15"/>
  <c r="F49" i="15"/>
  <c r="G50" i="15"/>
  <c r="I50" i="15"/>
  <c r="E50" i="15"/>
  <c r="F50" i="15"/>
  <c r="G51" i="15"/>
  <c r="I51" i="15"/>
  <c r="E51" i="15"/>
  <c r="F51" i="15"/>
  <c r="G52" i="15"/>
  <c r="I52" i="15"/>
  <c r="E52" i="15"/>
  <c r="F52" i="15"/>
  <c r="G53" i="15"/>
  <c r="I53" i="15"/>
  <c r="E53" i="15"/>
  <c r="F53" i="15"/>
  <c r="G54" i="15"/>
  <c r="I54" i="15"/>
  <c r="E54" i="15"/>
  <c r="F54" i="15"/>
  <c r="G55" i="15"/>
  <c r="I55" i="15"/>
  <c r="E55" i="15"/>
  <c r="F55" i="15"/>
  <c r="G56" i="15"/>
  <c r="I56" i="15"/>
  <c r="E56" i="15"/>
  <c r="F56" i="15"/>
  <c r="G57" i="15"/>
  <c r="I57" i="15"/>
  <c r="E57" i="15"/>
  <c r="F57" i="15"/>
  <c r="I2" i="15"/>
  <c r="E2" i="17"/>
  <c r="F2" i="17"/>
  <c r="G3" i="17"/>
  <c r="I3" i="17"/>
  <c r="E3" i="17"/>
  <c r="F3" i="17"/>
  <c r="G4" i="17"/>
  <c r="I4" i="17"/>
  <c r="E4" i="17"/>
  <c r="F4" i="17"/>
  <c r="G5" i="17"/>
  <c r="I5" i="17"/>
  <c r="E5" i="17"/>
  <c r="F5" i="17"/>
  <c r="G6" i="17"/>
  <c r="I6" i="17"/>
  <c r="E6" i="17"/>
  <c r="F6" i="17"/>
  <c r="G7" i="17"/>
  <c r="I7" i="17"/>
  <c r="E7" i="17"/>
  <c r="F7" i="17"/>
  <c r="G8" i="17"/>
  <c r="I8" i="17"/>
  <c r="E8" i="17"/>
  <c r="F8" i="17"/>
  <c r="G9" i="17"/>
  <c r="I9" i="17"/>
  <c r="E9" i="17"/>
  <c r="F9" i="17"/>
  <c r="G10" i="17"/>
  <c r="I10" i="17"/>
  <c r="E10" i="17"/>
  <c r="F10" i="17"/>
  <c r="G11" i="17"/>
  <c r="I11" i="17"/>
  <c r="E11" i="17"/>
  <c r="F11" i="17"/>
  <c r="G12" i="17"/>
  <c r="I12" i="17"/>
  <c r="E12" i="17"/>
  <c r="F12" i="17"/>
  <c r="G13" i="17"/>
  <c r="I13" i="17"/>
  <c r="E13" i="17"/>
  <c r="F13" i="17"/>
  <c r="G14" i="17"/>
  <c r="I14" i="17"/>
  <c r="E14" i="17"/>
  <c r="F14" i="17"/>
  <c r="G15" i="17"/>
  <c r="I15" i="17"/>
  <c r="E15" i="17"/>
  <c r="F15" i="17"/>
  <c r="G16" i="17"/>
  <c r="I16" i="17"/>
  <c r="E16" i="17"/>
  <c r="F16" i="17"/>
  <c r="G17" i="17"/>
  <c r="I17" i="17"/>
  <c r="E17" i="17"/>
  <c r="F17" i="17"/>
  <c r="G18" i="17"/>
  <c r="I18" i="17"/>
  <c r="E18" i="17"/>
  <c r="F18" i="17"/>
  <c r="G19" i="17"/>
  <c r="I19" i="17"/>
  <c r="E19" i="17"/>
  <c r="F19" i="17"/>
  <c r="G20" i="17"/>
  <c r="I20" i="17"/>
  <c r="E20" i="17"/>
  <c r="F20" i="17"/>
  <c r="G21" i="17"/>
  <c r="I21" i="17"/>
  <c r="E21" i="17"/>
  <c r="F21" i="17"/>
  <c r="G22" i="17"/>
  <c r="I22" i="17"/>
  <c r="E22" i="17"/>
  <c r="F22" i="17"/>
  <c r="G23" i="17"/>
  <c r="I23" i="17"/>
  <c r="E23" i="17"/>
  <c r="F23" i="17"/>
  <c r="G24" i="17"/>
  <c r="I24" i="17"/>
  <c r="E24" i="17"/>
  <c r="F24" i="17"/>
  <c r="G25" i="17"/>
  <c r="I25" i="17"/>
  <c r="E25" i="17"/>
  <c r="F25" i="17"/>
  <c r="G26" i="17"/>
  <c r="I26" i="17"/>
  <c r="E26" i="17"/>
  <c r="F26" i="17"/>
  <c r="G27" i="17"/>
  <c r="I27" i="17"/>
  <c r="E27" i="17"/>
  <c r="F27" i="17"/>
  <c r="G28" i="17"/>
  <c r="I28" i="17"/>
  <c r="E28" i="17"/>
  <c r="F28" i="17"/>
  <c r="G29" i="17"/>
  <c r="I29" i="17"/>
  <c r="E29" i="17"/>
  <c r="F29" i="17"/>
  <c r="G30" i="17"/>
  <c r="I30" i="17"/>
  <c r="E30" i="17"/>
  <c r="F30" i="17"/>
  <c r="G31" i="17"/>
  <c r="I31" i="17"/>
  <c r="E31" i="17"/>
  <c r="F31" i="17"/>
  <c r="G32" i="17"/>
  <c r="I32" i="17"/>
  <c r="E32" i="17"/>
  <c r="F32" i="17"/>
  <c r="G33" i="17"/>
  <c r="I33" i="17"/>
  <c r="E33" i="17"/>
  <c r="F33" i="17"/>
  <c r="G34" i="17"/>
  <c r="I34" i="17"/>
  <c r="E34" i="17"/>
  <c r="F34" i="17"/>
  <c r="G35" i="17"/>
  <c r="I35" i="17"/>
  <c r="E35" i="17"/>
  <c r="F35" i="17"/>
  <c r="G36" i="17"/>
  <c r="I36" i="17"/>
  <c r="E36" i="17"/>
  <c r="F36" i="17"/>
  <c r="G37" i="17"/>
  <c r="I37" i="17"/>
  <c r="E37" i="17"/>
  <c r="F37" i="17"/>
  <c r="G38" i="17"/>
  <c r="I38" i="17"/>
  <c r="E38" i="17"/>
  <c r="F38" i="17"/>
  <c r="G39" i="17"/>
  <c r="I39" i="17"/>
  <c r="E39" i="17"/>
  <c r="F39" i="17"/>
  <c r="G40" i="17"/>
  <c r="I40" i="17"/>
  <c r="E40" i="17"/>
  <c r="F40" i="17"/>
  <c r="G41" i="17"/>
  <c r="I41" i="17"/>
  <c r="E41" i="17"/>
  <c r="F41" i="17"/>
  <c r="G42" i="17"/>
  <c r="I42" i="17"/>
  <c r="E42" i="17"/>
  <c r="F42" i="17"/>
  <c r="G43" i="17"/>
  <c r="I43" i="17"/>
  <c r="E43" i="17"/>
  <c r="F43" i="17"/>
  <c r="G44" i="17"/>
  <c r="I44" i="17"/>
  <c r="E44" i="17"/>
  <c r="F44" i="17"/>
  <c r="G45" i="17"/>
  <c r="I45" i="17"/>
  <c r="E45" i="17"/>
  <c r="F45" i="17"/>
  <c r="G46" i="17"/>
  <c r="I46" i="17"/>
  <c r="E46" i="17"/>
  <c r="F46" i="17"/>
  <c r="G47" i="17"/>
  <c r="I47" i="17"/>
  <c r="E47" i="17"/>
  <c r="F47" i="17"/>
  <c r="G48" i="17"/>
  <c r="I48" i="17"/>
  <c r="E48" i="17"/>
  <c r="F48" i="17"/>
  <c r="G49" i="17"/>
  <c r="I49" i="17"/>
  <c r="E49" i="17"/>
  <c r="F49" i="17"/>
  <c r="G50" i="17"/>
  <c r="I50" i="17"/>
  <c r="E50" i="17"/>
  <c r="F50" i="17"/>
  <c r="G51" i="17"/>
  <c r="I51" i="17"/>
  <c r="E51" i="17"/>
  <c r="F51" i="17"/>
  <c r="G52" i="17"/>
  <c r="I52" i="17"/>
  <c r="E52" i="17"/>
  <c r="F52" i="17"/>
  <c r="G53" i="17"/>
  <c r="I53" i="17"/>
  <c r="E53" i="17"/>
  <c r="F53" i="17"/>
  <c r="G54" i="17"/>
  <c r="I54" i="17"/>
  <c r="E54" i="17"/>
  <c r="F54" i="17"/>
  <c r="G55" i="17"/>
  <c r="I55" i="17"/>
  <c r="E55" i="17"/>
  <c r="F55" i="17"/>
  <c r="G56" i="17"/>
  <c r="I56" i="17"/>
  <c r="E56" i="17"/>
  <c r="F56" i="17"/>
  <c r="G57" i="17"/>
  <c r="I57" i="17"/>
  <c r="E57" i="17"/>
  <c r="F57" i="17"/>
  <c r="G58" i="17"/>
  <c r="I58" i="17"/>
  <c r="E58" i="17"/>
  <c r="F58" i="17"/>
  <c r="G59" i="17"/>
  <c r="I59" i="17"/>
  <c r="E59" i="17"/>
  <c r="F59" i="17"/>
  <c r="G60" i="17"/>
  <c r="I60" i="17"/>
  <c r="E60" i="17"/>
  <c r="F60" i="17"/>
  <c r="G61" i="17"/>
  <c r="I61" i="17"/>
  <c r="E61" i="17"/>
  <c r="F61" i="17"/>
  <c r="G62" i="17"/>
  <c r="I62" i="17"/>
  <c r="E62" i="17"/>
  <c r="F62" i="17"/>
  <c r="I2" i="17"/>
  <c r="E2" i="7"/>
  <c r="F2" i="7"/>
  <c r="G3" i="7"/>
  <c r="I3" i="7"/>
  <c r="E3" i="7"/>
  <c r="F3" i="7"/>
  <c r="G4" i="7"/>
  <c r="I4" i="7"/>
  <c r="E4" i="7"/>
  <c r="F4" i="7"/>
  <c r="G5" i="7"/>
  <c r="I5" i="7"/>
  <c r="E5" i="7"/>
  <c r="F5" i="7"/>
  <c r="G6" i="7"/>
  <c r="I6" i="7"/>
  <c r="E6" i="7"/>
  <c r="F6" i="7"/>
  <c r="G7" i="7"/>
  <c r="I7" i="7"/>
  <c r="E7" i="7"/>
  <c r="F7" i="7"/>
  <c r="G8" i="7"/>
  <c r="I8" i="7"/>
  <c r="E8" i="7"/>
  <c r="F8" i="7"/>
  <c r="G9" i="7"/>
  <c r="I9" i="7"/>
  <c r="E9" i="7"/>
  <c r="F9" i="7"/>
  <c r="G10" i="7"/>
  <c r="I10" i="7"/>
  <c r="E10" i="7"/>
  <c r="F10" i="7"/>
  <c r="G11" i="7"/>
  <c r="I11" i="7"/>
  <c r="E11" i="7"/>
  <c r="F11" i="7"/>
  <c r="G12" i="7"/>
  <c r="I12" i="7"/>
  <c r="E12" i="7"/>
  <c r="F12" i="7"/>
  <c r="G13" i="7"/>
  <c r="I13" i="7"/>
  <c r="E13" i="7"/>
  <c r="F13" i="7"/>
  <c r="G14" i="7"/>
  <c r="I14" i="7"/>
  <c r="E14" i="7"/>
  <c r="F14" i="7"/>
  <c r="G15" i="7"/>
  <c r="I15" i="7"/>
  <c r="E15" i="7"/>
  <c r="F15" i="7"/>
  <c r="G16" i="7"/>
  <c r="I16" i="7"/>
  <c r="E16" i="7"/>
  <c r="F16" i="7"/>
  <c r="G17" i="7"/>
  <c r="I17" i="7"/>
  <c r="E17" i="7"/>
  <c r="F17" i="7"/>
  <c r="G18" i="7"/>
  <c r="I18" i="7"/>
  <c r="E18" i="7"/>
  <c r="F18" i="7"/>
  <c r="G19" i="7"/>
  <c r="I19" i="7"/>
  <c r="E19" i="7"/>
  <c r="F19" i="7"/>
  <c r="G20" i="7"/>
  <c r="I20" i="7"/>
  <c r="E20" i="7"/>
  <c r="F20" i="7"/>
  <c r="G21" i="7"/>
  <c r="I21" i="7"/>
  <c r="E21" i="7"/>
  <c r="F21" i="7"/>
  <c r="G22" i="7"/>
  <c r="I22" i="7"/>
  <c r="E22" i="7"/>
  <c r="F22" i="7"/>
  <c r="G23" i="7"/>
  <c r="I23" i="7"/>
  <c r="E23" i="7"/>
  <c r="F23" i="7"/>
  <c r="G24" i="7"/>
  <c r="I24" i="7"/>
  <c r="E24" i="7"/>
  <c r="F24" i="7"/>
  <c r="G25" i="7"/>
  <c r="I25" i="7"/>
  <c r="E25" i="7"/>
  <c r="F25" i="7"/>
  <c r="G26" i="7"/>
  <c r="I26" i="7"/>
  <c r="E26" i="7"/>
  <c r="F26" i="7"/>
  <c r="G27" i="7"/>
  <c r="I27" i="7"/>
  <c r="E27" i="7"/>
  <c r="F27" i="7"/>
  <c r="G28" i="7"/>
  <c r="I28" i="7"/>
  <c r="E28" i="7"/>
  <c r="F28" i="7"/>
  <c r="G29" i="7"/>
  <c r="I29" i="7"/>
  <c r="E29" i="7"/>
  <c r="F29" i="7"/>
  <c r="G30" i="7"/>
  <c r="I30" i="7"/>
  <c r="E30" i="7"/>
  <c r="F30" i="7"/>
  <c r="G31" i="7"/>
  <c r="I31" i="7"/>
  <c r="E31" i="7"/>
  <c r="F31" i="7"/>
  <c r="G32" i="7"/>
  <c r="I32" i="7"/>
  <c r="E32" i="7"/>
  <c r="F32" i="7"/>
  <c r="G33" i="7"/>
  <c r="I33" i="7"/>
  <c r="E33" i="7"/>
  <c r="F33" i="7"/>
  <c r="G34" i="7"/>
  <c r="I34" i="7"/>
  <c r="E34" i="7"/>
  <c r="F34" i="7"/>
  <c r="G35" i="7"/>
  <c r="I35" i="7"/>
  <c r="E35" i="7"/>
  <c r="F35" i="7"/>
  <c r="G36" i="7"/>
  <c r="I36" i="7"/>
  <c r="E36" i="7"/>
  <c r="F36" i="7"/>
  <c r="G37" i="7"/>
  <c r="I37" i="7"/>
  <c r="E37" i="7"/>
  <c r="F37" i="7"/>
  <c r="G38" i="7"/>
  <c r="I38" i="7"/>
  <c r="E38" i="7"/>
  <c r="F38" i="7"/>
  <c r="G39" i="7"/>
  <c r="I39" i="7"/>
  <c r="E39" i="7"/>
  <c r="F39" i="7"/>
  <c r="G40" i="7"/>
  <c r="I40" i="7"/>
  <c r="E40" i="7"/>
  <c r="F40" i="7"/>
  <c r="G41" i="7"/>
  <c r="I41" i="7"/>
  <c r="E41" i="7"/>
  <c r="F41" i="7"/>
  <c r="G42" i="7"/>
  <c r="I42" i="7"/>
  <c r="E42" i="7"/>
  <c r="F42" i="7"/>
  <c r="G43" i="7"/>
  <c r="I43" i="7"/>
  <c r="E43" i="7"/>
  <c r="F43" i="7"/>
  <c r="G44" i="7"/>
  <c r="I44" i="7"/>
  <c r="E44" i="7"/>
  <c r="F44" i="7"/>
  <c r="G45" i="7"/>
  <c r="I45" i="7"/>
  <c r="E45" i="7"/>
  <c r="F45" i="7"/>
  <c r="G46" i="7"/>
  <c r="I46" i="7"/>
  <c r="E46" i="7"/>
  <c r="F46" i="7"/>
  <c r="G47" i="7"/>
  <c r="I47" i="7"/>
  <c r="E47" i="7"/>
  <c r="F47" i="7"/>
  <c r="G48" i="7"/>
  <c r="I48" i="7"/>
  <c r="E48" i="7"/>
  <c r="F48" i="7"/>
  <c r="G49" i="7"/>
  <c r="I49" i="7"/>
  <c r="E49" i="7"/>
  <c r="F49" i="7"/>
  <c r="G50" i="7"/>
  <c r="I50" i="7"/>
  <c r="E50" i="7"/>
  <c r="F50" i="7"/>
  <c r="G51" i="7"/>
  <c r="I51" i="7"/>
  <c r="E51" i="7"/>
  <c r="F51" i="7"/>
  <c r="G52" i="7"/>
  <c r="I52" i="7"/>
  <c r="E52" i="7"/>
  <c r="F52" i="7"/>
  <c r="G53" i="7"/>
  <c r="I53" i="7"/>
  <c r="E53" i="7"/>
  <c r="F53" i="7"/>
  <c r="G54" i="7"/>
  <c r="I54" i="7"/>
  <c r="E54" i="7"/>
  <c r="F54" i="7"/>
  <c r="G55" i="7"/>
  <c r="I55" i="7"/>
  <c r="E55" i="7"/>
  <c r="F55" i="7"/>
  <c r="G56" i="7"/>
  <c r="I56" i="7"/>
  <c r="E56" i="7"/>
  <c r="F56" i="7"/>
  <c r="G57" i="7"/>
  <c r="I57" i="7"/>
  <c r="E57" i="7"/>
  <c r="F57" i="7"/>
  <c r="G58" i="7"/>
  <c r="I58" i="7"/>
  <c r="E58" i="7"/>
  <c r="F58" i="7"/>
  <c r="G59" i="7"/>
  <c r="I59" i="7"/>
  <c r="E59" i="7"/>
  <c r="F59" i="7"/>
  <c r="G60" i="7"/>
  <c r="I60" i="7"/>
  <c r="E60" i="7"/>
  <c r="F60" i="7"/>
  <c r="G61" i="7"/>
  <c r="I61" i="7"/>
  <c r="E61" i="7"/>
  <c r="F61" i="7"/>
  <c r="G62" i="7"/>
  <c r="I62" i="7"/>
  <c r="E62" i="7"/>
  <c r="F62" i="7"/>
  <c r="G63" i="7"/>
  <c r="I63" i="7"/>
  <c r="E63" i="7"/>
  <c r="F63" i="7"/>
  <c r="G64" i="7"/>
  <c r="I64" i="7"/>
  <c r="E64" i="7"/>
  <c r="F64" i="7"/>
  <c r="G65" i="7"/>
  <c r="I65" i="7"/>
  <c r="I2" i="7"/>
  <c r="F2" i="5"/>
  <c r="G3" i="5"/>
  <c r="I3" i="5"/>
  <c r="E3" i="5"/>
  <c r="F3" i="5"/>
  <c r="G4" i="5"/>
  <c r="I4" i="5"/>
  <c r="E4" i="5"/>
  <c r="F4" i="5"/>
  <c r="G5" i="5"/>
  <c r="I5" i="5"/>
  <c r="E5" i="5"/>
  <c r="F5" i="5"/>
  <c r="G6" i="5"/>
  <c r="I6" i="5"/>
  <c r="E6" i="5"/>
  <c r="F6" i="5"/>
  <c r="G7" i="5"/>
  <c r="I7" i="5"/>
  <c r="E7" i="5"/>
  <c r="F7" i="5"/>
  <c r="G8" i="5"/>
  <c r="I8" i="5"/>
  <c r="E8" i="5"/>
  <c r="F8" i="5"/>
  <c r="G9" i="5"/>
  <c r="I9" i="5"/>
  <c r="E9" i="5"/>
  <c r="F9" i="5"/>
  <c r="G10" i="5"/>
  <c r="I10" i="5"/>
  <c r="E10" i="5"/>
  <c r="F10" i="5"/>
  <c r="G11" i="5"/>
  <c r="I11" i="5"/>
  <c r="E11" i="5"/>
  <c r="F11" i="5"/>
  <c r="G12" i="5"/>
  <c r="I12" i="5"/>
  <c r="E12" i="5"/>
  <c r="F12" i="5"/>
  <c r="G13" i="5"/>
  <c r="I13" i="5"/>
  <c r="E13" i="5"/>
  <c r="F13" i="5"/>
  <c r="G14" i="5"/>
  <c r="I14" i="5"/>
  <c r="E14" i="5"/>
  <c r="F14" i="5"/>
  <c r="G15" i="5"/>
  <c r="I15" i="5"/>
  <c r="E15" i="5"/>
  <c r="F15" i="5"/>
  <c r="G16" i="5"/>
  <c r="I16" i="5"/>
  <c r="E16" i="5"/>
  <c r="F16" i="5"/>
  <c r="G17" i="5"/>
  <c r="I17" i="5"/>
  <c r="E17" i="5"/>
  <c r="F17" i="5"/>
  <c r="G18" i="5"/>
  <c r="I18" i="5"/>
  <c r="E18" i="5"/>
  <c r="F18" i="5"/>
  <c r="G19" i="5"/>
  <c r="I19" i="5"/>
  <c r="E19" i="5"/>
  <c r="F19" i="5"/>
  <c r="G20" i="5"/>
  <c r="I20" i="5"/>
  <c r="E20" i="5"/>
  <c r="F20" i="5"/>
  <c r="G21" i="5"/>
  <c r="I21" i="5"/>
  <c r="E21" i="5"/>
  <c r="F21" i="5"/>
  <c r="G22" i="5"/>
  <c r="I22" i="5"/>
  <c r="E22" i="5"/>
  <c r="F22" i="5"/>
  <c r="G23" i="5"/>
  <c r="I23" i="5"/>
  <c r="E23" i="5"/>
  <c r="F23" i="5"/>
  <c r="G24" i="5"/>
  <c r="I24" i="5"/>
  <c r="E24" i="5"/>
  <c r="F24" i="5"/>
  <c r="G25" i="5"/>
  <c r="I25" i="5"/>
  <c r="E25" i="5"/>
  <c r="F25" i="5"/>
  <c r="G26" i="5"/>
  <c r="I26" i="5"/>
  <c r="E26" i="5"/>
  <c r="F26" i="5"/>
  <c r="G27" i="5"/>
  <c r="I27" i="5"/>
  <c r="E27" i="5"/>
  <c r="F27" i="5"/>
  <c r="G28" i="5"/>
  <c r="I28" i="5"/>
  <c r="E28" i="5"/>
  <c r="F28" i="5"/>
  <c r="G29" i="5"/>
  <c r="I29" i="5"/>
  <c r="E29" i="5"/>
  <c r="F29" i="5"/>
  <c r="G30" i="5"/>
  <c r="I30" i="5"/>
  <c r="E30" i="5"/>
  <c r="F30" i="5"/>
  <c r="G31" i="5"/>
  <c r="I31" i="5"/>
  <c r="E31" i="5"/>
  <c r="F31" i="5"/>
  <c r="G32" i="5"/>
  <c r="I32" i="5"/>
  <c r="E32" i="5"/>
  <c r="F32" i="5"/>
  <c r="G33" i="5"/>
  <c r="I33" i="5"/>
  <c r="E33" i="5"/>
  <c r="F33" i="5"/>
  <c r="G34" i="5"/>
  <c r="I34" i="5"/>
  <c r="E34" i="5"/>
  <c r="F34" i="5"/>
  <c r="G35" i="5"/>
  <c r="I35" i="5"/>
  <c r="E35" i="5"/>
  <c r="F35" i="5"/>
  <c r="G36" i="5"/>
  <c r="I36" i="5"/>
  <c r="E36" i="5"/>
  <c r="F36" i="5"/>
  <c r="G37" i="5"/>
  <c r="I37" i="5"/>
  <c r="E37" i="5"/>
  <c r="F37" i="5"/>
  <c r="G38" i="5"/>
  <c r="I38" i="5"/>
  <c r="E38" i="5"/>
  <c r="F38" i="5"/>
  <c r="G39" i="5"/>
  <c r="I39" i="5"/>
  <c r="E39" i="5"/>
  <c r="F39" i="5"/>
  <c r="G40" i="5"/>
  <c r="I40" i="5"/>
  <c r="E40" i="5"/>
  <c r="F40" i="5"/>
  <c r="G41" i="5"/>
  <c r="I41" i="5"/>
  <c r="E41" i="5"/>
  <c r="F41" i="5"/>
  <c r="G42" i="5"/>
  <c r="I42" i="5"/>
  <c r="E42" i="5"/>
  <c r="F42" i="5"/>
  <c r="G43" i="5"/>
  <c r="I43" i="5"/>
  <c r="E43" i="5"/>
  <c r="F43" i="5"/>
  <c r="G44" i="5"/>
  <c r="I44" i="5"/>
  <c r="E44" i="5"/>
  <c r="F44" i="5"/>
  <c r="G45" i="5"/>
  <c r="I45" i="5"/>
  <c r="E45" i="5"/>
  <c r="F45" i="5"/>
  <c r="G46" i="5"/>
  <c r="I46" i="5"/>
  <c r="E46" i="5"/>
  <c r="F46" i="5"/>
  <c r="G47" i="5"/>
  <c r="I47" i="5"/>
  <c r="E47" i="5"/>
  <c r="F47" i="5"/>
  <c r="G48" i="5"/>
  <c r="I48" i="5"/>
  <c r="E48" i="5"/>
  <c r="F48" i="5"/>
  <c r="G49" i="5"/>
  <c r="I49" i="5"/>
  <c r="E49" i="5"/>
  <c r="F49" i="5"/>
  <c r="G50" i="5"/>
  <c r="I50" i="5"/>
  <c r="E50" i="5"/>
  <c r="F50" i="5"/>
  <c r="G51" i="5"/>
  <c r="I51" i="5"/>
  <c r="E51" i="5"/>
  <c r="F51" i="5"/>
  <c r="G52" i="5"/>
  <c r="I52" i="5"/>
  <c r="E52" i="5"/>
  <c r="F52" i="5"/>
  <c r="G53" i="5"/>
  <c r="I53" i="5"/>
  <c r="E53" i="5"/>
  <c r="F53" i="5"/>
  <c r="G54" i="5"/>
  <c r="I54" i="5"/>
  <c r="E54" i="5"/>
  <c r="F54" i="5"/>
  <c r="G55" i="5"/>
  <c r="I55" i="5"/>
  <c r="E55" i="5"/>
  <c r="F55" i="5"/>
  <c r="G56" i="5"/>
  <c r="I56" i="5"/>
  <c r="E56" i="5"/>
  <c r="F56" i="5"/>
  <c r="G57" i="5"/>
  <c r="I57" i="5"/>
  <c r="E57" i="5"/>
  <c r="F57" i="5"/>
  <c r="G58" i="5"/>
  <c r="I58" i="5"/>
  <c r="E58" i="5"/>
  <c r="F58" i="5"/>
  <c r="G59" i="5"/>
  <c r="I59" i="5"/>
  <c r="E59" i="5"/>
  <c r="F59" i="5"/>
  <c r="G60" i="5"/>
  <c r="I60" i="5"/>
  <c r="E60" i="5"/>
  <c r="F60" i="5"/>
  <c r="G61" i="5"/>
  <c r="I61" i="5"/>
  <c r="E61" i="5"/>
  <c r="F61" i="5"/>
  <c r="G62" i="5"/>
  <c r="I62" i="5"/>
  <c r="E62" i="5"/>
  <c r="F62" i="5"/>
  <c r="G63" i="5"/>
  <c r="I63" i="5"/>
  <c r="E63" i="5"/>
  <c r="F63" i="5"/>
  <c r="G64" i="5"/>
  <c r="I64" i="5"/>
  <c r="E64" i="5"/>
  <c r="F64" i="5"/>
  <c r="G65" i="5"/>
  <c r="I65" i="5"/>
  <c r="E65" i="5"/>
  <c r="F65" i="5"/>
  <c r="G66" i="5"/>
  <c r="I66" i="5"/>
  <c r="I2" i="5"/>
  <c r="E2" i="20"/>
  <c r="F2" i="20"/>
  <c r="G3" i="20"/>
  <c r="I3" i="20"/>
  <c r="E3" i="20"/>
  <c r="F3" i="20"/>
  <c r="G4" i="20"/>
  <c r="I4" i="20"/>
  <c r="E4" i="20"/>
  <c r="F4" i="20"/>
  <c r="G5" i="20"/>
  <c r="I5" i="20"/>
  <c r="E5" i="20"/>
  <c r="F5" i="20"/>
  <c r="G6" i="20"/>
  <c r="I6" i="20"/>
  <c r="E6" i="20"/>
  <c r="F6" i="20"/>
  <c r="G7" i="20"/>
  <c r="I7" i="20"/>
  <c r="E7" i="20"/>
  <c r="F7" i="20"/>
  <c r="G8" i="20"/>
  <c r="I8" i="20"/>
  <c r="E8" i="20"/>
  <c r="F8" i="20"/>
  <c r="G9" i="20"/>
  <c r="I9" i="20"/>
  <c r="E9" i="20"/>
  <c r="F9" i="20"/>
  <c r="G10" i="20"/>
  <c r="I10" i="20"/>
  <c r="E10" i="20"/>
  <c r="F10" i="20"/>
  <c r="G11" i="20"/>
  <c r="I11" i="20"/>
  <c r="E11" i="20"/>
  <c r="F11" i="20"/>
  <c r="G12" i="20"/>
  <c r="I12" i="20"/>
  <c r="E12" i="20"/>
  <c r="F12" i="20"/>
  <c r="G13" i="20"/>
  <c r="I13" i="20"/>
  <c r="E13" i="20"/>
  <c r="F13" i="20"/>
  <c r="G14" i="20"/>
  <c r="I14" i="20"/>
  <c r="E14" i="20"/>
  <c r="F14" i="20"/>
  <c r="G15" i="20"/>
  <c r="I15" i="20"/>
  <c r="E15" i="20"/>
  <c r="F15" i="20"/>
  <c r="G16" i="20"/>
  <c r="I16" i="20"/>
  <c r="E16" i="20"/>
  <c r="F16" i="20"/>
  <c r="G17" i="20"/>
  <c r="I17" i="20"/>
  <c r="E17" i="20"/>
  <c r="F17" i="20"/>
  <c r="G18" i="20"/>
  <c r="I18" i="20"/>
  <c r="E18" i="20"/>
  <c r="F18" i="20"/>
  <c r="G19" i="20"/>
  <c r="I19" i="20"/>
  <c r="E19" i="20"/>
  <c r="F19" i="20"/>
  <c r="G20" i="20"/>
  <c r="I20" i="20"/>
  <c r="E20" i="20"/>
  <c r="F20" i="20"/>
  <c r="G21" i="20"/>
  <c r="I21" i="20"/>
  <c r="E21" i="20"/>
  <c r="F21" i="20"/>
  <c r="G22" i="20"/>
  <c r="I22" i="20"/>
  <c r="E22" i="20"/>
  <c r="F22" i="20"/>
  <c r="G23" i="20"/>
  <c r="I23" i="20"/>
  <c r="E23" i="20"/>
  <c r="F23" i="20"/>
  <c r="G24" i="20"/>
  <c r="I24" i="20"/>
  <c r="E24" i="20"/>
  <c r="F24" i="20"/>
  <c r="G25" i="20"/>
  <c r="I25" i="20"/>
  <c r="E25" i="20"/>
  <c r="F25" i="20"/>
  <c r="G26" i="20"/>
  <c r="I26" i="20"/>
  <c r="E26" i="20"/>
  <c r="F26" i="20"/>
  <c r="G27" i="20"/>
  <c r="I27" i="20"/>
  <c r="E27" i="20"/>
  <c r="F27" i="20"/>
  <c r="G28" i="20"/>
  <c r="I28" i="20"/>
  <c r="E28" i="20"/>
  <c r="F28" i="20"/>
  <c r="G29" i="20"/>
  <c r="I29" i="20"/>
  <c r="E29" i="20"/>
  <c r="F29" i="20"/>
  <c r="G30" i="20"/>
  <c r="I30" i="20"/>
  <c r="E30" i="20"/>
  <c r="F30" i="20"/>
  <c r="G31" i="20"/>
  <c r="I31" i="20"/>
  <c r="E31" i="20"/>
  <c r="F31" i="20"/>
  <c r="G32" i="20"/>
  <c r="I32" i="20"/>
  <c r="E32" i="20"/>
  <c r="F32" i="20"/>
  <c r="G33" i="20"/>
  <c r="I33" i="20"/>
  <c r="E33" i="20"/>
  <c r="F33" i="20"/>
  <c r="G34" i="20"/>
  <c r="I34" i="20"/>
  <c r="E34" i="20"/>
  <c r="F34" i="20"/>
  <c r="G35" i="20"/>
  <c r="I35" i="20"/>
  <c r="E35" i="20"/>
  <c r="F35" i="20"/>
  <c r="G36" i="20"/>
  <c r="I36" i="20"/>
  <c r="E36" i="20"/>
  <c r="F36" i="20"/>
  <c r="G37" i="20"/>
  <c r="I37" i="20"/>
  <c r="E37" i="20"/>
  <c r="F37" i="20"/>
  <c r="I2" i="20"/>
  <c r="E2" i="19"/>
  <c r="F2" i="19"/>
  <c r="G3" i="19"/>
  <c r="I3" i="19"/>
  <c r="E3" i="19"/>
  <c r="F3" i="19"/>
  <c r="G4" i="19"/>
  <c r="I4" i="19"/>
  <c r="E4" i="19"/>
  <c r="F4" i="19"/>
  <c r="G5" i="19"/>
  <c r="I5" i="19"/>
  <c r="E5" i="19"/>
  <c r="F5" i="19"/>
  <c r="G6" i="19"/>
  <c r="I6" i="19"/>
  <c r="E6" i="19"/>
  <c r="F6" i="19"/>
  <c r="G7" i="19"/>
  <c r="I7" i="19"/>
  <c r="E7" i="19"/>
  <c r="F7" i="19"/>
  <c r="G8" i="19"/>
  <c r="I8" i="19"/>
  <c r="E8" i="19"/>
  <c r="F8" i="19"/>
  <c r="G9" i="19"/>
  <c r="I9" i="19"/>
  <c r="E9" i="19"/>
  <c r="F9" i="19"/>
  <c r="G10" i="19"/>
  <c r="I10" i="19"/>
  <c r="E10" i="19"/>
  <c r="F10" i="19"/>
  <c r="G11" i="19"/>
  <c r="I11" i="19"/>
  <c r="E11" i="19"/>
  <c r="F11" i="19"/>
  <c r="G12" i="19"/>
  <c r="I12" i="19"/>
  <c r="E12" i="19"/>
  <c r="F12" i="19"/>
  <c r="G13" i="19"/>
  <c r="I13" i="19"/>
  <c r="E13" i="19"/>
  <c r="F13" i="19"/>
  <c r="G14" i="19"/>
  <c r="I14" i="19"/>
  <c r="E14" i="19"/>
  <c r="F14" i="19"/>
  <c r="G15" i="19"/>
  <c r="I15" i="19"/>
  <c r="E15" i="19"/>
  <c r="F15" i="19"/>
  <c r="G16" i="19"/>
  <c r="I16" i="19"/>
  <c r="E16" i="19"/>
  <c r="F16" i="19"/>
  <c r="G17" i="19"/>
  <c r="I17" i="19"/>
  <c r="E17" i="19"/>
  <c r="F17" i="19"/>
  <c r="G18" i="19"/>
  <c r="I18" i="19"/>
  <c r="E18" i="19"/>
  <c r="F18" i="19"/>
  <c r="G19" i="19"/>
  <c r="I19" i="19"/>
  <c r="E19" i="19"/>
  <c r="F19" i="19"/>
  <c r="G20" i="19"/>
  <c r="I20" i="19"/>
  <c r="E20" i="19"/>
  <c r="F20" i="19"/>
  <c r="G21" i="19"/>
  <c r="I21" i="19"/>
  <c r="E21" i="19"/>
  <c r="F21" i="19"/>
  <c r="G22" i="19"/>
  <c r="I22" i="19"/>
  <c r="E22" i="19"/>
  <c r="F22" i="19"/>
  <c r="G23" i="19"/>
  <c r="I23" i="19"/>
  <c r="E23" i="19"/>
  <c r="F23" i="19"/>
  <c r="G24" i="19"/>
  <c r="I24" i="19"/>
  <c r="E24" i="19"/>
  <c r="F24" i="19"/>
  <c r="G25" i="19"/>
  <c r="I25" i="19"/>
  <c r="E25" i="19"/>
  <c r="F25" i="19"/>
  <c r="G26" i="19"/>
  <c r="I26" i="19"/>
  <c r="E26" i="19"/>
  <c r="F26" i="19"/>
  <c r="G27" i="19"/>
  <c r="I27" i="19"/>
  <c r="E27" i="19"/>
  <c r="F27" i="19"/>
  <c r="G28" i="19"/>
  <c r="I28" i="19"/>
  <c r="E28" i="19"/>
  <c r="F28" i="19"/>
  <c r="G29" i="19"/>
  <c r="I29" i="19"/>
  <c r="E29" i="19"/>
  <c r="F29" i="19"/>
  <c r="G30" i="19"/>
  <c r="I30" i="19"/>
  <c r="E30" i="19"/>
  <c r="F30" i="19"/>
  <c r="G31" i="19"/>
  <c r="I31" i="19"/>
  <c r="E31" i="19"/>
  <c r="F31" i="19"/>
  <c r="G32" i="19"/>
  <c r="I32" i="19"/>
  <c r="E32" i="19"/>
  <c r="F32" i="19"/>
  <c r="G33" i="19"/>
  <c r="I33" i="19"/>
  <c r="E33" i="19"/>
  <c r="F33" i="19"/>
  <c r="G34" i="19"/>
  <c r="I34" i="19"/>
  <c r="E34" i="19"/>
  <c r="F34" i="19"/>
  <c r="G35" i="19"/>
  <c r="I35" i="19"/>
  <c r="I2" i="19"/>
  <c r="E2" i="18"/>
  <c r="F2" i="18"/>
  <c r="G3" i="18"/>
  <c r="I3" i="18"/>
  <c r="E3" i="18"/>
  <c r="F3" i="18"/>
  <c r="G4" i="18"/>
  <c r="I4" i="18"/>
  <c r="E4" i="18"/>
  <c r="F4" i="18"/>
  <c r="G5" i="18"/>
  <c r="I5" i="18"/>
  <c r="E5" i="18"/>
  <c r="F5" i="18"/>
  <c r="G6" i="18"/>
  <c r="I6" i="18"/>
  <c r="E6" i="18"/>
  <c r="F6" i="18"/>
  <c r="G7" i="18"/>
  <c r="I7" i="18"/>
  <c r="E7" i="18"/>
  <c r="F7" i="18"/>
  <c r="G8" i="18"/>
  <c r="I8" i="18"/>
  <c r="E8" i="18"/>
  <c r="F8" i="18"/>
  <c r="G9" i="18"/>
  <c r="I9" i="18"/>
  <c r="E9" i="18"/>
  <c r="F9" i="18"/>
  <c r="G10" i="18"/>
  <c r="I10" i="18"/>
  <c r="E10" i="18"/>
  <c r="F10" i="18"/>
  <c r="G11" i="18"/>
  <c r="I11" i="18"/>
  <c r="E11" i="18"/>
  <c r="F11" i="18"/>
  <c r="G12" i="18"/>
  <c r="I12" i="18"/>
  <c r="E12" i="18"/>
  <c r="F12" i="18"/>
  <c r="G13" i="18"/>
  <c r="I13" i="18"/>
  <c r="E13" i="18"/>
  <c r="F13" i="18"/>
  <c r="G14" i="18"/>
  <c r="I14" i="18"/>
  <c r="E14" i="18"/>
  <c r="F14" i="18"/>
  <c r="G15" i="18"/>
  <c r="I15" i="18"/>
  <c r="E15" i="18"/>
  <c r="F15" i="18"/>
  <c r="G16" i="18"/>
  <c r="I16" i="18"/>
  <c r="E16" i="18"/>
  <c r="F16" i="18"/>
  <c r="G17" i="18"/>
  <c r="I17" i="18"/>
  <c r="E17" i="18"/>
  <c r="F17" i="18"/>
  <c r="G18" i="18"/>
  <c r="I18" i="18"/>
  <c r="E18" i="18"/>
  <c r="F18" i="18"/>
  <c r="G19" i="18"/>
  <c r="I19" i="18"/>
  <c r="E19" i="18"/>
  <c r="F19" i="18"/>
  <c r="G20" i="18"/>
  <c r="I20" i="18"/>
  <c r="E20" i="18"/>
  <c r="F20" i="18"/>
  <c r="G21" i="18"/>
  <c r="I21" i="18"/>
  <c r="E21" i="18"/>
  <c r="F21" i="18"/>
  <c r="G22" i="18"/>
  <c r="I22" i="18"/>
  <c r="E22" i="18"/>
  <c r="F22" i="18"/>
  <c r="G23" i="18"/>
  <c r="I23" i="18"/>
  <c r="E23" i="18"/>
  <c r="F23" i="18"/>
  <c r="G24" i="18"/>
  <c r="I24" i="18"/>
  <c r="E24" i="18"/>
  <c r="F24" i="18"/>
  <c r="G25" i="18"/>
  <c r="I25" i="18"/>
  <c r="E25" i="18"/>
  <c r="F25" i="18"/>
  <c r="G26" i="18"/>
  <c r="I26" i="18"/>
  <c r="E26" i="18"/>
  <c r="F26" i="18"/>
  <c r="G27" i="18"/>
  <c r="I27" i="18"/>
  <c r="E27" i="18"/>
  <c r="F27" i="18"/>
  <c r="G28" i="18"/>
  <c r="I28" i="18"/>
  <c r="E28" i="18"/>
  <c r="F28" i="18"/>
  <c r="G29" i="18"/>
  <c r="I29" i="18"/>
  <c r="E29" i="18"/>
  <c r="F29" i="18"/>
  <c r="G30" i="18"/>
  <c r="I30" i="18"/>
  <c r="E30" i="18"/>
  <c r="F30" i="18"/>
  <c r="G31" i="18"/>
  <c r="I31" i="18"/>
  <c r="E31" i="18"/>
  <c r="F31" i="18"/>
  <c r="G32" i="18"/>
  <c r="I32" i="18"/>
  <c r="E32" i="18"/>
  <c r="F32" i="18"/>
  <c r="I2" i="18"/>
  <c r="E2" i="21"/>
  <c r="F2" i="21"/>
  <c r="G3" i="21"/>
  <c r="I3" i="21"/>
  <c r="E3" i="21"/>
  <c r="F3" i="21"/>
  <c r="G4" i="21"/>
  <c r="I4" i="21"/>
  <c r="E4" i="21"/>
  <c r="F4" i="21"/>
  <c r="G5" i="21"/>
  <c r="I5" i="21"/>
  <c r="E5" i="21"/>
  <c r="F5" i="21"/>
  <c r="G6" i="21"/>
  <c r="I6" i="21"/>
  <c r="E6" i="21"/>
  <c r="F6" i="21"/>
  <c r="G7" i="21"/>
  <c r="I7" i="21"/>
  <c r="E7" i="21"/>
  <c r="F7" i="21"/>
  <c r="G8" i="21"/>
  <c r="I8" i="21"/>
  <c r="E8" i="21"/>
  <c r="F8" i="21"/>
  <c r="G9" i="21"/>
  <c r="I9" i="21"/>
  <c r="E9" i="21"/>
  <c r="F9" i="21"/>
  <c r="G10" i="21"/>
  <c r="I10" i="21"/>
  <c r="E10" i="21"/>
  <c r="F10" i="21"/>
  <c r="G11" i="21"/>
  <c r="I11" i="21"/>
  <c r="E11" i="21"/>
  <c r="F11" i="21"/>
  <c r="G12" i="21"/>
  <c r="I12" i="21"/>
  <c r="E12" i="21"/>
  <c r="F12" i="21"/>
  <c r="G13" i="21"/>
  <c r="I13" i="21"/>
  <c r="E13" i="21"/>
  <c r="F13" i="21"/>
  <c r="G14" i="21"/>
  <c r="I14" i="21"/>
  <c r="E14" i="21"/>
  <c r="F14" i="21"/>
  <c r="G15" i="21"/>
  <c r="I15" i="21"/>
  <c r="E15" i="21"/>
  <c r="F15" i="21"/>
  <c r="G16" i="21"/>
  <c r="I16" i="21"/>
  <c r="E16" i="21"/>
  <c r="F16" i="21"/>
  <c r="G17" i="21"/>
  <c r="I17" i="21"/>
  <c r="E17" i="21"/>
  <c r="F17" i="21"/>
  <c r="G18" i="21"/>
  <c r="I18" i="21"/>
  <c r="E18" i="21"/>
  <c r="F18" i="21"/>
  <c r="G19" i="21"/>
  <c r="I19" i="21"/>
  <c r="E19" i="21"/>
  <c r="F19" i="21"/>
  <c r="G20" i="21"/>
  <c r="I20" i="21"/>
  <c r="E20" i="21"/>
  <c r="F20" i="21"/>
  <c r="G21" i="21"/>
  <c r="I21" i="21"/>
  <c r="E21" i="21"/>
  <c r="F21" i="21"/>
  <c r="G22" i="21"/>
  <c r="I22" i="21"/>
  <c r="E22" i="21"/>
  <c r="F22" i="21"/>
  <c r="I2" i="21"/>
  <c r="E2" i="24"/>
  <c r="F2" i="24"/>
  <c r="G3" i="24"/>
  <c r="I3" i="24"/>
  <c r="E3" i="24"/>
  <c r="F3" i="24"/>
  <c r="G4" i="24"/>
  <c r="I4" i="24"/>
  <c r="E4" i="24"/>
  <c r="F4" i="24"/>
  <c r="G5" i="24"/>
  <c r="I5" i="24"/>
  <c r="E5" i="24"/>
  <c r="F5" i="24"/>
  <c r="G6" i="24"/>
  <c r="I6" i="24"/>
  <c r="E6" i="24"/>
  <c r="F6" i="24"/>
  <c r="G7" i="24"/>
  <c r="I7" i="24"/>
  <c r="E7" i="24"/>
  <c r="F7" i="24"/>
  <c r="G8" i="24"/>
  <c r="I8" i="24"/>
  <c r="E8" i="24"/>
  <c r="F8" i="24"/>
  <c r="G9" i="24"/>
  <c r="I9" i="24"/>
  <c r="E9" i="24"/>
  <c r="F9" i="24"/>
  <c r="G10" i="24"/>
  <c r="I10" i="24"/>
  <c r="E10" i="24"/>
  <c r="F10" i="24"/>
  <c r="G11" i="24"/>
  <c r="I11" i="24"/>
  <c r="E11" i="24"/>
  <c r="F11" i="24"/>
  <c r="G12" i="24"/>
  <c r="I12" i="24"/>
  <c r="E12" i="24"/>
  <c r="F12" i="24"/>
  <c r="G13" i="24"/>
  <c r="I13" i="24"/>
  <c r="E13" i="24"/>
  <c r="F13" i="24"/>
  <c r="G14" i="24"/>
  <c r="I14" i="24"/>
  <c r="E14" i="24"/>
  <c r="F14" i="24"/>
  <c r="G15" i="24"/>
  <c r="I15" i="24"/>
  <c r="E15" i="24"/>
  <c r="F15" i="24"/>
  <c r="G16" i="24"/>
  <c r="I16" i="24"/>
  <c r="E16" i="24"/>
  <c r="F16" i="24"/>
  <c r="G17" i="24"/>
  <c r="I17" i="24"/>
  <c r="E17" i="24"/>
  <c r="F17" i="24"/>
  <c r="G18" i="24"/>
  <c r="I18" i="24"/>
  <c r="E18" i="24"/>
  <c r="F18" i="24"/>
  <c r="G19" i="24"/>
  <c r="I19" i="24"/>
  <c r="E19" i="24"/>
  <c r="F19" i="24"/>
  <c r="G20" i="24"/>
  <c r="I20" i="24"/>
  <c r="E20" i="24"/>
  <c r="F20" i="24"/>
  <c r="G21" i="24"/>
  <c r="I21" i="24"/>
  <c r="E21" i="24"/>
  <c r="F21" i="24"/>
  <c r="G22" i="24"/>
  <c r="I22" i="24"/>
  <c r="E22" i="24"/>
  <c r="F22" i="24"/>
  <c r="G23" i="24"/>
  <c r="I23" i="24"/>
  <c r="E23" i="24"/>
  <c r="F23" i="24"/>
  <c r="G24" i="24"/>
  <c r="I24" i="24"/>
  <c r="E24" i="24"/>
  <c r="F24" i="24"/>
  <c r="G25" i="24"/>
  <c r="I25" i="24"/>
  <c r="E25" i="24"/>
  <c r="F25" i="24"/>
  <c r="G26" i="24"/>
  <c r="I26" i="24"/>
  <c r="E26" i="24"/>
  <c r="F26" i="24"/>
  <c r="G27" i="24"/>
  <c r="I27" i="24"/>
  <c r="E27" i="24"/>
  <c r="F27" i="24"/>
  <c r="G28" i="24"/>
  <c r="I28" i="24"/>
  <c r="E28" i="24"/>
  <c r="F28" i="24"/>
  <c r="G29" i="24"/>
  <c r="I29" i="24"/>
  <c r="E29" i="24"/>
  <c r="F29" i="24"/>
  <c r="G30" i="24"/>
  <c r="I30" i="24"/>
  <c r="I2" i="24"/>
  <c r="E2" i="22"/>
  <c r="F2" i="22"/>
  <c r="G3" i="22"/>
  <c r="I3" i="22"/>
  <c r="E3" i="22"/>
  <c r="F3" i="22"/>
  <c r="G4" i="22"/>
  <c r="I4" i="22"/>
  <c r="E4" i="22"/>
  <c r="F4" i="22"/>
  <c r="G5" i="22"/>
  <c r="I5" i="22"/>
  <c r="E5" i="22"/>
  <c r="F5" i="22"/>
  <c r="G6" i="22"/>
  <c r="I6" i="22"/>
  <c r="E6" i="22"/>
  <c r="F6" i="22"/>
  <c r="G7" i="22"/>
  <c r="I7" i="22"/>
  <c r="E7" i="22"/>
  <c r="F7" i="22"/>
  <c r="G8" i="22"/>
  <c r="I8" i="22"/>
  <c r="E8" i="22"/>
  <c r="F8" i="22"/>
  <c r="G9" i="22"/>
  <c r="I9" i="22"/>
  <c r="E9" i="22"/>
  <c r="F9" i="22"/>
  <c r="G10" i="22"/>
  <c r="I10" i="22"/>
  <c r="E10" i="22"/>
  <c r="F10" i="22"/>
  <c r="G11" i="22"/>
  <c r="I11" i="22"/>
  <c r="E11" i="22"/>
  <c r="F11" i="22"/>
  <c r="G12" i="22"/>
  <c r="I12" i="22"/>
  <c r="E12" i="22"/>
  <c r="F12" i="22"/>
  <c r="G13" i="22"/>
  <c r="I13" i="22"/>
  <c r="E13" i="22"/>
  <c r="F13" i="22"/>
  <c r="G14" i="22"/>
  <c r="I14" i="22"/>
  <c r="E14" i="22"/>
  <c r="F14" i="22"/>
  <c r="G15" i="22"/>
  <c r="I15" i="22"/>
  <c r="E15" i="22"/>
  <c r="F15" i="22"/>
  <c r="G16" i="22"/>
  <c r="I16" i="22"/>
  <c r="E16" i="22"/>
  <c r="F16" i="22"/>
  <c r="G17" i="22"/>
  <c r="I17" i="22"/>
  <c r="E17" i="22"/>
  <c r="F17" i="22"/>
  <c r="G18" i="22"/>
  <c r="I18" i="22"/>
  <c r="E18" i="22"/>
  <c r="F18" i="22"/>
  <c r="G19" i="22"/>
  <c r="I19" i="22"/>
  <c r="E19" i="22"/>
  <c r="F19" i="22"/>
  <c r="G20" i="22"/>
  <c r="I20" i="22"/>
  <c r="E20" i="22"/>
  <c r="F20" i="22"/>
  <c r="G21" i="22"/>
  <c r="I21" i="22"/>
  <c r="E21" i="22"/>
  <c r="F21" i="22"/>
  <c r="G22" i="22"/>
  <c r="I22" i="22"/>
  <c r="E22" i="22"/>
  <c r="F22" i="22"/>
  <c r="G23" i="22"/>
  <c r="I23" i="22"/>
  <c r="E23" i="22"/>
  <c r="F23" i="22"/>
  <c r="G24" i="22"/>
  <c r="I24" i="22"/>
  <c r="E24" i="22"/>
  <c r="F24" i="22"/>
  <c r="G25" i="22"/>
  <c r="I25" i="22"/>
  <c r="I2" i="22"/>
  <c r="F2" i="23"/>
  <c r="G3" i="23"/>
  <c r="I3" i="23"/>
  <c r="E3" i="23"/>
  <c r="F3" i="23"/>
  <c r="G4" i="23"/>
  <c r="I4" i="23"/>
  <c r="E4" i="23"/>
  <c r="F4" i="23"/>
  <c r="G5" i="23"/>
  <c r="I5" i="23"/>
  <c r="E5" i="23"/>
  <c r="F5" i="23"/>
  <c r="G6" i="23"/>
  <c r="I6" i="23"/>
  <c r="E6" i="23"/>
  <c r="F6" i="23"/>
  <c r="G7" i="23"/>
  <c r="I7" i="23"/>
  <c r="E7" i="23"/>
  <c r="F7" i="23"/>
  <c r="G8" i="23"/>
  <c r="I8" i="23"/>
  <c r="E8" i="23"/>
  <c r="F8" i="23"/>
  <c r="G9" i="23"/>
  <c r="I9" i="23"/>
  <c r="E9" i="23"/>
  <c r="F9" i="23"/>
  <c r="G10" i="23"/>
  <c r="I10" i="23"/>
  <c r="E10" i="23"/>
  <c r="F10" i="23"/>
  <c r="G11" i="23"/>
  <c r="I11" i="23"/>
  <c r="E11" i="23"/>
  <c r="F11" i="23"/>
  <c r="G12" i="23"/>
  <c r="I12" i="23"/>
  <c r="E12" i="23"/>
  <c r="F12" i="23"/>
  <c r="G13" i="23"/>
  <c r="I13" i="23"/>
  <c r="E13" i="23"/>
  <c r="F13" i="23"/>
  <c r="G14" i="23"/>
  <c r="I14" i="23"/>
  <c r="E14" i="23"/>
  <c r="F14" i="23"/>
  <c r="G15" i="23"/>
  <c r="I15" i="23"/>
  <c r="E15" i="23"/>
  <c r="F15" i="23"/>
  <c r="G16" i="23"/>
  <c r="I16" i="23"/>
  <c r="E16" i="23"/>
  <c r="F16" i="23"/>
  <c r="G17" i="23"/>
  <c r="I17" i="23"/>
  <c r="E17" i="23"/>
  <c r="F17" i="23"/>
  <c r="G18" i="23"/>
  <c r="I18" i="23"/>
  <c r="E18" i="23"/>
  <c r="F18" i="23"/>
  <c r="G19" i="23"/>
  <c r="I19" i="23"/>
  <c r="E19" i="23"/>
  <c r="F19" i="23"/>
  <c r="G20" i="23"/>
  <c r="I20" i="23"/>
  <c r="E20" i="23"/>
  <c r="F20" i="23"/>
  <c r="G21" i="23"/>
  <c r="I21" i="23"/>
  <c r="E21" i="23"/>
  <c r="F21" i="23"/>
  <c r="G22" i="23"/>
  <c r="I22" i="23"/>
  <c r="E22" i="23"/>
  <c r="F22" i="23"/>
  <c r="G23" i="23"/>
  <c r="I23" i="23"/>
  <c r="E23" i="23"/>
  <c r="F23" i="23"/>
  <c r="G24" i="23"/>
  <c r="I24" i="23"/>
  <c r="E24" i="23"/>
  <c r="F24" i="23"/>
  <c r="G25" i="23"/>
  <c r="I25" i="23"/>
  <c r="E25" i="23"/>
  <c r="F25" i="23"/>
  <c r="G26" i="23"/>
  <c r="I26" i="23"/>
  <c r="E26" i="23"/>
  <c r="F26" i="23"/>
  <c r="G27" i="23"/>
  <c r="I27" i="23"/>
  <c r="E27" i="23"/>
  <c r="F27" i="23"/>
  <c r="I2" i="23"/>
  <c r="F3" i="4"/>
  <c r="G4" i="4"/>
  <c r="I4" i="4"/>
  <c r="F4" i="4"/>
  <c r="G5" i="4"/>
  <c r="I5" i="4"/>
  <c r="F5" i="4"/>
  <c r="G6" i="4"/>
  <c r="I6" i="4"/>
  <c r="F6" i="4"/>
  <c r="G7" i="4"/>
  <c r="I7" i="4"/>
  <c r="F7" i="4"/>
  <c r="G8" i="4"/>
  <c r="I8" i="4"/>
  <c r="F8" i="4"/>
  <c r="G9" i="4"/>
  <c r="I9" i="4"/>
  <c r="F9" i="4"/>
  <c r="G10" i="4"/>
  <c r="I10" i="4"/>
  <c r="F10" i="4"/>
  <c r="G11" i="4"/>
  <c r="I11" i="4"/>
  <c r="F11" i="4"/>
  <c r="G12" i="4"/>
  <c r="I12" i="4"/>
  <c r="F12" i="4"/>
  <c r="G13" i="4"/>
  <c r="I13" i="4"/>
  <c r="F13" i="4"/>
  <c r="G14" i="4"/>
  <c r="I14" i="4"/>
  <c r="F14" i="4"/>
  <c r="G15" i="4"/>
  <c r="I15" i="4"/>
  <c r="F15" i="4"/>
  <c r="G16" i="4"/>
  <c r="I16" i="4"/>
  <c r="F16" i="4"/>
  <c r="G17" i="4"/>
  <c r="I17" i="4"/>
  <c r="F17" i="4"/>
  <c r="G18" i="4"/>
  <c r="I18" i="4"/>
  <c r="F18" i="4"/>
  <c r="G19" i="4"/>
  <c r="I19" i="4"/>
  <c r="F19" i="4"/>
  <c r="G20" i="4"/>
  <c r="I20" i="4"/>
  <c r="F20" i="4"/>
  <c r="G21" i="4"/>
  <c r="I21" i="4"/>
  <c r="F21" i="4"/>
  <c r="G22" i="4"/>
  <c r="I22" i="4"/>
  <c r="F22" i="4"/>
  <c r="G23" i="4"/>
  <c r="I23" i="4"/>
  <c r="F23" i="4"/>
  <c r="G24" i="4"/>
  <c r="I24" i="4"/>
  <c r="F24" i="4"/>
  <c r="G25" i="4"/>
  <c r="I25" i="4"/>
  <c r="F25" i="4"/>
  <c r="G26" i="4"/>
  <c r="I26" i="4"/>
  <c r="F26" i="4"/>
  <c r="G27" i="4"/>
  <c r="I27" i="4"/>
  <c r="F27" i="4"/>
  <c r="G28" i="4"/>
  <c r="I28" i="4"/>
  <c r="F28" i="4"/>
  <c r="G29" i="4"/>
  <c r="I29" i="4"/>
  <c r="F29" i="4"/>
  <c r="G30" i="4"/>
  <c r="I30" i="4"/>
  <c r="F30" i="4"/>
  <c r="G31" i="4"/>
  <c r="I31" i="4"/>
  <c r="F31" i="4"/>
  <c r="G32" i="4"/>
  <c r="I32" i="4"/>
  <c r="F32" i="4"/>
  <c r="G33" i="4"/>
  <c r="I33" i="4"/>
  <c r="F33" i="4"/>
  <c r="G34" i="4"/>
  <c r="I34" i="4"/>
  <c r="F34" i="4"/>
  <c r="G35" i="4"/>
  <c r="I35" i="4"/>
  <c r="F35" i="4"/>
  <c r="G36" i="4"/>
  <c r="I36" i="4"/>
  <c r="F36" i="4"/>
  <c r="G37" i="4"/>
  <c r="I37" i="4"/>
  <c r="F37" i="4"/>
  <c r="G38" i="4"/>
  <c r="I38" i="4"/>
  <c r="F38" i="4"/>
  <c r="G39" i="4"/>
  <c r="I39" i="4"/>
  <c r="F39" i="4"/>
  <c r="G40" i="4"/>
  <c r="I40" i="4"/>
  <c r="F40" i="4"/>
  <c r="G41" i="4"/>
  <c r="I41" i="4"/>
  <c r="F41" i="4"/>
  <c r="G42" i="4"/>
  <c r="I42" i="4"/>
  <c r="F42" i="4"/>
  <c r="G43" i="4"/>
  <c r="I43" i="4"/>
  <c r="F43" i="4"/>
  <c r="G44" i="4"/>
  <c r="I44" i="4"/>
  <c r="F44" i="4"/>
  <c r="G45" i="4"/>
  <c r="I45" i="4"/>
  <c r="F45" i="4"/>
  <c r="G46" i="4"/>
  <c r="I46" i="4"/>
  <c r="F46" i="4"/>
  <c r="G47" i="4"/>
  <c r="I47" i="4"/>
  <c r="F47" i="4"/>
  <c r="G48" i="4"/>
  <c r="I48" i="4"/>
  <c r="F48" i="4"/>
  <c r="G49" i="4"/>
  <c r="I49" i="4"/>
  <c r="F49" i="4"/>
  <c r="G50" i="4"/>
  <c r="I50" i="4"/>
  <c r="F50" i="4"/>
  <c r="G51" i="4"/>
  <c r="I51" i="4"/>
  <c r="F51" i="4"/>
  <c r="G52" i="4"/>
  <c r="I52" i="4"/>
  <c r="F52" i="4"/>
  <c r="G53" i="4"/>
  <c r="I53" i="4"/>
  <c r="F53" i="4"/>
  <c r="G54" i="4"/>
  <c r="I54" i="4"/>
  <c r="F54" i="4"/>
  <c r="G55" i="4"/>
  <c r="I55" i="4"/>
  <c r="F55" i="4"/>
  <c r="G56" i="4"/>
  <c r="I56" i="4"/>
  <c r="F56" i="4"/>
  <c r="G57" i="4"/>
  <c r="I57" i="4"/>
  <c r="F57" i="4"/>
  <c r="G58" i="4"/>
  <c r="I58" i="4"/>
  <c r="F58" i="4"/>
  <c r="G59" i="4"/>
  <c r="I59" i="4"/>
  <c r="F59" i="4"/>
  <c r="G60" i="4"/>
  <c r="I60" i="4"/>
  <c r="F60" i="4"/>
  <c r="G61" i="4"/>
  <c r="I61" i="4"/>
  <c r="F61" i="4"/>
  <c r="G62" i="4"/>
  <c r="I62" i="4"/>
  <c r="F62" i="4"/>
  <c r="G63" i="4"/>
  <c r="I63" i="4"/>
  <c r="F63" i="4"/>
  <c r="G64" i="4"/>
  <c r="I64" i="4"/>
  <c r="F64" i="4"/>
  <c r="G65" i="4"/>
  <c r="I65" i="4"/>
  <c r="F65" i="4"/>
  <c r="G66" i="4"/>
  <c r="I66" i="4"/>
  <c r="F66" i="4"/>
  <c r="J2" i="4"/>
  <c r="K2" i="1"/>
  <c r="E66" i="5"/>
  <c r="F66" i="5"/>
  <c r="J2" i="5"/>
  <c r="K3" i="1"/>
  <c r="E65" i="7"/>
  <c r="F65" i="7"/>
  <c r="J2" i="7"/>
  <c r="K4" i="1"/>
  <c r="J2" i="17"/>
  <c r="K5" i="1"/>
  <c r="E60" i="16"/>
  <c r="F60" i="16"/>
  <c r="J2" i="16"/>
  <c r="K6" i="1"/>
  <c r="J2" i="15"/>
  <c r="K7" i="1"/>
  <c r="E2" i="14"/>
  <c r="F2" i="14"/>
  <c r="G3" i="14"/>
  <c r="I2" i="14"/>
  <c r="E3" i="14"/>
  <c r="F3" i="14"/>
  <c r="G4" i="14"/>
  <c r="I3" i="14"/>
  <c r="E4" i="14"/>
  <c r="F4" i="14"/>
  <c r="G5" i="14"/>
  <c r="I4" i="14"/>
  <c r="E5" i="14"/>
  <c r="F5" i="14"/>
  <c r="G6" i="14"/>
  <c r="I5" i="14"/>
  <c r="E6" i="14"/>
  <c r="F6" i="14"/>
  <c r="G7" i="14"/>
  <c r="I6" i="14"/>
  <c r="E7" i="14"/>
  <c r="F7" i="14"/>
  <c r="G8" i="14"/>
  <c r="I7" i="14"/>
  <c r="E8" i="14"/>
  <c r="F8" i="14"/>
  <c r="G9" i="14"/>
  <c r="I8" i="14"/>
  <c r="E9" i="14"/>
  <c r="F9" i="14"/>
  <c r="G10" i="14"/>
  <c r="I9" i="14"/>
  <c r="E10" i="14"/>
  <c r="F10" i="14"/>
  <c r="G11" i="14"/>
  <c r="I10" i="14"/>
  <c r="E11" i="14"/>
  <c r="F11" i="14"/>
  <c r="G12" i="14"/>
  <c r="I11" i="14"/>
  <c r="E12" i="14"/>
  <c r="F12" i="14"/>
  <c r="G13" i="14"/>
  <c r="I12" i="14"/>
  <c r="E13" i="14"/>
  <c r="F13" i="14"/>
  <c r="G14" i="14"/>
  <c r="I13" i="14"/>
  <c r="E14" i="14"/>
  <c r="F14" i="14"/>
  <c r="G15" i="14"/>
  <c r="I14" i="14"/>
  <c r="E15" i="14"/>
  <c r="F15" i="14"/>
  <c r="G16" i="14"/>
  <c r="I15" i="14"/>
  <c r="E16" i="14"/>
  <c r="F16" i="14"/>
  <c r="G17" i="14"/>
  <c r="I16" i="14"/>
  <c r="E17" i="14"/>
  <c r="F17" i="14"/>
  <c r="G18" i="14"/>
  <c r="I17" i="14"/>
  <c r="E18" i="14"/>
  <c r="F18" i="14"/>
  <c r="G19" i="14"/>
  <c r="I18" i="14"/>
  <c r="E19" i="14"/>
  <c r="F19" i="14"/>
  <c r="G20" i="14"/>
  <c r="I19" i="14"/>
  <c r="E20" i="14"/>
  <c r="F20" i="14"/>
  <c r="G21" i="14"/>
  <c r="I20" i="14"/>
  <c r="E21" i="14"/>
  <c r="F21" i="14"/>
  <c r="G22" i="14"/>
  <c r="I21" i="14"/>
  <c r="E22" i="14"/>
  <c r="F22" i="14"/>
  <c r="G23" i="14"/>
  <c r="I22" i="14"/>
  <c r="E23" i="14"/>
  <c r="F23" i="14"/>
  <c r="G24" i="14"/>
  <c r="I23" i="14"/>
  <c r="E24" i="14"/>
  <c r="F24" i="14"/>
  <c r="G25" i="14"/>
  <c r="I24" i="14"/>
  <c r="E25" i="14"/>
  <c r="F25" i="14"/>
  <c r="G26" i="14"/>
  <c r="I25" i="14"/>
  <c r="E26" i="14"/>
  <c r="F26" i="14"/>
  <c r="G27" i="14"/>
  <c r="I26" i="14"/>
  <c r="E27" i="14"/>
  <c r="F27" i="14"/>
  <c r="G28" i="14"/>
  <c r="I27" i="14"/>
  <c r="E28" i="14"/>
  <c r="F28" i="14"/>
  <c r="G29" i="14"/>
  <c r="I28" i="14"/>
  <c r="E29" i="14"/>
  <c r="F29" i="14"/>
  <c r="G30" i="14"/>
  <c r="I29" i="14"/>
  <c r="E30" i="14"/>
  <c r="F30" i="14"/>
  <c r="G31" i="14"/>
  <c r="I30" i="14"/>
  <c r="E31" i="14"/>
  <c r="F31" i="14"/>
  <c r="G32" i="14"/>
  <c r="I31" i="14"/>
  <c r="E32" i="14"/>
  <c r="F32" i="14"/>
  <c r="G33" i="14"/>
  <c r="I32" i="14"/>
  <c r="E33" i="14"/>
  <c r="F33" i="14"/>
  <c r="G34" i="14"/>
  <c r="I33" i="14"/>
  <c r="E34" i="14"/>
  <c r="F34" i="14"/>
  <c r="G35" i="14"/>
  <c r="I34" i="14"/>
  <c r="E35" i="14"/>
  <c r="F35" i="14"/>
  <c r="G36" i="14"/>
  <c r="I35" i="14"/>
  <c r="E36" i="14"/>
  <c r="F36" i="14"/>
  <c r="G37" i="14"/>
  <c r="I36" i="14"/>
  <c r="E37" i="14"/>
  <c r="F37" i="14"/>
  <c r="G38" i="14"/>
  <c r="I37" i="14"/>
  <c r="E38" i="14"/>
  <c r="F38" i="14"/>
  <c r="G39" i="14"/>
  <c r="I38" i="14"/>
  <c r="E39" i="14"/>
  <c r="F39" i="14"/>
  <c r="G40" i="14"/>
  <c r="I39" i="14"/>
  <c r="E40" i="14"/>
  <c r="F40" i="14"/>
  <c r="G41" i="14"/>
  <c r="I40" i="14"/>
  <c r="E41" i="14"/>
  <c r="F41" i="14"/>
  <c r="G42" i="14"/>
  <c r="I41" i="14"/>
  <c r="E42" i="14"/>
  <c r="F42" i="14"/>
  <c r="G43" i="14"/>
  <c r="I42" i="14"/>
  <c r="E43" i="14"/>
  <c r="F43" i="14"/>
  <c r="G44" i="14"/>
  <c r="I43" i="14"/>
  <c r="E44" i="14"/>
  <c r="F44" i="14"/>
  <c r="G45" i="14"/>
  <c r="I44" i="14"/>
  <c r="E45" i="14"/>
  <c r="F45" i="14"/>
  <c r="G46" i="14"/>
  <c r="I45" i="14"/>
  <c r="E46" i="14"/>
  <c r="F46" i="14"/>
  <c r="G47" i="14"/>
  <c r="I46" i="14"/>
  <c r="E47" i="14"/>
  <c r="F47" i="14"/>
  <c r="G48" i="14"/>
  <c r="I47" i="14"/>
  <c r="E48" i="14"/>
  <c r="F48" i="14"/>
  <c r="G49" i="14"/>
  <c r="I48" i="14"/>
  <c r="E49" i="14"/>
  <c r="F49" i="14"/>
  <c r="G50" i="14"/>
  <c r="I49" i="14"/>
  <c r="E50" i="14"/>
  <c r="F50" i="14"/>
  <c r="G51" i="14"/>
  <c r="I50" i="14"/>
  <c r="E51" i="14"/>
  <c r="F51" i="14"/>
  <c r="G52" i="14"/>
  <c r="I51" i="14"/>
  <c r="E52" i="14"/>
  <c r="F52" i="14"/>
  <c r="G53" i="14"/>
  <c r="I52" i="14"/>
  <c r="E53" i="14"/>
  <c r="F53" i="14"/>
  <c r="G54" i="14"/>
  <c r="I53" i="14"/>
  <c r="E54" i="14"/>
  <c r="F54" i="14"/>
  <c r="G55" i="14"/>
  <c r="I54" i="14"/>
  <c r="E55" i="14"/>
  <c r="F55" i="14"/>
  <c r="I55" i="14"/>
  <c r="J2" i="14"/>
  <c r="K8" i="1"/>
  <c r="E52" i="13"/>
  <c r="F52" i="13"/>
  <c r="J2" i="13"/>
  <c r="K9" i="1"/>
  <c r="E50" i="12"/>
  <c r="F50" i="12"/>
  <c r="J2" i="12"/>
  <c r="K10" i="1"/>
  <c r="E47" i="11"/>
  <c r="F47" i="11"/>
  <c r="J2" i="11"/>
  <c r="K11" i="1"/>
  <c r="E45" i="10"/>
  <c r="F45" i="10"/>
  <c r="J2" i="10"/>
  <c r="K12" i="1"/>
  <c r="E2" i="9"/>
  <c r="F2" i="9"/>
  <c r="G3" i="9"/>
  <c r="E3" i="9"/>
  <c r="F3" i="9"/>
  <c r="G4" i="9"/>
  <c r="I3" i="9"/>
  <c r="E4" i="9"/>
  <c r="F4" i="9"/>
  <c r="G5" i="9"/>
  <c r="I4" i="9"/>
  <c r="E5" i="9"/>
  <c r="F5" i="9"/>
  <c r="G6" i="9"/>
  <c r="I5" i="9"/>
  <c r="E6" i="9"/>
  <c r="F6" i="9"/>
  <c r="G7" i="9"/>
  <c r="I6" i="9"/>
  <c r="E7" i="9"/>
  <c r="F7" i="9"/>
  <c r="G8" i="9"/>
  <c r="I7" i="9"/>
  <c r="E8" i="9"/>
  <c r="F8" i="9"/>
  <c r="G9" i="9"/>
  <c r="I8" i="9"/>
  <c r="E9" i="9"/>
  <c r="F9" i="9"/>
  <c r="G10" i="9"/>
  <c r="I9" i="9"/>
  <c r="E10" i="9"/>
  <c r="F10" i="9"/>
  <c r="G11" i="9"/>
  <c r="I10" i="9"/>
  <c r="E11" i="9"/>
  <c r="F11" i="9"/>
  <c r="G12" i="9"/>
  <c r="I11" i="9"/>
  <c r="E12" i="9"/>
  <c r="F12" i="9"/>
  <c r="G13" i="9"/>
  <c r="I12" i="9"/>
  <c r="E13" i="9"/>
  <c r="F13" i="9"/>
  <c r="G14" i="9"/>
  <c r="I13" i="9"/>
  <c r="E14" i="9"/>
  <c r="F14" i="9"/>
  <c r="G15" i="9"/>
  <c r="I14" i="9"/>
  <c r="E15" i="9"/>
  <c r="F15" i="9"/>
  <c r="G16" i="9"/>
  <c r="I15" i="9"/>
  <c r="E16" i="9"/>
  <c r="F16" i="9"/>
  <c r="G17" i="9"/>
  <c r="I16" i="9"/>
  <c r="E17" i="9"/>
  <c r="F17" i="9"/>
  <c r="G18" i="9"/>
  <c r="I17" i="9"/>
  <c r="E18" i="9"/>
  <c r="F18" i="9"/>
  <c r="G19" i="9"/>
  <c r="I18" i="9"/>
  <c r="E19" i="9"/>
  <c r="F19" i="9"/>
  <c r="G20" i="9"/>
  <c r="I19" i="9"/>
  <c r="E20" i="9"/>
  <c r="F20" i="9"/>
  <c r="G21" i="9"/>
  <c r="I20" i="9"/>
  <c r="E21" i="9"/>
  <c r="F21" i="9"/>
  <c r="G22" i="9"/>
  <c r="I21" i="9"/>
  <c r="E22" i="9"/>
  <c r="F22" i="9"/>
  <c r="G23" i="9"/>
  <c r="I22" i="9"/>
  <c r="E23" i="9"/>
  <c r="F23" i="9"/>
  <c r="G24" i="9"/>
  <c r="I23" i="9"/>
  <c r="E24" i="9"/>
  <c r="F24" i="9"/>
  <c r="G25" i="9"/>
  <c r="I24" i="9"/>
  <c r="E25" i="9"/>
  <c r="F25" i="9"/>
  <c r="G26" i="9"/>
  <c r="I25" i="9"/>
  <c r="E26" i="9"/>
  <c r="F26" i="9"/>
  <c r="G27" i="9"/>
  <c r="I26" i="9"/>
  <c r="E27" i="9"/>
  <c r="F27" i="9"/>
  <c r="G28" i="9"/>
  <c r="I27" i="9"/>
  <c r="E28" i="9"/>
  <c r="F28" i="9"/>
  <c r="G29" i="9"/>
  <c r="I28" i="9"/>
  <c r="E29" i="9"/>
  <c r="F29" i="9"/>
  <c r="G30" i="9"/>
  <c r="I29" i="9"/>
  <c r="E30" i="9"/>
  <c r="F30" i="9"/>
  <c r="G31" i="9"/>
  <c r="I30" i="9"/>
  <c r="E31" i="9"/>
  <c r="F31" i="9"/>
  <c r="G32" i="9"/>
  <c r="I31" i="9"/>
  <c r="E32" i="9"/>
  <c r="F32" i="9"/>
  <c r="G33" i="9"/>
  <c r="I32" i="9"/>
  <c r="E33" i="9"/>
  <c r="F33" i="9"/>
  <c r="G34" i="9"/>
  <c r="I33" i="9"/>
  <c r="E34" i="9"/>
  <c r="F34" i="9"/>
  <c r="G35" i="9"/>
  <c r="I34" i="9"/>
  <c r="E35" i="9"/>
  <c r="F35" i="9"/>
  <c r="G36" i="9"/>
  <c r="I35" i="9"/>
  <c r="E36" i="9"/>
  <c r="F36" i="9"/>
  <c r="G37" i="9"/>
  <c r="I36" i="9"/>
  <c r="E37" i="9"/>
  <c r="F37" i="9"/>
  <c r="G38" i="9"/>
  <c r="I37" i="9"/>
  <c r="E38" i="9"/>
  <c r="F38" i="9"/>
  <c r="G39" i="9"/>
  <c r="I38" i="9"/>
  <c r="E39" i="9"/>
  <c r="F39" i="9"/>
  <c r="G40" i="9"/>
  <c r="I39" i="9"/>
  <c r="E40" i="9"/>
  <c r="F40" i="9"/>
  <c r="G41" i="9"/>
  <c r="I40" i="9"/>
  <c r="E41" i="9"/>
  <c r="F41" i="9"/>
  <c r="G42" i="9"/>
  <c r="I41" i="9"/>
  <c r="E42" i="9"/>
  <c r="F42" i="9"/>
  <c r="I42" i="9"/>
  <c r="J2" i="9"/>
  <c r="K13" i="1"/>
  <c r="E40" i="8"/>
  <c r="F40" i="8"/>
  <c r="J2" i="8"/>
  <c r="K14" i="1"/>
  <c r="J2" i="20"/>
  <c r="K15" i="1"/>
  <c r="E35" i="19"/>
  <c r="F35" i="19"/>
  <c r="J2" i="19"/>
  <c r="K16" i="1"/>
  <c r="J2" i="18"/>
  <c r="K17" i="1"/>
  <c r="E30" i="24"/>
  <c r="F30" i="24"/>
  <c r="J2" i="24"/>
  <c r="K18" i="1"/>
  <c r="J2" i="23"/>
  <c r="K19" i="1"/>
  <c r="E25" i="22"/>
  <c r="F25" i="22"/>
  <c r="J2" i="22"/>
  <c r="K20" i="1"/>
  <c r="J2" i="21"/>
  <c r="K21" i="1"/>
  <c r="K23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</calcChain>
</file>

<file path=xl/sharedStrings.xml><?xml version="1.0" encoding="utf-8"?>
<sst xmlns="http://schemas.openxmlformats.org/spreadsheetml/2006/main" count="514" uniqueCount="87">
  <si>
    <t>Test #</t>
  </si>
  <si>
    <t>Name</t>
  </si>
  <si>
    <t>S.S.#</t>
  </si>
  <si>
    <t>Status</t>
  </si>
  <si>
    <t>Married</t>
  </si>
  <si>
    <t>Gender</t>
  </si>
  <si>
    <t>Date of Hire</t>
  </si>
  <si>
    <t>Date of Birth</t>
  </si>
  <si>
    <t>Pension Benefit</t>
  </si>
  <si>
    <t>R1</t>
  </si>
  <si>
    <t>000-00-0001</t>
  </si>
  <si>
    <t>R</t>
  </si>
  <si>
    <t>N</t>
  </si>
  <si>
    <t>M</t>
  </si>
  <si>
    <t>R10</t>
  </si>
  <si>
    <t>000-00-0010</t>
  </si>
  <si>
    <t>F</t>
  </si>
  <si>
    <t>R18</t>
  </si>
  <si>
    <t>000-00-0018</t>
  </si>
  <si>
    <t>Y</t>
  </si>
  <si>
    <t>Total Dataset; Males</t>
  </si>
  <si>
    <t>Total Dataset; Females</t>
  </si>
  <si>
    <t>Age</t>
  </si>
  <si>
    <t>Employee</t>
  </si>
  <si>
    <t>Healthy Annuitant</t>
  </si>
  <si>
    <t>Disabled Retiree</t>
  </si>
  <si>
    <t/>
  </si>
  <si>
    <t>RP-2014 Rates: Total Dataset</t>
  </si>
  <si>
    <t>Age</t>
    <phoneticPr fontId="3" type="noConversion"/>
  </si>
  <si>
    <t>t</t>
    <phoneticPr fontId="3" type="noConversion"/>
  </si>
  <si>
    <t>q, mortality rate</t>
  </si>
  <si>
    <t>v, discount factor</t>
  </si>
  <si>
    <t>PV(Pension Benefit)</t>
  </si>
  <si>
    <t>Total Pension Benefit PV</t>
  </si>
  <si>
    <t>Current Age</t>
  </si>
  <si>
    <t>R2</t>
  </si>
  <si>
    <t>000-00-0002</t>
  </si>
  <si>
    <t>R3</t>
  </si>
  <si>
    <t>000-00-0003</t>
  </si>
  <si>
    <t>R4</t>
  </si>
  <si>
    <t>000-00-0004</t>
  </si>
  <si>
    <t>R5</t>
  </si>
  <si>
    <t>000-00-0005</t>
  </si>
  <si>
    <t>R6</t>
  </si>
  <si>
    <t>000-00-0006</t>
  </si>
  <si>
    <t>R7</t>
  </si>
  <si>
    <t>000-00-0007</t>
  </si>
  <si>
    <t>R8</t>
  </si>
  <si>
    <t>000-00-0008</t>
  </si>
  <si>
    <t>R9</t>
  </si>
  <si>
    <t>000-00-0009</t>
  </si>
  <si>
    <t>R11</t>
  </si>
  <si>
    <t>000-00-0011</t>
  </si>
  <si>
    <t>R12</t>
  </si>
  <si>
    <t>000-00-0012</t>
  </si>
  <si>
    <t>R13</t>
  </si>
  <si>
    <t>000-00-0013</t>
  </si>
  <si>
    <t>R14</t>
  </si>
  <si>
    <t>000-00-0014</t>
  </si>
  <si>
    <t>R15</t>
  </si>
  <si>
    <t>000-00-0015</t>
  </si>
  <si>
    <t>R16</t>
  </si>
  <si>
    <t>000-00-0016</t>
  </si>
  <si>
    <t>R17</t>
  </si>
  <si>
    <t>000-00-0017</t>
  </si>
  <si>
    <t>R19</t>
  </si>
  <si>
    <t>000-00-0019</t>
  </si>
  <si>
    <t>R20</t>
  </si>
  <si>
    <t>000-00-0020</t>
  </si>
  <si>
    <t xml:space="preserve"> Date</t>
  </si>
  <si>
    <t>Valuation Date</t>
  </si>
  <si>
    <t>1Px, survival rate</t>
  </si>
  <si>
    <t>tPx, Cumulative Survival rate</t>
  </si>
  <si>
    <t>SUM</t>
  </si>
  <si>
    <t>Year</t>
  </si>
  <si>
    <t>≤ 20</t>
  </si>
  <si>
    <t>Generational q</t>
  </si>
  <si>
    <t>Generational 1Px</t>
  </si>
  <si>
    <t>Generational tPx</t>
  </si>
  <si>
    <t>Generational PV(Pension Benefit)</t>
  </si>
  <si>
    <t>Total</t>
  </si>
  <si>
    <t>Mortality Rate</t>
  </si>
  <si>
    <t>Generational q</t>
    <phoneticPr fontId="3" type="noConversion"/>
  </si>
  <si>
    <t>Year</t>
    <phoneticPr fontId="3" type="noConversion"/>
  </si>
  <si>
    <t>Interest Rate</t>
    <phoneticPr fontId="3" type="noConversion"/>
  </si>
  <si>
    <t>Total Pension Benefit(Static Mortality)</t>
    <phoneticPr fontId="3" type="noConversion"/>
  </si>
  <si>
    <t>Total Pension Benefit(Generational Mortality VBA)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</si>
</sst>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&quot;$&quot;#,##0"/>
    <numFmt numFmtId="166" formatCode="0.000000"/>
  </numFmts>
  <fonts count="14">
    <font>
      <sz val="11"/>
      <color theme="1"/>
      <name val="Calibri"/>
      <family val="2"/>
      <charset val="134"/>
      <scheme val="minor"/>
    </font>
    <font>
      <sz val="12"/>
      <color theme="1"/>
      <name val="Calibri"/>
      <family val="2"/>
      <scheme val="minor"/>
    </font>
    <font>
      <b/>
      <sz val="10"/>
      <color indexed="8"/>
      <name val="American Typewriter"/>
      <family val="1"/>
    </font>
    <font>
      <sz val="9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charset val="134"/>
      <scheme val="minor"/>
    </font>
    <font>
      <u/>
      <sz val="11"/>
      <color theme="11"/>
      <name val="Calibri"/>
      <family val="2"/>
      <charset val="134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b/>
      <sz val="12"/>
      <color theme="1"/>
      <name val="Calibri"/>
      <family val="2"/>
      <scheme val="minor"/>
    </font>
    <font>
      <sz val="10"/>
      <color indexed="8"/>
      <name val="American Typewriter"/>
      <family val="1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8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" fillId="0" borderId="0"/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9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2" fillId="0" borderId="0"/>
    <xf numFmtId="0" fontId="1" fillId="0" borderId="0"/>
    <xf numFmtId="0" fontId="13" fillId="0" borderId="0" applyNumberFormat="0" applyFill="0" applyBorder="0" applyProtection="0"/>
  </cellStyleXfs>
  <cellXfs count="72">
    <xf numFmtId="0" fontId="0" fillId="0" borderId="0" xfId="0">
      <alignment vertical="center"/>
    </xf>
    <xf numFmtId="49" fontId="2" fillId="2" borderId="1" xfId="0" applyNumberFormat="1" applyFont="1" applyFill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2" borderId="1" xfId="0" applyNumberFormat="1" applyFont="1" applyFill="1" applyBorder="1" applyAlignment="1">
      <alignment horizontal="center"/>
    </xf>
    <xf numFmtId="49" fontId="0" fillId="2" borderId="1" xfId="0" applyNumberFormat="1" applyFont="1" applyFill="1" applyBorder="1" applyAlignment="1">
      <alignment horizontal="center"/>
    </xf>
    <xf numFmtId="14" fontId="0" fillId="2" borderId="1" xfId="0" applyNumberFormat="1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/>
    <xf numFmtId="0" fontId="4" fillId="0" borderId="0" xfId="0" applyFont="1" applyBorder="1" applyAlignment="1"/>
    <xf numFmtId="0" fontId="4" fillId="0" borderId="0" xfId="0" applyFont="1" applyAlignment="1"/>
    <xf numFmtId="0" fontId="4" fillId="0" borderId="0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 wrapText="1"/>
    </xf>
    <xf numFmtId="0" fontId="4" fillId="0" borderId="5" xfId="0" applyFont="1" applyBorder="1" applyAlignment="1">
      <alignment horizont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Border="1" applyAlignment="1">
      <alignment horizontal="center" wrapText="1"/>
    </xf>
    <xf numFmtId="0" fontId="0" fillId="0" borderId="0" xfId="0" applyAlignment="1">
      <alignment horizontal="center"/>
    </xf>
    <xf numFmtId="166" fontId="0" fillId="0" borderId="8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6" fontId="0" fillId="0" borderId="7" xfId="0" applyNumberFormat="1" applyBorder="1" applyAlignment="1">
      <alignment horizontal="center"/>
    </xf>
    <xf numFmtId="0" fontId="5" fillId="0" borderId="0" xfId="0" applyFont="1" applyAlignmen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" fillId="0" borderId="0" xfId="0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49" fontId="2" fillId="2" borderId="10" xfId="0" applyNumberFormat="1" applyFont="1" applyFill="1" applyBorder="1" applyAlignment="1">
      <alignment horizontal="center"/>
    </xf>
    <xf numFmtId="165" fontId="0" fillId="2" borderId="10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6" borderId="1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/>
    </xf>
    <xf numFmtId="49" fontId="0" fillId="7" borderId="1" xfId="0" applyNumberFormat="1" applyFont="1" applyFill="1" applyBorder="1" applyAlignment="1">
      <alignment horizontal="center"/>
    </xf>
    <xf numFmtId="0" fontId="0" fillId="7" borderId="1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2" fillId="0" borderId="0" xfId="55" applyBorder="1" applyAlignment="1">
      <alignment horizontal="center"/>
    </xf>
    <xf numFmtId="0" fontId="10" fillId="0" borderId="0" xfId="55" applyFont="1" applyBorder="1" applyAlignment="1">
      <alignment horizontal="center"/>
    </xf>
    <xf numFmtId="1" fontId="8" fillId="0" borderId="0" xfId="0" applyNumberFormat="1" applyFont="1" applyBorder="1" applyAlignment="1">
      <alignment horizontal="center"/>
    </xf>
    <xf numFmtId="0" fontId="12" fillId="0" borderId="0" xfId="55" applyBorder="1" applyAlignment="1" applyProtection="1">
      <alignment horizontal="center"/>
      <protection locked="0"/>
    </xf>
    <xf numFmtId="1" fontId="12" fillId="0" borderId="0" xfId="55" applyNumberFormat="1" applyBorder="1" applyAlignment="1">
      <alignment horizontal="center"/>
    </xf>
    <xf numFmtId="0" fontId="12" fillId="0" borderId="0" xfId="55" applyAlignment="1">
      <alignment horizontal="center" vertical="center"/>
    </xf>
    <xf numFmtId="0" fontId="12" fillId="0" borderId="0" xfId="55" applyBorder="1" applyAlignment="1">
      <alignment horizontal="center" vertical="center"/>
    </xf>
    <xf numFmtId="0" fontId="10" fillId="0" borderId="0" xfId="55" applyFont="1" applyAlignment="1">
      <alignment horizontal="center" vertical="center"/>
    </xf>
    <xf numFmtId="0" fontId="12" fillId="0" borderId="0" xfId="55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10" fillId="0" borderId="0" xfId="55" applyFont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 wrapText="1"/>
    </xf>
    <xf numFmtId="0" fontId="0" fillId="2" borderId="17" xfId="0" applyFont="1" applyFill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0" borderId="20" xfId="0" applyNumberFormat="1" applyFont="1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</cellXfs>
  <cellStyles count="58">
    <cellStyle name="Comma 2" xfId="49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52" builtinId="9" hidden="1"/>
    <cellStyle name="Followed Hyperlink" xfId="5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51" builtinId="8" hidden="1"/>
    <cellStyle name="Hyperlink" xfId="53" builtinId="8" hidden="1"/>
    <cellStyle name="Normal" xfId="0" builtinId="0"/>
    <cellStyle name="Normal 2" xfId="13"/>
    <cellStyle name="Normal 2 2" xfId="55"/>
    <cellStyle name="Normal 3" xfId="48"/>
    <cellStyle name="Normal 4" xfId="56"/>
    <cellStyle name="Percent 2" xfId="50"/>
    <cellStyle name="常规 2" xfId="5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U24"/>
  <sheetViews>
    <sheetView tabSelected="1" topLeftCell="F1" zoomScale="107" workbookViewId="0">
      <selection activeCell="O15" sqref="O15"/>
    </sheetView>
  </sheetViews>
  <sheetFormatPr defaultColWidth="17.7109375" defaultRowHeight="19.899999999999999" customHeight="1"/>
  <cols>
    <col min="1" max="1" width="9" style="10" customWidth="1"/>
    <col min="2" max="2" width="9.140625" style="46" customWidth="1"/>
    <col min="3" max="3" width="6.7109375" style="10" customWidth="1"/>
    <col min="4" max="4" width="9.42578125" style="10" customWidth="1"/>
    <col min="5" max="5" width="10.28515625" style="10" customWidth="1"/>
    <col min="6" max="6" width="11.140625" style="10" customWidth="1"/>
    <col min="7" max="7" width="12.140625" style="10" customWidth="1"/>
    <col min="8" max="8" width="14" style="10" customWidth="1"/>
    <col min="9" max="9" width="8.28515625" style="10" customWidth="1"/>
    <col min="10" max="10" width="16.140625" style="10" customWidth="1"/>
    <col min="11" max="11" width="23.140625" style="10" customWidth="1"/>
    <col min="12" max="12" width="30.140625" style="10" customWidth="1"/>
    <col min="13" max="16384" width="17.7109375" style="10"/>
  </cols>
  <sheetData>
    <row r="1" spans="1:255" s="3" customFormat="1" ht="35.450000000000003" customHeight="1">
      <c r="A1" s="1" t="s">
        <v>0</v>
      </c>
      <c r="B1" s="44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22</v>
      </c>
      <c r="J1" s="32" t="s">
        <v>8</v>
      </c>
      <c r="K1" s="59" t="s">
        <v>85</v>
      </c>
      <c r="L1" s="42" t="s">
        <v>86</v>
      </c>
      <c r="M1" s="64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</row>
    <row r="2" spans="1:255" s="9" customFormat="1" ht="19.899999999999999" customHeight="1">
      <c r="A2" s="4">
        <v>1</v>
      </c>
      <c r="B2" s="45" t="s">
        <v>9</v>
      </c>
      <c r="C2" s="5" t="s">
        <v>10</v>
      </c>
      <c r="D2" s="5" t="s">
        <v>11</v>
      </c>
      <c r="E2" s="5" t="s">
        <v>12</v>
      </c>
      <c r="F2" s="5" t="s">
        <v>13</v>
      </c>
      <c r="G2" s="6">
        <v>33970</v>
      </c>
      <c r="H2" s="6">
        <v>23012</v>
      </c>
      <c r="I2" s="9">
        <f t="shared" ref="I2:I21" si="0">YEAR($O$5)-YEAR(H2)</f>
        <v>56</v>
      </c>
      <c r="J2" s="33">
        <v>10000</v>
      </c>
      <c r="K2" s="60">
        <f>'R1'!J2</f>
        <v>147808.89011099027</v>
      </c>
      <c r="L2" s="35">
        <f>rPVB_g($F2, 'post retirement male'!$A$1:$CY$102,  'post retirement female'!$A$1:$CY$102, $I2, 2019, 120-$I2, $J2, $O$3)</f>
        <v>151630.30655304488</v>
      </c>
      <c r="M2" s="8"/>
      <c r="N2" s="8"/>
      <c r="O2" s="10" t="s">
        <v>84</v>
      </c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</row>
    <row r="3" spans="1:255" s="9" customFormat="1" ht="19.899999999999999" customHeight="1">
      <c r="A3" s="4">
        <v>2</v>
      </c>
      <c r="B3" s="45" t="s">
        <v>35</v>
      </c>
      <c r="C3" s="5" t="s">
        <v>36</v>
      </c>
      <c r="D3" s="5" t="s">
        <v>11</v>
      </c>
      <c r="E3" s="5" t="s">
        <v>19</v>
      </c>
      <c r="F3" s="5" t="s">
        <v>16</v>
      </c>
      <c r="G3" s="6">
        <f>DATE(YEAR(H3)+30,MONTH(H3),DAY(H3))</f>
        <v>34151</v>
      </c>
      <c r="H3" s="6">
        <v>23193</v>
      </c>
      <c r="I3" s="9">
        <f t="shared" si="0"/>
        <v>56</v>
      </c>
      <c r="J3" s="33">
        <v>8161</v>
      </c>
      <c r="K3" s="60">
        <f>'R2'!J2</f>
        <v>126223.70894971534</v>
      </c>
      <c r="L3" s="35">
        <f>rPVB_g($F3, 'post retirement male'!$A$1:$CY$102,  'post retirement female'!$A$1:$CY$102, $I3, 2019, 120-$I3, $J3, $O$3)</f>
        <v>129261.6064592701</v>
      </c>
      <c r="M3" s="8"/>
      <c r="N3" s="8"/>
      <c r="O3" s="10">
        <v>0.05</v>
      </c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</row>
    <row r="4" spans="1:255" s="9" customFormat="1" ht="19.899999999999999" customHeight="1">
      <c r="A4" s="4">
        <v>3</v>
      </c>
      <c r="B4" s="45" t="s">
        <v>37</v>
      </c>
      <c r="C4" s="5" t="s">
        <v>38</v>
      </c>
      <c r="D4" s="5" t="s">
        <v>11</v>
      </c>
      <c r="E4" s="5" t="s">
        <v>12</v>
      </c>
      <c r="F4" s="5" t="s">
        <v>13</v>
      </c>
      <c r="G4" s="6">
        <f>H4+(365.25*21)</f>
        <v>30317.25</v>
      </c>
      <c r="H4" s="6">
        <v>22647</v>
      </c>
      <c r="I4" s="9">
        <f t="shared" si="0"/>
        <v>57</v>
      </c>
      <c r="J4" s="33">
        <v>12914</v>
      </c>
      <c r="K4" s="60">
        <f>'R3'!J2</f>
        <v>188011.40226622135</v>
      </c>
      <c r="L4" s="35">
        <f>rPVB_g($F4, 'post retirement male'!$A$1:$CY$102,  'post retirement female'!$A$1:$CY$102, $I4, 2019, 120-$I4, $J4, $O$3)</f>
        <v>192897.26110866832</v>
      </c>
      <c r="M4" s="8"/>
      <c r="N4" s="8"/>
      <c r="O4" s="7" t="s">
        <v>70</v>
      </c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</row>
    <row r="5" spans="1:255" ht="19.899999999999999" customHeight="1">
      <c r="A5" s="4">
        <v>4</v>
      </c>
      <c r="B5" s="45" t="s">
        <v>39</v>
      </c>
      <c r="C5" s="5" t="s">
        <v>40</v>
      </c>
      <c r="D5" s="5" t="s">
        <v>11</v>
      </c>
      <c r="E5" s="5" t="s">
        <v>19</v>
      </c>
      <c r="F5" s="5" t="s">
        <v>13</v>
      </c>
      <c r="G5" s="6">
        <f>H5+(365.25*41)</f>
        <v>36709.75</v>
      </c>
      <c r="H5" s="6">
        <f t="shared" ref="H5:H21" si="1">H4-(2.5*365)</f>
        <v>21734.5</v>
      </c>
      <c r="I5" s="9">
        <f t="shared" si="0"/>
        <v>60</v>
      </c>
      <c r="J5" s="33">
        <v>13445</v>
      </c>
      <c r="K5" s="61">
        <f>'R4'!J2</f>
        <v>186195.63583878736</v>
      </c>
      <c r="L5" s="35">
        <f>rPVB_g($F5, 'post retirement male'!$A$1:$CY$102,  'post retirement female'!$A$1:$CY$102, $I5, 2019, 120-$I5, $J5, $O$3)</f>
        <v>191182.28582704821</v>
      </c>
      <c r="O5" s="6">
        <v>43647</v>
      </c>
    </row>
    <row r="6" spans="1:255" ht="19.899999999999999" customHeight="1">
      <c r="A6" s="4">
        <v>5</v>
      </c>
      <c r="B6" s="45" t="s">
        <v>41</v>
      </c>
      <c r="C6" s="5" t="s">
        <v>42</v>
      </c>
      <c r="D6" s="5" t="s">
        <v>11</v>
      </c>
      <c r="E6" s="5" t="s">
        <v>19</v>
      </c>
      <c r="F6" s="5" t="s">
        <v>13</v>
      </c>
      <c r="G6" s="6">
        <f>H6+(365.25*31)</f>
        <v>32144.75</v>
      </c>
      <c r="H6" s="6">
        <f t="shared" si="1"/>
        <v>20822</v>
      </c>
      <c r="I6" s="9">
        <f t="shared" si="0"/>
        <v>62</v>
      </c>
      <c r="J6" s="33">
        <v>21337</v>
      </c>
      <c r="K6" s="61">
        <f>'R5'!J2</f>
        <v>284573.89223422948</v>
      </c>
      <c r="L6" s="35">
        <f>rPVB_g($F6, 'post retirement male'!$A$1:$CY$102,  'post retirement female'!$A$1:$CY$102, $I6, 2019, 120-$I6, $J6, $O$3)</f>
        <v>292481.88611274376</v>
      </c>
    </row>
    <row r="7" spans="1:255" ht="19.899999999999999" customHeight="1">
      <c r="A7" s="4">
        <v>6</v>
      </c>
      <c r="B7" s="45" t="s">
        <v>43</v>
      </c>
      <c r="C7" s="5" t="s">
        <v>44</v>
      </c>
      <c r="D7" s="5" t="s">
        <v>11</v>
      </c>
      <c r="E7" s="5" t="s">
        <v>19</v>
      </c>
      <c r="F7" s="5" t="s">
        <v>16</v>
      </c>
      <c r="G7" s="6">
        <f>H7+(365.25*36)</f>
        <v>33058.5</v>
      </c>
      <c r="H7" s="6">
        <f t="shared" si="1"/>
        <v>19909.5</v>
      </c>
      <c r="I7" s="9">
        <f t="shared" si="0"/>
        <v>65</v>
      </c>
      <c r="J7" s="33">
        <v>38639</v>
      </c>
      <c r="K7" s="61">
        <f>'R6'!J2</f>
        <v>511399.86467260926</v>
      </c>
      <c r="L7" s="35">
        <f>rPVB_g($F7, 'post retirement male'!$A$1:$CY$102,  'post retirement female'!$A$1:$CY$102, $I7, 2019, 120-$I7, $J7, $O$3)</f>
        <v>526967.42755259527</v>
      </c>
    </row>
    <row r="8" spans="1:255" ht="19.899999999999999" customHeight="1">
      <c r="A8" s="4">
        <v>7</v>
      </c>
      <c r="B8" s="45" t="s">
        <v>45</v>
      </c>
      <c r="C8" s="5" t="s">
        <v>46</v>
      </c>
      <c r="D8" s="5" t="s">
        <v>11</v>
      </c>
      <c r="E8" s="5" t="s">
        <v>12</v>
      </c>
      <c r="F8" s="5" t="s">
        <v>13</v>
      </c>
      <c r="G8" s="6">
        <f>H8+(365.25*21)</f>
        <v>26667.25</v>
      </c>
      <c r="H8" s="6">
        <f t="shared" si="1"/>
        <v>18997</v>
      </c>
      <c r="I8" s="9">
        <f t="shared" si="0"/>
        <v>67</v>
      </c>
      <c r="J8" s="33">
        <v>12584</v>
      </c>
      <c r="K8" s="61">
        <f>'R7'!J2</f>
        <v>144360.91346684709</v>
      </c>
      <c r="L8" s="35">
        <f>rPVB_g($F8, 'post retirement male'!$A$1:$CY$102,  'post retirement female'!$A$1:$CY$102, $I8, 2019, 120-$I8, $J8, $O$3)</f>
        <v>154876.47950390505</v>
      </c>
    </row>
    <row r="9" spans="1:255" ht="19.899999999999999" customHeight="1">
      <c r="A9" s="4">
        <v>8</v>
      </c>
      <c r="B9" s="45" t="s">
        <v>47</v>
      </c>
      <c r="C9" s="5" t="s">
        <v>48</v>
      </c>
      <c r="D9" s="5" t="s">
        <v>11</v>
      </c>
      <c r="E9" s="5" t="s">
        <v>19</v>
      </c>
      <c r="F9" s="5" t="s">
        <v>16</v>
      </c>
      <c r="G9" s="6">
        <f>H9+(365.25*41)</f>
        <v>33059.75</v>
      </c>
      <c r="H9" s="6">
        <f t="shared" si="1"/>
        <v>18084.5</v>
      </c>
      <c r="I9" s="9">
        <f t="shared" si="0"/>
        <v>70</v>
      </c>
      <c r="J9" s="33">
        <v>25169</v>
      </c>
      <c r="K9" s="61">
        <f>'R8'!J2</f>
        <v>295736.33374335623</v>
      </c>
      <c r="L9" s="35">
        <f>rPVB_g($F9, 'post retirement male'!$A$1:$CY$102,  'post retirement female'!$A$1:$CY$102, $I9, 2019, 120-$I9, $J9, $O$3)</f>
        <v>305533.90240029927</v>
      </c>
    </row>
    <row r="10" spans="1:255" ht="19.899999999999999" customHeight="1">
      <c r="A10" s="4">
        <v>9</v>
      </c>
      <c r="B10" s="45" t="s">
        <v>49</v>
      </c>
      <c r="C10" s="5" t="s">
        <v>50</v>
      </c>
      <c r="D10" s="5" t="s">
        <v>11</v>
      </c>
      <c r="E10" s="5" t="s">
        <v>12</v>
      </c>
      <c r="F10" s="5" t="s">
        <v>16</v>
      </c>
      <c r="G10" s="6">
        <f>H10+(365.25*31)</f>
        <v>28494.75</v>
      </c>
      <c r="H10" s="6">
        <f t="shared" si="1"/>
        <v>17172</v>
      </c>
      <c r="I10" s="9">
        <f t="shared" si="0"/>
        <v>72</v>
      </c>
      <c r="J10" s="33">
        <v>16444</v>
      </c>
      <c r="K10" s="61">
        <f>'R9'!J2</f>
        <v>182756.8713228977</v>
      </c>
      <c r="L10" s="35">
        <f>rPVB_g($F10, 'post retirement male'!$A$1:$CY$102,  'post retirement female'!$A$1:$CY$102, $I10, 2019, 120-$I10, $J10, $O$3)</f>
        <v>188823.18224092099</v>
      </c>
    </row>
    <row r="11" spans="1:255" ht="19.899999999999999" customHeight="1">
      <c r="A11" s="4">
        <v>10</v>
      </c>
      <c r="B11" s="45" t="s">
        <v>14</v>
      </c>
      <c r="C11" s="5" t="s">
        <v>15</v>
      </c>
      <c r="D11" s="5" t="s">
        <v>11</v>
      </c>
      <c r="E11" s="5" t="s">
        <v>12</v>
      </c>
      <c r="F11" s="5" t="s">
        <v>16</v>
      </c>
      <c r="G11" s="6">
        <f>H11+(365.25*36)</f>
        <v>29408.5</v>
      </c>
      <c r="H11" s="6">
        <f t="shared" si="1"/>
        <v>16259.5</v>
      </c>
      <c r="I11" s="9">
        <f t="shared" si="0"/>
        <v>75</v>
      </c>
      <c r="J11" s="33">
        <v>32889</v>
      </c>
      <c r="K11" s="61">
        <f>'R10'!J2</f>
        <v>332914.59678272065</v>
      </c>
      <c r="L11" s="35">
        <f>rPVB_g($F11, 'post retirement male'!$A$1:$CY$102,  'post retirement female'!$A$1:$CY$102, $I11, 2019, 120-$I11, $J11, $O$3)</f>
        <v>343658.51523591799</v>
      </c>
    </row>
    <row r="12" spans="1:255" ht="19.899999999999999" customHeight="1">
      <c r="A12" s="4">
        <v>11</v>
      </c>
      <c r="B12" s="45" t="s">
        <v>51</v>
      </c>
      <c r="C12" s="5" t="s">
        <v>52</v>
      </c>
      <c r="D12" s="5" t="s">
        <v>11</v>
      </c>
      <c r="E12" s="5" t="s">
        <v>19</v>
      </c>
      <c r="F12" s="5" t="s">
        <v>13</v>
      </c>
      <c r="G12" s="6">
        <f>H12+(365.25*21)</f>
        <v>23017.25</v>
      </c>
      <c r="H12" s="6">
        <f t="shared" si="1"/>
        <v>15347</v>
      </c>
      <c r="I12" s="9">
        <f t="shared" si="0"/>
        <v>77</v>
      </c>
      <c r="J12" s="33">
        <v>22808</v>
      </c>
      <c r="K12" s="61">
        <f>'R11'!J2</f>
        <v>197537.46962153903</v>
      </c>
      <c r="L12" s="35">
        <f>rPVB_g($F12, 'post retirement male'!$A$1:$CY$102,  'post retirement female'!$A$1:$CY$102, $I12, 2019, 120-$I12, $J12, $O$3)</f>
        <v>205026.88497315467</v>
      </c>
      <c r="M12" s="65"/>
    </row>
    <row r="13" spans="1:255" ht="19.899999999999999" customHeight="1">
      <c r="A13" s="4">
        <v>12</v>
      </c>
      <c r="B13" s="45" t="s">
        <v>53</v>
      </c>
      <c r="C13" s="5" t="s">
        <v>54</v>
      </c>
      <c r="D13" s="5" t="s">
        <v>11</v>
      </c>
      <c r="E13" s="5" t="s">
        <v>19</v>
      </c>
      <c r="F13" s="5" t="s">
        <v>16</v>
      </c>
      <c r="G13" s="6">
        <f>H13+(365.25*41)</f>
        <v>29409.75</v>
      </c>
      <c r="H13" s="6">
        <f t="shared" si="1"/>
        <v>14434.5</v>
      </c>
      <c r="I13" s="9">
        <f t="shared" si="0"/>
        <v>80</v>
      </c>
      <c r="J13" s="33">
        <v>39195</v>
      </c>
      <c r="K13" s="61">
        <f>'R12'!J2</f>
        <v>305836.80679108511</v>
      </c>
      <c r="L13" s="35">
        <f>rPVB_g($F13, 'post retirement male'!$A$1:$CY$102,  'post retirement female'!$A$1:$CY$102, $I13, 2019, 120-$I13, $J13, $O$3)</f>
        <v>338744.20934341417</v>
      </c>
      <c r="M13" s="65"/>
    </row>
    <row r="14" spans="1:255" ht="19.899999999999999" customHeight="1">
      <c r="A14" s="4">
        <v>13</v>
      </c>
      <c r="B14" s="45" t="s">
        <v>55</v>
      </c>
      <c r="C14" s="5" t="s">
        <v>56</v>
      </c>
      <c r="D14" s="5" t="s">
        <v>11</v>
      </c>
      <c r="E14" s="5" t="s">
        <v>19</v>
      </c>
      <c r="F14" s="5" t="s">
        <v>13</v>
      </c>
      <c r="G14" s="6">
        <f>H14+(365.25*31)</f>
        <v>24844.75</v>
      </c>
      <c r="H14" s="6">
        <f t="shared" si="1"/>
        <v>13522</v>
      </c>
      <c r="I14" s="9">
        <f t="shared" si="0"/>
        <v>82</v>
      </c>
      <c r="J14" s="33">
        <v>27014</v>
      </c>
      <c r="K14" s="61">
        <f>'R13'!J2</f>
        <v>187566.53192582986</v>
      </c>
      <c r="L14" s="35">
        <f>rPVB_g($F14, 'post retirement male'!$A$1:$CY$102,  'post retirement female'!$A$1:$CY$102, $I14, 2019, 120-$I14, $J14, $O$3)</f>
        <v>194450.47840246602</v>
      </c>
      <c r="M14" s="65"/>
    </row>
    <row r="15" spans="1:255" ht="19.899999999999999" customHeight="1">
      <c r="A15" s="4">
        <v>14</v>
      </c>
      <c r="B15" s="45" t="s">
        <v>57</v>
      </c>
      <c r="C15" s="5" t="s">
        <v>58</v>
      </c>
      <c r="D15" s="5" t="s">
        <v>11</v>
      </c>
      <c r="E15" s="5" t="s">
        <v>19</v>
      </c>
      <c r="F15" s="5" t="s">
        <v>13</v>
      </c>
      <c r="G15" s="6">
        <f>H15+(365.25*36)</f>
        <v>25758.5</v>
      </c>
      <c r="H15" s="6">
        <f t="shared" si="1"/>
        <v>12609.5</v>
      </c>
      <c r="I15" s="9">
        <f t="shared" si="0"/>
        <v>85</v>
      </c>
      <c r="J15" s="33">
        <v>40612</v>
      </c>
      <c r="K15" s="61">
        <f>'R14'!J2</f>
        <v>241771.44612314744</v>
      </c>
      <c r="L15" s="35">
        <f>rPVB_g($F15, 'post retirement male'!$A$1:$CY$102,  'post retirement female'!$A$1:$CY$102, $I15, 2019, 120-$I15, $J15, $O$3)</f>
        <v>250329.54899166679</v>
      </c>
      <c r="M15" s="65"/>
    </row>
    <row r="16" spans="1:255" ht="19.899999999999999" customHeight="1">
      <c r="A16" s="4">
        <v>15</v>
      </c>
      <c r="B16" s="45" t="s">
        <v>59</v>
      </c>
      <c r="C16" s="5" t="s">
        <v>60</v>
      </c>
      <c r="D16" s="5" t="s">
        <v>11</v>
      </c>
      <c r="E16" s="5" t="s">
        <v>12</v>
      </c>
      <c r="F16" s="5" t="s">
        <v>13</v>
      </c>
      <c r="G16" s="6">
        <f>H16+(365.25*21)</f>
        <v>19367.25</v>
      </c>
      <c r="H16" s="6">
        <f t="shared" si="1"/>
        <v>11697</v>
      </c>
      <c r="I16" s="9">
        <f t="shared" si="0"/>
        <v>87</v>
      </c>
      <c r="J16" s="33">
        <v>21077</v>
      </c>
      <c r="K16" s="61">
        <f>'R15'!J2</f>
        <v>112382.78932005317</v>
      </c>
      <c r="L16" s="35">
        <f>rPVB_g($F16, 'post retirement male'!$A$1:$CY$102,  'post retirement female'!$A$1:$CY$102, $I16, 2019, 120-$I16, $J16, $O$3)</f>
        <v>116265.70687771119</v>
      </c>
      <c r="M16" s="65"/>
    </row>
    <row r="17" spans="1:13" ht="19.899999999999999" customHeight="1">
      <c r="A17" s="4">
        <v>16</v>
      </c>
      <c r="B17" s="45" t="s">
        <v>61</v>
      </c>
      <c r="C17" s="5" t="s">
        <v>62</v>
      </c>
      <c r="D17" s="5" t="s">
        <v>11</v>
      </c>
      <c r="E17" s="5" t="s">
        <v>12</v>
      </c>
      <c r="F17" s="5" t="s">
        <v>16</v>
      </c>
      <c r="G17" s="6">
        <f>H17+(365.25*41)</f>
        <v>25759.75</v>
      </c>
      <c r="H17" s="6">
        <f t="shared" si="1"/>
        <v>10784.5</v>
      </c>
      <c r="I17" s="9">
        <f t="shared" si="0"/>
        <v>90</v>
      </c>
      <c r="J17" s="33">
        <v>42154</v>
      </c>
      <c r="K17" s="61">
        <f>'R16'!J2</f>
        <v>214742.69921343381</v>
      </c>
      <c r="L17" s="35">
        <f>rPVB_g($F17, 'post retirement male'!$A$1:$CY$102,  'post retirement female'!$A$1:$CY$102, $I17, 2019, 120-$I17, $J17, $O$3)</f>
        <v>220046.92578419193</v>
      </c>
      <c r="M17" s="65"/>
    </row>
    <row r="18" spans="1:13" ht="19.899999999999999" customHeight="1">
      <c r="A18" s="4">
        <v>17</v>
      </c>
      <c r="B18" s="45" t="s">
        <v>63</v>
      </c>
      <c r="C18" s="5" t="s">
        <v>64</v>
      </c>
      <c r="D18" s="5" t="s">
        <v>11</v>
      </c>
      <c r="E18" s="5" t="s">
        <v>12</v>
      </c>
      <c r="F18" s="5" t="s">
        <v>13</v>
      </c>
      <c r="G18" s="6">
        <f>H18+(365.25*31)</f>
        <v>21194.75</v>
      </c>
      <c r="H18" s="6">
        <f t="shared" si="1"/>
        <v>9872</v>
      </c>
      <c r="I18" s="9">
        <f t="shared" si="0"/>
        <v>92</v>
      </c>
      <c r="J18" s="33">
        <v>11976</v>
      </c>
      <c r="K18" s="61">
        <f>'R17'!J2</f>
        <v>48000.289168002193</v>
      </c>
      <c r="L18" s="35">
        <f>rPVB_g($F18, 'post retirement male'!$A$1:$CY$102,  'post retirement female'!$A$1:$CY$102, $I18, 2019, 120-$I18, $J18, $O$3)</f>
        <v>49599.18755419879</v>
      </c>
      <c r="M18" s="65"/>
    </row>
    <row r="19" spans="1:13" ht="19.899999999999999" customHeight="1">
      <c r="A19" s="4">
        <v>18</v>
      </c>
      <c r="B19" s="45" t="s">
        <v>17</v>
      </c>
      <c r="C19" s="5" t="s">
        <v>18</v>
      </c>
      <c r="D19" s="5" t="s">
        <v>11</v>
      </c>
      <c r="E19" s="5" t="s">
        <v>19</v>
      </c>
      <c r="F19" s="5" t="s">
        <v>16</v>
      </c>
      <c r="G19" s="6">
        <f>H19+(365.25*36)</f>
        <v>22108.5</v>
      </c>
      <c r="H19" s="6">
        <f t="shared" si="1"/>
        <v>8959.5</v>
      </c>
      <c r="I19" s="9">
        <f t="shared" si="0"/>
        <v>95</v>
      </c>
      <c r="J19" s="33">
        <v>23952</v>
      </c>
      <c r="K19" s="61">
        <f>'R18'!J2</f>
        <v>92153.905982251716</v>
      </c>
      <c r="L19" s="35">
        <f>rPVB_g($F19, 'post retirement male'!$A$1:$CY$102,  'post retirement female'!$A$1:$CY$102, $I19, 2019, 120-$I19, $J19, $O$3)</f>
        <v>94318.311608630975</v>
      </c>
      <c r="M19" s="65"/>
    </row>
    <row r="20" spans="1:13" ht="19.899999999999999" customHeight="1">
      <c r="A20" s="4">
        <v>19</v>
      </c>
      <c r="B20" s="45" t="s">
        <v>65</v>
      </c>
      <c r="C20" s="5" t="s">
        <v>66</v>
      </c>
      <c r="D20" s="5" t="s">
        <v>11</v>
      </c>
      <c r="E20" s="5" t="s">
        <v>19</v>
      </c>
      <c r="F20" s="5" t="s">
        <v>16</v>
      </c>
      <c r="G20" s="6">
        <f>H20+(365.25*31)</f>
        <v>19369.75</v>
      </c>
      <c r="H20" s="6">
        <f t="shared" si="1"/>
        <v>8047</v>
      </c>
      <c r="I20" s="9">
        <f t="shared" si="0"/>
        <v>97</v>
      </c>
      <c r="J20" s="33">
        <v>24985</v>
      </c>
      <c r="K20" s="61">
        <f>'R19'!J2</f>
        <v>86191.404627012016</v>
      </c>
      <c r="L20" s="35">
        <f>rPVB_g($F20, 'post retirement male'!$A$1:$CY$102,  'post retirement female'!$A$1:$CY$102, $I20, 2019, 120-$I20, $J20, $O$3)</f>
        <v>88026.607708661235</v>
      </c>
      <c r="M20" s="65"/>
    </row>
    <row r="21" spans="1:13" ht="19.899999999999999" customHeight="1" thickBot="1">
      <c r="A21" s="4">
        <v>20</v>
      </c>
      <c r="B21" s="45" t="s">
        <v>67</v>
      </c>
      <c r="C21" s="5" t="s">
        <v>68</v>
      </c>
      <c r="D21" s="5" t="s">
        <v>11</v>
      </c>
      <c r="E21" s="5" t="s">
        <v>19</v>
      </c>
      <c r="F21" s="5" t="s">
        <v>16</v>
      </c>
      <c r="G21" s="6">
        <f>H21+(365.25*36)</f>
        <v>20283.5</v>
      </c>
      <c r="H21" s="6">
        <f t="shared" si="1"/>
        <v>7134.5</v>
      </c>
      <c r="I21" s="9">
        <f t="shared" si="0"/>
        <v>100</v>
      </c>
      <c r="J21" s="33">
        <v>46135</v>
      </c>
      <c r="K21" s="62">
        <f>'R20'!J2</f>
        <v>136129.44042222036</v>
      </c>
      <c r="L21" s="35">
        <f>rPVB_g($F21, 'post retirement male'!$A$1:$CY$102,  'post retirement female'!$A$1:$CY$102, $I21, 2019, 120-$I21, $J21, $O$3)</f>
        <v>138554.16584527292</v>
      </c>
      <c r="M21" s="65"/>
    </row>
    <row r="22" spans="1:13" ht="19.899999999999999" customHeight="1" thickBot="1">
      <c r="J22" s="38"/>
      <c r="K22" s="63"/>
      <c r="L22" s="35"/>
      <c r="M22" s="65"/>
    </row>
    <row r="23" spans="1:13" ht="19.899999999999999" customHeight="1" thickBot="1">
      <c r="H23" s="37"/>
      <c r="J23" s="43" t="s">
        <v>73</v>
      </c>
      <c r="K23" s="43">
        <f>SUM(K2:K21)</f>
        <v>4022294.8925829497</v>
      </c>
      <c r="L23" s="36">
        <f>SUM(L2:L21)</f>
        <v>4172674.8800837831</v>
      </c>
      <c r="M23" s="65"/>
    </row>
    <row r="24" spans="1:13" ht="19.899999999999999" customHeight="1">
      <c r="I24" s="34"/>
      <c r="J24" s="34"/>
      <c r="L24" s="34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7"/>
  <sheetViews>
    <sheetView topLeftCell="A29" zoomScale="144" zoomScaleNormal="120" workbookViewId="0">
      <selection activeCell="C11" sqref="C11"/>
    </sheetView>
  </sheetViews>
  <sheetFormatPr defaultColWidth="11.7109375" defaultRowHeight="15"/>
  <sheetData>
    <row r="1" spans="1:10" ht="18.75">
      <c r="A1" s="27" t="s">
        <v>27</v>
      </c>
      <c r="B1" s="11"/>
      <c r="C1" s="11"/>
      <c r="D1" s="11"/>
      <c r="E1" s="11"/>
      <c r="F1" s="11"/>
      <c r="G1" s="11"/>
      <c r="H1" s="11"/>
      <c r="I1" s="11"/>
      <c r="J1" s="11"/>
    </row>
    <row r="2" spans="1:10" ht="15.75" thickBot="1">
      <c r="A2" s="11"/>
      <c r="B2" s="11"/>
      <c r="C2" s="11"/>
      <c r="D2" s="11"/>
      <c r="E2" s="11"/>
      <c r="F2" s="11"/>
      <c r="G2" s="11"/>
      <c r="H2" s="11"/>
      <c r="I2" s="11"/>
      <c r="J2" s="11"/>
    </row>
    <row r="3" spans="1:10" ht="15.75" thickBot="1">
      <c r="A3" s="11"/>
      <c r="B3" s="12"/>
      <c r="C3" s="13"/>
      <c r="D3" s="66" t="s">
        <v>20</v>
      </c>
      <c r="E3" s="67"/>
      <c r="F3" s="68"/>
      <c r="G3" s="14"/>
      <c r="H3" s="69" t="s">
        <v>21</v>
      </c>
      <c r="I3" s="70"/>
      <c r="J3" s="71"/>
    </row>
    <row r="4" spans="1:10" ht="30.75" thickBot="1">
      <c r="A4" s="11"/>
      <c r="B4" s="15" t="s">
        <v>22</v>
      </c>
      <c r="C4" s="13"/>
      <c r="D4" s="16" t="s">
        <v>23</v>
      </c>
      <c r="E4" s="17" t="s">
        <v>24</v>
      </c>
      <c r="F4" s="18" t="s">
        <v>25</v>
      </c>
      <c r="G4" s="19"/>
      <c r="H4" s="16" t="s">
        <v>23</v>
      </c>
      <c r="I4" s="17" t="s">
        <v>24</v>
      </c>
      <c r="J4" s="18" t="s">
        <v>25</v>
      </c>
    </row>
    <row r="5" spans="1:10">
      <c r="A5" s="11"/>
      <c r="B5" s="20">
        <v>18</v>
      </c>
      <c r="C5" s="11"/>
      <c r="D5" s="21">
        <v>3.28E-4</v>
      </c>
      <c r="E5" s="22" t="s">
        <v>26</v>
      </c>
      <c r="F5" s="23">
        <v>5.744E-3</v>
      </c>
      <c r="G5" s="20"/>
      <c r="H5" s="21">
        <v>1.5699999999999999E-4</v>
      </c>
      <c r="I5" s="22" t="s">
        <v>26</v>
      </c>
      <c r="J5" s="23">
        <v>2.1619999999999999E-3</v>
      </c>
    </row>
    <row r="6" spans="1:10">
      <c r="A6" s="11"/>
      <c r="B6" s="20">
        <v>19</v>
      </c>
      <c r="C6" s="11"/>
      <c r="D6" s="21">
        <v>3.6900000000000002E-4</v>
      </c>
      <c r="E6" s="22" t="s">
        <v>26</v>
      </c>
      <c r="F6" s="23">
        <v>6.4619999999999999E-3</v>
      </c>
      <c r="G6" s="20"/>
      <c r="H6" s="21">
        <v>1.6200000000000001E-4</v>
      </c>
      <c r="I6" s="22" t="s">
        <v>26</v>
      </c>
      <c r="J6" s="23">
        <v>2.2309999999999999E-3</v>
      </c>
    </row>
    <row r="7" spans="1:10">
      <c r="A7" s="11"/>
      <c r="B7" s="20">
        <v>20</v>
      </c>
      <c r="C7" s="11"/>
      <c r="D7" s="21">
        <v>4.06E-4</v>
      </c>
      <c r="E7" s="22" t="s">
        <v>26</v>
      </c>
      <c r="F7" s="23">
        <v>7.11E-3</v>
      </c>
      <c r="G7" s="20">
        <v>4.06E-4</v>
      </c>
      <c r="H7" s="21">
        <v>1.6200000000000001E-4</v>
      </c>
      <c r="I7" s="22" t="s">
        <v>26</v>
      </c>
      <c r="J7" s="23">
        <v>2.2309999999999999E-3</v>
      </c>
    </row>
    <row r="8" spans="1:10">
      <c r="A8" s="11"/>
      <c r="B8" s="20">
        <v>21</v>
      </c>
      <c r="C8" s="11"/>
      <c r="D8" s="21">
        <v>4.4900000000000002E-4</v>
      </c>
      <c r="E8" s="22" t="s">
        <v>26</v>
      </c>
      <c r="F8" s="23">
        <v>7.8630000000000002E-3</v>
      </c>
      <c r="G8" s="20">
        <v>4.4900000000000002E-4</v>
      </c>
      <c r="H8" s="21">
        <v>1.6200000000000001E-4</v>
      </c>
      <c r="I8" s="22" t="s">
        <v>26</v>
      </c>
      <c r="J8" s="23">
        <v>2.2309999999999999E-3</v>
      </c>
    </row>
    <row r="9" spans="1:10">
      <c r="A9" s="11"/>
      <c r="B9" s="20">
        <v>22</v>
      </c>
      <c r="C9" s="11"/>
      <c r="D9" s="21">
        <v>4.8799999999999999E-4</v>
      </c>
      <c r="E9" s="22" t="s">
        <v>26</v>
      </c>
      <c r="F9" s="23">
        <v>8.5459999999999998E-3</v>
      </c>
      <c r="G9" s="20">
        <v>4.8799999999999999E-4</v>
      </c>
      <c r="H9" s="21">
        <v>1.6200000000000001E-4</v>
      </c>
      <c r="I9" s="22" t="s">
        <v>26</v>
      </c>
      <c r="J9" s="23">
        <v>2.2309999999999999E-3</v>
      </c>
    </row>
    <row r="10" spans="1:10">
      <c r="A10" s="11"/>
      <c r="B10" s="20">
        <v>23</v>
      </c>
      <c r="C10" s="11"/>
      <c r="D10" s="21">
        <v>5.0900000000000001E-4</v>
      </c>
      <c r="E10" s="22" t="s">
        <v>26</v>
      </c>
      <c r="F10" s="23">
        <v>8.914E-3</v>
      </c>
      <c r="G10" s="20">
        <v>5.0900000000000001E-4</v>
      </c>
      <c r="H10" s="21">
        <v>1.66E-4</v>
      </c>
      <c r="I10" s="22" t="s">
        <v>26</v>
      </c>
      <c r="J10" s="23">
        <v>2.2859999999999998E-3</v>
      </c>
    </row>
    <row r="11" spans="1:10">
      <c r="A11" s="11"/>
      <c r="B11" s="20">
        <v>24</v>
      </c>
      <c r="C11" s="11"/>
      <c r="D11" s="21">
        <v>5.1599999999999997E-4</v>
      </c>
      <c r="E11" s="22" t="s">
        <v>26</v>
      </c>
      <c r="F11" s="23">
        <v>9.0360000000000006E-3</v>
      </c>
      <c r="G11" s="20">
        <v>5.1599999999999997E-4</v>
      </c>
      <c r="H11" s="21">
        <v>1.6899999999999999E-4</v>
      </c>
      <c r="I11" s="22" t="s">
        <v>26</v>
      </c>
      <c r="J11" s="23">
        <v>2.3280000000000002E-3</v>
      </c>
    </row>
    <row r="12" spans="1:10">
      <c r="A12" s="11"/>
      <c r="B12" s="20">
        <v>25</v>
      </c>
      <c r="C12" s="11"/>
      <c r="D12" s="21">
        <v>4.84E-4</v>
      </c>
      <c r="E12" s="22" t="s">
        <v>26</v>
      </c>
      <c r="F12" s="23">
        <v>8.4759999999999992E-3</v>
      </c>
      <c r="G12" s="20">
        <v>4.84E-4</v>
      </c>
      <c r="H12" s="21">
        <v>1.73E-4</v>
      </c>
      <c r="I12" s="22" t="s">
        <v>26</v>
      </c>
      <c r="J12" s="23">
        <v>2.3830000000000001E-3</v>
      </c>
    </row>
    <row r="13" spans="1:10">
      <c r="A13" s="11"/>
      <c r="B13" s="20">
        <v>26</v>
      </c>
      <c r="C13" s="11"/>
      <c r="D13" s="21">
        <v>4.6200000000000001E-4</v>
      </c>
      <c r="E13" s="22" t="s">
        <v>26</v>
      </c>
      <c r="F13" s="23">
        <v>8.09E-3</v>
      </c>
      <c r="G13" s="20">
        <v>4.6200000000000001E-4</v>
      </c>
      <c r="H13" s="21">
        <v>1.7899999999999999E-4</v>
      </c>
      <c r="I13" s="22" t="s">
        <v>26</v>
      </c>
      <c r="J13" s="23">
        <v>2.4650000000000002E-3</v>
      </c>
    </row>
    <row r="14" spans="1:10">
      <c r="A14" s="11"/>
      <c r="B14" s="20">
        <v>27</v>
      </c>
      <c r="C14" s="11"/>
      <c r="D14" s="21">
        <v>4.4900000000000002E-4</v>
      </c>
      <c r="E14" s="22" t="s">
        <v>26</v>
      </c>
      <c r="F14" s="23">
        <v>7.8630000000000002E-3</v>
      </c>
      <c r="G14" s="20">
        <v>4.4900000000000002E-4</v>
      </c>
      <c r="H14" s="21">
        <v>1.8699999999999999E-4</v>
      </c>
      <c r="I14" s="22" t="s">
        <v>26</v>
      </c>
      <c r="J14" s="23">
        <v>2.5760000000000002E-3</v>
      </c>
    </row>
    <row r="15" spans="1:10">
      <c r="A15" s="11"/>
      <c r="B15" s="20">
        <v>28</v>
      </c>
      <c r="C15" s="11"/>
      <c r="D15" s="21">
        <v>4.44E-4</v>
      </c>
      <c r="E15" s="22" t="s">
        <v>26</v>
      </c>
      <c r="F15" s="23">
        <v>7.7749999999999998E-3</v>
      </c>
      <c r="G15" s="20">
        <v>4.44E-4</v>
      </c>
      <c r="H15" s="21">
        <v>1.9599999999999999E-4</v>
      </c>
      <c r="I15" s="22" t="s">
        <v>26</v>
      </c>
      <c r="J15" s="23">
        <v>2.7000000000000001E-3</v>
      </c>
    </row>
    <row r="16" spans="1:10">
      <c r="A16" s="11"/>
      <c r="B16" s="20">
        <v>29</v>
      </c>
      <c r="C16" s="11"/>
      <c r="D16" s="21">
        <v>4.46E-4</v>
      </c>
      <c r="E16" s="22" t="s">
        <v>26</v>
      </c>
      <c r="F16" s="23">
        <v>7.8100000000000001E-3</v>
      </c>
      <c r="G16" s="20">
        <v>4.46E-4</v>
      </c>
      <c r="H16" s="21">
        <v>2.0599999999999999E-4</v>
      </c>
      <c r="I16" s="22" t="s">
        <v>26</v>
      </c>
      <c r="J16" s="23">
        <v>2.8370000000000001E-3</v>
      </c>
    </row>
    <row r="17" spans="1:10">
      <c r="A17" s="11"/>
      <c r="B17" s="20">
        <v>30</v>
      </c>
      <c r="C17" s="11"/>
      <c r="D17" s="21">
        <v>4.5199999999999998E-4</v>
      </c>
      <c r="E17" s="22" t="s">
        <v>26</v>
      </c>
      <c r="F17" s="23">
        <v>7.9150000000000002E-3</v>
      </c>
      <c r="G17" s="20">
        <v>4.5199999999999998E-4</v>
      </c>
      <c r="H17" s="21">
        <v>2.1800000000000001E-4</v>
      </c>
      <c r="I17" s="22" t="s">
        <v>26</v>
      </c>
      <c r="J17" s="23">
        <v>3.003E-3</v>
      </c>
    </row>
    <row r="18" spans="1:10">
      <c r="A18" s="11"/>
      <c r="B18" s="20">
        <v>31</v>
      </c>
      <c r="C18" s="11"/>
      <c r="D18" s="21">
        <v>4.6299999999999998E-4</v>
      </c>
      <c r="E18" s="22" t="s">
        <v>26</v>
      </c>
      <c r="F18" s="23">
        <v>8.1080000000000006E-3</v>
      </c>
      <c r="G18" s="20">
        <v>4.6299999999999998E-4</v>
      </c>
      <c r="H18" s="21">
        <v>2.31E-4</v>
      </c>
      <c r="I18" s="22" t="s">
        <v>26</v>
      </c>
      <c r="J18" s="23">
        <v>3.1819999999999999E-3</v>
      </c>
    </row>
    <row r="19" spans="1:10">
      <c r="A19" s="11"/>
      <c r="B19" s="20">
        <v>32</v>
      </c>
      <c r="C19" s="11"/>
      <c r="D19" s="21">
        <v>4.7699999999999999E-4</v>
      </c>
      <c r="E19" s="22" t="s">
        <v>26</v>
      </c>
      <c r="F19" s="23">
        <v>8.3529999999999993E-3</v>
      </c>
      <c r="G19" s="20">
        <v>4.7699999999999999E-4</v>
      </c>
      <c r="H19" s="21">
        <v>2.4399999999999999E-4</v>
      </c>
      <c r="I19" s="22" t="s">
        <v>26</v>
      </c>
      <c r="J19" s="23">
        <v>3.3609999999999998E-3</v>
      </c>
    </row>
    <row r="20" spans="1:10">
      <c r="A20" s="11"/>
      <c r="B20" s="20">
        <v>33</v>
      </c>
      <c r="C20" s="11"/>
      <c r="D20" s="21">
        <v>4.9200000000000003E-4</v>
      </c>
      <c r="E20" s="22" t="s">
        <v>26</v>
      </c>
      <c r="F20" s="23">
        <v>8.6160000000000004E-3</v>
      </c>
      <c r="G20" s="20">
        <v>4.9200000000000003E-4</v>
      </c>
      <c r="H20" s="21">
        <v>2.5799999999999998E-4</v>
      </c>
      <c r="I20" s="22" t="s">
        <v>26</v>
      </c>
      <c r="J20" s="23">
        <v>3.5530000000000002E-3</v>
      </c>
    </row>
    <row r="21" spans="1:10">
      <c r="A21" s="11"/>
      <c r="B21" s="20">
        <v>34</v>
      </c>
      <c r="C21" s="11"/>
      <c r="D21" s="21">
        <v>5.0799999999999999E-4</v>
      </c>
      <c r="E21" s="22" t="s">
        <v>26</v>
      </c>
      <c r="F21" s="23">
        <v>8.8959999999999994E-3</v>
      </c>
      <c r="G21" s="20">
        <v>5.0799999999999999E-4</v>
      </c>
      <c r="H21" s="21">
        <v>2.72E-4</v>
      </c>
      <c r="I21" s="22" t="s">
        <v>26</v>
      </c>
      <c r="J21" s="23">
        <v>3.7460000000000002E-3</v>
      </c>
    </row>
    <row r="22" spans="1:10">
      <c r="A22" s="11"/>
      <c r="B22" s="20">
        <v>35</v>
      </c>
      <c r="C22" s="11"/>
      <c r="D22" s="21">
        <v>5.2300000000000003E-4</v>
      </c>
      <c r="E22" s="22" t="s">
        <v>26</v>
      </c>
      <c r="F22" s="23">
        <v>9.1590000000000005E-3</v>
      </c>
      <c r="G22" s="20">
        <v>5.2300000000000003E-4</v>
      </c>
      <c r="H22" s="21">
        <v>2.8600000000000001E-4</v>
      </c>
      <c r="I22" s="22" t="s">
        <v>26</v>
      </c>
      <c r="J22" s="23">
        <v>3.9389999999999998E-3</v>
      </c>
    </row>
    <row r="23" spans="1:10">
      <c r="A23" s="11"/>
      <c r="B23" s="20">
        <v>36</v>
      </c>
      <c r="C23" s="11"/>
      <c r="D23" s="21">
        <v>5.3600000000000002E-4</v>
      </c>
      <c r="E23" s="22" t="s">
        <v>26</v>
      </c>
      <c r="F23" s="23">
        <v>9.3860000000000002E-3</v>
      </c>
      <c r="G23" s="20">
        <v>5.3600000000000002E-4</v>
      </c>
      <c r="H23" s="21">
        <v>2.9999999999999997E-4</v>
      </c>
      <c r="I23" s="22" t="s">
        <v>26</v>
      </c>
      <c r="J23" s="23">
        <v>4.1320000000000003E-3</v>
      </c>
    </row>
    <row r="24" spans="1:10">
      <c r="A24" s="11"/>
      <c r="B24" s="20">
        <v>37</v>
      </c>
      <c r="C24" s="11"/>
      <c r="D24" s="21">
        <v>5.5099999999999995E-4</v>
      </c>
      <c r="E24" s="22" t="s">
        <v>26</v>
      </c>
      <c r="F24" s="23">
        <v>9.6489999999999996E-3</v>
      </c>
      <c r="G24" s="20">
        <v>5.5099999999999995E-4</v>
      </c>
      <c r="H24" s="21">
        <v>3.1799999999999998E-4</v>
      </c>
      <c r="I24" s="22" t="s">
        <v>26</v>
      </c>
      <c r="J24" s="23">
        <v>4.3800000000000002E-3</v>
      </c>
    </row>
    <row r="25" spans="1:10">
      <c r="A25" s="11"/>
      <c r="B25" s="20">
        <v>38</v>
      </c>
      <c r="C25" s="11"/>
      <c r="D25" s="21">
        <v>5.6999999999999998E-4</v>
      </c>
      <c r="E25" s="22" t="s">
        <v>26</v>
      </c>
      <c r="F25" s="23">
        <v>9.9819999999999996E-3</v>
      </c>
      <c r="G25" s="20">
        <v>5.6999999999999998E-4</v>
      </c>
      <c r="H25" s="21">
        <v>3.39E-4</v>
      </c>
      <c r="I25" s="22" t="s">
        <v>26</v>
      </c>
      <c r="J25" s="23">
        <v>4.6690000000000004E-3</v>
      </c>
    </row>
    <row r="26" spans="1:10">
      <c r="A26" s="11"/>
      <c r="B26" s="20">
        <v>39</v>
      </c>
      <c r="C26" s="11"/>
      <c r="D26" s="21">
        <v>5.9500000000000004E-4</v>
      </c>
      <c r="E26" s="22" t="s">
        <v>26</v>
      </c>
      <c r="F26" s="23">
        <v>1.042E-2</v>
      </c>
      <c r="G26" s="20">
        <v>5.9500000000000004E-4</v>
      </c>
      <c r="H26" s="21">
        <v>3.6499999999999998E-4</v>
      </c>
      <c r="I26" s="22" t="s">
        <v>26</v>
      </c>
      <c r="J26" s="23">
        <v>5.0270000000000002E-3</v>
      </c>
    </row>
    <row r="27" spans="1:10">
      <c r="A27" s="11"/>
      <c r="B27" s="20">
        <v>40</v>
      </c>
      <c r="C27" s="11"/>
      <c r="D27" s="21">
        <v>6.2799999999999998E-4</v>
      </c>
      <c r="E27" s="22" t="s">
        <v>26</v>
      </c>
      <c r="F27" s="23">
        <v>1.0997E-2</v>
      </c>
      <c r="G27" s="20">
        <v>6.2799999999999998E-4</v>
      </c>
      <c r="H27" s="21">
        <v>3.9599999999999998E-4</v>
      </c>
      <c r="I27" s="22" t="s">
        <v>26</v>
      </c>
      <c r="J27" s="23">
        <v>5.4539999999999996E-3</v>
      </c>
    </row>
    <row r="28" spans="1:10">
      <c r="A28" s="11"/>
      <c r="B28" s="20">
        <v>41</v>
      </c>
      <c r="C28" s="11"/>
      <c r="D28" s="21">
        <v>6.7100000000000005E-4</v>
      </c>
      <c r="E28" s="22" t="s">
        <v>26</v>
      </c>
      <c r="F28" s="23">
        <v>1.175E-2</v>
      </c>
      <c r="G28" s="20">
        <v>6.7100000000000005E-4</v>
      </c>
      <c r="H28" s="21">
        <v>4.3300000000000001E-4</v>
      </c>
      <c r="I28" s="22" t="s">
        <v>26</v>
      </c>
      <c r="J28" s="23">
        <v>5.9639999999999997E-3</v>
      </c>
    </row>
    <row r="29" spans="1:10">
      <c r="A29" s="11"/>
      <c r="B29" s="20">
        <v>42</v>
      </c>
      <c r="C29" s="11"/>
      <c r="D29" s="21">
        <v>7.2499999999999995E-4</v>
      </c>
      <c r="E29" s="22" t="s">
        <v>26</v>
      </c>
      <c r="F29" s="23">
        <v>1.2696000000000001E-2</v>
      </c>
      <c r="G29" s="20">
        <v>7.2499999999999995E-4</v>
      </c>
      <c r="H29" s="21">
        <v>4.7699999999999999E-4</v>
      </c>
      <c r="I29" s="22" t="s">
        <v>26</v>
      </c>
      <c r="J29" s="23">
        <v>6.5700000000000003E-3</v>
      </c>
    </row>
    <row r="30" spans="1:10">
      <c r="A30" s="11"/>
      <c r="B30" s="20">
        <v>43</v>
      </c>
      <c r="C30" s="11"/>
      <c r="D30" s="21">
        <v>7.9299999999999998E-4</v>
      </c>
      <c r="E30" s="22" t="s">
        <v>26</v>
      </c>
      <c r="F30" s="23">
        <v>1.3887E-2</v>
      </c>
      <c r="G30" s="20">
        <v>7.9299999999999998E-4</v>
      </c>
      <c r="H30" s="21">
        <v>5.2899999999999996E-4</v>
      </c>
      <c r="I30" s="22" t="s">
        <v>26</v>
      </c>
      <c r="J30" s="23">
        <v>7.2859999999999999E-3</v>
      </c>
    </row>
    <row r="31" spans="1:10">
      <c r="A31" s="11"/>
      <c r="B31" s="20">
        <v>44</v>
      </c>
      <c r="C31" s="11"/>
      <c r="D31" s="21">
        <v>8.7600000000000004E-4</v>
      </c>
      <c r="E31" s="22" t="s">
        <v>26</v>
      </c>
      <c r="F31" s="23">
        <v>1.5339999999999999E-2</v>
      </c>
      <c r="G31" s="20">
        <v>8.7600000000000004E-4</v>
      </c>
      <c r="H31" s="21">
        <v>5.8900000000000001E-4</v>
      </c>
      <c r="I31" s="22" t="s">
        <v>26</v>
      </c>
      <c r="J31" s="23">
        <v>8.1119999999999994E-3</v>
      </c>
    </row>
    <row r="32" spans="1:10">
      <c r="A32" s="11"/>
      <c r="B32" s="20">
        <v>45</v>
      </c>
      <c r="C32" s="11"/>
      <c r="D32" s="21">
        <v>9.7300000000000002E-4</v>
      </c>
      <c r="E32" s="22" t="s">
        <v>26</v>
      </c>
      <c r="F32" s="23">
        <v>1.7038999999999999E-2</v>
      </c>
      <c r="G32" s="20">
        <v>9.7300000000000002E-4</v>
      </c>
      <c r="H32" s="21">
        <v>6.5700000000000003E-4</v>
      </c>
      <c r="I32" s="22" t="s">
        <v>26</v>
      </c>
      <c r="J32" s="23">
        <v>9.0489999999999998E-3</v>
      </c>
    </row>
    <row r="33" spans="1:10">
      <c r="A33" s="11"/>
      <c r="B33" s="20">
        <v>46</v>
      </c>
      <c r="C33" s="11"/>
      <c r="D33" s="21">
        <v>1.0870000000000001E-3</v>
      </c>
      <c r="E33" s="22" t="s">
        <v>26</v>
      </c>
      <c r="F33" s="23">
        <v>1.7741E-2</v>
      </c>
      <c r="G33" s="20">
        <v>1.0870000000000001E-3</v>
      </c>
      <c r="H33" s="21">
        <v>7.3300000000000004E-4</v>
      </c>
      <c r="I33" s="22" t="s">
        <v>26</v>
      </c>
      <c r="J33" s="23">
        <v>9.6349999999999995E-3</v>
      </c>
    </row>
    <row r="34" spans="1:10">
      <c r="A34" s="11"/>
      <c r="B34" s="20">
        <v>47</v>
      </c>
      <c r="C34" s="11"/>
      <c r="D34" s="21">
        <v>1.2149999999999999E-3</v>
      </c>
      <c r="E34" s="22" t="s">
        <v>26</v>
      </c>
      <c r="F34" s="23">
        <v>1.8428E-2</v>
      </c>
      <c r="G34" s="20">
        <v>1.2149999999999999E-3</v>
      </c>
      <c r="H34" s="21">
        <v>8.1599999999999999E-4</v>
      </c>
      <c r="I34" s="22" t="s">
        <v>26</v>
      </c>
      <c r="J34" s="23">
        <v>1.0215E-2</v>
      </c>
    </row>
    <row r="35" spans="1:10">
      <c r="A35" s="11"/>
      <c r="B35" s="20">
        <v>48</v>
      </c>
      <c r="C35" s="11"/>
      <c r="D35" s="21">
        <v>1.358E-3</v>
      </c>
      <c r="E35" s="22" t="s">
        <v>26</v>
      </c>
      <c r="F35" s="23">
        <v>1.9101E-2</v>
      </c>
      <c r="G35" s="20">
        <v>1.358E-3</v>
      </c>
      <c r="H35" s="21">
        <v>9.0600000000000001E-4</v>
      </c>
      <c r="I35" s="22" t="s">
        <v>26</v>
      </c>
      <c r="J35" s="23">
        <v>1.0787E-2</v>
      </c>
    </row>
    <row r="36" spans="1:10">
      <c r="A36" s="11"/>
      <c r="B36" s="20">
        <v>49</v>
      </c>
      <c r="C36" s="11"/>
      <c r="D36" s="21">
        <v>1.5150000000000001E-3</v>
      </c>
      <c r="E36" s="22" t="s">
        <v>26</v>
      </c>
      <c r="F36" s="23">
        <v>1.9757E-2</v>
      </c>
      <c r="G36" s="20">
        <v>1.5150000000000001E-3</v>
      </c>
      <c r="H36" s="21">
        <v>1.0009999999999999E-3</v>
      </c>
      <c r="I36" s="22" t="s">
        <v>26</v>
      </c>
      <c r="J36" s="23">
        <v>1.1351999999999999E-2</v>
      </c>
    </row>
    <row r="37" spans="1:10">
      <c r="A37" s="11"/>
      <c r="B37" s="20">
        <v>50</v>
      </c>
      <c r="C37" s="11"/>
      <c r="D37" s="21">
        <v>1.686E-3</v>
      </c>
      <c r="E37" s="22">
        <v>4.0639999999999999E-3</v>
      </c>
      <c r="F37" s="23">
        <v>2.0395E-2</v>
      </c>
      <c r="G37" s="20">
        <v>4.0639999999999999E-3</v>
      </c>
      <c r="H37" s="21">
        <v>1.1019999999999999E-3</v>
      </c>
      <c r="I37" s="22">
        <v>2.7680000000000001E-3</v>
      </c>
      <c r="J37" s="23">
        <v>1.1906999999999999E-2</v>
      </c>
    </row>
    <row r="38" spans="1:10">
      <c r="A38" s="11"/>
      <c r="B38" s="20">
        <v>51</v>
      </c>
      <c r="C38" s="11"/>
      <c r="D38" s="21">
        <v>1.8710000000000001E-3</v>
      </c>
      <c r="E38" s="22">
        <v>4.3839999999999999E-3</v>
      </c>
      <c r="F38" s="23">
        <v>2.1016E-2</v>
      </c>
      <c r="G38" s="20">
        <v>4.3839999999999999E-3</v>
      </c>
      <c r="H38" s="21">
        <v>1.206E-3</v>
      </c>
      <c r="I38" s="22">
        <v>2.905E-3</v>
      </c>
      <c r="J38" s="23">
        <v>1.2449999999999999E-2</v>
      </c>
    </row>
    <row r="39" spans="1:10">
      <c r="A39" s="11"/>
      <c r="B39" s="20">
        <v>52</v>
      </c>
      <c r="C39" s="11"/>
      <c r="D39" s="21">
        <v>2.0720000000000001E-3</v>
      </c>
      <c r="E39" s="22">
        <v>4.7089999999999996E-3</v>
      </c>
      <c r="F39" s="23">
        <v>2.1621000000000001E-2</v>
      </c>
      <c r="G39" s="20">
        <v>4.7089999999999996E-3</v>
      </c>
      <c r="H39" s="21">
        <v>1.315E-3</v>
      </c>
      <c r="I39" s="22">
        <v>3.0569999999999998E-3</v>
      </c>
      <c r="J39" s="23">
        <v>1.2978999999999999E-2</v>
      </c>
    </row>
    <row r="40" spans="1:10">
      <c r="A40" s="11"/>
      <c r="B40" s="20">
        <v>53</v>
      </c>
      <c r="C40" s="11"/>
      <c r="D40" s="21">
        <v>2.2889999999999998E-3</v>
      </c>
      <c r="E40" s="22">
        <v>5.0419999999999996E-3</v>
      </c>
      <c r="F40" s="23">
        <v>2.2210000000000001E-2</v>
      </c>
      <c r="G40" s="20">
        <v>5.0419999999999996E-3</v>
      </c>
      <c r="H40" s="21">
        <v>1.4289999999999999E-3</v>
      </c>
      <c r="I40" s="22">
        <v>3.225E-3</v>
      </c>
      <c r="J40" s="23">
        <v>1.3494000000000001E-2</v>
      </c>
    </row>
    <row r="41" spans="1:10">
      <c r="A41" s="11"/>
      <c r="B41" s="20">
        <v>54</v>
      </c>
      <c r="C41" s="11"/>
      <c r="D41" s="21">
        <v>2.5270000000000002E-3</v>
      </c>
      <c r="E41" s="22">
        <v>5.3839999999999999E-3</v>
      </c>
      <c r="F41" s="23">
        <v>2.2790999999999999E-2</v>
      </c>
      <c r="G41" s="20">
        <v>5.3839999999999999E-3</v>
      </c>
      <c r="H41" s="21">
        <v>1.5479999999999999E-3</v>
      </c>
      <c r="I41" s="22">
        <v>3.4120000000000001E-3</v>
      </c>
      <c r="J41" s="23">
        <v>1.3991999999999999E-2</v>
      </c>
    </row>
    <row r="42" spans="1:10">
      <c r="A42" s="11"/>
      <c r="B42" s="20">
        <v>55</v>
      </c>
      <c r="C42" s="11"/>
      <c r="D42" s="21">
        <v>2.7880000000000001E-3</v>
      </c>
      <c r="E42" s="22">
        <v>5.7349999999999996E-3</v>
      </c>
      <c r="F42" s="23">
        <v>2.3369000000000001E-2</v>
      </c>
      <c r="G42" s="20">
        <v>5.7349999999999996E-3</v>
      </c>
      <c r="H42" s="21">
        <v>1.673E-3</v>
      </c>
      <c r="I42" s="22">
        <v>3.6219999999999998E-3</v>
      </c>
      <c r="J42" s="23">
        <v>1.4479000000000001E-2</v>
      </c>
    </row>
    <row r="43" spans="1:10">
      <c r="A43" s="11"/>
      <c r="B43" s="20">
        <v>56</v>
      </c>
      <c r="C43" s="11"/>
      <c r="D43" s="21">
        <v>3.0790000000000001E-3</v>
      </c>
      <c r="E43" s="22">
        <v>6.0990000000000003E-3</v>
      </c>
      <c r="F43" s="23">
        <v>2.3952999999999999E-2</v>
      </c>
      <c r="G43" s="20">
        <v>6.0990000000000003E-3</v>
      </c>
      <c r="H43" s="21">
        <v>1.805E-3</v>
      </c>
      <c r="I43" s="22">
        <v>3.8579999999999999E-3</v>
      </c>
      <c r="J43" s="23">
        <v>1.4958000000000001E-2</v>
      </c>
    </row>
    <row r="44" spans="1:10">
      <c r="A44" s="11"/>
      <c r="B44" s="20">
        <v>57</v>
      </c>
      <c r="C44" s="11"/>
      <c r="D44" s="21">
        <v>3.4069999999999999E-3</v>
      </c>
      <c r="E44" s="22">
        <v>6.4780000000000003E-3</v>
      </c>
      <c r="F44" s="23">
        <v>2.4556999999999999E-2</v>
      </c>
      <c r="G44" s="20">
        <v>6.4780000000000003E-3</v>
      </c>
      <c r="H44" s="21">
        <v>1.946E-3</v>
      </c>
      <c r="I44" s="22">
        <v>4.1279999999999997E-3</v>
      </c>
      <c r="J44" s="23">
        <v>1.5439E-2</v>
      </c>
    </row>
    <row r="45" spans="1:10">
      <c r="A45" s="11"/>
      <c r="B45" s="20">
        <v>58</v>
      </c>
      <c r="C45" s="11"/>
      <c r="D45" s="21">
        <v>3.7789999999999998E-3</v>
      </c>
      <c r="E45" s="22">
        <v>6.8770000000000003E-3</v>
      </c>
      <c r="F45" s="23">
        <v>2.5190000000000001E-2</v>
      </c>
      <c r="G45" s="20">
        <v>6.8770000000000003E-3</v>
      </c>
      <c r="H45" s="21">
        <v>2.0969999999999999E-3</v>
      </c>
      <c r="I45" s="22">
        <v>4.4359999999999998E-3</v>
      </c>
      <c r="J45" s="23">
        <v>1.5931000000000001E-2</v>
      </c>
    </row>
    <row r="46" spans="1:10">
      <c r="A46" s="11"/>
      <c r="B46" s="20">
        <v>59</v>
      </c>
      <c r="C46" s="11"/>
      <c r="D46" s="21">
        <v>4.2040000000000003E-3</v>
      </c>
      <c r="E46" s="22">
        <v>7.3049999999999999E-3</v>
      </c>
      <c r="F46" s="23">
        <v>2.5867999999999999E-2</v>
      </c>
      <c r="G46" s="20">
        <v>7.3049999999999999E-3</v>
      </c>
      <c r="H46" s="21">
        <v>2.261E-3</v>
      </c>
      <c r="I46" s="22">
        <v>4.7889999999999999E-3</v>
      </c>
      <c r="J46" s="23">
        <v>1.6447E-2</v>
      </c>
    </row>
    <row r="47" spans="1:10">
      <c r="A47" s="11"/>
      <c r="B47" s="20">
        <v>60</v>
      </c>
      <c r="C47" s="11"/>
      <c r="D47" s="21">
        <v>4.6880000000000003E-3</v>
      </c>
      <c r="E47" s="22">
        <v>7.7710000000000001E-3</v>
      </c>
      <c r="F47" s="23">
        <v>2.6603999999999999E-2</v>
      </c>
      <c r="G47" s="20">
        <v>7.7710000000000001E-3</v>
      </c>
      <c r="H47" s="21">
        <v>2.4420000000000002E-3</v>
      </c>
      <c r="I47" s="22">
        <v>5.1910000000000003E-3</v>
      </c>
      <c r="J47" s="23">
        <v>1.6999E-2</v>
      </c>
    </row>
    <row r="48" spans="1:10">
      <c r="A48" s="11"/>
      <c r="B48" s="20">
        <v>61</v>
      </c>
      <c r="C48" s="11"/>
      <c r="D48" s="21">
        <v>5.2399999999999999E-3</v>
      </c>
      <c r="E48" s="22">
        <v>8.2839999999999997E-3</v>
      </c>
      <c r="F48" s="23">
        <v>2.7414000000000001E-2</v>
      </c>
      <c r="G48" s="20">
        <v>8.2839999999999997E-3</v>
      </c>
      <c r="H48" s="21">
        <v>2.6419999999999998E-3</v>
      </c>
      <c r="I48" s="22">
        <v>5.646E-3</v>
      </c>
      <c r="J48" s="23">
        <v>1.7603000000000001E-2</v>
      </c>
    </row>
    <row r="49" spans="1:10">
      <c r="A49" s="11"/>
      <c r="B49" s="20">
        <v>62</v>
      </c>
      <c r="C49" s="11"/>
      <c r="D49" s="21">
        <v>5.8669999999999998E-3</v>
      </c>
      <c r="E49" s="22">
        <v>8.8540000000000008E-3</v>
      </c>
      <c r="F49" s="23">
        <v>2.8312E-2</v>
      </c>
      <c r="G49" s="20">
        <v>8.8540000000000008E-3</v>
      </c>
      <c r="H49" s="21">
        <v>2.8639999999999998E-3</v>
      </c>
      <c r="I49" s="22">
        <v>6.156E-3</v>
      </c>
      <c r="J49" s="23">
        <v>1.8273000000000001E-2</v>
      </c>
    </row>
    <row r="50" spans="1:10">
      <c r="A50" s="11"/>
      <c r="B50" s="20">
        <v>63</v>
      </c>
      <c r="C50" s="11"/>
      <c r="D50" s="21">
        <v>6.5770000000000004E-3</v>
      </c>
      <c r="E50" s="22">
        <v>9.4920000000000004E-3</v>
      </c>
      <c r="F50" s="23">
        <v>2.9314E-2</v>
      </c>
      <c r="G50" s="20">
        <v>9.4920000000000004E-3</v>
      </c>
      <c r="H50" s="21">
        <v>3.1129999999999999E-3</v>
      </c>
      <c r="I50" s="22">
        <v>6.7229999999999998E-3</v>
      </c>
      <c r="J50" s="23">
        <v>1.9028E-2</v>
      </c>
    </row>
    <row r="51" spans="1:10">
      <c r="A51" s="11"/>
      <c r="B51" s="20">
        <v>64</v>
      </c>
      <c r="C51" s="11"/>
      <c r="D51" s="21">
        <v>7.3769999999999999E-3</v>
      </c>
      <c r="E51" s="22">
        <v>1.0208999999999999E-2</v>
      </c>
      <c r="F51" s="23">
        <v>3.0433000000000002E-2</v>
      </c>
      <c r="G51" s="20">
        <v>1.0208999999999999E-2</v>
      </c>
      <c r="H51" s="21">
        <v>3.3890000000000001E-3</v>
      </c>
      <c r="I51" s="22">
        <v>7.352E-3</v>
      </c>
      <c r="J51" s="23">
        <v>1.9883999999999999E-2</v>
      </c>
    </row>
    <row r="52" spans="1:10">
      <c r="A52" s="11"/>
      <c r="B52" s="20">
        <v>65</v>
      </c>
      <c r="C52" s="11"/>
      <c r="D52" s="21">
        <v>8.2769999999999996E-3</v>
      </c>
      <c r="E52" s="22">
        <v>1.1013E-2</v>
      </c>
      <c r="F52" s="23">
        <v>3.1684999999999998E-2</v>
      </c>
      <c r="G52" s="20">
        <v>1.1013E-2</v>
      </c>
      <c r="H52" s="21">
        <v>3.6960000000000001E-3</v>
      </c>
      <c r="I52" s="22">
        <v>8.0479999999999996E-3</v>
      </c>
      <c r="J52" s="23">
        <v>2.086E-2</v>
      </c>
    </row>
    <row r="53" spans="1:10">
      <c r="A53" s="11"/>
      <c r="B53" s="20">
        <v>66</v>
      </c>
      <c r="C53" s="11"/>
      <c r="D53" s="21">
        <v>9.1750000000000009E-3</v>
      </c>
      <c r="E53" s="22">
        <v>1.1916E-2</v>
      </c>
      <c r="F53" s="23">
        <v>3.3080999999999999E-2</v>
      </c>
      <c r="G53" s="20">
        <v>1.1916E-2</v>
      </c>
      <c r="H53" s="21">
        <v>4.1130000000000003E-3</v>
      </c>
      <c r="I53" s="22">
        <v>8.8210000000000007E-3</v>
      </c>
      <c r="J53" s="23">
        <v>2.1975999999999999E-2</v>
      </c>
    </row>
    <row r="54" spans="1:10">
      <c r="A54" s="11"/>
      <c r="B54" s="20">
        <v>67</v>
      </c>
      <c r="C54" s="11"/>
      <c r="D54" s="21">
        <v>1.0170999999999999E-2</v>
      </c>
      <c r="E54" s="22">
        <v>1.2930000000000001E-2</v>
      </c>
      <c r="F54" s="23">
        <v>3.4632999999999997E-2</v>
      </c>
      <c r="G54" s="20">
        <v>1.2930000000000001E-2</v>
      </c>
      <c r="H54" s="21">
        <v>4.5770000000000003E-3</v>
      </c>
      <c r="I54" s="22">
        <v>9.6790000000000001E-3</v>
      </c>
      <c r="J54" s="23">
        <v>2.325E-2</v>
      </c>
    </row>
    <row r="55" spans="1:10">
      <c r="A55" s="11"/>
      <c r="B55" s="20">
        <v>68</v>
      </c>
      <c r="C55" s="11"/>
      <c r="D55" s="21">
        <v>1.1275E-2</v>
      </c>
      <c r="E55" s="22">
        <v>1.4067E-2</v>
      </c>
      <c r="F55" s="23">
        <v>3.6353000000000003E-2</v>
      </c>
      <c r="G55" s="20">
        <v>1.4067E-2</v>
      </c>
      <c r="H55" s="21">
        <v>5.0939999999999996E-3</v>
      </c>
      <c r="I55" s="22">
        <v>1.0633E-2</v>
      </c>
      <c r="J55" s="23">
        <v>2.4702000000000002E-2</v>
      </c>
    </row>
    <row r="56" spans="1:10">
      <c r="A56" s="11"/>
      <c r="B56" s="20">
        <v>69</v>
      </c>
      <c r="C56" s="11"/>
      <c r="D56" s="21">
        <v>1.2498E-2</v>
      </c>
      <c r="E56" s="22">
        <v>1.5342E-2</v>
      </c>
      <c r="F56" s="23">
        <v>3.8253000000000002E-2</v>
      </c>
      <c r="G56" s="20">
        <v>1.5342E-2</v>
      </c>
      <c r="H56" s="21">
        <v>5.6690000000000004E-3</v>
      </c>
      <c r="I56" s="22">
        <v>1.1691999999999999E-2</v>
      </c>
      <c r="J56" s="23">
        <v>2.6348E-2</v>
      </c>
    </row>
    <row r="57" spans="1:10">
      <c r="A57" s="11"/>
      <c r="B57" s="20">
        <v>70</v>
      </c>
      <c r="C57" s="11"/>
      <c r="D57" s="21">
        <v>1.3854E-2</v>
      </c>
      <c r="E57" s="22">
        <v>1.6768999999999999E-2</v>
      </c>
      <c r="F57" s="23">
        <v>4.0346E-2</v>
      </c>
      <c r="G57" s="20">
        <v>1.6768999999999999E-2</v>
      </c>
      <c r="H57" s="21">
        <v>6.3090000000000004E-3</v>
      </c>
      <c r="I57" s="22">
        <v>1.2867999999999999E-2</v>
      </c>
      <c r="J57" s="23">
        <v>2.8202999999999999E-2</v>
      </c>
    </row>
    <row r="58" spans="1:10">
      <c r="A58" s="11"/>
      <c r="B58" s="20">
        <v>71</v>
      </c>
      <c r="C58" s="11"/>
      <c r="D58" s="21">
        <v>1.5357000000000001E-2</v>
      </c>
      <c r="E58" s="22">
        <v>1.8363000000000001E-2</v>
      </c>
      <c r="F58" s="23">
        <v>4.2646999999999997E-2</v>
      </c>
      <c r="G58" s="20">
        <v>1.8363000000000001E-2</v>
      </c>
      <c r="H58" s="21">
        <v>7.0210000000000003E-3</v>
      </c>
      <c r="I58" s="22">
        <v>1.4171E-2</v>
      </c>
      <c r="J58" s="23">
        <v>3.0280000000000001E-2</v>
      </c>
    </row>
    <row r="59" spans="1:10">
      <c r="A59" s="11"/>
      <c r="B59" s="20">
        <v>72</v>
      </c>
      <c r="C59" s="11"/>
      <c r="D59" s="21">
        <v>1.7023E-2</v>
      </c>
      <c r="E59" s="22">
        <v>2.0140999999999999E-2</v>
      </c>
      <c r="F59" s="23">
        <v>4.5170000000000002E-2</v>
      </c>
      <c r="G59" s="20">
        <v>2.0140999999999999E-2</v>
      </c>
      <c r="H59" s="21">
        <v>7.8130000000000005E-3</v>
      </c>
      <c r="I59" s="22">
        <v>1.5613999999999999E-2</v>
      </c>
      <c r="J59" s="23">
        <v>3.2591000000000002E-2</v>
      </c>
    </row>
    <row r="60" spans="1:10">
      <c r="A60" s="11"/>
      <c r="B60" s="20">
        <v>73</v>
      </c>
      <c r="C60" s="11"/>
      <c r="D60" s="21">
        <v>1.8870000000000001E-2</v>
      </c>
      <c r="E60" s="22">
        <v>2.2127000000000001E-2</v>
      </c>
      <c r="F60" s="23">
        <v>4.7934999999999998E-2</v>
      </c>
      <c r="G60" s="20">
        <v>2.2127000000000001E-2</v>
      </c>
      <c r="H60" s="21">
        <v>8.6949999999999996E-3</v>
      </c>
      <c r="I60" s="22">
        <v>1.721E-2</v>
      </c>
      <c r="J60" s="23">
        <v>3.5147999999999999E-2</v>
      </c>
    </row>
    <row r="61" spans="1:10">
      <c r="A61" s="11"/>
      <c r="B61" s="20">
        <v>74</v>
      </c>
      <c r="C61" s="11"/>
      <c r="D61" s="21">
        <v>2.0917999999999999E-2</v>
      </c>
      <c r="E61" s="22">
        <v>2.4344999999999999E-2</v>
      </c>
      <c r="F61" s="23">
        <v>5.0965000000000003E-2</v>
      </c>
      <c r="G61" s="20">
        <v>2.4344999999999999E-2</v>
      </c>
      <c r="H61" s="21">
        <v>9.6760000000000006E-3</v>
      </c>
      <c r="I61" s="22">
        <v>1.8977000000000001E-2</v>
      </c>
      <c r="J61" s="23">
        <v>3.7962000000000003E-2</v>
      </c>
    </row>
    <row r="62" spans="1:10">
      <c r="A62" s="11"/>
      <c r="B62" s="20">
        <v>75</v>
      </c>
      <c r="C62" s="11"/>
      <c r="D62" s="21">
        <v>2.3188E-2</v>
      </c>
      <c r="E62" s="22">
        <v>2.6825999999999999E-2</v>
      </c>
      <c r="F62" s="23">
        <v>5.4287000000000002E-2</v>
      </c>
      <c r="G62" s="20">
        <v>2.6825999999999999E-2</v>
      </c>
      <c r="H62" s="21">
        <v>1.0768E-2</v>
      </c>
      <c r="I62" s="22">
        <v>2.0937999999999998E-2</v>
      </c>
      <c r="J62" s="23">
        <v>4.1044999999999998E-2</v>
      </c>
    </row>
    <row r="63" spans="1:10">
      <c r="A63" s="11"/>
      <c r="B63" s="20">
        <v>76</v>
      </c>
      <c r="C63" s="11"/>
      <c r="D63" s="21">
        <v>2.5704000000000001E-2</v>
      </c>
      <c r="E63" s="22">
        <v>2.9607999999999999E-2</v>
      </c>
      <c r="F63" s="23">
        <v>5.7933999999999999E-2</v>
      </c>
      <c r="G63" s="20">
        <v>2.9607999999999999E-2</v>
      </c>
      <c r="H63" s="21">
        <v>1.1983000000000001E-2</v>
      </c>
      <c r="I63" s="22">
        <v>2.3118E-2</v>
      </c>
      <c r="J63" s="23">
        <v>4.4413000000000001E-2</v>
      </c>
    </row>
    <row r="64" spans="1:10">
      <c r="A64" s="11"/>
      <c r="B64" s="20">
        <v>77</v>
      </c>
      <c r="C64" s="11"/>
      <c r="D64" s="21">
        <v>2.8493000000000001E-2</v>
      </c>
      <c r="E64" s="22">
        <v>3.2735E-2</v>
      </c>
      <c r="F64" s="23">
        <v>6.1945E-2</v>
      </c>
      <c r="G64" s="20">
        <v>3.2735E-2</v>
      </c>
      <c r="H64" s="21">
        <v>1.3336000000000001E-2</v>
      </c>
      <c r="I64" s="22">
        <v>2.5554E-2</v>
      </c>
      <c r="J64" s="23">
        <v>4.8078000000000003E-2</v>
      </c>
    </row>
    <row r="65" spans="1:10">
      <c r="A65" s="11"/>
      <c r="B65" s="20">
        <v>78</v>
      </c>
      <c r="C65" s="11"/>
      <c r="D65" s="21">
        <v>3.1585000000000002E-2</v>
      </c>
      <c r="E65" s="22">
        <v>3.6257999999999999E-2</v>
      </c>
      <c r="F65" s="23">
        <v>6.6363000000000005E-2</v>
      </c>
      <c r="G65" s="20">
        <v>3.6257999999999999E-2</v>
      </c>
      <c r="H65" s="21">
        <v>1.4841E-2</v>
      </c>
      <c r="I65" s="22">
        <v>2.8288000000000001E-2</v>
      </c>
      <c r="J65" s="23">
        <v>5.2059000000000001E-2</v>
      </c>
    </row>
    <row r="66" spans="1:10">
      <c r="A66" s="11"/>
      <c r="B66" s="20">
        <v>79</v>
      </c>
      <c r="C66" s="11"/>
      <c r="D66" s="21">
        <v>3.5012000000000001E-2</v>
      </c>
      <c r="E66" s="22">
        <v>4.0231999999999997E-2</v>
      </c>
      <c r="F66" s="23">
        <v>7.1235000000000007E-2</v>
      </c>
      <c r="G66" s="20">
        <v>4.0231999999999997E-2</v>
      </c>
      <c r="H66" s="21">
        <v>1.6515999999999999E-2</v>
      </c>
      <c r="I66" s="22">
        <v>3.1365999999999998E-2</v>
      </c>
      <c r="J66" s="23">
        <v>5.6371999999999998E-2</v>
      </c>
    </row>
    <row r="67" spans="1:10">
      <c r="A67" s="11"/>
      <c r="B67" s="20">
        <v>80</v>
      </c>
      <c r="C67" s="11"/>
      <c r="D67" s="21">
        <v>3.8810999999999998E-2</v>
      </c>
      <c r="E67" s="22">
        <v>4.4721999999999998E-2</v>
      </c>
      <c r="F67" s="23">
        <v>7.6616000000000004E-2</v>
      </c>
      <c r="G67" s="20">
        <v>4.4721999999999998E-2</v>
      </c>
      <c r="H67" s="21">
        <v>1.8380000000000001E-2</v>
      </c>
      <c r="I67" s="22">
        <v>3.4844E-2</v>
      </c>
      <c r="J67" s="23">
        <v>6.1036E-2</v>
      </c>
    </row>
    <row r="68" spans="1:10">
      <c r="A68" s="11"/>
      <c r="B68" s="20">
        <v>81</v>
      </c>
      <c r="C68" s="11"/>
      <c r="D68" s="21"/>
      <c r="E68" s="22">
        <v>4.9794999999999999E-2</v>
      </c>
      <c r="F68" s="23">
        <v>8.2561999999999997E-2</v>
      </c>
      <c r="G68" s="20">
        <v>4.9794999999999999E-2</v>
      </c>
      <c r="H68" s="21"/>
      <c r="I68" s="22">
        <v>3.8782999999999998E-2</v>
      </c>
      <c r="J68" s="23">
        <v>6.6073999999999994E-2</v>
      </c>
    </row>
    <row r="69" spans="1:10">
      <c r="A69" s="11"/>
      <c r="B69" s="20">
        <v>82</v>
      </c>
      <c r="C69" s="11"/>
      <c r="D69" s="21"/>
      <c r="E69" s="22">
        <v>5.5525999999999999E-2</v>
      </c>
      <c r="F69" s="23">
        <v>8.9136000000000007E-2</v>
      </c>
      <c r="G69" s="20">
        <v>5.5525999999999999E-2</v>
      </c>
      <c r="H69" s="21"/>
      <c r="I69" s="22">
        <v>4.3246E-2</v>
      </c>
      <c r="J69" s="23">
        <v>7.1506E-2</v>
      </c>
    </row>
    <row r="70" spans="1:10">
      <c r="A70" s="11"/>
      <c r="B70" s="20">
        <v>83</v>
      </c>
      <c r="C70" s="11"/>
      <c r="D70" s="21"/>
      <c r="E70" s="22">
        <v>6.1996000000000002E-2</v>
      </c>
      <c r="F70" s="23">
        <v>9.6405000000000005E-2</v>
      </c>
      <c r="G70" s="20">
        <v>6.1996000000000002E-2</v>
      </c>
      <c r="H70" s="21"/>
      <c r="I70" s="22">
        <v>4.8305000000000001E-2</v>
      </c>
      <c r="J70" s="23">
        <v>7.7356999999999995E-2</v>
      </c>
    </row>
    <row r="71" spans="1:10">
      <c r="A71" s="11"/>
      <c r="B71" s="20">
        <v>84</v>
      </c>
      <c r="C71" s="11"/>
      <c r="D71" s="21"/>
      <c r="E71" s="22">
        <v>6.9290000000000004E-2</v>
      </c>
      <c r="F71" s="23">
        <v>0.104436</v>
      </c>
      <c r="G71" s="20">
        <v>6.9290000000000004E-2</v>
      </c>
      <c r="H71" s="21"/>
      <c r="I71" s="22">
        <v>5.4031999999999997E-2</v>
      </c>
      <c r="J71" s="23">
        <v>8.3652000000000004E-2</v>
      </c>
    </row>
    <row r="72" spans="1:10">
      <c r="A72" s="11"/>
      <c r="B72" s="20">
        <v>85</v>
      </c>
      <c r="C72" s="11"/>
      <c r="D72" s="21"/>
      <c r="E72" s="22">
        <v>7.7496999999999996E-2</v>
      </c>
      <c r="F72" s="23">
        <v>0.113303</v>
      </c>
      <c r="G72" s="20">
        <v>7.7496999999999996E-2</v>
      </c>
      <c r="H72" s="21"/>
      <c r="I72" s="22">
        <v>6.0504000000000002E-2</v>
      </c>
      <c r="J72" s="23">
        <v>9.042E-2</v>
      </c>
    </row>
    <row r="73" spans="1:10">
      <c r="A73" s="11"/>
      <c r="B73" s="20">
        <v>86</v>
      </c>
      <c r="C73" s="11"/>
      <c r="D73" s="21"/>
      <c r="E73" s="22">
        <v>8.6711999999999997E-2</v>
      </c>
      <c r="F73" s="23">
        <v>0.123081</v>
      </c>
      <c r="G73" s="20">
        <v>8.6711999999999997E-2</v>
      </c>
      <c r="H73" s="21"/>
      <c r="I73" s="22">
        <v>6.7801E-2</v>
      </c>
      <c r="J73" s="23">
        <v>9.7694000000000003E-2</v>
      </c>
    </row>
    <row r="74" spans="1:10">
      <c r="A74" s="11"/>
      <c r="B74" s="20">
        <v>87</v>
      </c>
      <c r="C74" s="11"/>
      <c r="D74" s="21"/>
      <c r="E74" s="22">
        <v>9.7037999999999999E-2</v>
      </c>
      <c r="F74" s="23">
        <v>0.13385</v>
      </c>
      <c r="G74" s="20">
        <v>9.7037999999999999E-2</v>
      </c>
      <c r="H74" s="21"/>
      <c r="I74" s="22">
        <v>7.6011999999999996E-2</v>
      </c>
      <c r="J74" s="23">
        <v>0.10551000000000001</v>
      </c>
    </row>
    <row r="75" spans="1:10">
      <c r="A75" s="11"/>
      <c r="B75" s="20">
        <v>88</v>
      </c>
      <c r="C75" s="11"/>
      <c r="D75" s="21"/>
      <c r="E75" s="22">
        <v>0.10859099999999999</v>
      </c>
      <c r="F75" s="23">
        <v>0.14569699999999999</v>
      </c>
      <c r="G75" s="20">
        <v>0.10859099999999999</v>
      </c>
      <c r="H75" s="21"/>
      <c r="I75" s="22">
        <v>8.523E-2</v>
      </c>
      <c r="J75" s="23">
        <v>0.113909</v>
      </c>
    </row>
    <row r="76" spans="1:10">
      <c r="A76" s="11"/>
      <c r="B76" s="20">
        <v>89</v>
      </c>
      <c r="C76" s="11"/>
      <c r="D76" s="21"/>
      <c r="E76" s="22">
        <v>0.121499</v>
      </c>
      <c r="F76" s="23">
        <v>0.15871399999999999</v>
      </c>
      <c r="G76" s="20">
        <v>0.121499</v>
      </c>
      <c r="H76" s="21"/>
      <c r="I76" s="22">
        <v>9.5562999999999995E-2</v>
      </c>
      <c r="J76" s="23">
        <v>0.12293900000000001</v>
      </c>
    </row>
    <row r="77" spans="1:10">
      <c r="A77" s="11"/>
      <c r="B77" s="20">
        <v>90</v>
      </c>
      <c r="C77" s="11"/>
      <c r="D77" s="21"/>
      <c r="E77" s="22">
        <v>0.135908</v>
      </c>
      <c r="F77" s="23">
        <v>0.17300499999999999</v>
      </c>
      <c r="G77" s="20">
        <v>0.135908</v>
      </c>
      <c r="H77" s="21"/>
      <c r="I77" s="22">
        <v>0.107126</v>
      </c>
      <c r="J77" s="23">
        <v>0.13265199999999999</v>
      </c>
    </row>
    <row r="78" spans="1:10">
      <c r="A78" s="11"/>
      <c r="B78" s="20">
        <v>91</v>
      </c>
      <c r="C78" s="11"/>
      <c r="D78" s="21"/>
      <c r="E78" s="22">
        <v>0.15132200000000001</v>
      </c>
      <c r="F78" s="23">
        <v>0.18746399999999999</v>
      </c>
      <c r="G78" s="20">
        <v>0.15132200000000001</v>
      </c>
      <c r="H78" s="21"/>
      <c r="I78" s="22">
        <v>0.119744</v>
      </c>
      <c r="J78" s="23">
        <v>0.14341999999999999</v>
      </c>
    </row>
    <row r="79" spans="1:10">
      <c r="A79" s="11"/>
      <c r="B79" s="20">
        <v>92</v>
      </c>
      <c r="C79" s="11"/>
      <c r="D79" s="21"/>
      <c r="E79" s="22">
        <v>0.16742199999999999</v>
      </c>
      <c r="F79" s="23">
        <v>0.2021</v>
      </c>
      <c r="G79" s="20">
        <v>0.16742199999999999</v>
      </c>
      <c r="H79" s="21"/>
      <c r="I79" s="22">
        <v>0.133299</v>
      </c>
      <c r="J79" s="23">
        <v>0.15518599999999999</v>
      </c>
    </row>
    <row r="80" spans="1:10">
      <c r="A80" s="11"/>
      <c r="B80" s="20">
        <v>93</v>
      </c>
      <c r="C80" s="11"/>
      <c r="D80" s="21"/>
      <c r="E80" s="22">
        <v>0.18403</v>
      </c>
      <c r="F80" s="23">
        <v>0.21692400000000001</v>
      </c>
      <c r="G80" s="20">
        <v>0.18403</v>
      </c>
      <c r="H80" s="21"/>
      <c r="I80" s="22">
        <v>0.14771999999999999</v>
      </c>
      <c r="J80" s="23">
        <v>0.16789000000000001</v>
      </c>
    </row>
    <row r="81" spans="1:10">
      <c r="A81" s="11"/>
      <c r="B81" s="20">
        <v>94</v>
      </c>
      <c r="C81" s="11"/>
      <c r="D81" s="21"/>
      <c r="E81" s="22">
        <v>0.201074</v>
      </c>
      <c r="F81" s="23">
        <v>0.23194400000000001</v>
      </c>
      <c r="G81" s="20">
        <v>0.201074</v>
      </c>
      <c r="H81" s="21"/>
      <c r="I81" s="22">
        <v>0.162971</v>
      </c>
      <c r="J81" s="23">
        <v>0.181474</v>
      </c>
    </row>
    <row r="82" spans="1:10">
      <c r="A82" s="11"/>
      <c r="B82" s="20">
        <v>95</v>
      </c>
      <c r="C82" s="11"/>
      <c r="D82" s="21"/>
      <c r="E82" s="22">
        <v>0.218559</v>
      </c>
      <c r="F82" s="23">
        <v>0.247169</v>
      </c>
      <c r="G82" s="20">
        <v>0.218559</v>
      </c>
      <c r="H82" s="21"/>
      <c r="I82" s="22">
        <v>0.179034</v>
      </c>
      <c r="J82" s="23">
        <v>0.19588</v>
      </c>
    </row>
    <row r="83" spans="1:10">
      <c r="A83" s="11"/>
      <c r="B83" s="20">
        <v>96</v>
      </c>
      <c r="C83" s="11"/>
      <c r="D83" s="21"/>
      <c r="E83" s="22">
        <v>0.236535</v>
      </c>
      <c r="F83" s="23">
        <v>0.26261000000000001</v>
      </c>
      <c r="G83" s="20">
        <v>0.236535</v>
      </c>
      <c r="H83" s="21"/>
      <c r="I83" s="22">
        <v>0.19590299999999999</v>
      </c>
      <c r="J83" s="23">
        <v>0.21104899999999999</v>
      </c>
    </row>
    <row r="84" spans="1:10">
      <c r="A84" s="11"/>
      <c r="B84" s="20">
        <v>97</v>
      </c>
      <c r="C84" s="11"/>
      <c r="D84" s="21"/>
      <c r="E84" s="22">
        <v>0.25505899999999998</v>
      </c>
      <c r="F84" s="23">
        <v>0.27827600000000002</v>
      </c>
      <c r="G84" s="20">
        <v>0.25505899999999998</v>
      </c>
      <c r="H84" s="21"/>
      <c r="I84" s="22">
        <v>0.213565</v>
      </c>
      <c r="J84" s="23">
        <v>0.22692300000000001</v>
      </c>
    </row>
    <row r="85" spans="1:10">
      <c r="A85" s="11"/>
      <c r="B85" s="20">
        <v>98</v>
      </c>
      <c r="C85" s="11"/>
      <c r="D85" s="21"/>
      <c r="E85" s="22">
        <v>0.27417000000000002</v>
      </c>
      <c r="F85" s="23">
        <v>0.29417599999999999</v>
      </c>
      <c r="G85" s="20">
        <v>0.27417000000000002</v>
      </c>
      <c r="H85" s="21"/>
      <c r="I85" s="22">
        <v>0.231991</v>
      </c>
      <c r="J85" s="23">
        <v>0.24344299999999999</v>
      </c>
    </row>
    <row r="86" spans="1:10">
      <c r="A86" s="11"/>
      <c r="B86" s="20">
        <v>99</v>
      </c>
      <c r="C86" s="11"/>
      <c r="D86" s="21"/>
      <c r="E86" s="22">
        <v>0.293848</v>
      </c>
      <c r="F86" s="23">
        <v>0.31031999999999998</v>
      </c>
      <c r="G86" s="20">
        <v>0.293848</v>
      </c>
      <c r="H86" s="21"/>
      <c r="I86" s="22">
        <v>0.25112299999999999</v>
      </c>
      <c r="J86" s="23">
        <v>0.26055099999999998</v>
      </c>
    </row>
    <row r="87" spans="1:10">
      <c r="A87" s="11"/>
      <c r="B87" s="20">
        <v>100</v>
      </c>
      <c r="C87" s="11"/>
      <c r="D87" s="21"/>
      <c r="E87" s="22">
        <v>0.31398799999999999</v>
      </c>
      <c r="F87" s="23">
        <v>0.32671699999999998</v>
      </c>
      <c r="G87" s="20">
        <v>0.31398799999999999</v>
      </c>
      <c r="H87" s="21"/>
      <c r="I87" s="22">
        <v>0.27085799999999999</v>
      </c>
      <c r="J87" s="23">
        <v>0.27818900000000002</v>
      </c>
    </row>
    <row r="88" spans="1:10">
      <c r="A88" s="11"/>
      <c r="B88" s="20">
        <v>101</v>
      </c>
      <c r="C88" s="11"/>
      <c r="D88" s="21"/>
      <c r="E88" s="22">
        <v>0.33436500000000002</v>
      </c>
      <c r="F88" s="23">
        <v>0.34337600000000001</v>
      </c>
      <c r="G88" s="20">
        <v>0.33436500000000002</v>
      </c>
      <c r="H88" s="21"/>
      <c r="I88" s="22">
        <v>0.29104000000000002</v>
      </c>
      <c r="J88" s="23">
        <v>0.29629699999999998</v>
      </c>
    </row>
    <row r="89" spans="1:10">
      <c r="A89" s="11"/>
      <c r="B89" s="20">
        <v>102</v>
      </c>
      <c r="C89" s="11"/>
      <c r="D89" s="21"/>
      <c r="E89" s="22">
        <v>0.354599</v>
      </c>
      <c r="F89" s="23">
        <v>0.36030800000000002</v>
      </c>
      <c r="G89" s="20">
        <v>0.354599</v>
      </c>
      <c r="H89" s="21"/>
      <c r="I89" s="22">
        <v>0.311444</v>
      </c>
      <c r="J89" s="23">
        <v>0.31481900000000002</v>
      </c>
    </row>
    <row r="90" spans="1:10">
      <c r="A90" s="11"/>
      <c r="B90" s="20">
        <v>103</v>
      </c>
      <c r="C90" s="11"/>
      <c r="D90" s="21"/>
      <c r="E90" s="22">
        <v>0.37452400000000002</v>
      </c>
      <c r="F90" s="23">
        <v>0.37752200000000002</v>
      </c>
      <c r="G90" s="20">
        <v>0.37452400000000002</v>
      </c>
      <c r="H90" s="21"/>
      <c r="I90" s="22">
        <v>0.33189999999999997</v>
      </c>
      <c r="J90" s="23">
        <v>0.33369399999999999</v>
      </c>
    </row>
    <row r="91" spans="1:10">
      <c r="A91" s="11"/>
      <c r="B91" s="20">
        <v>104</v>
      </c>
      <c r="C91" s="11"/>
      <c r="D91" s="21"/>
      <c r="E91" s="22">
        <v>0.393982</v>
      </c>
      <c r="F91" s="23">
        <v>0.39502599999999999</v>
      </c>
      <c r="G91" s="20">
        <v>0.393982</v>
      </c>
      <c r="H91" s="21"/>
      <c r="I91" s="22">
        <v>0.35223199999999999</v>
      </c>
      <c r="J91" s="23">
        <v>0.35286499999999998</v>
      </c>
    </row>
    <row r="92" spans="1:10">
      <c r="A92" s="11"/>
      <c r="B92" s="20">
        <v>105</v>
      </c>
      <c r="C92" s="11"/>
      <c r="D92" s="21"/>
      <c r="E92" s="22">
        <v>0.412831</v>
      </c>
      <c r="F92" s="23">
        <v>0.412831</v>
      </c>
      <c r="G92" s="20">
        <v>0.412831</v>
      </c>
      <c r="H92" s="21"/>
      <c r="I92" s="22">
        <v>0.37227300000000002</v>
      </c>
      <c r="J92" s="23">
        <v>0.37227300000000002</v>
      </c>
    </row>
    <row r="93" spans="1:10">
      <c r="A93" s="11"/>
      <c r="B93" s="20">
        <v>106</v>
      </c>
      <c r="C93" s="11"/>
      <c r="D93" s="21"/>
      <c r="E93" s="22">
        <v>0.430946</v>
      </c>
      <c r="F93" s="23">
        <v>0.430946</v>
      </c>
      <c r="G93" s="20">
        <v>0.430946</v>
      </c>
      <c r="H93" s="21"/>
      <c r="I93" s="22">
        <v>0.39185999999999999</v>
      </c>
      <c r="J93" s="23">
        <v>0.39185999999999999</v>
      </c>
    </row>
    <row r="94" spans="1:10">
      <c r="A94" s="11"/>
      <c r="B94" s="20">
        <v>107</v>
      </c>
      <c r="C94" s="11"/>
      <c r="D94" s="21"/>
      <c r="E94" s="22">
        <v>0.44822699999999999</v>
      </c>
      <c r="F94" s="23">
        <v>0.44822699999999999</v>
      </c>
      <c r="G94" s="20">
        <v>0.44822699999999999</v>
      </c>
      <c r="H94" s="21"/>
      <c r="I94" s="22">
        <v>0.41084900000000002</v>
      </c>
      <c r="J94" s="23">
        <v>0.41084900000000002</v>
      </c>
    </row>
    <row r="95" spans="1:10">
      <c r="A95" s="11"/>
      <c r="B95" s="20">
        <v>108</v>
      </c>
      <c r="C95" s="11"/>
      <c r="D95" s="21"/>
      <c r="E95" s="22">
        <v>0.464592</v>
      </c>
      <c r="F95" s="23">
        <v>0.464592</v>
      </c>
      <c r="G95" s="20">
        <v>0.464592</v>
      </c>
      <c r="H95" s="21"/>
      <c r="I95" s="22">
        <v>0.42911199999999999</v>
      </c>
      <c r="J95" s="23">
        <v>0.42911199999999999</v>
      </c>
    </row>
    <row r="96" spans="1:10">
      <c r="A96" s="11"/>
      <c r="B96" s="20">
        <v>109</v>
      </c>
      <c r="C96" s="11"/>
      <c r="D96" s="21"/>
      <c r="E96" s="22">
        <v>0.479987</v>
      </c>
      <c r="F96" s="23">
        <v>0.479987</v>
      </c>
      <c r="G96" s="20">
        <v>0.479987</v>
      </c>
      <c r="H96" s="21"/>
      <c r="I96" s="22">
        <v>0.446544</v>
      </c>
      <c r="J96" s="23">
        <v>0.446544</v>
      </c>
    </row>
    <row r="97" spans="1:10">
      <c r="A97" s="11"/>
      <c r="B97" s="20">
        <v>110</v>
      </c>
      <c r="C97" s="11"/>
      <c r="D97" s="21"/>
      <c r="E97" s="22">
        <v>0.49437599999999998</v>
      </c>
      <c r="F97" s="23">
        <v>0.49437599999999998</v>
      </c>
      <c r="G97" s="20">
        <v>0.49437599999999998</v>
      </c>
      <c r="H97" s="21"/>
      <c r="I97" s="22">
        <v>0.463061</v>
      </c>
      <c r="J97" s="23">
        <v>0.463061</v>
      </c>
    </row>
    <row r="98" spans="1:10">
      <c r="A98" s="11"/>
      <c r="B98" s="20">
        <v>111</v>
      </c>
      <c r="C98" s="11"/>
      <c r="D98" s="21"/>
      <c r="E98" s="22">
        <v>0.5</v>
      </c>
      <c r="F98" s="23">
        <v>0.5</v>
      </c>
      <c r="G98" s="20">
        <v>0.5</v>
      </c>
      <c r="H98" s="21"/>
      <c r="I98" s="22">
        <v>0.47860399999999997</v>
      </c>
      <c r="J98" s="23">
        <v>0.47860399999999997</v>
      </c>
    </row>
    <row r="99" spans="1:10">
      <c r="A99" s="11"/>
      <c r="B99" s="20">
        <v>112</v>
      </c>
      <c r="C99" s="11"/>
      <c r="D99" s="21"/>
      <c r="E99" s="22">
        <v>0.5</v>
      </c>
      <c r="F99" s="23">
        <v>0.5</v>
      </c>
      <c r="G99" s="20">
        <v>0.5</v>
      </c>
      <c r="H99" s="21"/>
      <c r="I99" s="22">
        <v>0.49313699999999999</v>
      </c>
      <c r="J99" s="23">
        <v>0.49313699999999999</v>
      </c>
    </row>
    <row r="100" spans="1:10">
      <c r="A100" s="11"/>
      <c r="B100" s="20">
        <v>113</v>
      </c>
      <c r="C100" s="11"/>
      <c r="D100" s="21"/>
      <c r="E100" s="22">
        <v>0.5</v>
      </c>
      <c r="F100" s="23">
        <v>0.5</v>
      </c>
      <c r="G100" s="20">
        <v>0.5</v>
      </c>
      <c r="H100" s="21"/>
      <c r="I100" s="22">
        <v>0.5</v>
      </c>
      <c r="J100" s="23">
        <v>0.5</v>
      </c>
    </row>
    <row r="101" spans="1:10">
      <c r="A101" s="11"/>
      <c r="B101" s="20">
        <v>114</v>
      </c>
      <c r="C101" s="11"/>
      <c r="D101" s="21"/>
      <c r="E101" s="22">
        <v>0.5</v>
      </c>
      <c r="F101" s="23">
        <v>0.5</v>
      </c>
      <c r="G101" s="20">
        <v>0.5</v>
      </c>
      <c r="H101" s="21"/>
      <c r="I101" s="22">
        <v>0.5</v>
      </c>
      <c r="J101" s="23">
        <v>0.5</v>
      </c>
    </row>
    <row r="102" spans="1:10">
      <c r="A102" s="11"/>
      <c r="B102" s="20">
        <v>115</v>
      </c>
      <c r="C102" s="11"/>
      <c r="D102" s="21"/>
      <c r="E102" s="22">
        <v>0.5</v>
      </c>
      <c r="F102" s="23">
        <v>0.5</v>
      </c>
      <c r="G102" s="20">
        <v>0.5</v>
      </c>
      <c r="H102" s="21"/>
      <c r="I102" s="22">
        <v>0.5</v>
      </c>
      <c r="J102" s="23">
        <v>0.5</v>
      </c>
    </row>
    <row r="103" spans="1:10">
      <c r="A103" s="11"/>
      <c r="B103" s="20">
        <v>116</v>
      </c>
      <c r="C103" s="11"/>
      <c r="D103" s="21"/>
      <c r="E103" s="22">
        <v>0.5</v>
      </c>
      <c r="F103" s="23">
        <v>0.5</v>
      </c>
      <c r="G103" s="20">
        <v>0.5</v>
      </c>
      <c r="H103" s="21"/>
      <c r="I103" s="22">
        <v>0.5</v>
      </c>
      <c r="J103" s="23">
        <v>0.5</v>
      </c>
    </row>
    <row r="104" spans="1:10">
      <c r="A104" s="11"/>
      <c r="B104" s="20">
        <v>117</v>
      </c>
      <c r="C104" s="11"/>
      <c r="D104" s="21"/>
      <c r="E104" s="22">
        <v>0.5</v>
      </c>
      <c r="F104" s="23">
        <v>0.5</v>
      </c>
      <c r="G104" s="20">
        <v>0.5</v>
      </c>
      <c r="H104" s="21"/>
      <c r="I104" s="22">
        <v>0.5</v>
      </c>
      <c r="J104" s="23">
        <v>0.5</v>
      </c>
    </row>
    <row r="105" spans="1:10">
      <c r="A105" s="11"/>
      <c r="B105" s="20">
        <v>118</v>
      </c>
      <c r="C105" s="11"/>
      <c r="D105" s="21"/>
      <c r="E105" s="22">
        <v>0.5</v>
      </c>
      <c r="F105" s="23">
        <v>0.5</v>
      </c>
      <c r="G105" s="20">
        <v>0.5</v>
      </c>
      <c r="H105" s="21"/>
      <c r="I105" s="22">
        <v>0.5</v>
      </c>
      <c r="J105" s="23">
        <v>0.5</v>
      </c>
    </row>
    <row r="106" spans="1:10">
      <c r="A106" s="11"/>
      <c r="B106" s="20">
        <v>119</v>
      </c>
      <c r="C106" s="11"/>
      <c r="D106" s="21"/>
      <c r="E106" s="22">
        <v>0.5</v>
      </c>
      <c r="F106" s="23">
        <v>0.5</v>
      </c>
      <c r="G106" s="20">
        <v>0.5</v>
      </c>
      <c r="H106" s="21"/>
      <c r="I106" s="22">
        <v>0.5</v>
      </c>
      <c r="J106" s="23">
        <v>0.5</v>
      </c>
    </row>
    <row r="107" spans="1:10" ht="15.75" thickBot="1">
      <c r="A107" s="11"/>
      <c r="B107" s="20">
        <v>120</v>
      </c>
      <c r="C107" s="11"/>
      <c r="D107" s="24"/>
      <c r="E107" s="25">
        <v>1</v>
      </c>
      <c r="F107" s="26">
        <v>1</v>
      </c>
      <c r="G107" s="20">
        <v>1</v>
      </c>
      <c r="H107" s="24"/>
      <c r="I107" s="25">
        <v>1</v>
      </c>
      <c r="J107" s="26">
        <v>1</v>
      </c>
    </row>
  </sheetData>
  <mergeCells count="2">
    <mergeCell ref="D3:F3"/>
    <mergeCell ref="H3:J3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Y102"/>
  <sheetViews>
    <sheetView topLeftCell="AS78" workbookViewId="0">
      <selection activeCell="A88" sqref="A88:XFD88"/>
    </sheetView>
  </sheetViews>
  <sheetFormatPr defaultColWidth="10.7109375" defaultRowHeight="15"/>
  <cols>
    <col min="1" max="1" width="10.7109375" style="47"/>
    <col min="2" max="16384" width="10.7109375" style="28"/>
  </cols>
  <sheetData>
    <row r="1" spans="1:103" ht="15.75">
      <c r="A1" s="52" t="s">
        <v>81</v>
      </c>
      <c r="B1" s="49">
        <v>2014</v>
      </c>
      <c r="C1" s="49">
        <v>2015</v>
      </c>
      <c r="D1" s="49">
        <v>2016</v>
      </c>
      <c r="E1" s="49">
        <v>2017</v>
      </c>
      <c r="F1" s="49">
        <v>2018</v>
      </c>
      <c r="G1" s="49">
        <v>2019</v>
      </c>
      <c r="H1" s="49">
        <v>2020</v>
      </c>
      <c r="I1" s="49">
        <v>2021</v>
      </c>
      <c r="J1" s="49">
        <v>2022</v>
      </c>
      <c r="K1" s="49">
        <v>2023</v>
      </c>
      <c r="L1" s="49">
        <v>2024</v>
      </c>
      <c r="M1" s="49">
        <v>2025</v>
      </c>
      <c r="N1" s="49">
        <v>2026</v>
      </c>
      <c r="O1" s="49">
        <v>2027</v>
      </c>
      <c r="P1" s="49">
        <v>2028</v>
      </c>
      <c r="Q1" s="49">
        <v>2029</v>
      </c>
      <c r="R1" s="49">
        <v>2030</v>
      </c>
      <c r="S1" s="49">
        <v>2031</v>
      </c>
      <c r="T1" s="49">
        <v>2032</v>
      </c>
      <c r="U1" s="51">
        <v>2033</v>
      </c>
      <c r="V1" s="51">
        <v>2034</v>
      </c>
      <c r="W1" s="51">
        <v>2035</v>
      </c>
      <c r="X1" s="51">
        <v>2036</v>
      </c>
      <c r="Y1" s="51">
        <v>2037</v>
      </c>
      <c r="Z1" s="51">
        <v>2038</v>
      </c>
      <c r="AA1" s="51">
        <v>2039</v>
      </c>
      <c r="AB1" s="51">
        <v>2040</v>
      </c>
      <c r="AC1" s="51">
        <v>2041</v>
      </c>
      <c r="AD1" s="51">
        <v>2042</v>
      </c>
      <c r="AE1" s="51">
        <v>2043</v>
      </c>
      <c r="AF1" s="51">
        <v>2044</v>
      </c>
      <c r="AG1" s="51">
        <v>2045</v>
      </c>
      <c r="AH1" s="51">
        <v>2046</v>
      </c>
      <c r="AI1" s="51">
        <v>2047</v>
      </c>
      <c r="AJ1" s="51">
        <v>2048</v>
      </c>
      <c r="AK1" s="51">
        <v>2049</v>
      </c>
      <c r="AL1" s="51">
        <v>2050</v>
      </c>
      <c r="AM1" s="51">
        <v>2051</v>
      </c>
      <c r="AN1" s="51">
        <v>2052</v>
      </c>
      <c r="AO1" s="51">
        <v>2053</v>
      </c>
      <c r="AP1" s="51">
        <v>2054</v>
      </c>
      <c r="AQ1" s="51">
        <v>2055</v>
      </c>
      <c r="AR1" s="51">
        <v>2056</v>
      </c>
      <c r="AS1" s="51">
        <v>2057</v>
      </c>
      <c r="AT1" s="51">
        <v>2058</v>
      </c>
      <c r="AU1" s="51">
        <v>2059</v>
      </c>
      <c r="AV1" s="51">
        <v>2060</v>
      </c>
      <c r="AW1" s="51">
        <v>2061</v>
      </c>
      <c r="AX1" s="51">
        <v>2062</v>
      </c>
      <c r="AY1" s="51">
        <v>2063</v>
      </c>
      <c r="AZ1" s="51">
        <v>2064</v>
      </c>
      <c r="BA1" s="51">
        <v>2065</v>
      </c>
      <c r="BB1" s="51">
        <v>2066</v>
      </c>
      <c r="BC1" s="51">
        <v>2067</v>
      </c>
      <c r="BD1" s="51">
        <v>2068</v>
      </c>
      <c r="BE1" s="51">
        <v>2069</v>
      </c>
      <c r="BF1" s="51">
        <v>2070</v>
      </c>
      <c r="BG1" s="51">
        <v>2071</v>
      </c>
      <c r="BH1" s="51">
        <v>2072</v>
      </c>
      <c r="BI1" s="51">
        <v>2073</v>
      </c>
      <c r="BJ1" s="51">
        <v>2074</v>
      </c>
      <c r="BK1" s="51">
        <v>2075</v>
      </c>
      <c r="BL1" s="51">
        <v>2076</v>
      </c>
      <c r="BM1" s="51">
        <v>2077</v>
      </c>
      <c r="BN1" s="51">
        <v>2078</v>
      </c>
      <c r="BO1" s="51">
        <v>2079</v>
      </c>
      <c r="BP1" s="51">
        <v>2080</v>
      </c>
      <c r="BQ1" s="51">
        <v>2081</v>
      </c>
      <c r="BR1" s="51">
        <v>2082</v>
      </c>
      <c r="BS1" s="51">
        <v>2083</v>
      </c>
      <c r="BT1" s="51">
        <v>2084</v>
      </c>
      <c r="BU1" s="51">
        <v>2085</v>
      </c>
      <c r="BV1" s="51">
        <v>2086</v>
      </c>
      <c r="BW1" s="51">
        <v>2087</v>
      </c>
      <c r="BX1" s="51">
        <v>2088</v>
      </c>
      <c r="BY1" s="51">
        <v>2089</v>
      </c>
      <c r="BZ1" s="51">
        <v>2090</v>
      </c>
      <c r="CA1" s="51">
        <v>2091</v>
      </c>
      <c r="CB1" s="51">
        <v>2092</v>
      </c>
      <c r="CC1" s="51">
        <v>2093</v>
      </c>
      <c r="CD1" s="51">
        <v>2094</v>
      </c>
      <c r="CE1" s="51">
        <v>2095</v>
      </c>
      <c r="CF1" s="51">
        <v>2096</v>
      </c>
      <c r="CG1" s="51">
        <v>2097</v>
      </c>
      <c r="CH1" s="51">
        <v>2098</v>
      </c>
      <c r="CI1" s="51">
        <v>2099</v>
      </c>
      <c r="CJ1" s="51">
        <v>2100</v>
      </c>
      <c r="CK1" s="51">
        <v>2101</v>
      </c>
      <c r="CL1" s="51">
        <v>2102</v>
      </c>
      <c r="CM1" s="51">
        <v>2103</v>
      </c>
      <c r="CN1" s="51">
        <v>2104</v>
      </c>
      <c r="CO1" s="51">
        <v>2105</v>
      </c>
      <c r="CP1" s="51">
        <v>2106</v>
      </c>
      <c r="CQ1" s="51">
        <v>2107</v>
      </c>
      <c r="CR1" s="51">
        <v>2108</v>
      </c>
      <c r="CS1" s="51">
        <v>2109</v>
      </c>
      <c r="CT1" s="51">
        <v>2110</v>
      </c>
      <c r="CU1" s="51">
        <v>2111</v>
      </c>
      <c r="CV1" s="51">
        <v>2112</v>
      </c>
      <c r="CW1" s="51">
        <v>2113</v>
      </c>
      <c r="CX1" s="51">
        <v>2114</v>
      </c>
      <c r="CY1" s="28">
        <v>2115</v>
      </c>
    </row>
    <row r="2" spans="1:103" ht="15.75">
      <c r="A2" s="50" t="s">
        <v>75</v>
      </c>
      <c r="B2" s="48">
        <v>4.06E-4</v>
      </c>
      <c r="C2" s="48">
        <v>4.099382E-4</v>
      </c>
      <c r="D2" s="48">
        <v>4.1350466233999999E-4</v>
      </c>
      <c r="E2" s="48">
        <v>4.1652324637508203E-4</v>
      </c>
      <c r="F2" s="48">
        <v>4.1881412423014499E-4</v>
      </c>
      <c r="G2" s="48">
        <v>4.202799736649505E-4</v>
      </c>
      <c r="H2" s="48">
        <v>4.2086836562808144E-4</v>
      </c>
      <c r="I2" s="48">
        <v>4.2061584460870459E-4</v>
      </c>
      <c r="J2" s="48">
        <v>4.1956430499718287E-4</v>
      </c>
      <c r="K2" s="48">
        <v>4.1788604777719416E-4</v>
      </c>
      <c r="L2" s="48">
        <v>4.1579661753830821E-4</v>
      </c>
      <c r="M2" s="48">
        <v>4.1342657681833983E-4</v>
      </c>
      <c r="N2" s="48">
        <v>4.1073930406902064E-4</v>
      </c>
      <c r="O2" s="48">
        <v>4.0778198107972372E-4</v>
      </c>
      <c r="P2" s="48">
        <v>4.0460128162730187E-4</v>
      </c>
      <c r="Q2" s="48">
        <v>4.0120263086163254E-4</v>
      </c>
      <c r="R2" s="48">
        <v>3.9759180718387783E-4</v>
      </c>
      <c r="S2" s="48">
        <v>3.9385444419634937E-4</v>
      </c>
      <c r="T2" s="48">
        <v>3.9003405608764477E-4</v>
      </c>
      <c r="U2" s="49">
        <v>3.8617271893237707E-4</v>
      </c>
      <c r="V2" s="49">
        <v>3.8231099174305331E-4</v>
      </c>
      <c r="W2" s="49">
        <v>3.7848788182562277E-4</v>
      </c>
      <c r="X2" s="49">
        <v>3.7470300300736654E-4</v>
      </c>
      <c r="Y2" s="49">
        <v>3.7095597297729288E-4</v>
      </c>
      <c r="Z2" s="49">
        <v>3.6724641324751997E-4</v>
      </c>
      <c r="AA2" s="49">
        <v>3.6357394911504476E-4</v>
      </c>
      <c r="AB2" s="49">
        <v>3.5993820962389433E-4</v>
      </c>
      <c r="AC2" s="49">
        <v>3.5633882752765538E-4</v>
      </c>
      <c r="AD2" s="49">
        <v>3.5277543925237882E-4</v>
      </c>
      <c r="AE2" s="49">
        <v>3.4924768485985504E-4</v>
      </c>
      <c r="AF2" s="49">
        <v>3.4575520801125649E-4</v>
      </c>
      <c r="AG2" s="49">
        <v>3.4229765593114391E-4</v>
      </c>
      <c r="AH2" s="49">
        <v>3.3887467937183247E-4</v>
      </c>
      <c r="AI2" s="49">
        <v>3.3548593257811413E-4</v>
      </c>
      <c r="AJ2" s="49">
        <v>3.3213107325233296E-4</v>
      </c>
      <c r="AK2" s="49">
        <v>3.2880976251980961E-4</v>
      </c>
      <c r="AL2" s="49">
        <v>3.2552166489461154E-4</v>
      </c>
      <c r="AM2" s="49">
        <v>3.2226644824566545E-4</v>
      </c>
      <c r="AN2" s="49">
        <v>3.1904378376320877E-4</v>
      </c>
      <c r="AO2" s="49">
        <v>3.158533459255767E-4</v>
      </c>
      <c r="AP2" s="49">
        <v>3.1269481246632092E-4</v>
      </c>
      <c r="AQ2" s="49">
        <v>3.0956786434165772E-4</v>
      </c>
      <c r="AR2" s="49">
        <v>3.0647218569824114E-4</v>
      </c>
      <c r="AS2" s="49">
        <v>3.0340746384125875E-4</v>
      </c>
      <c r="AT2" s="49">
        <v>3.0037338920284616E-4</v>
      </c>
      <c r="AU2" s="49">
        <v>2.9736965531081767E-4</v>
      </c>
      <c r="AV2" s="49">
        <v>2.9439595875770948E-4</v>
      </c>
      <c r="AW2" s="49">
        <v>2.914519991701324E-4</v>
      </c>
      <c r="AX2" s="49">
        <v>2.885374791784311E-4</v>
      </c>
      <c r="AY2" s="49">
        <v>2.856521043866468E-4</v>
      </c>
      <c r="AZ2" s="49">
        <v>2.8279558334278035E-4</v>
      </c>
      <c r="BA2" s="49">
        <v>2.7996762750935253E-4</v>
      </c>
      <c r="BB2" s="49">
        <v>2.7716795123425899E-4</v>
      </c>
      <c r="BC2" s="49">
        <v>2.7439627172191639E-4</v>
      </c>
      <c r="BD2" s="49">
        <v>2.716523090046972E-4</v>
      </c>
      <c r="BE2" s="49">
        <v>2.6893578591465024E-4</v>
      </c>
      <c r="BF2" s="49">
        <v>2.6624642805550373E-4</v>
      </c>
      <c r="BG2" s="49">
        <v>2.635839637749487E-4</v>
      </c>
      <c r="BH2" s="49">
        <v>2.6094812413719921E-4</v>
      </c>
      <c r="BI2" s="49">
        <v>2.5833864289582722E-4</v>
      </c>
      <c r="BJ2" s="49">
        <v>2.5575525646686893E-4</v>
      </c>
      <c r="BK2" s="49">
        <v>2.5319770390220024E-4</v>
      </c>
      <c r="BL2" s="49">
        <v>2.5066572686317822E-4</v>
      </c>
      <c r="BM2" s="49">
        <v>2.4815906959454645E-4</v>
      </c>
      <c r="BN2" s="49">
        <v>2.4567747889860098E-4</v>
      </c>
      <c r="BO2" s="49">
        <v>2.4322070410961495E-4</v>
      </c>
      <c r="BP2" s="49">
        <v>2.407884970685188E-4</v>
      </c>
      <c r="BQ2" s="49">
        <v>2.3838061209783361E-4</v>
      </c>
      <c r="BR2" s="49">
        <v>2.3599680597685528E-4</v>
      </c>
      <c r="BS2" s="49">
        <v>2.3363683791708672E-4</v>
      </c>
      <c r="BT2" s="49">
        <v>2.3130046953791586E-4</v>
      </c>
      <c r="BU2" s="49">
        <v>2.2898746484253669E-4</v>
      </c>
      <c r="BV2" s="49">
        <v>2.2669759019411132E-4</v>
      </c>
      <c r="BW2" s="49">
        <v>2.2443061429217021E-4</v>
      </c>
      <c r="BX2" s="49">
        <v>2.221863081492485E-4</v>
      </c>
      <c r="BY2" s="49">
        <v>2.1996444506775602E-4</v>
      </c>
      <c r="BZ2" s="49">
        <v>2.1776480061707845E-4</v>
      </c>
      <c r="CA2" s="49">
        <v>2.1558715261090766E-4</v>
      </c>
      <c r="CB2" s="49">
        <v>2.1343128108479857E-4</v>
      </c>
      <c r="CC2" s="49">
        <v>2.1129696827395058E-4</v>
      </c>
      <c r="CD2" s="49">
        <v>2.0918399859121107E-4</v>
      </c>
      <c r="CE2" s="49">
        <v>2.0709215860529895E-4</v>
      </c>
      <c r="CF2" s="49">
        <v>2.0502123701924597E-4</v>
      </c>
      <c r="CG2" s="49">
        <v>2.029710246490535E-4</v>
      </c>
      <c r="CH2" s="49">
        <v>2.0094131440256296E-4</v>
      </c>
      <c r="CI2" s="49">
        <v>1.9893190125853732E-4</v>
      </c>
      <c r="CJ2" s="49">
        <v>1.9694258224595195E-4</v>
      </c>
      <c r="CK2" s="49">
        <v>1.9497315642349244E-4</v>
      </c>
      <c r="CL2" s="49">
        <v>1.9302342485925751E-4</v>
      </c>
      <c r="CM2" s="49">
        <v>1.9109319061066493E-4</v>
      </c>
      <c r="CN2" s="49">
        <v>1.8918225870455827E-4</v>
      </c>
      <c r="CO2" s="49">
        <v>1.8729043611751269E-4</v>
      </c>
      <c r="CP2" s="49">
        <v>1.8541753175633756E-4</v>
      </c>
      <c r="CQ2" s="49">
        <v>1.8356335643877417E-4</v>
      </c>
      <c r="CR2" s="49">
        <v>1.8172772287438642E-4</v>
      </c>
      <c r="CS2" s="49">
        <v>1.7991044564564257E-4</v>
      </c>
      <c r="CT2" s="49">
        <v>1.7811134118918615E-4</v>
      </c>
      <c r="CU2" s="49">
        <v>1.7633022777729427E-4</v>
      </c>
      <c r="CV2" s="49">
        <v>1.7456692549952134E-4</v>
      </c>
      <c r="CW2" s="49">
        <v>1.7282125624452612E-4</v>
      </c>
      <c r="CX2" s="49">
        <v>1.7109304368208086E-4</v>
      </c>
      <c r="CY2" s="28">
        <v>1.6938211324526005E-4</v>
      </c>
    </row>
    <row r="3" spans="1:103" ht="15.75">
      <c r="A3" s="50">
        <v>21</v>
      </c>
      <c r="B3" s="48">
        <v>4.4900000000000002E-4</v>
      </c>
      <c r="C3" s="48">
        <v>4.5398390000000007E-4</v>
      </c>
      <c r="D3" s="48">
        <v>4.585237390000001E-4</v>
      </c>
      <c r="E3" s="48">
        <v>4.6237533840760007E-4</v>
      </c>
      <c r="F3" s="48">
        <v>4.6533454057340871E-4</v>
      </c>
      <c r="G3" s="48">
        <v>4.67288945643817E-4</v>
      </c>
      <c r="H3" s="48">
        <v>4.6817679464054027E-4</v>
      </c>
      <c r="I3" s="48">
        <v>4.6803634160214811E-4</v>
      </c>
      <c r="J3" s="48">
        <v>4.6695985801646319E-4</v>
      </c>
      <c r="K3" s="48">
        <v>4.65138714570199E-4</v>
      </c>
      <c r="L3" s="48">
        <v>4.6281302099734797E-4</v>
      </c>
      <c r="M3" s="48">
        <v>4.601749867776631E-4</v>
      </c>
      <c r="N3" s="48">
        <v>4.5718384936360831E-4</v>
      </c>
      <c r="O3" s="48">
        <v>4.5389212564819032E-4</v>
      </c>
      <c r="P3" s="48">
        <v>4.5035176706813442E-4</v>
      </c>
      <c r="Q3" s="48">
        <v>4.4656881222476211E-4</v>
      </c>
      <c r="R3" s="48">
        <v>4.4254969291473924E-4</v>
      </c>
      <c r="S3" s="48">
        <v>4.3838972580134071E-4</v>
      </c>
      <c r="T3" s="48">
        <v>4.3413734546106771E-4</v>
      </c>
      <c r="U3" s="49">
        <v>4.2983938574100311E-4</v>
      </c>
      <c r="V3" s="49">
        <v>4.2554099188359308E-4</v>
      </c>
      <c r="W3" s="49">
        <v>4.2128558196475712E-4</v>
      </c>
      <c r="X3" s="49">
        <v>4.1707272614510953E-4</v>
      </c>
      <c r="Y3" s="49">
        <v>4.1290199888365843E-4</v>
      </c>
      <c r="Z3" s="49">
        <v>4.0877297889482182E-4</v>
      </c>
      <c r="AA3" s="49">
        <v>4.0468524910587358E-4</v>
      </c>
      <c r="AB3" s="49">
        <v>4.0063839661481481E-4</v>
      </c>
      <c r="AC3" s="49">
        <v>3.9663201264866668E-4</v>
      </c>
      <c r="AD3" s="49">
        <v>3.9266569252218E-4</v>
      </c>
      <c r="AE3" s="49">
        <v>3.8873903559695819E-4</v>
      </c>
      <c r="AF3" s="49">
        <v>3.8485164524098859E-4</v>
      </c>
      <c r="AG3" s="49">
        <v>3.8100312878857869E-4</v>
      </c>
      <c r="AH3" s="49">
        <v>3.7719309750069291E-4</v>
      </c>
      <c r="AI3" s="49">
        <v>3.7342116652568596E-4</v>
      </c>
      <c r="AJ3" s="49">
        <v>3.696869548604291E-4</v>
      </c>
      <c r="AK3" s="49">
        <v>3.6599008531182478E-4</v>
      </c>
      <c r="AL3" s="49">
        <v>3.6233018445870651E-4</v>
      </c>
      <c r="AM3" s="49">
        <v>3.5870688261411946E-4</v>
      </c>
      <c r="AN3" s="49">
        <v>3.5511981378797829E-4</v>
      </c>
      <c r="AO3" s="49">
        <v>3.5156861565009852E-4</v>
      </c>
      <c r="AP3" s="49">
        <v>3.4805292949359755E-4</v>
      </c>
      <c r="AQ3" s="49">
        <v>3.4457240019866156E-4</v>
      </c>
      <c r="AR3" s="49">
        <v>3.4112667619667496E-4</v>
      </c>
      <c r="AS3" s="49">
        <v>3.3771540943470818E-4</v>
      </c>
      <c r="AT3" s="49">
        <v>3.343382553403611E-4</v>
      </c>
      <c r="AU3" s="49">
        <v>3.3099487278695749E-4</v>
      </c>
      <c r="AV3" s="49">
        <v>3.2768492405908789E-4</v>
      </c>
      <c r="AW3" s="49">
        <v>3.2440807481849703E-4</v>
      </c>
      <c r="AX3" s="49">
        <v>3.2116399407031208E-4</v>
      </c>
      <c r="AY3" s="49">
        <v>3.1795235412960897E-4</v>
      </c>
      <c r="AZ3" s="49">
        <v>3.1477283058831286E-4</v>
      </c>
      <c r="BA3" s="49">
        <v>3.1162510228242976E-4</v>
      </c>
      <c r="BB3" s="49">
        <v>3.0850885125960548E-4</v>
      </c>
      <c r="BC3" s="49">
        <v>3.0542376274700941E-4</v>
      </c>
      <c r="BD3" s="49">
        <v>3.023695251195393E-4</v>
      </c>
      <c r="BE3" s="49">
        <v>2.9934582986834393E-4</v>
      </c>
      <c r="BF3" s="49">
        <v>2.9635237156966051E-4</v>
      </c>
      <c r="BG3" s="49">
        <v>2.9338884785396391E-4</v>
      </c>
      <c r="BH3" s="49">
        <v>2.9045495937542426E-4</v>
      </c>
      <c r="BI3" s="49">
        <v>2.8755040978166999E-4</v>
      </c>
      <c r="BJ3" s="49">
        <v>2.8467490568385328E-4</v>
      </c>
      <c r="BK3" s="49">
        <v>2.8182815662701472E-4</v>
      </c>
      <c r="BL3" s="49">
        <v>2.7900987506074455E-4</v>
      </c>
      <c r="BM3" s="49">
        <v>2.7621977631013712E-4</v>
      </c>
      <c r="BN3" s="49">
        <v>2.7345757854703575E-4</v>
      </c>
      <c r="BO3" s="49">
        <v>2.7072300276156539E-4</v>
      </c>
      <c r="BP3" s="49">
        <v>2.6801577273394972E-4</v>
      </c>
      <c r="BQ3" s="49">
        <v>2.6533561500661021E-4</v>
      </c>
      <c r="BR3" s="49">
        <v>2.6268225885654409E-4</v>
      </c>
      <c r="BS3" s="49">
        <v>2.6005543626797864E-4</v>
      </c>
      <c r="BT3" s="49">
        <v>2.5745488190529885E-4</v>
      </c>
      <c r="BU3" s="49">
        <v>2.5488033308624584E-4</v>
      </c>
      <c r="BV3" s="49">
        <v>2.5233152975538339E-4</v>
      </c>
      <c r="BW3" s="49">
        <v>2.4980821445782955E-4</v>
      </c>
      <c r="BX3" s="49">
        <v>2.4731013231325127E-4</v>
      </c>
      <c r="BY3" s="49">
        <v>2.4483703099011876E-4</v>
      </c>
      <c r="BZ3" s="49">
        <v>2.4238866068021758E-4</v>
      </c>
      <c r="CA3" s="49">
        <v>2.399647740734154E-4</v>
      </c>
      <c r="CB3" s="49">
        <v>2.3756512633268123E-4</v>
      </c>
      <c r="CC3" s="49">
        <v>2.3518947506935442E-4</v>
      </c>
      <c r="CD3" s="49">
        <v>2.3283758031866086E-4</v>
      </c>
      <c r="CE3" s="49">
        <v>2.3050920451547424E-4</v>
      </c>
      <c r="CF3" s="49">
        <v>2.2820411247031949E-4</v>
      </c>
      <c r="CG3" s="49">
        <v>2.259220713456163E-4</v>
      </c>
      <c r="CH3" s="49">
        <v>2.2366285063216013E-4</v>
      </c>
      <c r="CI3" s="49">
        <v>2.2142622212583852E-4</v>
      </c>
      <c r="CJ3" s="49">
        <v>2.1921195990458014E-4</v>
      </c>
      <c r="CK3" s="49">
        <v>2.1701984030553435E-4</v>
      </c>
      <c r="CL3" s="49">
        <v>2.1484964190247901E-4</v>
      </c>
      <c r="CM3" s="49">
        <v>2.127011454834542E-4</v>
      </c>
      <c r="CN3" s="49">
        <v>2.1057413402861966E-4</v>
      </c>
      <c r="CO3" s="49">
        <v>2.0846839268833347E-4</v>
      </c>
      <c r="CP3" s="49">
        <v>2.0638370876145014E-4</v>
      </c>
      <c r="CQ3" s="49">
        <v>2.0431987167383563E-4</v>
      </c>
      <c r="CR3" s="49">
        <v>2.0227667295709726E-4</v>
      </c>
      <c r="CS3" s="49">
        <v>2.002539062275263E-4</v>
      </c>
      <c r="CT3" s="49">
        <v>1.9825136716525104E-4</v>
      </c>
      <c r="CU3" s="49">
        <v>1.9626885349359853E-4</v>
      </c>
      <c r="CV3" s="49">
        <v>1.9430616495866255E-4</v>
      </c>
      <c r="CW3" s="49">
        <v>1.9236310330907592E-4</v>
      </c>
      <c r="CX3" s="48">
        <v>1.9043947227598515E-4</v>
      </c>
      <c r="CY3" s="28">
        <v>1.885350775532253E-4</v>
      </c>
    </row>
    <row r="4" spans="1:103" ht="15.75">
      <c r="A4" s="50">
        <v>22</v>
      </c>
      <c r="B4" s="48">
        <v>4.8799999999999999E-4</v>
      </c>
      <c r="C4" s="48">
        <v>4.9478320000000001E-4</v>
      </c>
      <c r="D4" s="48">
        <v>5.0037425016000007E-4</v>
      </c>
      <c r="E4" s="48">
        <v>5.0517784296153607E-4</v>
      </c>
      <c r="F4" s="48">
        <v>5.0891615899945151E-4</v>
      </c>
      <c r="G4" s="48">
        <v>5.1140984817854877E-4</v>
      </c>
      <c r="H4" s="48">
        <v>5.1263723181417726E-4</v>
      </c>
      <c r="I4" s="48">
        <v>5.1263723181417726E-4</v>
      </c>
      <c r="J4" s="48">
        <v>5.1150942990418609E-4</v>
      </c>
      <c r="K4" s="48">
        <v>5.0951454312755972E-4</v>
      </c>
      <c r="L4" s="48">
        <v>5.069669704119219E-4</v>
      </c>
      <c r="M4" s="48">
        <v>5.0407725868057394E-4</v>
      </c>
      <c r="N4" s="48">
        <v>5.0080075649915025E-4</v>
      </c>
      <c r="O4" s="48">
        <v>4.9719499105235635E-4</v>
      </c>
      <c r="P4" s="48">
        <v>4.9331687012214799E-4</v>
      </c>
      <c r="Q4" s="48">
        <v>4.8917300841312195E-4</v>
      </c>
      <c r="R4" s="48">
        <v>4.8477045133740385E-4</v>
      </c>
      <c r="S4" s="48">
        <v>4.8021360909483225E-4</v>
      </c>
      <c r="T4" s="48">
        <v>4.7555553708661234E-4</v>
      </c>
      <c r="U4" s="49">
        <v>4.7084753726945488E-4</v>
      </c>
      <c r="V4" s="49">
        <v>4.661390618967603E-4</v>
      </c>
      <c r="W4" s="49">
        <v>4.614776712777927E-4</v>
      </c>
      <c r="X4" s="49">
        <v>4.5686289456501477E-4</v>
      </c>
      <c r="Y4" s="49">
        <v>4.5229426561936461E-4</v>
      </c>
      <c r="Z4" s="49">
        <v>4.4777132296317098E-4</v>
      </c>
      <c r="AA4" s="49">
        <v>4.4329360973353925E-4</v>
      </c>
      <c r="AB4" s="49">
        <v>4.3886067363620385E-4</v>
      </c>
      <c r="AC4" s="49">
        <v>4.3447206689984182E-4</v>
      </c>
      <c r="AD4" s="49">
        <v>4.301273462308434E-4</v>
      </c>
      <c r="AE4" s="49">
        <v>4.2582607276853498E-4</v>
      </c>
      <c r="AF4" s="49">
        <v>4.2156781204084963E-4</v>
      </c>
      <c r="AG4" s="49">
        <v>4.173521339204411E-4</v>
      </c>
      <c r="AH4" s="49">
        <v>4.1317861258123671E-4</v>
      </c>
      <c r="AI4" s="49">
        <v>4.0904682645542432E-4</v>
      </c>
      <c r="AJ4" s="49">
        <v>4.0495635819087008E-4</v>
      </c>
      <c r="AK4" s="49">
        <v>4.0090679460896139E-4</v>
      </c>
      <c r="AL4" s="49">
        <v>3.9689772666287175E-4</v>
      </c>
      <c r="AM4" s="49">
        <v>3.9292874939624305E-4</v>
      </c>
      <c r="AN4" s="49">
        <v>3.8899946190228059E-4</v>
      </c>
      <c r="AO4" s="49">
        <v>3.8510946728325778E-4</v>
      </c>
      <c r="AP4" s="49">
        <v>3.812583726104252E-4</v>
      </c>
      <c r="AQ4" s="49">
        <v>3.7744578888432095E-4</v>
      </c>
      <c r="AR4" s="49">
        <v>3.7367133099547772E-4</v>
      </c>
      <c r="AS4" s="49">
        <v>3.6993461768552294E-4</v>
      </c>
      <c r="AT4" s="49">
        <v>3.6623527150866773E-4</v>
      </c>
      <c r="AU4" s="49">
        <v>3.6257291879358106E-4</v>
      </c>
      <c r="AV4" s="49">
        <v>3.5894718960564523E-4</v>
      </c>
      <c r="AW4" s="49">
        <v>3.553577177095888E-4</v>
      </c>
      <c r="AX4" s="49">
        <v>3.5180414053249292E-4</v>
      </c>
      <c r="AY4" s="49">
        <v>3.4828609912716796E-4</v>
      </c>
      <c r="AZ4" s="49">
        <v>3.4480323813589628E-4</v>
      </c>
      <c r="BA4" s="49">
        <v>3.4135520575453732E-4</v>
      </c>
      <c r="BB4" s="49">
        <v>3.3794165369699196E-4</v>
      </c>
      <c r="BC4" s="49">
        <v>3.3456223716002203E-4</v>
      </c>
      <c r="BD4" s="49">
        <v>3.3121661478842179E-4</v>
      </c>
      <c r="BE4" s="49">
        <v>3.2790444864053755E-4</v>
      </c>
      <c r="BF4" s="49">
        <v>3.2462540415413219E-4</v>
      </c>
      <c r="BG4" s="49">
        <v>3.2137915011259087E-4</v>
      </c>
      <c r="BH4" s="49">
        <v>3.1816535861146493E-4</v>
      </c>
      <c r="BI4" s="49">
        <v>3.1498370502535029E-4</v>
      </c>
      <c r="BJ4" s="49">
        <v>3.1183386797509677E-4</v>
      </c>
      <c r="BK4" s="49">
        <v>3.0871552929534582E-4</v>
      </c>
      <c r="BL4" s="49">
        <v>3.0562837400239238E-4</v>
      </c>
      <c r="BM4" s="49">
        <v>3.0257209026236846E-4</v>
      </c>
      <c r="BN4" s="49">
        <v>2.9954636935974476E-4</v>
      </c>
      <c r="BO4" s="49">
        <v>2.965509056661473E-4</v>
      </c>
      <c r="BP4" s="49">
        <v>2.9358539660948583E-4</v>
      </c>
      <c r="BQ4" s="49">
        <v>2.9064954264339097E-4</v>
      </c>
      <c r="BR4" s="49">
        <v>2.8774304721695704E-4</v>
      </c>
      <c r="BS4" s="49">
        <v>2.8486561674478749E-4</v>
      </c>
      <c r="BT4" s="49">
        <v>2.8201696057733963E-4</v>
      </c>
      <c r="BU4" s="49">
        <v>2.7919679097156624E-4</v>
      </c>
      <c r="BV4" s="49">
        <v>2.7640482306185056E-4</v>
      </c>
      <c r="BW4" s="49">
        <v>2.7364077483123207E-4</v>
      </c>
      <c r="BX4" s="49">
        <v>2.7090436708291976E-4</v>
      </c>
      <c r="BY4" s="49">
        <v>2.6819532341209055E-4</v>
      </c>
      <c r="BZ4" s="49">
        <v>2.6551337017796965E-4</v>
      </c>
      <c r="CA4" s="49">
        <v>2.6285823647618996E-4</v>
      </c>
      <c r="CB4" s="49">
        <v>2.6022965411142806E-4</v>
      </c>
      <c r="CC4" s="49">
        <v>2.5762735757031376E-4</v>
      </c>
      <c r="CD4" s="49">
        <v>2.5505108399461065E-4</v>
      </c>
      <c r="CE4" s="49">
        <v>2.5250057315466453E-4</v>
      </c>
      <c r="CF4" s="49">
        <v>2.4997556742311787E-4</v>
      </c>
      <c r="CG4" s="49">
        <v>2.4747581174888668E-4</v>
      </c>
      <c r="CH4" s="49">
        <v>2.4500105363139783E-4</v>
      </c>
      <c r="CI4" s="49">
        <v>2.4255104309508385E-4</v>
      </c>
      <c r="CJ4" s="49">
        <v>2.4012553266413301E-4</v>
      </c>
      <c r="CK4" s="49">
        <v>2.3772427733749168E-4</v>
      </c>
      <c r="CL4" s="49">
        <v>2.3534703456411677E-4</v>
      </c>
      <c r="CM4" s="49">
        <v>2.3299356421847559E-4</v>
      </c>
      <c r="CN4" s="49">
        <v>2.3066362857629083E-4</v>
      </c>
      <c r="CO4" s="49">
        <v>2.2835699229052791E-4</v>
      </c>
      <c r="CP4" s="49">
        <v>2.2607342236762262E-4</v>
      </c>
      <c r="CQ4" s="49">
        <v>2.2381268814394638E-4</v>
      </c>
      <c r="CR4" s="49">
        <v>2.2157456126250692E-4</v>
      </c>
      <c r="CS4" s="49">
        <v>2.1935881564988185E-4</v>
      </c>
      <c r="CT4" s="49">
        <v>2.1716522749338303E-4</v>
      </c>
      <c r="CU4" s="49">
        <v>2.149935752184492E-4</v>
      </c>
      <c r="CV4" s="49">
        <v>2.1284363946626471E-4</v>
      </c>
      <c r="CW4" s="49">
        <v>2.1071520307160206E-4</v>
      </c>
      <c r="CX4" s="48">
        <v>2.0860805104088603E-4</v>
      </c>
      <c r="CY4" s="28">
        <v>2.0652197053047718E-4</v>
      </c>
    </row>
    <row r="5" spans="1:103" ht="15.75">
      <c r="A5" s="50">
        <v>23</v>
      </c>
      <c r="B5" s="48">
        <v>5.0900000000000001E-4</v>
      </c>
      <c r="C5" s="48">
        <v>5.1765299999999997E-4</v>
      </c>
      <c r="D5" s="48">
        <v>5.2495190729999995E-4</v>
      </c>
      <c r="E5" s="48">
        <v>5.3062138789883989E-4</v>
      </c>
      <c r="F5" s="48">
        <v>5.3507860755719013E-4</v>
      </c>
      <c r="G5" s="48">
        <v>5.3812855562026618E-4</v>
      </c>
      <c r="H5" s="48">
        <v>5.3974294128712698E-4</v>
      </c>
      <c r="I5" s="48">
        <v>5.3990486416951309E-4</v>
      </c>
      <c r="J5" s="48">
        <v>5.3882505444117405E-4</v>
      </c>
      <c r="K5" s="48">
        <v>5.3677751923429759E-4</v>
      </c>
      <c r="L5" s="48">
        <v>5.3409363163812605E-4</v>
      </c>
      <c r="M5" s="48">
        <v>5.3104929793778872E-4</v>
      </c>
      <c r="N5" s="48">
        <v>5.2759747750119308E-4</v>
      </c>
      <c r="O5" s="48">
        <v>5.2379877566318452E-4</v>
      </c>
      <c r="P5" s="48">
        <v>5.1971314521301163E-4</v>
      </c>
      <c r="Q5" s="48">
        <v>5.1534755479322231E-4</v>
      </c>
      <c r="R5" s="48">
        <v>5.1070942680008326E-4</v>
      </c>
      <c r="S5" s="48">
        <v>5.0590875818816254E-4</v>
      </c>
      <c r="T5" s="48">
        <v>5.0100144323373731E-4</v>
      </c>
      <c r="U5" s="49">
        <v>4.9604152894572328E-4</v>
      </c>
      <c r="V5" s="49">
        <v>4.9108111365626602E-4</v>
      </c>
      <c r="W5" s="49">
        <v>4.8617030251970337E-4</v>
      </c>
      <c r="X5" s="49">
        <v>4.8130859949450634E-4</v>
      </c>
      <c r="Y5" s="49">
        <v>4.764955134995613E-4</v>
      </c>
      <c r="Z5" s="49">
        <v>4.717305583645657E-4</v>
      </c>
      <c r="AA5" s="49">
        <v>4.6701325278092001E-4</v>
      </c>
      <c r="AB5" s="49">
        <v>4.6234312025311079E-4</v>
      </c>
      <c r="AC5" s="49">
        <v>4.5771968905057966E-4</v>
      </c>
      <c r="AD5" s="49">
        <v>4.5314249216007384E-4</v>
      </c>
      <c r="AE5" s="49">
        <v>4.4861106723847311E-4</v>
      </c>
      <c r="AF5" s="49">
        <v>4.4412495656608839E-4</v>
      </c>
      <c r="AG5" s="49">
        <v>4.3968370700042751E-4</v>
      </c>
      <c r="AH5" s="49">
        <v>4.3528686993042322E-4</v>
      </c>
      <c r="AI5" s="49">
        <v>4.30934001231119E-4</v>
      </c>
      <c r="AJ5" s="49">
        <v>4.266246612188078E-4</v>
      </c>
      <c r="AK5" s="49">
        <v>4.2235841460661972E-4</v>
      </c>
      <c r="AL5" s="49">
        <v>4.1813483046055353E-4</v>
      </c>
      <c r="AM5" s="49">
        <v>4.1395348215594798E-4</v>
      </c>
      <c r="AN5" s="49">
        <v>4.0981394733438848E-4</v>
      </c>
      <c r="AO5" s="49">
        <v>4.0571580786104457E-4</v>
      </c>
      <c r="AP5" s="49">
        <v>4.0165864978243413E-4</v>
      </c>
      <c r="AQ5" s="49">
        <v>3.9764206328460978E-4</v>
      </c>
      <c r="AR5" s="49">
        <v>3.9366564265176369E-4</v>
      </c>
      <c r="AS5" s="49">
        <v>3.8972898622524605E-4</v>
      </c>
      <c r="AT5" s="49">
        <v>3.8583169636299358E-4</v>
      </c>
      <c r="AU5" s="49">
        <v>3.8197337939936362E-4</v>
      </c>
      <c r="AV5" s="49">
        <v>3.7815364560537E-4</v>
      </c>
      <c r="AW5" s="49">
        <v>3.7437210914931631E-4</v>
      </c>
      <c r="AX5" s="49">
        <v>3.7062838805782314E-4</v>
      </c>
      <c r="AY5" s="49">
        <v>3.669221041772449E-4</v>
      </c>
      <c r="AZ5" s="49">
        <v>3.6325288313547246E-4</v>
      </c>
      <c r="BA5" s="49">
        <v>3.5962035430411773E-4</v>
      </c>
      <c r="BB5" s="49">
        <v>3.5602415076107656E-4</v>
      </c>
      <c r="BC5" s="49">
        <v>3.5246390925346578E-4</v>
      </c>
      <c r="BD5" s="49">
        <v>3.489392701609311E-4</v>
      </c>
      <c r="BE5" s="49">
        <v>3.4544987745932179E-4</v>
      </c>
      <c r="BF5" s="49">
        <v>3.4199537868472859E-4</v>
      </c>
      <c r="BG5" s="49">
        <v>3.3857542489788129E-4</v>
      </c>
      <c r="BH5" s="49">
        <v>3.3518967064890247E-4</v>
      </c>
      <c r="BI5" s="49">
        <v>3.3183777394241344E-4</v>
      </c>
      <c r="BJ5" s="49">
        <v>3.285193962029893E-4</v>
      </c>
      <c r="BK5" s="49">
        <v>3.2523420224095942E-4</v>
      </c>
      <c r="BL5" s="49">
        <v>3.2198186021854981E-4</v>
      </c>
      <c r="BM5" s="49">
        <v>3.1876204161636432E-4</v>
      </c>
      <c r="BN5" s="49">
        <v>3.1557442120020069E-4</v>
      </c>
      <c r="BO5" s="49">
        <v>3.124186769881987E-4</v>
      </c>
      <c r="BP5" s="49">
        <v>3.0929449021831673E-4</v>
      </c>
      <c r="BQ5" s="49">
        <v>3.0620154531613354E-4</v>
      </c>
      <c r="BR5" s="49">
        <v>3.031395298629722E-4</v>
      </c>
      <c r="BS5" s="49">
        <v>3.0010813456434246E-4</v>
      </c>
      <c r="BT5" s="49">
        <v>2.9710705321869905E-4</v>
      </c>
      <c r="BU5" s="49">
        <v>2.9413598268651208E-4</v>
      </c>
      <c r="BV5" s="49">
        <v>2.9119462285964693E-4</v>
      </c>
      <c r="BW5" s="49">
        <v>2.8828267663105045E-4</v>
      </c>
      <c r="BX5" s="49">
        <v>2.8539984986473993E-4</v>
      </c>
      <c r="BY5" s="49">
        <v>2.8254585136609252E-4</v>
      </c>
      <c r="BZ5" s="49">
        <v>2.7972039285243159E-4</v>
      </c>
      <c r="CA5" s="49">
        <v>2.7692318892390727E-4</v>
      </c>
      <c r="CB5" s="49">
        <v>2.7415395703466822E-4</v>
      </c>
      <c r="CC5" s="49">
        <v>2.7141241746432153E-4</v>
      </c>
      <c r="CD5" s="49">
        <v>2.6869829328967829E-4</v>
      </c>
      <c r="CE5" s="49">
        <v>2.6601131035678153E-4</v>
      </c>
      <c r="CF5" s="49">
        <v>2.633511972532137E-4</v>
      </c>
      <c r="CG5" s="49">
        <v>2.6071768528068158E-4</v>
      </c>
      <c r="CH5" s="49">
        <v>2.5811050842787476E-4</v>
      </c>
      <c r="CI5" s="49">
        <v>2.5552940334359599E-4</v>
      </c>
      <c r="CJ5" s="49">
        <v>2.5297410931016004E-4</v>
      </c>
      <c r="CK5" s="49">
        <v>2.5044436821705841E-4</v>
      </c>
      <c r="CL5" s="49">
        <v>2.479399245348878E-4</v>
      </c>
      <c r="CM5" s="49">
        <v>2.4546052528953894E-4</v>
      </c>
      <c r="CN5" s="49">
        <v>2.4300592003664355E-4</v>
      </c>
      <c r="CO5" s="49">
        <v>2.405758608362771E-4</v>
      </c>
      <c r="CP5" s="49">
        <v>2.3817010222791434E-4</v>
      </c>
      <c r="CQ5" s="49">
        <v>2.3578840120563519E-4</v>
      </c>
      <c r="CR5" s="49">
        <v>2.3343051719357884E-4</v>
      </c>
      <c r="CS5" s="49">
        <v>2.3109621202164305E-4</v>
      </c>
      <c r="CT5" s="49">
        <v>2.2878524990142663E-4</v>
      </c>
      <c r="CU5" s="49">
        <v>2.2649739740241237E-4</v>
      </c>
      <c r="CV5" s="49">
        <v>2.2423242342838824E-4</v>
      </c>
      <c r="CW5" s="49">
        <v>2.2199009919410435E-4</v>
      </c>
      <c r="CX5" s="48">
        <v>2.197701982021633E-4</v>
      </c>
      <c r="CY5" s="28">
        <v>2.1757249622014166E-4</v>
      </c>
    </row>
    <row r="6" spans="1:103" ht="15.75">
      <c r="A6" s="50">
        <v>24</v>
      </c>
      <c r="B6" s="48">
        <v>5.1599999999999997E-4</v>
      </c>
      <c r="C6" s="48">
        <v>5.264232E-4</v>
      </c>
      <c r="D6" s="48">
        <v>5.3542503671999994E-4</v>
      </c>
      <c r="E6" s="48">
        <v>5.4259973221204799E-4</v>
      </c>
      <c r="F6" s="48">
        <v>5.4775442966806254E-4</v>
      </c>
      <c r="G6" s="48">
        <v>5.5136960890387167E-4</v>
      </c>
      <c r="H6" s="48">
        <v>5.5335453949592562E-4</v>
      </c>
      <c r="I6" s="48">
        <v>5.5374188767357273E-4</v>
      </c>
      <c r="J6" s="48">
        <v>5.5274515227576025E-4</v>
      </c>
      <c r="K6" s="48">
        <v>5.5064472069711232E-4</v>
      </c>
      <c r="L6" s="48">
        <v>5.4789149709362679E-4</v>
      </c>
      <c r="M6" s="48">
        <v>5.4476851556019312E-4</v>
      </c>
      <c r="N6" s="48">
        <v>5.4122752020905186E-4</v>
      </c>
      <c r="O6" s="48">
        <v>5.3733068206354674E-4</v>
      </c>
      <c r="P6" s="48">
        <v>5.33139502743451E-4</v>
      </c>
      <c r="Q6" s="48">
        <v>5.2866113092040607E-4</v>
      </c>
      <c r="R6" s="48">
        <v>5.2390318074212237E-4</v>
      </c>
      <c r="S6" s="48">
        <v>5.1897849084314642E-4</v>
      </c>
      <c r="T6" s="48">
        <v>5.1394439948196792E-4</v>
      </c>
      <c r="U6" s="49">
        <v>5.0885634992709644E-4</v>
      </c>
      <c r="V6" s="49">
        <v>5.0376778642782544E-4</v>
      </c>
      <c r="W6" s="49">
        <v>4.9873010856354722E-4</v>
      </c>
      <c r="X6" s="49">
        <v>4.9374280747791171E-4</v>
      </c>
      <c r="Y6" s="49">
        <v>4.8880537940313264E-4</v>
      </c>
      <c r="Z6" s="49">
        <v>4.8391732560910131E-4</v>
      </c>
      <c r="AA6" s="49">
        <v>4.7907815235301028E-4</v>
      </c>
      <c r="AB6" s="49">
        <v>4.7428737082948018E-4</v>
      </c>
      <c r="AC6" s="49">
        <v>4.6954449712118538E-4</v>
      </c>
      <c r="AD6" s="49">
        <v>4.648490521499735E-4</v>
      </c>
      <c r="AE6" s="49">
        <v>4.6020056162847378E-4</v>
      </c>
      <c r="AF6" s="49">
        <v>4.5559855601218902E-4</v>
      </c>
      <c r="AG6" s="49">
        <v>4.5104257045206712E-4</v>
      </c>
      <c r="AH6" s="49">
        <v>4.4653214474754644E-4</v>
      </c>
      <c r="AI6" s="49">
        <v>4.4206682330007099E-4</v>
      </c>
      <c r="AJ6" s="49">
        <v>4.3764615506707027E-4</v>
      </c>
      <c r="AK6" s="49">
        <v>4.3326969351639954E-4</v>
      </c>
      <c r="AL6" s="49">
        <v>4.2893699658123555E-4</v>
      </c>
      <c r="AM6" s="49">
        <v>4.2464762661542318E-4</v>
      </c>
      <c r="AN6" s="49">
        <v>4.2040115034926894E-4</v>
      </c>
      <c r="AO6" s="49">
        <v>4.1619713884577623E-4</v>
      </c>
      <c r="AP6" s="49">
        <v>4.1203516745731846E-4</v>
      </c>
      <c r="AQ6" s="49">
        <v>4.0791481578274528E-4</v>
      </c>
      <c r="AR6" s="49">
        <v>4.0383566762491782E-4</v>
      </c>
      <c r="AS6" s="49">
        <v>3.9979731094866864E-4</v>
      </c>
      <c r="AT6" s="49">
        <v>3.9579933783918193E-4</v>
      </c>
      <c r="AU6" s="49">
        <v>3.9184134446079011E-4</v>
      </c>
      <c r="AV6" s="49">
        <v>3.8792293101618219E-4</v>
      </c>
      <c r="AW6" s="49">
        <v>3.8404370170602037E-4</v>
      </c>
      <c r="AX6" s="49">
        <v>3.8020326468896017E-4</v>
      </c>
      <c r="AY6" s="49">
        <v>3.7640123204207057E-4</v>
      </c>
      <c r="AZ6" s="49">
        <v>3.7263721972164988E-4</v>
      </c>
      <c r="BA6" s="49">
        <v>3.6891084752443335E-4</v>
      </c>
      <c r="BB6" s="49">
        <v>3.6522173904918903E-4</v>
      </c>
      <c r="BC6" s="49">
        <v>3.6156952165869715E-4</v>
      </c>
      <c r="BD6" s="49">
        <v>3.5795382644211016E-4</v>
      </c>
      <c r="BE6" s="49">
        <v>3.5437428817768903E-4</v>
      </c>
      <c r="BF6" s="49">
        <v>3.5083054529591216E-4</v>
      </c>
      <c r="BG6" s="49">
        <v>3.4732223984295301E-4</v>
      </c>
      <c r="BH6" s="49">
        <v>3.4384901744452349E-4</v>
      </c>
      <c r="BI6" s="49">
        <v>3.4041052727007827E-4</v>
      </c>
      <c r="BJ6" s="49">
        <v>3.3700642199737746E-4</v>
      </c>
      <c r="BK6" s="49">
        <v>3.3363635777740368E-4</v>
      </c>
      <c r="BL6" s="49">
        <v>3.3029999419962962E-4</v>
      </c>
      <c r="BM6" s="49">
        <v>3.2699699425763333E-4</v>
      </c>
      <c r="BN6" s="49">
        <v>3.2372702431505702E-4</v>
      </c>
      <c r="BO6" s="49">
        <v>3.2048975407190645E-4</v>
      </c>
      <c r="BP6" s="49">
        <v>3.1728485653118737E-4</v>
      </c>
      <c r="BQ6" s="49">
        <v>3.1411200796587548E-4</v>
      </c>
      <c r="BR6" s="49">
        <v>3.1097088788621674E-4</v>
      </c>
      <c r="BS6" s="49">
        <v>3.0786117900735455E-4</v>
      </c>
      <c r="BT6" s="49">
        <v>3.0478256721728098E-4</v>
      </c>
      <c r="BU6" s="49">
        <v>3.0173474154510815E-4</v>
      </c>
      <c r="BV6" s="49">
        <v>2.9871739412965707E-4</v>
      </c>
      <c r="BW6" s="49">
        <v>2.9573022018836051E-4</v>
      </c>
      <c r="BX6" s="49">
        <v>2.9277291798647688E-4</v>
      </c>
      <c r="BY6" s="49">
        <v>2.8984518880661211E-4</v>
      </c>
      <c r="BZ6" s="49">
        <v>2.8694673691854599E-4</v>
      </c>
      <c r="CA6" s="49">
        <v>2.8407726954936052E-4</v>
      </c>
      <c r="CB6" s="49">
        <v>2.8123649685386689E-4</v>
      </c>
      <c r="CC6" s="49">
        <v>2.7842413188532822E-4</v>
      </c>
      <c r="CD6" s="49">
        <v>2.7563989056647494E-4</v>
      </c>
      <c r="CE6" s="49">
        <v>2.7288349166081018E-4</v>
      </c>
      <c r="CF6" s="49">
        <v>2.7015465674420209E-4</v>
      </c>
      <c r="CG6" s="49">
        <v>2.6745311017676004E-4</v>
      </c>
      <c r="CH6" s="49">
        <v>2.6477857907499246E-4</v>
      </c>
      <c r="CI6" s="49">
        <v>2.6213079328424251E-4</v>
      </c>
      <c r="CJ6" s="49">
        <v>2.5950948535140007E-4</v>
      </c>
      <c r="CK6" s="49">
        <v>2.5691439049788605E-4</v>
      </c>
      <c r="CL6" s="49">
        <v>2.5434524659290718E-4</v>
      </c>
      <c r="CM6" s="49">
        <v>2.5180179412697811E-4</v>
      </c>
      <c r="CN6" s="49">
        <v>2.4928377618570831E-4</v>
      </c>
      <c r="CO6" s="49">
        <v>2.467909384238512E-4</v>
      </c>
      <c r="CP6" s="49">
        <v>2.4432302903961269E-4</v>
      </c>
      <c r="CQ6" s="49">
        <v>2.4187979874921655E-4</v>
      </c>
      <c r="CR6" s="49">
        <v>2.394610007617244E-4</v>
      </c>
      <c r="CS6" s="49">
        <v>2.3706639075410715E-4</v>
      </c>
      <c r="CT6" s="49">
        <v>2.3469572684656608E-4</v>
      </c>
      <c r="CU6" s="49">
        <v>2.3234876957810042E-4</v>
      </c>
      <c r="CV6" s="49">
        <v>2.300252818823194E-4</v>
      </c>
      <c r="CW6" s="49">
        <v>2.277250290634962E-4</v>
      </c>
      <c r="CX6" s="48">
        <v>2.2544777877286123E-4</v>
      </c>
      <c r="CY6" s="28">
        <v>2.2319330098513263E-4</v>
      </c>
    </row>
    <row r="7" spans="1:103" ht="15.75">
      <c r="A7" s="50">
        <v>25</v>
      </c>
      <c r="B7" s="48">
        <v>4.84E-4</v>
      </c>
      <c r="C7" s="48">
        <v>4.9537400000000003E-4</v>
      </c>
      <c r="D7" s="48">
        <v>5.0538055480000004E-4</v>
      </c>
      <c r="E7" s="48">
        <v>5.1356771978776003E-4</v>
      </c>
      <c r="F7" s="48">
        <v>5.196278188812556E-4</v>
      </c>
      <c r="G7" s="48">
        <v>5.234730647409769E-4</v>
      </c>
      <c r="H7" s="48">
        <v>5.2567165161288899E-4</v>
      </c>
      <c r="I7" s="48">
        <v>5.2624989042966317E-4</v>
      </c>
      <c r="J7" s="48">
        <v>5.2540789060497571E-4</v>
      </c>
      <c r="K7" s="48">
        <v>5.2346388140973724E-4</v>
      </c>
      <c r="L7" s="48">
        <v>5.2084656200268857E-4</v>
      </c>
      <c r="M7" s="48">
        <v>5.1787773659927325E-4</v>
      </c>
      <c r="N7" s="48">
        <v>5.1451153131137797E-4</v>
      </c>
      <c r="O7" s="48">
        <v>5.1080704828593607E-4</v>
      </c>
      <c r="P7" s="48">
        <v>5.0682275330930576E-4</v>
      </c>
      <c r="Q7" s="48">
        <v>5.0256544218150762E-4</v>
      </c>
      <c r="R7" s="48">
        <v>4.9804235320187408E-4</v>
      </c>
      <c r="S7" s="48">
        <v>4.9336075508177649E-4</v>
      </c>
      <c r="T7" s="48">
        <v>4.8857515575748329E-4</v>
      </c>
      <c r="U7" s="49">
        <v>4.8373826171548419E-4</v>
      </c>
      <c r="V7" s="49">
        <v>4.7890087909832933E-4</v>
      </c>
      <c r="W7" s="49">
        <v>4.7411187030734603E-4</v>
      </c>
      <c r="X7" s="49">
        <v>4.6937075160427257E-4</v>
      </c>
      <c r="Y7" s="49">
        <v>4.6467704408822985E-4</v>
      </c>
      <c r="Z7" s="49">
        <v>4.6003027364734756E-4</v>
      </c>
      <c r="AA7" s="49">
        <v>4.5542997091087408E-4</v>
      </c>
      <c r="AB7" s="49">
        <v>4.5087567120176533E-4</v>
      </c>
      <c r="AC7" s="49">
        <v>4.4636691448974767E-4</v>
      </c>
      <c r="AD7" s="49">
        <v>4.4190324534485018E-4</v>
      </c>
      <c r="AE7" s="49">
        <v>4.3748421289140169E-4</v>
      </c>
      <c r="AF7" s="49">
        <v>4.3310937076248765E-4</v>
      </c>
      <c r="AG7" s="49">
        <v>4.2877827705486277E-4</v>
      </c>
      <c r="AH7" s="49">
        <v>4.2449049428431413E-4</v>
      </c>
      <c r="AI7" s="49">
        <v>4.20245589341471E-4</v>
      </c>
      <c r="AJ7" s="49">
        <v>4.1604313344805626E-4</v>
      </c>
      <c r="AK7" s="49">
        <v>4.1188270211357569E-4</v>
      </c>
      <c r="AL7" s="49">
        <v>4.0776387509243992E-4</v>
      </c>
      <c r="AM7" s="49">
        <v>4.0368623634151553E-4</v>
      </c>
      <c r="AN7" s="49">
        <v>3.9964937397810035E-4</v>
      </c>
      <c r="AO7" s="49">
        <v>3.9565288023831933E-4</v>
      </c>
      <c r="AP7" s="49">
        <v>3.9169635143593615E-4</v>
      </c>
      <c r="AQ7" s="49">
        <v>3.8777938792157679E-4</v>
      </c>
      <c r="AR7" s="49">
        <v>3.8390159404236101E-4</v>
      </c>
      <c r="AS7" s="49">
        <v>3.8006257810193738E-4</v>
      </c>
      <c r="AT7" s="49">
        <v>3.76261952320918E-4</v>
      </c>
      <c r="AU7" s="49">
        <v>3.7249933279770881E-4</v>
      </c>
      <c r="AV7" s="49">
        <v>3.6877433946973172E-4</v>
      </c>
      <c r="AW7" s="49">
        <v>3.6508659607503442E-4</v>
      </c>
      <c r="AX7" s="49">
        <v>3.6143573011428409E-4</v>
      </c>
      <c r="AY7" s="49">
        <v>3.5782137281314123E-4</v>
      </c>
      <c r="AZ7" s="49">
        <v>3.5424315908500983E-4</v>
      </c>
      <c r="BA7" s="49">
        <v>3.5070072749415971E-4</v>
      </c>
      <c r="BB7" s="49">
        <v>3.4719372021921812E-4</v>
      </c>
      <c r="BC7" s="49">
        <v>3.4372178301702596E-4</v>
      </c>
      <c r="BD7" s="49">
        <v>3.402845651868557E-4</v>
      </c>
      <c r="BE7" s="49">
        <v>3.3688171953498712E-4</v>
      </c>
      <c r="BF7" s="49">
        <v>3.3351290233963726E-4</v>
      </c>
      <c r="BG7" s="49">
        <v>3.3017777331624087E-4</v>
      </c>
      <c r="BH7" s="49">
        <v>3.2687599558307845E-4</v>
      </c>
      <c r="BI7" s="49">
        <v>3.2360723562724765E-4</v>
      </c>
      <c r="BJ7" s="49">
        <v>3.2037116327097515E-4</v>
      </c>
      <c r="BK7" s="49">
        <v>3.171674516382654E-4</v>
      </c>
      <c r="BL7" s="49">
        <v>3.1399577712188276E-4</v>
      </c>
      <c r="BM7" s="49">
        <v>3.1085581935066394E-4</v>
      </c>
      <c r="BN7" s="49">
        <v>3.0774726115715729E-4</v>
      </c>
      <c r="BO7" s="49">
        <v>3.0466978854558574E-4</v>
      </c>
      <c r="BP7" s="49">
        <v>3.016230906601299E-4</v>
      </c>
      <c r="BQ7" s="49">
        <v>2.986068597535286E-4</v>
      </c>
      <c r="BR7" s="49">
        <v>2.9562079115599333E-4</v>
      </c>
      <c r="BS7" s="49">
        <v>2.9266458324443337E-4</v>
      </c>
      <c r="BT7" s="49">
        <v>2.8973793741198905E-4</v>
      </c>
      <c r="BU7" s="49">
        <v>2.8684055803786918E-4</v>
      </c>
      <c r="BV7" s="49">
        <v>2.8397215245749049E-4</v>
      </c>
      <c r="BW7" s="49">
        <v>2.8113243093291556E-4</v>
      </c>
      <c r="BX7" s="49">
        <v>2.7832110662358642E-4</v>
      </c>
      <c r="BY7" s="49">
        <v>2.7553789555735057E-4</v>
      </c>
      <c r="BZ7" s="49">
        <v>2.7278251660177704E-4</v>
      </c>
      <c r="CA7" s="49">
        <v>2.7005469143575927E-4</v>
      </c>
      <c r="CB7" s="49">
        <v>2.6735414452140166E-4</v>
      </c>
      <c r="CC7" s="49">
        <v>2.6468060307618761E-4</v>
      </c>
      <c r="CD7" s="49">
        <v>2.6203379704542576E-4</v>
      </c>
      <c r="CE7" s="49">
        <v>2.5941345907497151E-4</v>
      </c>
      <c r="CF7" s="49">
        <v>2.5681932448422181E-4</v>
      </c>
      <c r="CG7" s="49">
        <v>2.542511312393796E-4</v>
      </c>
      <c r="CH7" s="49">
        <v>2.5170861992698579E-4</v>
      </c>
      <c r="CI7" s="49">
        <v>2.4919153372771595E-4</v>
      </c>
      <c r="CJ7" s="49">
        <v>2.4669961839043881E-4</v>
      </c>
      <c r="CK7" s="49">
        <v>2.4423262220653444E-4</v>
      </c>
      <c r="CL7" s="49">
        <v>2.4179029598446909E-4</v>
      </c>
      <c r="CM7" s="49">
        <v>2.3937239302462439E-4</v>
      </c>
      <c r="CN7" s="49">
        <v>2.3697866909437815E-4</v>
      </c>
      <c r="CO7" s="49">
        <v>2.3460888240343437E-4</v>
      </c>
      <c r="CP7" s="49">
        <v>2.3226279357940001E-4</v>
      </c>
      <c r="CQ7" s="49">
        <v>2.2994016564360599E-4</v>
      </c>
      <c r="CR7" s="49">
        <v>2.2764076398716992E-4</v>
      </c>
      <c r="CS7" s="49">
        <v>2.2536435634729822E-4</v>
      </c>
      <c r="CT7" s="49">
        <v>2.2311071278382523E-4</v>
      </c>
      <c r="CU7" s="49">
        <v>2.2087960565598698E-4</v>
      </c>
      <c r="CV7" s="49">
        <v>2.186708095994271E-4</v>
      </c>
      <c r="CW7" s="49">
        <v>2.1648410150343283E-4</v>
      </c>
      <c r="CX7" s="48">
        <v>2.1431926048839849E-4</v>
      </c>
      <c r="CY7" s="28">
        <v>2.1217606788351449E-4</v>
      </c>
    </row>
    <row r="8" spans="1:103" ht="15.75">
      <c r="A8" s="50">
        <v>26</v>
      </c>
      <c r="B8" s="48">
        <v>4.6200000000000001E-4</v>
      </c>
      <c r="C8" s="48">
        <v>4.743816E-4</v>
      </c>
      <c r="D8" s="48">
        <v>4.8543469128000007E-4</v>
      </c>
      <c r="E8" s="48">
        <v>4.9465795041432007E-4</v>
      </c>
      <c r="F8" s="48">
        <v>5.0173155910524479E-4</v>
      </c>
      <c r="G8" s="48">
        <v>5.0644783576083417E-4</v>
      </c>
      <c r="H8" s="48">
        <v>5.0887878537248616E-4</v>
      </c>
      <c r="I8" s="48">
        <v>5.095912156720077E-4</v>
      </c>
      <c r="J8" s="48">
        <v>5.0882682884849969E-4</v>
      </c>
      <c r="K8" s="48">
        <v>5.0694416958176026E-4</v>
      </c>
      <c r="L8" s="48">
        <v>5.0440944873385144E-4</v>
      </c>
      <c r="M8" s="48">
        <v>5.0153431487606846E-4</v>
      </c>
      <c r="N8" s="48">
        <v>4.9827434182937399E-4</v>
      </c>
      <c r="O8" s="48">
        <v>4.9468676656820251E-4</v>
      </c>
      <c r="P8" s="48">
        <v>4.9082820978897049E-4</v>
      </c>
      <c r="Q8" s="48">
        <v>4.8670525282674314E-4</v>
      </c>
      <c r="R8" s="48">
        <v>4.8232490555130247E-4</v>
      </c>
      <c r="S8" s="48">
        <v>4.7779105143912025E-4</v>
      </c>
      <c r="T8" s="48">
        <v>4.7315647824016076E-4</v>
      </c>
      <c r="U8" s="49">
        <v>4.6847222910558319E-4</v>
      </c>
      <c r="V8" s="49">
        <v>4.6378750681452737E-4</v>
      </c>
      <c r="W8" s="49">
        <v>4.591496317463821E-4</v>
      </c>
      <c r="X8" s="49">
        <v>4.5455813542891828E-4</v>
      </c>
      <c r="Y8" s="49">
        <v>4.5001255407462907E-4</v>
      </c>
      <c r="Z8" s="49">
        <v>4.4551242853388276E-4</v>
      </c>
      <c r="AA8" s="49">
        <v>4.4105730424854391E-4</v>
      </c>
      <c r="AB8" s="49">
        <v>4.3664673120605849E-4</v>
      </c>
      <c r="AC8" s="49">
        <v>4.3228026389399791E-4</v>
      </c>
      <c r="AD8" s="49">
        <v>4.2795746125505793E-4</v>
      </c>
      <c r="AE8" s="49">
        <v>4.2367788664250737E-4</v>
      </c>
      <c r="AF8" s="49">
        <v>4.1944110777608227E-4</v>
      </c>
      <c r="AG8" s="49">
        <v>4.1524669669832146E-4</v>
      </c>
      <c r="AH8" s="49">
        <v>4.1109422973133826E-4</v>
      </c>
      <c r="AI8" s="49">
        <v>4.0698328743402485E-4</v>
      </c>
      <c r="AJ8" s="49">
        <v>4.0291345455968462E-4</v>
      </c>
      <c r="AK8" s="49">
        <v>3.9888432001408778E-4</v>
      </c>
      <c r="AL8" s="49">
        <v>3.9489547681394692E-4</v>
      </c>
      <c r="AM8" s="49">
        <v>3.9094652204580744E-4</v>
      </c>
      <c r="AN8" s="49">
        <v>3.8703705682534935E-4</v>
      </c>
      <c r="AO8" s="49">
        <v>3.8316668625709585E-4</v>
      </c>
      <c r="AP8" s="49">
        <v>3.793350193945249E-4</v>
      </c>
      <c r="AQ8" s="49">
        <v>3.7554166920057962E-4</v>
      </c>
      <c r="AR8" s="49">
        <v>3.7178625250857382E-4</v>
      </c>
      <c r="AS8" s="49">
        <v>3.6806838998348809E-4</v>
      </c>
      <c r="AT8" s="49">
        <v>3.6438770608365322E-4</v>
      </c>
      <c r="AU8" s="49">
        <v>3.6074382902281666E-4</v>
      </c>
      <c r="AV8" s="49">
        <v>3.5713639073258851E-4</v>
      </c>
      <c r="AW8" s="49">
        <v>3.5356502682526263E-4</v>
      </c>
      <c r="AX8" s="49">
        <v>3.5002937655700999E-4</v>
      </c>
      <c r="AY8" s="49">
        <v>3.4652908279143987E-4</v>
      </c>
      <c r="AZ8" s="49">
        <v>3.4306379196352547E-4</v>
      </c>
      <c r="BA8" s="49">
        <v>3.3963315404389021E-4</v>
      </c>
      <c r="BB8" s="49">
        <v>3.3623682250345132E-4</v>
      </c>
      <c r="BC8" s="49">
        <v>3.3287445427841679E-4</v>
      </c>
      <c r="BD8" s="49">
        <v>3.2954570973563261E-4</v>
      </c>
      <c r="BE8" s="49">
        <v>3.2625025263827628E-4</v>
      </c>
      <c r="BF8" s="49">
        <v>3.229877501118935E-4</v>
      </c>
      <c r="BG8" s="49">
        <v>3.1975787261077454E-4</v>
      </c>
      <c r="BH8" s="49">
        <v>3.1656029388466678E-4</v>
      </c>
      <c r="BI8" s="49">
        <v>3.1339469094582013E-4</v>
      </c>
      <c r="BJ8" s="49">
        <v>3.1026074403636195E-4</v>
      </c>
      <c r="BK8" s="49">
        <v>3.0715813659599832E-4</v>
      </c>
      <c r="BL8" s="49">
        <v>3.0408655523003834E-4</v>
      </c>
      <c r="BM8" s="49">
        <v>3.0104568967773794E-4</v>
      </c>
      <c r="BN8" s="49">
        <v>2.9803523278096057E-4</v>
      </c>
      <c r="BO8" s="49">
        <v>2.9505488045315098E-4</v>
      </c>
      <c r="BP8" s="49">
        <v>2.9210433164861949E-4</v>
      </c>
      <c r="BQ8" s="49">
        <v>2.8918328833213327E-4</v>
      </c>
      <c r="BR8" s="49">
        <v>2.8629145544881195E-4</v>
      </c>
      <c r="BS8" s="49">
        <v>2.8342854089432381E-4</v>
      </c>
      <c r="BT8" s="49">
        <v>2.8059425548538058E-4</v>
      </c>
      <c r="BU8" s="49">
        <v>2.7778831293052676E-4</v>
      </c>
      <c r="BV8" s="49">
        <v>2.7501042980122148E-4</v>
      </c>
      <c r="BW8" s="49">
        <v>2.7226032550320926E-4</v>
      </c>
      <c r="BX8" s="49">
        <v>2.6953772224817715E-4</v>
      </c>
      <c r="BY8" s="49">
        <v>2.668423450256954E-4</v>
      </c>
      <c r="BZ8" s="49">
        <v>2.6417392157543845E-4</v>
      </c>
      <c r="CA8" s="49">
        <v>2.6153218235968408E-4</v>
      </c>
      <c r="CB8" s="49">
        <v>2.5891686053608725E-4</v>
      </c>
      <c r="CC8" s="49">
        <v>2.5632769193072635E-4</v>
      </c>
      <c r="CD8" s="49">
        <v>2.5376441501141908E-4</v>
      </c>
      <c r="CE8" s="49">
        <v>2.5122677086130487E-4</v>
      </c>
      <c r="CF8" s="49">
        <v>2.487145031526918E-4</v>
      </c>
      <c r="CG8" s="49">
        <v>2.462273581211649E-4</v>
      </c>
      <c r="CH8" s="49">
        <v>2.4376508453995325E-4</v>
      </c>
      <c r="CI8" s="49">
        <v>2.4132743369455371E-4</v>
      </c>
      <c r="CJ8" s="49">
        <v>2.3891415935760817E-4</v>
      </c>
      <c r="CK8" s="49">
        <v>2.365250177640321E-4</v>
      </c>
      <c r="CL8" s="49">
        <v>2.3415976758639178E-4</v>
      </c>
      <c r="CM8" s="49">
        <v>2.3181816991052785E-4</v>
      </c>
      <c r="CN8" s="49">
        <v>2.2949998821142256E-4</v>
      </c>
      <c r="CO8" s="49">
        <v>2.2720498832930834E-4</v>
      </c>
      <c r="CP8" s="49">
        <v>2.2493293844601527E-4</v>
      </c>
      <c r="CQ8" s="49">
        <v>2.2268360906155512E-4</v>
      </c>
      <c r="CR8" s="49">
        <v>2.2045677297093957E-4</v>
      </c>
      <c r="CS8" s="49">
        <v>2.1825220524123018E-4</v>
      </c>
      <c r="CT8" s="49">
        <v>2.1606968318881788E-4</v>
      </c>
      <c r="CU8" s="49">
        <v>2.1390898635692969E-4</v>
      </c>
      <c r="CV8" s="49">
        <v>2.1176989649336039E-4</v>
      </c>
      <c r="CW8" s="49">
        <v>2.0965219752842678E-4</v>
      </c>
      <c r="CX8" s="48">
        <v>2.0755567555314251E-4</v>
      </c>
      <c r="CY8" s="28">
        <v>2.0548011879761109E-4</v>
      </c>
    </row>
    <row r="9" spans="1:103" ht="15.75">
      <c r="A9" s="50">
        <v>27</v>
      </c>
      <c r="B9" s="48">
        <v>4.4900000000000002E-4</v>
      </c>
      <c r="C9" s="48">
        <v>4.6247000000000004E-4</v>
      </c>
      <c r="D9" s="48">
        <v>4.7467920800000002E-4</v>
      </c>
      <c r="E9" s="48">
        <v>4.8502721473440004E-4</v>
      </c>
      <c r="F9" s="48">
        <v>4.9312716922046446E-4</v>
      </c>
      <c r="G9" s="48">
        <v>4.9879813166649981E-4</v>
      </c>
      <c r="H9" s="48">
        <v>5.0199043970916536E-4</v>
      </c>
      <c r="I9" s="48">
        <v>5.0289402250064191E-4</v>
      </c>
      <c r="J9" s="48">
        <v>5.0224026027139107E-4</v>
      </c>
      <c r="K9" s="48">
        <v>5.0043219533441399E-4</v>
      </c>
      <c r="L9" s="48">
        <v>4.9793003435774196E-4</v>
      </c>
      <c r="M9" s="48">
        <v>4.9509183316190277E-4</v>
      </c>
      <c r="N9" s="48">
        <v>4.9187373624635044E-4</v>
      </c>
      <c r="O9" s="48">
        <v>4.8833224534537668E-4</v>
      </c>
      <c r="P9" s="48">
        <v>4.8452325383168272E-4</v>
      </c>
      <c r="Q9" s="48">
        <v>4.8045325849949659E-4</v>
      </c>
      <c r="R9" s="48">
        <v>4.7612917917300114E-4</v>
      </c>
      <c r="S9" s="48">
        <v>4.7165356488877496E-4</v>
      </c>
      <c r="T9" s="48">
        <v>4.6707852530935385E-4</v>
      </c>
      <c r="U9" s="49">
        <v>4.6245444790879122E-4</v>
      </c>
      <c r="V9" s="49">
        <v>4.5782990342970332E-4</v>
      </c>
      <c r="W9" s="49">
        <v>4.5325160439540628E-4</v>
      </c>
      <c r="X9" s="49">
        <v>4.4871908835145222E-4</v>
      </c>
      <c r="Y9" s="49">
        <v>4.442318974679377E-4</v>
      </c>
      <c r="Z9" s="49">
        <v>4.3978957849325834E-4</v>
      </c>
      <c r="AA9" s="49">
        <v>4.3539168270832578E-4</v>
      </c>
      <c r="AB9" s="49">
        <v>4.3103776588124254E-4</v>
      </c>
      <c r="AC9" s="49">
        <v>4.2672738822243012E-4</v>
      </c>
      <c r="AD9" s="49">
        <v>4.2246011434020581E-4</v>
      </c>
      <c r="AE9" s="49">
        <v>4.1823551319680372E-4</v>
      </c>
      <c r="AF9" s="49">
        <v>4.1405315806483569E-4</v>
      </c>
      <c r="AG9" s="49">
        <v>4.0991262648418735E-4</v>
      </c>
      <c r="AH9" s="49">
        <v>4.0581350021934548E-4</v>
      </c>
      <c r="AI9" s="49">
        <v>4.0175536521715204E-4</v>
      </c>
      <c r="AJ9" s="49">
        <v>3.9773781156498053E-4</v>
      </c>
      <c r="AK9" s="49">
        <v>3.9376043344933073E-4</v>
      </c>
      <c r="AL9" s="49">
        <v>3.898228291148374E-4</v>
      </c>
      <c r="AM9" s="49">
        <v>3.8592460082368903E-4</v>
      </c>
      <c r="AN9" s="49">
        <v>3.8206535481545215E-4</v>
      </c>
      <c r="AO9" s="49">
        <v>3.7824470126729761E-4</v>
      </c>
      <c r="AP9" s="49">
        <v>3.7446225425462462E-4</v>
      </c>
      <c r="AQ9" s="49">
        <v>3.7071763171207838E-4</v>
      </c>
      <c r="AR9" s="49">
        <v>3.6701045539495761E-4</v>
      </c>
      <c r="AS9" s="49">
        <v>3.6334035084100802E-4</v>
      </c>
      <c r="AT9" s="49">
        <v>3.5970694733259795E-4</v>
      </c>
      <c r="AU9" s="49">
        <v>3.5610987785927194E-4</v>
      </c>
      <c r="AV9" s="49">
        <v>3.525487790806792E-4</v>
      </c>
      <c r="AW9" s="49">
        <v>3.4902329128987239E-4</v>
      </c>
      <c r="AX9" s="49">
        <v>3.4553305837697364E-4</v>
      </c>
      <c r="AY9" s="49">
        <v>3.4207772779320389E-4</v>
      </c>
      <c r="AZ9" s="49">
        <v>3.3865695051527186E-4</v>
      </c>
      <c r="BA9" s="49">
        <v>3.3527038101011916E-4</v>
      </c>
      <c r="BB9" s="49">
        <v>3.3191767720001795E-4</v>
      </c>
      <c r="BC9" s="49">
        <v>3.2859850042801775E-4</v>
      </c>
      <c r="BD9" s="49">
        <v>3.2531251542373756E-4</v>
      </c>
      <c r="BE9" s="49">
        <v>3.2205939026950018E-4</v>
      </c>
      <c r="BF9" s="49">
        <v>3.1883879636680518E-4</v>
      </c>
      <c r="BG9" s="49">
        <v>3.156504084031371E-4</v>
      </c>
      <c r="BH9" s="49">
        <v>3.1249390431910571E-4</v>
      </c>
      <c r="BI9" s="49">
        <v>3.0936896527591467E-4</v>
      </c>
      <c r="BJ9" s="49">
        <v>3.0627527562315554E-4</v>
      </c>
      <c r="BK9" s="49">
        <v>3.0321252286692399E-4</v>
      </c>
      <c r="BL9" s="49">
        <v>3.0018039763825472E-4</v>
      </c>
      <c r="BM9" s="49">
        <v>2.9717859366187215E-4</v>
      </c>
      <c r="BN9" s="49">
        <v>2.9420680772525342E-4</v>
      </c>
      <c r="BO9" s="49">
        <v>2.912647396480009E-4</v>
      </c>
      <c r="BP9" s="49">
        <v>2.883520922515209E-4</v>
      </c>
      <c r="BQ9" s="49">
        <v>2.8546857132900568E-4</v>
      </c>
      <c r="BR9" s="49">
        <v>2.8261388561571561E-4</v>
      </c>
      <c r="BS9" s="49">
        <v>2.7978774675955847E-4</v>
      </c>
      <c r="BT9" s="49">
        <v>2.769898692919629E-4</v>
      </c>
      <c r="BU9" s="49">
        <v>2.7421997059904327E-4</v>
      </c>
      <c r="BV9" s="49">
        <v>2.7147777089305285E-4</v>
      </c>
      <c r="BW9" s="49">
        <v>2.6876299318412232E-4</v>
      </c>
      <c r="BX9" s="49">
        <v>2.6607536325228107E-4</v>
      </c>
      <c r="BY9" s="49">
        <v>2.6341460961975827E-4</v>
      </c>
      <c r="BZ9" s="49">
        <v>2.6078046352356069E-4</v>
      </c>
      <c r="CA9" s="49">
        <v>2.5817265888832507E-4</v>
      </c>
      <c r="CB9" s="49">
        <v>2.5559093229944179E-4</v>
      </c>
      <c r="CC9" s="49">
        <v>2.5303502297644738E-4</v>
      </c>
      <c r="CD9" s="49">
        <v>2.5050467274668293E-4</v>
      </c>
      <c r="CE9" s="49">
        <v>2.4799962601921612E-4</v>
      </c>
      <c r="CF9" s="49">
        <v>2.4551962975902393E-4</v>
      </c>
      <c r="CG9" s="49">
        <v>2.4306443346143369E-4</v>
      </c>
      <c r="CH9" s="49">
        <v>2.4063378912681933E-4</v>
      </c>
      <c r="CI9" s="49">
        <v>2.3822745123555113E-4</v>
      </c>
      <c r="CJ9" s="49">
        <v>2.3584517672319561E-4</v>
      </c>
      <c r="CK9" s="49">
        <v>2.3348672495596365E-4</v>
      </c>
      <c r="CL9" s="49">
        <v>2.31151857706404E-4</v>
      </c>
      <c r="CM9" s="49">
        <v>2.2884033912933996E-4</v>
      </c>
      <c r="CN9" s="49">
        <v>2.2655193573804656E-4</v>
      </c>
      <c r="CO9" s="49">
        <v>2.2428641638066608E-4</v>
      </c>
      <c r="CP9" s="49">
        <v>2.2204355221685943E-4</v>
      </c>
      <c r="CQ9" s="49">
        <v>2.1982311669469084E-4</v>
      </c>
      <c r="CR9" s="49">
        <v>2.1762488552774394E-4</v>
      </c>
      <c r="CS9" s="49">
        <v>2.1544863667246648E-4</v>
      </c>
      <c r="CT9" s="49">
        <v>2.1329415030574181E-4</v>
      </c>
      <c r="CU9" s="49">
        <v>2.1116120880268439E-4</v>
      </c>
      <c r="CV9" s="49">
        <v>2.0904959671465755E-4</v>
      </c>
      <c r="CW9" s="49">
        <v>2.0695910074751097E-4</v>
      </c>
      <c r="CX9" s="48">
        <v>2.0488950974003586E-4</v>
      </c>
      <c r="CY9" s="28">
        <v>2.0284061464263551E-4</v>
      </c>
    </row>
    <row r="10" spans="1:103" ht="15.75">
      <c r="A10" s="50">
        <v>28</v>
      </c>
      <c r="B10" s="48">
        <v>4.44E-4</v>
      </c>
      <c r="C10" s="48">
        <v>4.5865199999999999E-4</v>
      </c>
      <c r="D10" s="48">
        <v>4.7209050360000001E-4</v>
      </c>
      <c r="E10" s="48">
        <v>4.8370392998856E-4</v>
      </c>
      <c r="F10" s="48">
        <v>4.9299104544434037E-4</v>
      </c>
      <c r="G10" s="48">
        <v>4.9969572366238347E-4</v>
      </c>
      <c r="H10" s="48">
        <v>5.0374325902404881E-4</v>
      </c>
      <c r="I10" s="48">
        <v>5.0530486312702345E-4</v>
      </c>
      <c r="J10" s="48">
        <v>5.047490277775837E-4</v>
      </c>
      <c r="K10" s="48">
        <v>5.0293193127758443E-4</v>
      </c>
      <c r="L10" s="48">
        <v>5.0041727162119653E-4</v>
      </c>
      <c r="M10" s="48">
        <v>4.9756489317295566E-4</v>
      </c>
      <c r="N10" s="48">
        <v>4.943307213673315E-4</v>
      </c>
      <c r="O10" s="48">
        <v>4.9077154017348676E-4</v>
      </c>
      <c r="P10" s="48">
        <v>4.8694352216013353E-4</v>
      </c>
      <c r="Q10" s="48">
        <v>4.8285319657398842E-4</v>
      </c>
      <c r="R10" s="48">
        <v>4.7850751780482254E-4</v>
      </c>
      <c r="S10" s="48">
        <v>4.740095471374572E-4</v>
      </c>
      <c r="T10" s="48">
        <v>4.6941165453022384E-4</v>
      </c>
      <c r="U10" s="49">
        <v>4.6476447915037459E-4</v>
      </c>
      <c r="V10" s="49">
        <v>4.6011683435887084E-4</v>
      </c>
      <c r="W10" s="49">
        <v>4.5551566601528213E-4</v>
      </c>
      <c r="X10" s="49">
        <v>4.5096050935512929E-4</v>
      </c>
      <c r="Y10" s="49">
        <v>4.4645090426157798E-4</v>
      </c>
      <c r="Z10" s="49">
        <v>4.4198639521896222E-4</v>
      </c>
      <c r="AA10" s="49">
        <v>4.3756653126677262E-4</v>
      </c>
      <c r="AB10" s="49">
        <v>4.3319086595410488E-4</v>
      </c>
      <c r="AC10" s="49">
        <v>4.2885895729456383E-4</v>
      </c>
      <c r="AD10" s="49">
        <v>4.2457036772161817E-4</v>
      </c>
      <c r="AE10" s="49">
        <v>4.2032466404440195E-4</v>
      </c>
      <c r="AF10" s="49">
        <v>4.1612141740395795E-4</v>
      </c>
      <c r="AG10" s="49">
        <v>4.1196020322991836E-4</v>
      </c>
      <c r="AH10" s="49">
        <v>4.0784060119761917E-4</v>
      </c>
      <c r="AI10" s="49">
        <v>4.0376219518564299E-4</v>
      </c>
      <c r="AJ10" s="49">
        <v>3.9972457323378657E-4</v>
      </c>
      <c r="AK10" s="49">
        <v>3.9572732750144872E-4</v>
      </c>
      <c r="AL10" s="49">
        <v>3.9177005422643421E-4</v>
      </c>
      <c r="AM10" s="49">
        <v>3.8785235368416984E-4</v>
      </c>
      <c r="AN10" s="49">
        <v>3.8397383014732812E-4</v>
      </c>
      <c r="AO10" s="49">
        <v>3.8013409184585483E-4</v>
      </c>
      <c r="AP10" s="49">
        <v>3.7633275092739627E-4</v>
      </c>
      <c r="AQ10" s="49">
        <v>3.7256942341812229E-4</v>
      </c>
      <c r="AR10" s="49">
        <v>3.6884372918394108E-4</v>
      </c>
      <c r="AS10" s="49">
        <v>3.6515529189210167E-4</v>
      </c>
      <c r="AT10" s="49">
        <v>3.6150373897318066E-4</v>
      </c>
      <c r="AU10" s="49">
        <v>3.5788870158344883E-4</v>
      </c>
      <c r="AV10" s="49">
        <v>3.5430981456761434E-4</v>
      </c>
      <c r="AW10" s="49">
        <v>3.5076671642193818E-4</v>
      </c>
      <c r="AX10" s="49">
        <v>3.4725904925771877E-4</v>
      </c>
      <c r="AY10" s="49">
        <v>3.437864587651416E-4</v>
      </c>
      <c r="AZ10" s="49">
        <v>3.4034859417749017E-4</v>
      </c>
      <c r="BA10" s="49">
        <v>3.3694510823571527E-4</v>
      </c>
      <c r="BB10" s="49">
        <v>3.3357565715335811E-4</v>
      </c>
      <c r="BC10" s="49">
        <v>3.3023990058182452E-4</v>
      </c>
      <c r="BD10" s="49">
        <v>3.2693750157600628E-4</v>
      </c>
      <c r="BE10" s="49">
        <v>3.2366812656024622E-4</v>
      </c>
      <c r="BF10" s="49">
        <v>3.2043144529464375E-4</v>
      </c>
      <c r="BG10" s="49">
        <v>3.1722713084169729E-4</v>
      </c>
      <c r="BH10" s="49">
        <v>3.140548595332803E-4</v>
      </c>
      <c r="BI10" s="49">
        <v>3.1091431093794751E-4</v>
      </c>
      <c r="BJ10" s="49">
        <v>3.0780516782856802E-4</v>
      </c>
      <c r="BK10" s="49">
        <v>3.0472711615028234E-4</v>
      </c>
      <c r="BL10" s="49">
        <v>3.0167984498877953E-4</v>
      </c>
      <c r="BM10" s="49">
        <v>2.9866304653889173E-4</v>
      </c>
      <c r="BN10" s="49">
        <v>2.9567641607350283E-4</v>
      </c>
      <c r="BO10" s="49">
        <v>2.9271965191276779E-4</v>
      </c>
      <c r="BP10" s="49">
        <v>2.8979245539364009E-4</v>
      </c>
      <c r="BQ10" s="49">
        <v>2.8689453083970368E-4</v>
      </c>
      <c r="BR10" s="49">
        <v>2.8402558553130663E-4</v>
      </c>
      <c r="BS10" s="49">
        <v>2.8118532967599358E-4</v>
      </c>
      <c r="BT10" s="49">
        <v>2.7837347637923364E-4</v>
      </c>
      <c r="BU10" s="49">
        <v>2.7558974161544128E-4</v>
      </c>
      <c r="BV10" s="49">
        <v>2.7283384419928686E-4</v>
      </c>
      <c r="BW10" s="49">
        <v>2.7010550575729399E-4</v>
      </c>
      <c r="BX10" s="49">
        <v>2.6740445069972104E-4</v>
      </c>
      <c r="BY10" s="49">
        <v>2.6473040619272385E-4</v>
      </c>
      <c r="BZ10" s="49">
        <v>2.6208310213079658E-4</v>
      </c>
      <c r="CA10" s="49">
        <v>2.5946227110948861E-4</v>
      </c>
      <c r="CB10" s="49">
        <v>2.5686764839839371E-4</v>
      </c>
      <c r="CC10" s="49">
        <v>2.5429897191440976E-4</v>
      </c>
      <c r="CD10" s="49">
        <v>2.5175598219526565E-4</v>
      </c>
      <c r="CE10" s="49">
        <v>2.4923842237331302E-4</v>
      </c>
      <c r="CF10" s="49">
        <v>2.467460381495799E-4</v>
      </c>
      <c r="CG10" s="49">
        <v>2.4427857776808409E-4</v>
      </c>
      <c r="CH10" s="49">
        <v>2.4183579199040325E-4</v>
      </c>
      <c r="CI10" s="49">
        <v>2.394174340704992E-4</v>
      </c>
      <c r="CJ10" s="49">
        <v>2.370232597297942E-4</v>
      </c>
      <c r="CK10" s="49">
        <v>2.3465302713249626E-4</v>
      </c>
      <c r="CL10" s="49">
        <v>2.3230649686117129E-4</v>
      </c>
      <c r="CM10" s="49">
        <v>2.2998343189255957E-4</v>
      </c>
      <c r="CN10" s="49">
        <v>2.2768359757363398E-4</v>
      </c>
      <c r="CO10" s="49">
        <v>2.2540676159789764E-4</v>
      </c>
      <c r="CP10" s="49">
        <v>2.2315269398191865E-4</v>
      </c>
      <c r="CQ10" s="49">
        <v>2.2092116704209945E-4</v>
      </c>
      <c r="CR10" s="49">
        <v>2.1871195537167846E-4</v>
      </c>
      <c r="CS10" s="49">
        <v>2.1652483581796167E-4</v>
      </c>
      <c r="CT10" s="49">
        <v>2.1435958745978206E-4</v>
      </c>
      <c r="CU10" s="49">
        <v>2.1221599158518424E-4</v>
      </c>
      <c r="CV10" s="49">
        <v>2.100938316693324E-4</v>
      </c>
      <c r="CW10" s="49">
        <v>2.0799289335263907E-4</v>
      </c>
      <c r="CX10" s="48">
        <v>2.0591296441911267E-4</v>
      </c>
      <c r="CY10" s="28">
        <v>2.0385383477492154E-4</v>
      </c>
    </row>
    <row r="11" spans="1:103" ht="15.75">
      <c r="A11" s="50">
        <v>29</v>
      </c>
      <c r="B11" s="48">
        <v>4.46E-4</v>
      </c>
      <c r="C11" s="48">
        <v>4.6192220000000004E-4</v>
      </c>
      <c r="D11" s="48">
        <v>4.7670371040000004E-4</v>
      </c>
      <c r="E11" s="48">
        <v>4.8962238095183995E-4</v>
      </c>
      <c r="F11" s="48">
        <v>5.0014926214230458E-4</v>
      </c>
      <c r="G11" s="48">
        <v>5.079515906317246E-4</v>
      </c>
      <c r="H11" s="48">
        <v>5.1292951621991552E-4</v>
      </c>
      <c r="I11" s="48">
        <v>5.1523769904290515E-4</v>
      </c>
      <c r="J11" s="48">
        <v>5.1518617527300081E-4</v>
      </c>
      <c r="K11" s="48">
        <v>5.1333150504201798E-4</v>
      </c>
      <c r="L11" s="48">
        <v>5.1076484751680785E-4</v>
      </c>
      <c r="M11" s="48">
        <v>5.0785348788596205E-4</v>
      </c>
      <c r="N11" s="48">
        <v>5.0455244021470336E-4</v>
      </c>
      <c r="O11" s="48">
        <v>5.0091966264515745E-4</v>
      </c>
      <c r="P11" s="48">
        <v>4.9701248927652524E-4</v>
      </c>
      <c r="Q11" s="48">
        <v>4.928375843666024E-4</v>
      </c>
      <c r="R11" s="48">
        <v>4.8840204610730296E-4</v>
      </c>
      <c r="S11" s="48">
        <v>4.8381106687389434E-4</v>
      </c>
      <c r="T11" s="48">
        <v>4.7911809952521755E-4</v>
      </c>
      <c r="U11" s="49">
        <v>4.7437483033991787E-4</v>
      </c>
      <c r="V11" s="49">
        <v>4.6963108203651867E-4</v>
      </c>
      <c r="W11" s="49">
        <v>4.6493477121615346E-4</v>
      </c>
      <c r="X11" s="49">
        <v>4.6028542350399191E-4</v>
      </c>
      <c r="Y11" s="49">
        <v>4.5568256926895197E-4</v>
      </c>
      <c r="Z11" s="49">
        <v>4.5112574357626244E-4</v>
      </c>
      <c r="AA11" s="49">
        <v>4.4661448614049983E-4</v>
      </c>
      <c r="AB11" s="49">
        <v>4.4214834127909484E-4</v>
      </c>
      <c r="AC11" s="49">
        <v>4.3772685786630386E-4</v>
      </c>
      <c r="AD11" s="49">
        <v>4.3334958928764079E-4</v>
      </c>
      <c r="AE11" s="49">
        <v>4.2901609339476436E-4</v>
      </c>
      <c r="AF11" s="49">
        <v>4.2472593246081671E-4</v>
      </c>
      <c r="AG11" s="49">
        <v>4.2047867313620857E-4</v>
      </c>
      <c r="AH11" s="49">
        <v>4.1627388640484649E-4</v>
      </c>
      <c r="AI11" s="49">
        <v>4.1211114754079799E-4</v>
      </c>
      <c r="AJ11" s="49">
        <v>4.0799003606538999E-4</v>
      </c>
      <c r="AK11" s="49">
        <v>4.0391013570473608E-4</v>
      </c>
      <c r="AL11" s="49">
        <v>3.998710343476887E-4</v>
      </c>
      <c r="AM11" s="49">
        <v>3.9587232400421183E-4</v>
      </c>
      <c r="AN11" s="49">
        <v>3.9191360076416972E-4</v>
      </c>
      <c r="AO11" s="49">
        <v>3.8799446475652803E-4</v>
      </c>
      <c r="AP11" s="49">
        <v>3.8411452010896275E-4</v>
      </c>
      <c r="AQ11" s="49">
        <v>3.8027337490787312E-4</v>
      </c>
      <c r="AR11" s="49">
        <v>3.7647064115879441E-4</v>
      </c>
      <c r="AS11" s="49">
        <v>3.7270593474720648E-4</v>
      </c>
      <c r="AT11" s="49">
        <v>3.6897887539973442E-4</v>
      </c>
      <c r="AU11" s="49">
        <v>3.6528908664573706E-4</v>
      </c>
      <c r="AV11" s="49">
        <v>3.616361957792797E-4</v>
      </c>
      <c r="AW11" s="49">
        <v>3.580198338214869E-4</v>
      </c>
      <c r="AX11" s="49">
        <v>3.5443963548327203E-4</v>
      </c>
      <c r="AY11" s="49">
        <v>3.5089523912843932E-4</v>
      </c>
      <c r="AZ11" s="49">
        <v>3.4738628673715495E-4</v>
      </c>
      <c r="BA11" s="49">
        <v>3.4391242386978339E-4</v>
      </c>
      <c r="BB11" s="49">
        <v>3.4047329963108556E-4</v>
      </c>
      <c r="BC11" s="49">
        <v>3.3706856663477468E-4</v>
      </c>
      <c r="BD11" s="49">
        <v>3.3369788096842694E-4</v>
      </c>
      <c r="BE11" s="49">
        <v>3.3036090215874265E-4</v>
      </c>
      <c r="BF11" s="49">
        <v>3.2705729313715524E-4</v>
      </c>
      <c r="BG11" s="49">
        <v>3.2378672020578369E-4</v>
      </c>
      <c r="BH11" s="49">
        <v>3.2054885300372585E-4</v>
      </c>
      <c r="BI11" s="49">
        <v>3.1734336447368858E-4</v>
      </c>
      <c r="BJ11" s="49">
        <v>3.1416993082895167E-4</v>
      </c>
      <c r="BK11" s="49">
        <v>3.1102823152066216E-4</v>
      </c>
      <c r="BL11" s="49">
        <v>3.0791794920545556E-4</v>
      </c>
      <c r="BM11" s="49">
        <v>3.0483876971340102E-4</v>
      </c>
      <c r="BN11" s="49">
        <v>3.01790382016267E-4</v>
      </c>
      <c r="BO11" s="49">
        <v>2.9877247819610434E-4</v>
      </c>
      <c r="BP11" s="49">
        <v>2.957847534141433E-4</v>
      </c>
      <c r="BQ11" s="49">
        <v>2.9282690588000186E-4</v>
      </c>
      <c r="BR11" s="49">
        <v>2.8989863682120186E-4</v>
      </c>
      <c r="BS11" s="49">
        <v>2.8699965045298983E-4</v>
      </c>
      <c r="BT11" s="49">
        <v>2.8412965394845993E-4</v>
      </c>
      <c r="BU11" s="49">
        <v>2.8128835740897533E-4</v>
      </c>
      <c r="BV11" s="49">
        <v>2.7847547383488559E-4</v>
      </c>
      <c r="BW11" s="49">
        <v>2.7569071909653675E-4</v>
      </c>
      <c r="BX11" s="49">
        <v>2.7293381190557136E-4</v>
      </c>
      <c r="BY11" s="49">
        <v>2.7020447378651563E-4</v>
      </c>
      <c r="BZ11" s="49">
        <v>2.6750242904865048E-4</v>
      </c>
      <c r="CA11" s="49">
        <v>2.6482740475816397E-4</v>
      </c>
      <c r="CB11" s="49">
        <v>2.6217913071058236E-4</v>
      </c>
      <c r="CC11" s="49">
        <v>2.5955733940347651E-4</v>
      </c>
      <c r="CD11" s="49">
        <v>2.5696176600944174E-4</v>
      </c>
      <c r="CE11" s="49">
        <v>2.5439214834934733E-4</v>
      </c>
      <c r="CF11" s="49">
        <v>2.5184822686585384E-4</v>
      </c>
      <c r="CG11" s="49">
        <v>2.4932974459719527E-4</v>
      </c>
      <c r="CH11" s="49">
        <v>2.4683644715122334E-4</v>
      </c>
      <c r="CI11" s="49">
        <v>2.4436808267971108E-4</v>
      </c>
      <c r="CJ11" s="49">
        <v>2.4192440185291395E-4</v>
      </c>
      <c r="CK11" s="49">
        <v>2.3950515783438482E-4</v>
      </c>
      <c r="CL11" s="49">
        <v>2.3711010625604098E-4</v>
      </c>
      <c r="CM11" s="49">
        <v>2.3473900519348058E-4</v>
      </c>
      <c r="CN11" s="49">
        <v>2.3239161514154578E-4</v>
      </c>
      <c r="CO11" s="49">
        <v>2.3006769899013032E-4</v>
      </c>
      <c r="CP11" s="49">
        <v>2.2776702200022901E-4</v>
      </c>
      <c r="CQ11" s="49">
        <v>2.2548935178022672E-4</v>
      </c>
      <c r="CR11" s="49">
        <v>2.2323445826242445E-4</v>
      </c>
      <c r="CS11" s="49">
        <v>2.210021136798002E-4</v>
      </c>
      <c r="CT11" s="49">
        <v>2.1879209254300219E-4</v>
      </c>
      <c r="CU11" s="49">
        <v>2.1660417161757217E-4</v>
      </c>
      <c r="CV11" s="49">
        <v>2.1443812990139645E-4</v>
      </c>
      <c r="CW11" s="49">
        <v>2.1229374860238248E-4</v>
      </c>
      <c r="CX11" s="48">
        <v>2.1017081111635865E-4</v>
      </c>
      <c r="CY11" s="28">
        <v>2.0806910300519507E-4</v>
      </c>
    </row>
    <row r="12" spans="1:103" ht="15.75">
      <c r="A12" s="50">
        <v>30</v>
      </c>
      <c r="B12" s="48">
        <v>4.5199999999999998E-4</v>
      </c>
      <c r="C12" s="48">
        <v>4.6917600000000002E-4</v>
      </c>
      <c r="D12" s="48">
        <v>4.8531565440000001E-4</v>
      </c>
      <c r="E12" s="48">
        <v>4.996324662048001E-4</v>
      </c>
      <c r="F12" s="48">
        <v>5.1147375565385386E-4</v>
      </c>
      <c r="G12" s="48">
        <v>5.2047569375336168E-4</v>
      </c>
      <c r="H12" s="48">
        <v>5.2646116423152539E-4</v>
      </c>
      <c r="I12" s="48">
        <v>5.2951463898406827E-4</v>
      </c>
      <c r="J12" s="48">
        <v>5.3004415362305224E-4</v>
      </c>
      <c r="K12" s="48">
        <v>5.2861303440827E-4</v>
      </c>
      <c r="L12" s="48">
        <v>5.2596996923622865E-4</v>
      </c>
      <c r="M12" s="48">
        <v>5.2297194041158216E-4</v>
      </c>
      <c r="N12" s="48">
        <v>5.1957262279890689E-4</v>
      </c>
      <c r="O12" s="48">
        <v>5.1583169991475475E-4</v>
      </c>
      <c r="P12" s="48">
        <v>5.1180821265541963E-4</v>
      </c>
      <c r="Q12" s="48">
        <v>5.0750902366911415E-4</v>
      </c>
      <c r="R12" s="48">
        <v>5.0294144245609208E-4</v>
      </c>
      <c r="S12" s="48">
        <v>4.9821379289700484E-4</v>
      </c>
      <c r="T12" s="48">
        <v>4.9338111910590384E-4</v>
      </c>
      <c r="U12" s="49">
        <v>4.8849664602675536E-4</v>
      </c>
      <c r="V12" s="49">
        <v>4.8361167956648777E-4</v>
      </c>
      <c r="W12" s="49">
        <v>4.7877556277082291E-4</v>
      </c>
      <c r="X12" s="49">
        <v>4.739878071431147E-4</v>
      </c>
      <c r="Y12" s="49">
        <v>4.6924792907168357E-4</v>
      </c>
      <c r="Z12" s="49">
        <v>4.6455544978096672E-4</v>
      </c>
      <c r="AA12" s="49">
        <v>4.5990989528315706E-4</v>
      </c>
      <c r="AB12" s="49">
        <v>4.5531079633032547E-4</v>
      </c>
      <c r="AC12" s="49">
        <v>4.5075768836702222E-4</v>
      </c>
      <c r="AD12" s="49">
        <v>4.4625011148335199E-4</v>
      </c>
      <c r="AE12" s="49">
        <v>4.4178761036851844E-4</v>
      </c>
      <c r="AF12" s="49">
        <v>4.3736973426483324E-4</v>
      </c>
      <c r="AG12" s="49">
        <v>4.3299603692218493E-4</v>
      </c>
      <c r="AH12" s="49">
        <v>4.286660765529631E-4</v>
      </c>
      <c r="AI12" s="49">
        <v>4.2437941578743347E-4</v>
      </c>
      <c r="AJ12" s="49">
        <v>4.2013562162955911E-4</v>
      </c>
      <c r="AK12" s="49">
        <v>4.1593426541326349E-4</v>
      </c>
      <c r="AL12" s="49">
        <v>4.1177492275913083E-4</v>
      </c>
      <c r="AM12" s="49">
        <v>4.0765717353153952E-4</v>
      </c>
      <c r="AN12" s="49">
        <v>4.0358060179622414E-4</v>
      </c>
      <c r="AO12" s="49">
        <v>3.9954479577826191E-4</v>
      </c>
      <c r="AP12" s="49">
        <v>3.9554934782047926E-4</v>
      </c>
      <c r="AQ12" s="49">
        <v>3.9159385434227447E-4</v>
      </c>
      <c r="AR12" s="49">
        <v>3.8767791579885175E-4</v>
      </c>
      <c r="AS12" s="49">
        <v>3.8380113664086325E-4</v>
      </c>
      <c r="AT12" s="49">
        <v>3.7996312527445464E-4</v>
      </c>
      <c r="AU12" s="49">
        <v>3.7616349402171009E-4</v>
      </c>
      <c r="AV12" s="49">
        <v>3.7240185908149297E-4</v>
      </c>
      <c r="AW12" s="49">
        <v>3.6867784049067801E-4</v>
      </c>
      <c r="AX12" s="49">
        <v>3.6499106208577121E-4</v>
      </c>
      <c r="AY12" s="49">
        <v>3.6134115146491347E-4</v>
      </c>
      <c r="AZ12" s="49">
        <v>3.5772773995026432E-4</v>
      </c>
      <c r="BA12" s="49">
        <v>3.5415046255076165E-4</v>
      </c>
      <c r="BB12" s="49">
        <v>3.5060895792525401E-4</v>
      </c>
      <c r="BC12" s="49">
        <v>3.4710286834600145E-4</v>
      </c>
      <c r="BD12" s="49">
        <v>3.4363183966254143E-4</v>
      </c>
      <c r="BE12" s="49">
        <v>3.4019552126591602E-4</v>
      </c>
      <c r="BF12" s="49">
        <v>3.3679356605325684E-4</v>
      </c>
      <c r="BG12" s="49">
        <v>3.3342563039272428E-4</v>
      </c>
      <c r="BH12" s="49">
        <v>3.3009137408879702E-4</v>
      </c>
      <c r="BI12" s="49">
        <v>3.2679046034790902E-4</v>
      </c>
      <c r="BJ12" s="49">
        <v>3.2352255574442994E-4</v>
      </c>
      <c r="BK12" s="49">
        <v>3.2028733018698565E-4</v>
      </c>
      <c r="BL12" s="49">
        <v>3.1708445688511582E-4</v>
      </c>
      <c r="BM12" s="49">
        <v>3.1391361231626467E-4</v>
      </c>
      <c r="BN12" s="49">
        <v>3.1077447619310203E-4</v>
      </c>
      <c r="BO12" s="49">
        <v>3.0766673143117101E-4</v>
      </c>
      <c r="BP12" s="49">
        <v>3.0459006411685932E-4</v>
      </c>
      <c r="BQ12" s="49">
        <v>3.0154416347569072E-4</v>
      </c>
      <c r="BR12" s="49">
        <v>2.9852872184093381E-4</v>
      </c>
      <c r="BS12" s="49">
        <v>2.9554343462252449E-4</v>
      </c>
      <c r="BT12" s="49">
        <v>2.9258800027629926E-4</v>
      </c>
      <c r="BU12" s="49">
        <v>2.8966212027353624E-4</v>
      </c>
      <c r="BV12" s="49">
        <v>2.8676549907080088E-4</v>
      </c>
      <c r="BW12" s="49">
        <v>2.8389784408009285E-4</v>
      </c>
      <c r="BX12" s="49">
        <v>2.810588656392919E-4</v>
      </c>
      <c r="BY12" s="49">
        <v>2.78248276982899E-4</v>
      </c>
      <c r="BZ12" s="49">
        <v>2.7546579421307E-4</v>
      </c>
      <c r="CA12" s="49">
        <v>2.7271113627093933E-4</v>
      </c>
      <c r="CB12" s="49">
        <v>2.6998402490822991E-4</v>
      </c>
      <c r="CC12" s="49">
        <v>2.6728418465914763E-4</v>
      </c>
      <c r="CD12" s="49">
        <v>2.6461134281255617E-4</v>
      </c>
      <c r="CE12" s="49">
        <v>2.6196522938443058E-4</v>
      </c>
      <c r="CF12" s="49">
        <v>2.5934557709058627E-4</v>
      </c>
      <c r="CG12" s="49">
        <v>2.5675212131968039E-4</v>
      </c>
      <c r="CH12" s="49">
        <v>2.5418460010648357E-4</v>
      </c>
      <c r="CI12" s="49">
        <v>2.5164275410541874E-4</v>
      </c>
      <c r="CJ12" s="49">
        <v>2.4912632656436454E-4</v>
      </c>
      <c r="CK12" s="49">
        <v>2.4663506329872091E-4</v>
      </c>
      <c r="CL12" s="49">
        <v>2.4416871266573367E-4</v>
      </c>
      <c r="CM12" s="49">
        <v>2.4172702553907635E-4</v>
      </c>
      <c r="CN12" s="49">
        <v>2.3930975528368558E-4</v>
      </c>
      <c r="CO12" s="49">
        <v>2.3691665773084873E-4</v>
      </c>
      <c r="CP12" s="49">
        <v>2.3454749115354025E-4</v>
      </c>
      <c r="CQ12" s="49">
        <v>2.3220201624200485E-4</v>
      </c>
      <c r="CR12" s="49">
        <v>2.2987999607958481E-4</v>
      </c>
      <c r="CS12" s="49">
        <v>2.2758119611878896E-4</v>
      </c>
      <c r="CT12" s="49">
        <v>2.2530538415760107E-4</v>
      </c>
      <c r="CU12" s="49">
        <v>2.2305233031602505E-4</v>
      </c>
      <c r="CV12" s="49">
        <v>2.208218070128648E-4</v>
      </c>
      <c r="CW12" s="49">
        <v>2.1861358894273615E-4</v>
      </c>
      <c r="CX12" s="48">
        <v>2.1642745305330878E-4</v>
      </c>
      <c r="CY12" s="28">
        <v>2.1426317852277568E-4</v>
      </c>
    </row>
    <row r="13" spans="1:103" ht="15.75">
      <c r="A13" s="50">
        <v>31</v>
      </c>
      <c r="B13" s="48">
        <v>4.6299999999999998E-4</v>
      </c>
      <c r="C13" s="48">
        <v>4.8147370000000002E-4</v>
      </c>
      <c r="D13" s="48">
        <v>4.9899934268000001E-4</v>
      </c>
      <c r="E13" s="48">
        <v>5.147178219744201E-4</v>
      </c>
      <c r="F13" s="48">
        <v>5.2794606999916277E-4</v>
      </c>
      <c r="G13" s="48">
        <v>5.3818822375714659E-4</v>
      </c>
      <c r="H13" s="48">
        <v>5.4523848948836529E-4</v>
      </c>
      <c r="I13" s="48">
        <v>5.491642066126816E-4</v>
      </c>
      <c r="J13" s="48">
        <v>5.5031745144656821E-4</v>
      </c>
      <c r="K13" s="48">
        <v>5.4932688003396437E-4</v>
      </c>
      <c r="L13" s="48">
        <v>5.4696477444981834E-4</v>
      </c>
      <c r="M13" s="48">
        <v>5.4384707523545434E-4</v>
      </c>
      <c r="N13" s="48">
        <v>5.4031206924642396E-4</v>
      </c>
      <c r="O13" s="48">
        <v>5.3642182234784968E-4</v>
      </c>
      <c r="P13" s="48">
        <v>5.3223773213353649E-4</v>
      </c>
      <c r="Q13" s="48">
        <v>5.2776693518361483E-4</v>
      </c>
      <c r="R13" s="48">
        <v>5.2301703276696229E-4</v>
      </c>
      <c r="S13" s="48">
        <v>5.1810067265895291E-4</v>
      </c>
      <c r="T13" s="48">
        <v>5.1307509613416106E-4</v>
      </c>
      <c r="U13" s="49">
        <v>5.0799565268243286E-4</v>
      </c>
      <c r="V13" s="49">
        <v>5.0291569615560857E-4</v>
      </c>
      <c r="W13" s="49">
        <v>4.9788653919405248E-4</v>
      </c>
      <c r="X13" s="49">
        <v>4.9290767380211198E-4</v>
      </c>
      <c r="Y13" s="49">
        <v>4.8797859706409085E-4</v>
      </c>
      <c r="Z13" s="49">
        <v>4.8309881109344995E-4</v>
      </c>
      <c r="AA13" s="49">
        <v>4.7826782298251546E-4</v>
      </c>
      <c r="AB13" s="49">
        <v>4.734851447526903E-4</v>
      </c>
      <c r="AC13" s="49">
        <v>4.687502933051634E-4</v>
      </c>
      <c r="AD13" s="49">
        <v>4.6406279037211178E-4</v>
      </c>
      <c r="AE13" s="49">
        <v>4.5942216246839065E-4</v>
      </c>
      <c r="AF13" s="49">
        <v>4.5482794084370675E-4</v>
      </c>
      <c r="AG13" s="49">
        <v>4.5027966143526966E-4</v>
      </c>
      <c r="AH13" s="49">
        <v>4.4577686482091697E-4</v>
      </c>
      <c r="AI13" s="49">
        <v>4.4131909617270779E-4</v>
      </c>
      <c r="AJ13" s="49">
        <v>4.3690590521098068E-4</v>
      </c>
      <c r="AK13" s="49">
        <v>4.3253684615887086E-4</v>
      </c>
      <c r="AL13" s="49">
        <v>4.2821147769728213E-4</v>
      </c>
      <c r="AM13" s="49">
        <v>4.2392936292030928E-4</v>
      </c>
      <c r="AN13" s="49">
        <v>4.1969006929110618E-4</v>
      </c>
      <c r="AO13" s="49">
        <v>4.154931685981951E-4</v>
      </c>
      <c r="AP13" s="49">
        <v>4.1133823691221313E-4</v>
      </c>
      <c r="AQ13" s="49">
        <v>4.07224854543091E-4</v>
      </c>
      <c r="AR13" s="49">
        <v>4.0315260599766008E-4</v>
      </c>
      <c r="AS13" s="49">
        <v>3.9912107993768348E-4</v>
      </c>
      <c r="AT13" s="49">
        <v>3.9512986913830666E-4</v>
      </c>
      <c r="AU13" s="49">
        <v>3.9117857044692359E-4</v>
      </c>
      <c r="AV13" s="49">
        <v>3.8726678474245433E-4</v>
      </c>
      <c r="AW13" s="49">
        <v>3.833941168950298E-4</v>
      </c>
      <c r="AX13" s="49">
        <v>3.795601757260795E-4</v>
      </c>
      <c r="AY13" s="49">
        <v>3.7576457396881871E-4</v>
      </c>
      <c r="AZ13" s="49">
        <v>3.7200692822913052E-4</v>
      </c>
      <c r="BA13" s="49">
        <v>3.6828685894683922E-4</v>
      </c>
      <c r="BB13" s="49">
        <v>3.6460399035737084E-4</v>
      </c>
      <c r="BC13" s="49">
        <v>3.6095795045379712E-4</v>
      </c>
      <c r="BD13" s="49">
        <v>3.5734837094925917E-4</v>
      </c>
      <c r="BE13" s="49">
        <v>3.5377488723976658E-4</v>
      </c>
      <c r="BF13" s="49">
        <v>3.5023713836736893E-4</v>
      </c>
      <c r="BG13" s="49">
        <v>3.4673476698369521E-4</v>
      </c>
      <c r="BH13" s="49">
        <v>3.4326741931385829E-4</v>
      </c>
      <c r="BI13" s="49">
        <v>3.398347451207197E-4</v>
      </c>
      <c r="BJ13" s="49">
        <v>3.3643639766951252E-4</v>
      </c>
      <c r="BK13" s="49">
        <v>3.3307203369281737E-4</v>
      </c>
      <c r="BL13" s="49">
        <v>3.2974131335588918E-4</v>
      </c>
      <c r="BM13" s="49">
        <v>3.2644390022233027E-4</v>
      </c>
      <c r="BN13" s="49">
        <v>3.2317946122010696E-4</v>
      </c>
      <c r="BO13" s="49">
        <v>3.1994766660790587E-4</v>
      </c>
      <c r="BP13" s="49">
        <v>3.167481899418268E-4</v>
      </c>
      <c r="BQ13" s="49">
        <v>3.1358070804240855E-4</v>
      </c>
      <c r="BR13" s="49">
        <v>3.1044490096198443E-4</v>
      </c>
      <c r="BS13" s="49">
        <v>3.0734045195236461E-4</v>
      </c>
      <c r="BT13" s="49">
        <v>3.0426704743284096E-4</v>
      </c>
      <c r="BU13" s="49">
        <v>3.0122437695851253E-4</v>
      </c>
      <c r="BV13" s="49">
        <v>2.982121331889274E-4</v>
      </c>
      <c r="BW13" s="49">
        <v>2.9523001185703814E-4</v>
      </c>
      <c r="BX13" s="49">
        <v>2.9227771173846777E-4</v>
      </c>
      <c r="BY13" s="49">
        <v>2.8935493462108308E-4</v>
      </c>
      <c r="BZ13" s="49">
        <v>2.8646138527487223E-4</v>
      </c>
      <c r="CA13" s="49">
        <v>2.835967714221235E-4</v>
      </c>
      <c r="CB13" s="49">
        <v>2.8076080370790228E-4</v>
      </c>
      <c r="CC13" s="49">
        <v>2.7795319567082324E-4</v>
      </c>
      <c r="CD13" s="49">
        <v>2.75173663714115E-4</v>
      </c>
      <c r="CE13" s="49">
        <v>2.7242192707697385E-4</v>
      </c>
      <c r="CF13" s="49">
        <v>2.6969770780620411E-4</v>
      </c>
      <c r="CG13" s="49">
        <v>2.6700073072814204E-4</v>
      </c>
      <c r="CH13" s="49">
        <v>2.6433072342086061E-4</v>
      </c>
      <c r="CI13" s="49">
        <v>2.6168741618665201E-4</v>
      </c>
      <c r="CJ13" s="49">
        <v>2.5907054202478549E-4</v>
      </c>
      <c r="CK13" s="49">
        <v>2.5647983660453765E-4</v>
      </c>
      <c r="CL13" s="49">
        <v>2.5391503823849224E-4</v>
      </c>
      <c r="CM13" s="49">
        <v>2.5137588785610734E-4</v>
      </c>
      <c r="CN13" s="49">
        <v>2.4886212897754628E-4</v>
      </c>
      <c r="CO13" s="49">
        <v>2.4637350768777082E-4</v>
      </c>
      <c r="CP13" s="49">
        <v>2.4390977261089309E-4</v>
      </c>
      <c r="CQ13" s="49">
        <v>2.4147067488478416E-4</v>
      </c>
      <c r="CR13" s="49">
        <v>2.3905596813593631E-4</v>
      </c>
      <c r="CS13" s="49">
        <v>2.3666540845457694E-4</v>
      </c>
      <c r="CT13" s="49">
        <v>2.3429875437003118E-4</v>
      </c>
      <c r="CU13" s="49">
        <v>2.3195576682633087E-4</v>
      </c>
      <c r="CV13" s="49">
        <v>2.2963620915806754E-4</v>
      </c>
      <c r="CW13" s="49">
        <v>2.2733984706648687E-4</v>
      </c>
      <c r="CX13" s="48">
        <v>2.25066448595822E-4</v>
      </c>
      <c r="CY13" s="28">
        <v>2.2281578410986378E-4</v>
      </c>
    </row>
    <row r="14" spans="1:103" ht="15.75">
      <c r="A14" s="50">
        <v>32</v>
      </c>
      <c r="B14" s="48">
        <v>4.7699999999999999E-4</v>
      </c>
      <c r="C14" s="48">
        <v>4.9670010000000002E-4</v>
      </c>
      <c r="D14" s="48">
        <v>5.1552503379000006E-4</v>
      </c>
      <c r="E14" s="48">
        <v>5.32588912408449E-4</v>
      </c>
      <c r="F14" s="48">
        <v>5.4718184860844056E-4</v>
      </c>
      <c r="G14" s="48">
        <v>5.5867266742921776E-4</v>
      </c>
      <c r="H14" s="48">
        <v>5.6682928837368434E-4</v>
      </c>
      <c r="I14" s="48">
        <v>5.7170402025369794E-4</v>
      </c>
      <c r="J14" s="48">
        <v>5.7359064352053516E-4</v>
      </c>
      <c r="K14" s="48">
        <v>5.7307441194136667E-4</v>
      </c>
      <c r="L14" s="48">
        <v>5.7106865149957194E-4</v>
      </c>
      <c r="M14" s="48">
        <v>5.6815620137692414E-4</v>
      </c>
      <c r="N14" s="48">
        <v>5.6446318606797414E-4</v>
      </c>
      <c r="O14" s="48">
        <v>5.6039905112828471E-4</v>
      </c>
      <c r="P14" s="48">
        <v>5.5602793852948412E-4</v>
      </c>
      <c r="Q14" s="48">
        <v>5.5135730384583644E-4</v>
      </c>
      <c r="R14" s="48">
        <v>5.4639508811122391E-4</v>
      </c>
      <c r="S14" s="48">
        <v>5.4125897428297838E-4</v>
      </c>
      <c r="T14" s="48">
        <v>5.3600876223243346E-4</v>
      </c>
      <c r="U14" s="49">
        <v>5.307022754863324E-4</v>
      </c>
      <c r="V14" s="49">
        <v>5.2539525273146911E-4</v>
      </c>
      <c r="W14" s="49">
        <v>5.201413002041544E-4</v>
      </c>
      <c r="X14" s="49">
        <v>5.1493988720211284E-4</v>
      </c>
      <c r="Y14" s="49">
        <v>5.0979048833009173E-4</v>
      </c>
      <c r="Z14" s="49">
        <v>5.0469258344679082E-4</v>
      </c>
      <c r="AA14" s="49">
        <v>4.9964565761232294E-4</v>
      </c>
      <c r="AB14" s="49">
        <v>4.9464920103619973E-4</v>
      </c>
      <c r="AC14" s="49">
        <v>4.8970270902583778E-4</v>
      </c>
      <c r="AD14" s="49">
        <v>4.8480568193557939E-4</v>
      </c>
      <c r="AE14" s="49">
        <v>4.7995762511622358E-4</v>
      </c>
      <c r="AF14" s="49">
        <v>4.7515804886506135E-4</v>
      </c>
      <c r="AG14" s="49">
        <v>4.7040646837641072E-4</v>
      </c>
      <c r="AH14" s="49">
        <v>4.6570240369264661E-4</v>
      </c>
      <c r="AI14" s="49">
        <v>4.6104537965572015E-4</v>
      </c>
      <c r="AJ14" s="49">
        <v>4.5643492585916297E-4</v>
      </c>
      <c r="AK14" s="49">
        <v>4.5187057660057132E-4</v>
      </c>
      <c r="AL14" s="49">
        <v>4.4735187083456561E-4</v>
      </c>
      <c r="AM14" s="49">
        <v>4.4287835212621996E-4</v>
      </c>
      <c r="AN14" s="49">
        <v>4.3844956860495776E-4</v>
      </c>
      <c r="AO14" s="49">
        <v>4.3406507291890819E-4</v>
      </c>
      <c r="AP14" s="49">
        <v>4.2972442218971909E-4</v>
      </c>
      <c r="AQ14" s="49">
        <v>4.2542717796782188E-4</v>
      </c>
      <c r="AR14" s="49">
        <v>4.2117290618814366E-4</v>
      </c>
      <c r="AS14" s="49">
        <v>4.1696117712626221E-4</v>
      </c>
      <c r="AT14" s="49">
        <v>4.127915653549996E-4</v>
      </c>
      <c r="AU14" s="49">
        <v>4.0866364970144962E-4</v>
      </c>
      <c r="AV14" s="49">
        <v>4.0457701320443514E-4</v>
      </c>
      <c r="AW14" s="49">
        <v>4.0053124307239081E-4</v>
      </c>
      <c r="AX14" s="49">
        <v>3.9652593064166687E-4</v>
      </c>
      <c r="AY14" s="49">
        <v>3.9256067133525022E-4</v>
      </c>
      <c r="AZ14" s="49">
        <v>3.886350646218977E-4</v>
      </c>
      <c r="BA14" s="49">
        <v>3.8474871397567873E-4</v>
      </c>
      <c r="BB14" s="49">
        <v>3.8090122683592196E-4</v>
      </c>
      <c r="BC14" s="49">
        <v>3.7709221456756276E-4</v>
      </c>
      <c r="BD14" s="49">
        <v>3.7332129242188713E-4</v>
      </c>
      <c r="BE14" s="49">
        <v>3.6958807949766828E-4</v>
      </c>
      <c r="BF14" s="49">
        <v>3.658921987026916E-4</v>
      </c>
      <c r="BG14" s="49">
        <v>3.622332767156647E-4</v>
      </c>
      <c r="BH14" s="49">
        <v>3.5861094394850805E-4</v>
      </c>
      <c r="BI14" s="49">
        <v>3.5502483450902298E-4</v>
      </c>
      <c r="BJ14" s="49">
        <v>3.5147458616393277E-4</v>
      </c>
      <c r="BK14" s="49">
        <v>3.4795984030229347E-4</v>
      </c>
      <c r="BL14" s="49">
        <v>3.4448024189927051E-4</v>
      </c>
      <c r="BM14" s="49">
        <v>3.410354394802778E-4</v>
      </c>
      <c r="BN14" s="49">
        <v>3.37625085085475E-4</v>
      </c>
      <c r="BO14" s="49">
        <v>3.3424883423462023E-4</v>
      </c>
      <c r="BP14" s="49">
        <v>3.3090634589227403E-4</v>
      </c>
      <c r="BQ14" s="49">
        <v>3.2759728243335128E-4</v>
      </c>
      <c r="BR14" s="49">
        <v>3.2432130960901776E-4</v>
      </c>
      <c r="BS14" s="49">
        <v>3.2107809651292756E-4</v>
      </c>
      <c r="BT14" s="49">
        <v>3.1786731554779828E-4</v>
      </c>
      <c r="BU14" s="49">
        <v>3.1468864239232031E-4</v>
      </c>
      <c r="BV14" s="49">
        <v>3.1154175596839713E-4</v>
      </c>
      <c r="BW14" s="49">
        <v>3.0842633840871315E-4</v>
      </c>
      <c r="BX14" s="49">
        <v>3.05342075024626E-4</v>
      </c>
      <c r="BY14" s="49">
        <v>3.0228865427437974E-4</v>
      </c>
      <c r="BZ14" s="49">
        <v>2.9926576773163592E-4</v>
      </c>
      <c r="CA14" s="49">
        <v>2.9627311005431955E-4</v>
      </c>
      <c r="CB14" s="49">
        <v>2.9331037895377637E-4</v>
      </c>
      <c r="CC14" s="49">
        <v>2.9037727516423859E-4</v>
      </c>
      <c r="CD14" s="49">
        <v>2.8747350241259618E-4</v>
      </c>
      <c r="CE14" s="49">
        <v>2.8459876738847021E-4</v>
      </c>
      <c r="CF14" s="49">
        <v>2.8175277971458551E-4</v>
      </c>
      <c r="CG14" s="49">
        <v>2.7893525191743967E-4</v>
      </c>
      <c r="CH14" s="49">
        <v>2.7614589939826528E-4</v>
      </c>
      <c r="CI14" s="49">
        <v>2.7338444040428265E-4</v>
      </c>
      <c r="CJ14" s="49">
        <v>2.7065059600023982E-4</v>
      </c>
      <c r="CK14" s="49">
        <v>2.6794409004023741E-4</v>
      </c>
      <c r="CL14" s="49">
        <v>2.6526464913983501E-4</v>
      </c>
      <c r="CM14" s="49">
        <v>2.6261200264843666E-4</v>
      </c>
      <c r="CN14" s="49">
        <v>2.5998588262195226E-4</v>
      </c>
      <c r="CO14" s="49">
        <v>2.5738602379573276E-4</v>
      </c>
      <c r="CP14" s="49">
        <v>2.5481216355777544E-4</v>
      </c>
      <c r="CQ14" s="49">
        <v>2.5226404192219768E-4</v>
      </c>
      <c r="CR14" s="49">
        <v>2.4974140150297572E-4</v>
      </c>
      <c r="CS14" s="49">
        <v>2.4724398748794598E-4</v>
      </c>
      <c r="CT14" s="49">
        <v>2.4477154761306651E-4</v>
      </c>
      <c r="CU14" s="49">
        <v>2.4232383213693585E-4</v>
      </c>
      <c r="CV14" s="49">
        <v>2.3990059381556649E-4</v>
      </c>
      <c r="CW14" s="49">
        <v>2.3750158787741083E-4</v>
      </c>
      <c r="CX14" s="48">
        <v>2.3512657199863671E-4</v>
      </c>
      <c r="CY14" s="28">
        <v>2.3277530627865034E-4</v>
      </c>
    </row>
    <row r="15" spans="1:103" ht="15.75">
      <c r="A15" s="50">
        <v>33</v>
      </c>
      <c r="B15" s="48">
        <v>4.9200000000000003E-4</v>
      </c>
      <c r="C15" s="48">
        <v>5.127132E-4</v>
      </c>
      <c r="D15" s="48">
        <v>5.3270901480000001E-4</v>
      </c>
      <c r="E15" s="48">
        <v>5.5098093400763996E-4</v>
      </c>
      <c r="F15" s="48">
        <v>5.6679408681365915E-4</v>
      </c>
      <c r="G15" s="48">
        <v>5.7949027435828511E-4</v>
      </c>
      <c r="H15" s="48">
        <v>5.8876211874801766E-4</v>
      </c>
      <c r="I15" s="48">
        <v>5.9453198751174829E-4</v>
      </c>
      <c r="J15" s="48">
        <v>5.9714792825680001E-4</v>
      </c>
      <c r="K15" s="48">
        <v>5.9720764304962569E-4</v>
      </c>
      <c r="L15" s="48">
        <v>5.9559518241339166E-4</v>
      </c>
      <c r="M15" s="48">
        <v>5.9291500409253139E-4</v>
      </c>
      <c r="N15" s="48">
        <v>5.8935751406797622E-4</v>
      </c>
      <c r="O15" s="48">
        <v>5.8511413996668676E-4</v>
      </c>
      <c r="P15" s="48">
        <v>5.8055024967494661E-4</v>
      </c>
      <c r="Q15" s="48">
        <v>5.7567362757767707E-4</v>
      </c>
      <c r="R15" s="48">
        <v>5.7049256492947801E-4</v>
      </c>
      <c r="S15" s="48">
        <v>5.6512993481914098E-4</v>
      </c>
      <c r="T15" s="48">
        <v>5.5964817445139532E-4</v>
      </c>
      <c r="U15" s="49">
        <v>5.5410765752432652E-4</v>
      </c>
      <c r="V15" s="49">
        <v>5.4856658094908323E-4</v>
      </c>
      <c r="W15" s="49">
        <v>5.430809151395924E-4</v>
      </c>
      <c r="X15" s="49">
        <v>5.3765010598819649E-4</v>
      </c>
      <c r="Y15" s="49">
        <v>5.3227360492831457E-4</v>
      </c>
      <c r="Z15" s="49">
        <v>5.2695086887903143E-4</v>
      </c>
      <c r="AA15" s="49">
        <v>5.216813601902411E-4</v>
      </c>
      <c r="AB15" s="49">
        <v>5.1646454658833873E-4</v>
      </c>
      <c r="AC15" s="49">
        <v>5.112999011224553E-4</v>
      </c>
      <c r="AD15" s="49">
        <v>5.0618690211123071E-4</v>
      </c>
      <c r="AE15" s="49">
        <v>5.0112503309011837E-4</v>
      </c>
      <c r="AF15" s="49">
        <v>4.9611378275921721E-4</v>
      </c>
      <c r="AG15" s="49">
        <v>4.9115264493162505E-4</v>
      </c>
      <c r="AH15" s="49">
        <v>4.8624111848230881E-4</v>
      </c>
      <c r="AI15" s="49">
        <v>4.8137870729748574E-4</v>
      </c>
      <c r="AJ15" s="49">
        <v>4.7656492022451086E-4</v>
      </c>
      <c r="AK15" s="49">
        <v>4.7179927102226573E-4</v>
      </c>
      <c r="AL15" s="49">
        <v>4.6708127831204306E-4</v>
      </c>
      <c r="AM15" s="49">
        <v>4.6241046552892261E-4</v>
      </c>
      <c r="AN15" s="49">
        <v>4.577863608736334E-4</v>
      </c>
      <c r="AO15" s="49">
        <v>4.5320849726489704E-4</v>
      </c>
      <c r="AP15" s="49">
        <v>4.4867641229224804E-4</v>
      </c>
      <c r="AQ15" s="49">
        <v>4.4418964816932556E-4</v>
      </c>
      <c r="AR15" s="49">
        <v>4.3974775168763232E-4</v>
      </c>
      <c r="AS15" s="49">
        <v>4.3535027417075601E-4</v>
      </c>
      <c r="AT15" s="49">
        <v>4.3099677142904847E-4</v>
      </c>
      <c r="AU15" s="49">
        <v>4.2668680371475795E-4</v>
      </c>
      <c r="AV15" s="49">
        <v>4.2241993567761037E-4</v>
      </c>
      <c r="AW15" s="49">
        <v>4.1819573632083428E-4</v>
      </c>
      <c r="AX15" s="49">
        <v>4.1401377895762591E-4</v>
      </c>
      <c r="AY15" s="49">
        <v>4.0987364116804964E-4</v>
      </c>
      <c r="AZ15" s="49">
        <v>4.0577490475636913E-4</v>
      </c>
      <c r="BA15" s="49">
        <v>4.0171715570880544E-4</v>
      </c>
      <c r="BB15" s="49">
        <v>3.9769998415171737E-4</v>
      </c>
      <c r="BC15" s="49">
        <v>3.9372298431020018E-4</v>
      </c>
      <c r="BD15" s="49">
        <v>3.8978575446709819E-4</v>
      </c>
      <c r="BE15" s="49">
        <v>3.8588789692242719E-4</v>
      </c>
      <c r="BF15" s="49">
        <v>3.8202901795320293E-4</v>
      </c>
      <c r="BG15" s="49">
        <v>3.7820872777367091E-4</v>
      </c>
      <c r="BH15" s="49">
        <v>3.744266404959342E-4</v>
      </c>
      <c r="BI15" s="49">
        <v>3.7068237409097483E-4</v>
      </c>
      <c r="BJ15" s="49">
        <v>3.6697555035006507E-4</v>
      </c>
      <c r="BK15" s="49">
        <v>3.633057948465644E-4</v>
      </c>
      <c r="BL15" s="49">
        <v>3.5967273689809876E-4</v>
      </c>
      <c r="BM15" s="49">
        <v>3.5607600952911777E-4</v>
      </c>
      <c r="BN15" s="49">
        <v>3.5251524943382659E-4</v>
      </c>
      <c r="BO15" s="49">
        <v>3.4899009693948831E-4</v>
      </c>
      <c r="BP15" s="49">
        <v>3.4550019597009345E-4</v>
      </c>
      <c r="BQ15" s="49">
        <v>3.4204519401039252E-4</v>
      </c>
      <c r="BR15" s="49">
        <v>3.3862474207028862E-4</v>
      </c>
      <c r="BS15" s="49">
        <v>3.3523849464958574E-4</v>
      </c>
      <c r="BT15" s="49">
        <v>3.3188610970308986E-4</v>
      </c>
      <c r="BU15" s="49">
        <v>3.2856724860605896E-4</v>
      </c>
      <c r="BV15" s="49">
        <v>3.2528157611999835E-4</v>
      </c>
      <c r="BW15" s="49">
        <v>3.2202876035879836E-4</v>
      </c>
      <c r="BX15" s="49">
        <v>3.1880847275521037E-4</v>
      </c>
      <c r="BY15" s="49">
        <v>3.1562038802765825E-4</v>
      </c>
      <c r="BZ15" s="49">
        <v>3.1246418414738168E-4</v>
      </c>
      <c r="CA15" s="49">
        <v>3.0933954230590786E-4</v>
      </c>
      <c r="CB15" s="49">
        <v>3.062461468828488E-4</v>
      </c>
      <c r="CC15" s="49">
        <v>3.031836854140203E-4</v>
      </c>
      <c r="CD15" s="49">
        <v>3.001518485598801E-4</v>
      </c>
      <c r="CE15" s="49">
        <v>2.9715033007428132E-4</v>
      </c>
      <c r="CF15" s="49">
        <v>2.9417882677353849E-4</v>
      </c>
      <c r="CG15" s="49">
        <v>2.9123703850580311E-4</v>
      </c>
      <c r="CH15" s="49">
        <v>2.883246681207451E-4</v>
      </c>
      <c r="CI15" s="49">
        <v>2.8544142143953767E-4</v>
      </c>
      <c r="CJ15" s="49">
        <v>2.825870072251423E-4</v>
      </c>
      <c r="CK15" s="49">
        <v>2.7976113715289089E-4</v>
      </c>
      <c r="CL15" s="49">
        <v>2.76963525781362E-4</v>
      </c>
      <c r="CM15" s="49">
        <v>2.741938905235484E-4</v>
      </c>
      <c r="CN15" s="49">
        <v>2.7145195161831293E-4</v>
      </c>
      <c r="CO15" s="49">
        <v>2.6873743210212981E-4</v>
      </c>
      <c r="CP15" s="49">
        <v>2.660500577811085E-4</v>
      </c>
      <c r="CQ15" s="49">
        <v>2.6338955720329739E-4</v>
      </c>
      <c r="CR15" s="49">
        <v>2.6075566163126442E-4</v>
      </c>
      <c r="CS15" s="49">
        <v>2.5814810501495179E-4</v>
      </c>
      <c r="CT15" s="49">
        <v>2.5556662396480228E-4</v>
      </c>
      <c r="CU15" s="49">
        <v>2.5301095772515425E-4</v>
      </c>
      <c r="CV15" s="49">
        <v>2.5048084814790269E-4</v>
      </c>
      <c r="CW15" s="49">
        <v>2.4797603966642364E-4</v>
      </c>
      <c r="CX15" s="48">
        <v>2.4549627926975939E-4</v>
      </c>
      <c r="CY15" s="28">
        <v>2.4304131647706178E-4</v>
      </c>
    </row>
    <row r="16" spans="1:103" ht="15.75">
      <c r="A16" s="50">
        <v>34</v>
      </c>
      <c r="B16" s="48">
        <v>5.0799999999999999E-4</v>
      </c>
      <c r="C16" s="48">
        <v>5.2938680000000002E-4</v>
      </c>
      <c r="D16" s="48">
        <v>5.5019170123999999E-4</v>
      </c>
      <c r="E16" s="48">
        <v>5.6944841078339998E-4</v>
      </c>
      <c r="F16" s="48">
        <v>5.8624713890151033E-4</v>
      </c>
      <c r="G16" s="48">
        <v>5.9996532195180576E-4</v>
      </c>
      <c r="H16" s="48">
        <v>6.1016473242498639E-4</v>
      </c>
      <c r="I16" s="48">
        <v>6.1681552800841872E-4</v>
      </c>
      <c r="J16" s="48">
        <v>6.2014633185966423E-4</v>
      </c>
      <c r="K16" s="48">
        <v>6.2076647819152384E-4</v>
      </c>
      <c r="L16" s="48">
        <v>6.1958702188295996E-4</v>
      </c>
      <c r="M16" s="48">
        <v>6.1723259119980472E-4</v>
      </c>
      <c r="N16" s="48">
        <v>6.1389953520732583E-4</v>
      </c>
      <c r="O16" s="48">
        <v>6.09725018367916E-4</v>
      </c>
      <c r="P16" s="48">
        <v>6.0496916322464627E-4</v>
      </c>
      <c r="Q16" s="48">
        <v>5.9988742225355928E-4</v>
      </c>
      <c r="R16" s="48">
        <v>5.9448843545327728E-4</v>
      </c>
      <c r="S16" s="48">
        <v>5.8890024416001648E-4</v>
      </c>
      <c r="T16" s="48">
        <v>5.8318791179166429E-4</v>
      </c>
      <c r="U16" s="49">
        <v>5.7741435146492677E-4</v>
      </c>
      <c r="V16" s="49">
        <v>5.7164020795027754E-4</v>
      </c>
      <c r="W16" s="49">
        <v>5.6592380587077481E-4</v>
      </c>
      <c r="X16" s="49">
        <v>5.602645678120671E-4</v>
      </c>
      <c r="Y16" s="49">
        <v>5.5466192213394637E-4</v>
      </c>
      <c r="Z16" s="49">
        <v>5.4911530291260687E-4</v>
      </c>
      <c r="AA16" s="49">
        <v>5.4362414988348077E-4</v>
      </c>
      <c r="AB16" s="49">
        <v>5.3818790838464591E-4</v>
      </c>
      <c r="AC16" s="49">
        <v>5.3280602930079945E-4</v>
      </c>
      <c r="AD16" s="49">
        <v>5.2747796900779148E-4</v>
      </c>
      <c r="AE16" s="49">
        <v>5.2220318931771358E-4</v>
      </c>
      <c r="AF16" s="49">
        <v>5.1698115742453642E-4</v>
      </c>
      <c r="AG16" s="49">
        <v>5.1181134585029104E-4</v>
      </c>
      <c r="AH16" s="49">
        <v>5.0669323239178811E-4</v>
      </c>
      <c r="AI16" s="49">
        <v>5.0162630006787021E-4</v>
      </c>
      <c r="AJ16" s="49">
        <v>4.9661003706719152E-4</v>
      </c>
      <c r="AK16" s="49">
        <v>4.9164393669651955E-4</v>
      </c>
      <c r="AL16" s="49">
        <v>4.8672749732955433E-4</v>
      </c>
      <c r="AM16" s="49">
        <v>4.8186022235625881E-4</v>
      </c>
      <c r="AN16" s="49">
        <v>4.7704162013269621E-4</v>
      </c>
      <c r="AO16" s="49">
        <v>4.7227120393136926E-4</v>
      </c>
      <c r="AP16" s="49">
        <v>4.6754849189205555E-4</v>
      </c>
      <c r="AQ16" s="49">
        <v>4.62873006973135E-4</v>
      </c>
      <c r="AR16" s="49">
        <v>4.5824427690340365E-4</v>
      </c>
      <c r="AS16" s="49">
        <v>4.536618341343696E-4</v>
      </c>
      <c r="AT16" s="49">
        <v>4.491252157930259E-4</v>
      </c>
      <c r="AU16" s="49">
        <v>4.4463396363509565E-4</v>
      </c>
      <c r="AV16" s="49">
        <v>4.4018762399874469E-4</v>
      </c>
      <c r="AW16" s="49">
        <v>4.3578574775875726E-4</v>
      </c>
      <c r="AX16" s="49">
        <v>4.3142789028116971E-4</v>
      </c>
      <c r="AY16" s="49">
        <v>4.27113611378358E-4</v>
      </c>
      <c r="AZ16" s="49">
        <v>4.2284247526457443E-4</v>
      </c>
      <c r="BA16" s="49">
        <v>4.1861405051192867E-4</v>
      </c>
      <c r="BB16" s="49">
        <v>4.1442791000680936E-4</v>
      </c>
      <c r="BC16" s="49">
        <v>4.1028363090674124E-4</v>
      </c>
      <c r="BD16" s="49">
        <v>4.0618079459767381E-4</v>
      </c>
      <c r="BE16" s="49">
        <v>4.0211898665169706E-4</v>
      </c>
      <c r="BF16" s="49">
        <v>3.9809779678518008E-4</v>
      </c>
      <c r="BG16" s="49">
        <v>3.9411681881732825E-4</v>
      </c>
      <c r="BH16" s="49">
        <v>3.9017565062915497E-4</v>
      </c>
      <c r="BI16" s="49">
        <v>3.8627389412286344E-4</v>
      </c>
      <c r="BJ16" s="49">
        <v>3.8241115518163483E-4</v>
      </c>
      <c r="BK16" s="49">
        <v>3.7858704362981845E-4</v>
      </c>
      <c r="BL16" s="49">
        <v>3.7480117319352025E-4</v>
      </c>
      <c r="BM16" s="49">
        <v>3.7105316146158503E-4</v>
      </c>
      <c r="BN16" s="49">
        <v>3.6734262984696917E-4</v>
      </c>
      <c r="BO16" s="49">
        <v>3.6366920354849946E-4</v>
      </c>
      <c r="BP16" s="49">
        <v>3.6003251151301444E-4</v>
      </c>
      <c r="BQ16" s="49">
        <v>3.5643218639788427E-4</v>
      </c>
      <c r="BR16" s="49">
        <v>3.5286786453390544E-4</v>
      </c>
      <c r="BS16" s="49">
        <v>3.4933918588856636E-4</v>
      </c>
      <c r="BT16" s="49">
        <v>3.4584579402968072E-4</v>
      </c>
      <c r="BU16" s="49">
        <v>3.423873360893839E-4</v>
      </c>
      <c r="BV16" s="49">
        <v>3.3896346272849009E-4</v>
      </c>
      <c r="BW16" s="49">
        <v>3.3557382810120521E-4</v>
      </c>
      <c r="BX16" s="49">
        <v>3.3221808982019318E-4</v>
      </c>
      <c r="BY16" s="49">
        <v>3.2889590892199122E-4</v>
      </c>
      <c r="BZ16" s="49">
        <v>3.2560694983277129E-4</v>
      </c>
      <c r="CA16" s="49">
        <v>3.2235088033444358E-4</v>
      </c>
      <c r="CB16" s="49">
        <v>3.1912737153109912E-4</v>
      </c>
      <c r="CC16" s="49">
        <v>3.1593609781578814E-4</v>
      </c>
      <c r="CD16" s="49">
        <v>3.1277673683763026E-4</v>
      </c>
      <c r="CE16" s="49">
        <v>3.0964896946925394E-4</v>
      </c>
      <c r="CF16" s="49">
        <v>3.0655247977456142E-4</v>
      </c>
      <c r="CG16" s="49">
        <v>3.0348695497681578E-4</v>
      </c>
      <c r="CH16" s="49">
        <v>3.0045208542704764E-4</v>
      </c>
      <c r="CI16" s="49">
        <v>2.9744756457277715E-4</v>
      </c>
      <c r="CJ16" s="49">
        <v>2.9447308892704938E-4</v>
      </c>
      <c r="CK16" s="49">
        <v>2.9152835803777889E-4</v>
      </c>
      <c r="CL16" s="49">
        <v>2.8861307445740108E-4</v>
      </c>
      <c r="CM16" s="49">
        <v>2.8572694371282705E-4</v>
      </c>
      <c r="CN16" s="49">
        <v>2.828696742756988E-4</v>
      </c>
      <c r="CO16" s="49">
        <v>2.8004097753294181E-4</v>
      </c>
      <c r="CP16" s="49">
        <v>2.772405677576124E-4</v>
      </c>
      <c r="CQ16" s="49">
        <v>2.7446816208003628E-4</v>
      </c>
      <c r="CR16" s="49">
        <v>2.717234804592359E-4</v>
      </c>
      <c r="CS16" s="49">
        <v>2.6900624565464356E-4</v>
      </c>
      <c r="CT16" s="49">
        <v>2.663161831980971E-4</v>
      </c>
      <c r="CU16" s="49">
        <v>2.6365302136611616E-4</v>
      </c>
      <c r="CV16" s="49">
        <v>2.6101649115245501E-4</v>
      </c>
      <c r="CW16" s="49">
        <v>2.5840632624093046E-4</v>
      </c>
      <c r="CX16" s="48">
        <v>2.5582226297852118E-4</v>
      </c>
      <c r="CY16" s="28">
        <v>2.5326404034873597E-4</v>
      </c>
    </row>
    <row r="17" spans="1:103" ht="15.75">
      <c r="A17" s="50">
        <v>35</v>
      </c>
      <c r="B17" s="48">
        <v>5.2300000000000003E-4</v>
      </c>
      <c r="C17" s="48">
        <v>5.4465220000000003E-4</v>
      </c>
      <c r="D17" s="48">
        <v>5.6589363580000003E-4</v>
      </c>
      <c r="E17" s="48">
        <v>5.8575650241658001E-4</v>
      </c>
      <c r="F17" s="48">
        <v>6.0327062183883578E-4</v>
      </c>
      <c r="G17" s="48">
        <v>6.177491167629679E-4</v>
      </c>
      <c r="H17" s="48">
        <v>6.2880682595302503E-4</v>
      </c>
      <c r="I17" s="48">
        <v>6.3622674649927075E-4</v>
      </c>
      <c r="J17" s="48">
        <v>6.4029859767686609E-4</v>
      </c>
      <c r="K17" s="48">
        <v>6.4157919487221979E-4</v>
      </c>
      <c r="L17" s="48">
        <v>6.409376156773476E-4</v>
      </c>
      <c r="M17" s="48">
        <v>6.3895070906874784E-4</v>
      </c>
      <c r="N17" s="48">
        <v>6.3581985059431095E-4</v>
      </c>
      <c r="O17" s="48">
        <v>6.3175060355050736E-4</v>
      </c>
      <c r="P17" s="48">
        <v>6.2701247402387856E-4</v>
      </c>
      <c r="Q17" s="48">
        <v>6.21745569242078E-4</v>
      </c>
      <c r="R17" s="48">
        <v>6.1614985911889926E-4</v>
      </c>
      <c r="S17" s="48">
        <v>6.1035805044318161E-4</v>
      </c>
      <c r="T17" s="48">
        <v>6.0443757735388268E-4</v>
      </c>
      <c r="U17" s="49">
        <v>5.9845364533807918E-4</v>
      </c>
      <c r="V17" s="49">
        <v>5.9246910888469844E-4</v>
      </c>
      <c r="W17" s="49">
        <v>5.8654441779585145E-4</v>
      </c>
      <c r="X17" s="49">
        <v>5.8067897361789296E-4</v>
      </c>
      <c r="Y17" s="49">
        <v>5.7487218388171404E-4</v>
      </c>
      <c r="Z17" s="49">
        <v>5.6912346204289694E-4</v>
      </c>
      <c r="AA17" s="49">
        <v>5.6343222742246801E-4</v>
      </c>
      <c r="AB17" s="49">
        <v>5.5779790514824332E-4</v>
      </c>
      <c r="AC17" s="49">
        <v>5.5221992609676086E-4</v>
      </c>
      <c r="AD17" s="49">
        <v>5.4669772683579323E-4</v>
      </c>
      <c r="AE17" s="49">
        <v>5.4123074956743532E-4</v>
      </c>
      <c r="AF17" s="49">
        <v>5.35818442071761E-4</v>
      </c>
      <c r="AG17" s="49">
        <v>5.3046025765104336E-4</v>
      </c>
      <c r="AH17" s="49">
        <v>5.2515565507453294E-4</v>
      </c>
      <c r="AI17" s="49">
        <v>5.1990409852378761E-4</v>
      </c>
      <c r="AJ17" s="49">
        <v>5.1470505753854973E-4</v>
      </c>
      <c r="AK17" s="49">
        <v>5.0955800696316422E-4</v>
      </c>
      <c r="AL17" s="49">
        <v>5.0446242689353258E-4</v>
      </c>
      <c r="AM17" s="49">
        <v>4.9941780262459726E-4</v>
      </c>
      <c r="AN17" s="49">
        <v>4.9442362459835125E-4</v>
      </c>
      <c r="AO17" s="49">
        <v>4.8947938835236775E-4</v>
      </c>
      <c r="AP17" s="49">
        <v>4.8458459446884409E-4</v>
      </c>
      <c r="AQ17" s="49">
        <v>4.7973874852415564E-4</v>
      </c>
      <c r="AR17" s="49">
        <v>4.7494136103891409E-4</v>
      </c>
      <c r="AS17" s="49">
        <v>4.7019194742852497E-4</v>
      </c>
      <c r="AT17" s="49">
        <v>4.6549002795423972E-4</v>
      </c>
      <c r="AU17" s="49">
        <v>4.608351276746973E-4</v>
      </c>
      <c r="AV17" s="49">
        <v>4.5622677639795033E-4</v>
      </c>
      <c r="AW17" s="49">
        <v>4.5166450863397083E-4</v>
      </c>
      <c r="AX17" s="49">
        <v>4.4714786354763114E-4</v>
      </c>
      <c r="AY17" s="49">
        <v>4.426763849121548E-4</v>
      </c>
      <c r="AZ17" s="49">
        <v>4.3824962106303323E-4</v>
      </c>
      <c r="BA17" s="49">
        <v>4.3386712485240288E-4</v>
      </c>
      <c r="BB17" s="49">
        <v>4.2952845360387884E-4</v>
      </c>
      <c r="BC17" s="49">
        <v>4.2523316906784004E-4</v>
      </c>
      <c r="BD17" s="49">
        <v>4.2098083737716164E-4</v>
      </c>
      <c r="BE17" s="49">
        <v>4.1677102900339005E-4</v>
      </c>
      <c r="BF17" s="49">
        <v>4.1260331871335616E-4</v>
      </c>
      <c r="BG17" s="49">
        <v>4.0847728552622259E-4</v>
      </c>
      <c r="BH17" s="49">
        <v>4.0439251267096037E-4</v>
      </c>
      <c r="BI17" s="49">
        <v>4.0034858754425074E-4</v>
      </c>
      <c r="BJ17" s="49">
        <v>3.9634510166880823E-4</v>
      </c>
      <c r="BK17" s="49">
        <v>3.9238165065212015E-4</v>
      </c>
      <c r="BL17" s="49">
        <v>3.8845783414559893E-4</v>
      </c>
      <c r="BM17" s="49">
        <v>3.8457325580414293E-4</v>
      </c>
      <c r="BN17" s="49">
        <v>3.8072752324610148E-4</v>
      </c>
      <c r="BO17" s="49">
        <v>3.7692024801364048E-4</v>
      </c>
      <c r="BP17" s="49">
        <v>3.7315104553350406E-4</v>
      </c>
      <c r="BQ17" s="49">
        <v>3.6941953507816901E-4</v>
      </c>
      <c r="BR17" s="49">
        <v>3.6572533972738729E-4</v>
      </c>
      <c r="BS17" s="49">
        <v>3.6206808633011342E-4</v>
      </c>
      <c r="BT17" s="49">
        <v>3.5844740546681227E-4</v>
      </c>
      <c r="BU17" s="49">
        <v>3.5486293141214414E-4</v>
      </c>
      <c r="BV17" s="49">
        <v>3.5131430209802268E-4</v>
      </c>
      <c r="BW17" s="49">
        <v>3.4780115907704246E-4</v>
      </c>
      <c r="BX17" s="49">
        <v>3.44323147486272E-4</v>
      </c>
      <c r="BY17" s="49">
        <v>3.4087991601140929E-4</v>
      </c>
      <c r="BZ17" s="49">
        <v>3.3747111685129518E-4</v>
      </c>
      <c r="CA17" s="49">
        <v>3.3409640568278222E-4</v>
      </c>
      <c r="CB17" s="49">
        <v>3.3075544162595441E-4</v>
      </c>
      <c r="CC17" s="49">
        <v>3.2744788720969484E-4</v>
      </c>
      <c r="CD17" s="49">
        <v>3.2417340833759787E-4</v>
      </c>
      <c r="CE17" s="49">
        <v>3.2093167425422189E-4</v>
      </c>
      <c r="CF17" s="49">
        <v>3.1772235751167965E-4</v>
      </c>
      <c r="CG17" s="49">
        <v>3.1454513393656285E-4</v>
      </c>
      <c r="CH17" s="49">
        <v>3.1139968259719721E-4</v>
      </c>
      <c r="CI17" s="49">
        <v>3.0828568577122523E-4</v>
      </c>
      <c r="CJ17" s="49">
        <v>3.0520282891351299E-4</v>
      </c>
      <c r="CK17" s="49">
        <v>3.0215080062437788E-4</v>
      </c>
      <c r="CL17" s="49">
        <v>2.9912929261813413E-4</v>
      </c>
      <c r="CM17" s="49">
        <v>2.9613799969195278E-4</v>
      </c>
      <c r="CN17" s="49">
        <v>2.9317661969503327E-4</v>
      </c>
      <c r="CO17" s="49">
        <v>2.9024485349808291E-4</v>
      </c>
      <c r="CP17" s="49">
        <v>2.8734240496310206E-4</v>
      </c>
      <c r="CQ17" s="49">
        <v>2.8446898091347102E-4</v>
      </c>
      <c r="CR17" s="49">
        <v>2.8162429110433629E-4</v>
      </c>
      <c r="CS17" s="49">
        <v>2.7880804819329291E-4</v>
      </c>
      <c r="CT17" s="49">
        <v>2.7601996771135995E-4</v>
      </c>
      <c r="CU17" s="49">
        <v>2.7325976803424637E-4</v>
      </c>
      <c r="CV17" s="49">
        <v>2.705271703539039E-4</v>
      </c>
      <c r="CW17" s="49">
        <v>2.6782189865036485E-4</v>
      </c>
      <c r="CX17" s="48">
        <v>2.6514367966386118E-4</v>
      </c>
      <c r="CY17" s="28">
        <v>2.6249224286722256E-4</v>
      </c>
    </row>
    <row r="18" spans="1:103" ht="15.75">
      <c r="A18" s="50">
        <v>36</v>
      </c>
      <c r="B18" s="48">
        <v>5.3600000000000002E-4</v>
      </c>
      <c r="C18" s="48">
        <v>5.5733280000000007E-4</v>
      </c>
      <c r="D18" s="48">
        <v>5.7851144640000006E-4</v>
      </c>
      <c r="E18" s="48">
        <v>5.9847009130080007E-4</v>
      </c>
      <c r="F18" s="48">
        <v>6.162446530124339E-4</v>
      </c>
      <c r="G18" s="48">
        <v>6.311577736153348E-4</v>
      </c>
      <c r="H18" s="48">
        <v>6.4270796087249546E-4</v>
      </c>
      <c r="I18" s="48">
        <v>6.5074181038340159E-4</v>
      </c>
      <c r="J18" s="48">
        <v>6.5542715141816217E-4</v>
      </c>
      <c r="K18" s="48">
        <v>6.573278901572748E-4</v>
      </c>
      <c r="L18" s="48">
        <v>6.5719642457924337E-4</v>
      </c>
      <c r="M18" s="48">
        <v>6.5561915316025322E-4</v>
      </c>
      <c r="N18" s="48">
        <v>6.5279999080166415E-4</v>
      </c>
      <c r="O18" s="48">
        <v>6.4894847085593432E-4</v>
      </c>
      <c r="P18" s="48">
        <v>6.4427604186577164E-4</v>
      </c>
      <c r="Q18" s="48">
        <v>6.3899297832247231E-4</v>
      </c>
      <c r="R18" s="48">
        <v>6.332420415175701E-4</v>
      </c>
      <c r="S18" s="48">
        <v>6.2728956632730499E-4</v>
      </c>
      <c r="T18" s="48">
        <v>6.2120485753393013E-4</v>
      </c>
      <c r="U18" s="49">
        <v>6.1505492944434427E-4</v>
      </c>
      <c r="V18" s="49">
        <v>6.0890438014990077E-4</v>
      </c>
      <c r="W18" s="49">
        <v>6.0281533634840175E-4</v>
      </c>
      <c r="X18" s="49">
        <v>5.9678718298491768E-4</v>
      </c>
      <c r="Y18" s="49">
        <v>5.9081931115506853E-4</v>
      </c>
      <c r="Z18" s="49">
        <v>5.849111180435178E-4</v>
      </c>
      <c r="AA18" s="49">
        <v>5.7906200686308267E-4</v>
      </c>
      <c r="AB18" s="49">
        <v>5.7327138679445181E-4</v>
      </c>
      <c r="AC18" s="49">
        <v>5.675386729265073E-4</v>
      </c>
      <c r="AD18" s="49">
        <v>5.6186328619724224E-4</v>
      </c>
      <c r="AE18" s="49">
        <v>5.5624465333526979E-4</v>
      </c>
      <c r="AF18" s="49">
        <v>5.506822068019171E-4</v>
      </c>
      <c r="AG18" s="49">
        <v>5.4517538473389791E-4</v>
      </c>
      <c r="AH18" s="49">
        <v>5.3972363088655891E-4</v>
      </c>
      <c r="AI18" s="49">
        <v>5.3432639457769333E-4</v>
      </c>
      <c r="AJ18" s="49">
        <v>5.2898313063191643E-4</v>
      </c>
      <c r="AK18" s="49">
        <v>5.2369329932559728E-4</v>
      </c>
      <c r="AL18" s="49">
        <v>5.1845636633234134E-4</v>
      </c>
      <c r="AM18" s="49">
        <v>5.1327180266901788E-4</v>
      </c>
      <c r="AN18" s="49">
        <v>5.0813908464232766E-4</v>
      </c>
      <c r="AO18" s="49">
        <v>5.0305769379590441E-4</v>
      </c>
      <c r="AP18" s="49">
        <v>4.9802711685794537E-4</v>
      </c>
      <c r="AQ18" s="49">
        <v>4.9304684568936589E-4</v>
      </c>
      <c r="AR18" s="49">
        <v>4.8811637723247223E-4</v>
      </c>
      <c r="AS18" s="49">
        <v>4.832352134601475E-4</v>
      </c>
      <c r="AT18" s="49">
        <v>4.7840286132554599E-4</v>
      </c>
      <c r="AU18" s="49">
        <v>4.7361883271229054E-4</v>
      </c>
      <c r="AV18" s="49">
        <v>4.6888264438516762E-4</v>
      </c>
      <c r="AW18" s="49">
        <v>4.6419381794131592E-4</v>
      </c>
      <c r="AX18" s="49">
        <v>4.5955187976190275E-4</v>
      </c>
      <c r="AY18" s="49">
        <v>4.549563609642837E-4</v>
      </c>
      <c r="AZ18" s="49">
        <v>4.5040679735464085E-4</v>
      </c>
      <c r="BA18" s="49">
        <v>4.4590272938109445E-4</v>
      </c>
      <c r="BB18" s="49">
        <v>4.4144370208728351E-4</v>
      </c>
      <c r="BC18" s="49">
        <v>4.3702926506641068E-4</v>
      </c>
      <c r="BD18" s="49">
        <v>4.3265897241574655E-4</v>
      </c>
      <c r="BE18" s="49">
        <v>4.283323826915891E-4</v>
      </c>
      <c r="BF18" s="49">
        <v>4.2404905886467319E-4</v>
      </c>
      <c r="BG18" s="49">
        <v>4.1980856827602647E-4</v>
      </c>
      <c r="BH18" s="49">
        <v>4.156104825932662E-4</v>
      </c>
      <c r="BI18" s="49">
        <v>4.1145437776733354E-4</v>
      </c>
      <c r="BJ18" s="49">
        <v>4.0733983398966021E-4</v>
      </c>
      <c r="BK18" s="49">
        <v>4.032664356497636E-4</v>
      </c>
      <c r="BL18" s="49">
        <v>3.9923377129326594E-4</v>
      </c>
      <c r="BM18" s="49">
        <v>3.9524143358033326E-4</v>
      </c>
      <c r="BN18" s="49">
        <v>3.9128901924452992E-4</v>
      </c>
      <c r="BO18" s="49">
        <v>3.873761290520846E-4</v>
      </c>
      <c r="BP18" s="49">
        <v>3.8350236776156374E-4</v>
      </c>
      <c r="BQ18" s="49">
        <v>3.7966734408394811E-4</v>
      </c>
      <c r="BR18" s="49">
        <v>3.7587067064310864E-4</v>
      </c>
      <c r="BS18" s="49">
        <v>3.7211196393667755E-4</v>
      </c>
      <c r="BT18" s="49">
        <v>3.6839084429731079E-4</v>
      </c>
      <c r="BU18" s="49">
        <v>3.6470693585433767E-4</v>
      </c>
      <c r="BV18" s="49">
        <v>3.6105986649579428E-4</v>
      </c>
      <c r="BW18" s="49">
        <v>3.5744926783083631E-4</v>
      </c>
      <c r="BX18" s="49">
        <v>3.5387477515252795E-4</v>
      </c>
      <c r="BY18" s="49">
        <v>3.5033602740100267E-4</v>
      </c>
      <c r="BZ18" s="49">
        <v>3.4683266712699263E-4</v>
      </c>
      <c r="CA18" s="49">
        <v>3.4336434045572272E-4</v>
      </c>
      <c r="CB18" s="49">
        <v>3.3993069705116549E-4</v>
      </c>
      <c r="CC18" s="49">
        <v>3.3653139008065386E-4</v>
      </c>
      <c r="CD18" s="49">
        <v>3.3316607617984734E-4</v>
      </c>
      <c r="CE18" s="49">
        <v>3.2983441541804885E-4</v>
      </c>
      <c r="CF18" s="49">
        <v>3.2653607126386833E-4</v>
      </c>
      <c r="CG18" s="49">
        <v>3.2327071055122963E-4</v>
      </c>
      <c r="CH18" s="49">
        <v>3.2003800344571732E-4</v>
      </c>
      <c r="CI18" s="49">
        <v>3.1683762341126016E-4</v>
      </c>
      <c r="CJ18" s="49">
        <v>3.1366924717714755E-4</v>
      </c>
      <c r="CK18" s="49">
        <v>3.1053255470537606E-4</v>
      </c>
      <c r="CL18" s="49">
        <v>3.0742722915832229E-4</v>
      </c>
      <c r="CM18" s="49">
        <v>3.0435295686673909E-4</v>
      </c>
      <c r="CN18" s="49">
        <v>3.0130942729807169E-4</v>
      </c>
      <c r="CO18" s="49">
        <v>2.9829633302509099E-4</v>
      </c>
      <c r="CP18" s="49">
        <v>2.9531336969484007E-4</v>
      </c>
      <c r="CQ18" s="49">
        <v>2.9236023599789167E-4</v>
      </c>
      <c r="CR18" s="49">
        <v>2.8943663363791277E-4</v>
      </c>
      <c r="CS18" s="49">
        <v>2.8654226730153365E-4</v>
      </c>
      <c r="CT18" s="49">
        <v>2.8367684462851829E-4</v>
      </c>
      <c r="CU18" s="49">
        <v>2.8084007618223313E-4</v>
      </c>
      <c r="CV18" s="49">
        <v>2.7803167542041077E-4</v>
      </c>
      <c r="CW18" s="49">
        <v>2.7525135866620666E-4</v>
      </c>
      <c r="CX18" s="48">
        <v>2.7249884507954457E-4</v>
      </c>
      <c r="CY18" s="28">
        <v>2.6977385662874912E-4</v>
      </c>
    </row>
    <row r="19" spans="1:103" ht="15.75">
      <c r="A19" s="50">
        <v>37</v>
      </c>
      <c r="B19" s="48">
        <v>5.5099999999999995E-4</v>
      </c>
      <c r="C19" s="48">
        <v>5.7160740000000005E-4</v>
      </c>
      <c r="D19" s="48">
        <v>5.9224242714000011E-4</v>
      </c>
      <c r="E19" s="48">
        <v>6.1190487572104801E-4</v>
      </c>
      <c r="F19" s="48">
        <v>6.2965011711695832E-4</v>
      </c>
      <c r="G19" s="48">
        <v>6.4469875491605369E-4</v>
      </c>
      <c r="H19" s="48">
        <v>6.5662568188200061E-4</v>
      </c>
      <c r="I19" s="48">
        <v>6.6516181574646652E-4</v>
      </c>
      <c r="J19" s="48">
        <v>6.7041659409086359E-4</v>
      </c>
      <c r="K19" s="48">
        <v>6.7289713548899979E-4</v>
      </c>
      <c r="L19" s="48">
        <v>6.7330087377029315E-4</v>
      </c>
      <c r="M19" s="48">
        <v>6.7215626228488362E-4</v>
      </c>
      <c r="N19" s="48">
        <v>6.6966928411442948E-4</v>
      </c>
      <c r="O19" s="48">
        <v>6.6605306998021162E-4</v>
      </c>
      <c r="P19" s="48">
        <v>6.6145730379734812E-4</v>
      </c>
      <c r="Q19" s="48">
        <v>6.5616564536696929E-4</v>
      </c>
      <c r="R19" s="48">
        <v>6.5039138768773993E-4</v>
      </c>
      <c r="S19" s="48">
        <v>6.4427770864347524E-4</v>
      </c>
      <c r="T19" s="48">
        <v>6.3802821486963349E-4</v>
      </c>
      <c r="U19" s="49">
        <v>6.3171173554242414E-4</v>
      </c>
      <c r="V19" s="49">
        <v>6.2539461818699989E-4</v>
      </c>
      <c r="W19" s="49">
        <v>6.1914067200512994E-4</v>
      </c>
      <c r="X19" s="49">
        <v>6.1294926528507863E-4</v>
      </c>
      <c r="Y19" s="49">
        <v>6.0681977263222781E-4</v>
      </c>
      <c r="Z19" s="49">
        <v>6.007515749059055E-4</v>
      </c>
      <c r="AA19" s="49">
        <v>5.9474405915684644E-4</v>
      </c>
      <c r="AB19" s="49">
        <v>5.8879661856527793E-4</v>
      </c>
      <c r="AC19" s="49">
        <v>5.8290865237962518E-4</v>
      </c>
      <c r="AD19" s="49">
        <v>5.7707956585582897E-4</v>
      </c>
      <c r="AE19" s="49">
        <v>5.7130877019727062E-4</v>
      </c>
      <c r="AF19" s="49">
        <v>5.6559568249529792E-4</v>
      </c>
      <c r="AG19" s="49">
        <v>5.5993972567034496E-4</v>
      </c>
      <c r="AH19" s="49">
        <v>5.543403284136415E-4</v>
      </c>
      <c r="AI19" s="49">
        <v>5.4879692512950506E-4</v>
      </c>
      <c r="AJ19" s="49">
        <v>5.4330895587820997E-4</v>
      </c>
      <c r="AK19" s="49">
        <v>5.3787586631942781E-4</v>
      </c>
      <c r="AL19" s="49">
        <v>5.3249710765623348E-4</v>
      </c>
      <c r="AM19" s="49">
        <v>5.2717213657967109E-4</v>
      </c>
      <c r="AN19" s="49">
        <v>5.2190041521387441E-4</v>
      </c>
      <c r="AO19" s="49">
        <v>5.166814110617356E-4</v>
      </c>
      <c r="AP19" s="49">
        <v>5.1151459695111823E-4</v>
      </c>
      <c r="AQ19" s="49">
        <v>5.0639945098160703E-4</v>
      </c>
      <c r="AR19" s="49">
        <v>5.0133545647179092E-4</v>
      </c>
      <c r="AS19" s="49">
        <v>4.9632210190707305E-4</v>
      </c>
      <c r="AT19" s="49">
        <v>4.9135888088800231E-4</v>
      </c>
      <c r="AU19" s="49">
        <v>4.8644529207912229E-4</v>
      </c>
      <c r="AV19" s="49">
        <v>4.8158083915833105E-4</v>
      </c>
      <c r="AW19" s="49">
        <v>4.7676503076674774E-4</v>
      </c>
      <c r="AX19" s="49">
        <v>4.7199738045908024E-4</v>
      </c>
      <c r="AY19" s="49">
        <v>4.6727740665448943E-4</v>
      </c>
      <c r="AZ19" s="49">
        <v>4.6260463258794452E-4</v>
      </c>
      <c r="BA19" s="49">
        <v>4.5797858626206504E-4</v>
      </c>
      <c r="BB19" s="49">
        <v>4.5339880039944441E-4</v>
      </c>
      <c r="BC19" s="49">
        <v>4.4886481239544995E-4</v>
      </c>
      <c r="BD19" s="49">
        <v>4.4437616427149546E-4</v>
      </c>
      <c r="BE19" s="49">
        <v>4.399324026287805E-4</v>
      </c>
      <c r="BF19" s="49">
        <v>4.3553307860249267E-4</v>
      </c>
      <c r="BG19" s="49">
        <v>4.3117774781646775E-4</v>
      </c>
      <c r="BH19" s="49">
        <v>4.2686597033830305E-4</v>
      </c>
      <c r="BI19" s="49">
        <v>4.2259731063492E-4</v>
      </c>
      <c r="BJ19" s="49">
        <v>4.183713375285708E-4</v>
      </c>
      <c r="BK19" s="49">
        <v>4.141876241532851E-4</v>
      </c>
      <c r="BL19" s="49">
        <v>4.1004574791175222E-4</v>
      </c>
      <c r="BM19" s="49">
        <v>4.0594529043263471E-4</v>
      </c>
      <c r="BN19" s="49">
        <v>4.0188583752830836E-4</v>
      </c>
      <c r="BO19" s="49">
        <v>3.9786697915302529E-4</v>
      </c>
      <c r="BP19" s="49">
        <v>3.9388830936149503E-4</v>
      </c>
      <c r="BQ19" s="49">
        <v>3.899494262678801E-4</v>
      </c>
      <c r="BR19" s="49">
        <v>3.8604993200520128E-4</v>
      </c>
      <c r="BS19" s="49">
        <v>3.8218943268514928E-4</v>
      </c>
      <c r="BT19" s="49">
        <v>3.7836753835829778E-4</v>
      </c>
      <c r="BU19" s="49">
        <v>3.745838629747148E-4</v>
      </c>
      <c r="BV19" s="49">
        <v>3.7083802434496763E-4</v>
      </c>
      <c r="BW19" s="49">
        <v>3.6712964410151795E-4</v>
      </c>
      <c r="BX19" s="49">
        <v>3.6345834766050275E-4</v>
      </c>
      <c r="BY19" s="49">
        <v>3.5982376418389769E-4</v>
      </c>
      <c r="BZ19" s="49">
        <v>3.5622552654205871E-4</v>
      </c>
      <c r="CA19" s="49">
        <v>3.5266327127663811E-4</v>
      </c>
      <c r="CB19" s="49">
        <v>3.491366385638717E-4</v>
      </c>
      <c r="CC19" s="49">
        <v>3.4564527217823297E-4</v>
      </c>
      <c r="CD19" s="49">
        <v>3.4218881945645066E-4</v>
      </c>
      <c r="CE19" s="49">
        <v>3.3876693126188613E-4</v>
      </c>
      <c r="CF19" s="49">
        <v>3.3537926194926725E-4</v>
      </c>
      <c r="CG19" s="49">
        <v>3.3202546932977459E-4</v>
      </c>
      <c r="CH19" s="49">
        <v>3.2870521463647682E-4</v>
      </c>
      <c r="CI19" s="49">
        <v>3.2541816249011203E-4</v>
      </c>
      <c r="CJ19" s="49">
        <v>3.2216398086521092E-4</v>
      </c>
      <c r="CK19" s="49">
        <v>3.1894234105655882E-4</v>
      </c>
      <c r="CL19" s="49">
        <v>3.1575291764599325E-4</v>
      </c>
      <c r="CM19" s="49">
        <v>3.1259538846953333E-4</v>
      </c>
      <c r="CN19" s="49">
        <v>3.0946943458483799E-4</v>
      </c>
      <c r="CO19" s="49">
        <v>3.0637474023898962E-4</v>
      </c>
      <c r="CP19" s="49">
        <v>3.0331099283659971E-4</v>
      </c>
      <c r="CQ19" s="49">
        <v>3.0027788290823372E-4</v>
      </c>
      <c r="CR19" s="49">
        <v>2.9727510407915139E-4</v>
      </c>
      <c r="CS19" s="49">
        <v>2.9430235303835986E-4</v>
      </c>
      <c r="CT19" s="49">
        <v>2.9135932950797628E-4</v>
      </c>
      <c r="CU19" s="49">
        <v>2.8844573621289649E-4</v>
      </c>
      <c r="CV19" s="49">
        <v>2.8556127885076755E-4</v>
      </c>
      <c r="CW19" s="49">
        <v>2.8270566606225988E-4</v>
      </c>
      <c r="CX19" s="48">
        <v>2.7987860940163729E-4</v>
      </c>
      <c r="CY19" s="28">
        <v>2.7707982330762093E-4</v>
      </c>
    </row>
    <row r="20" spans="1:103" ht="15.75">
      <c r="A20" s="50">
        <v>38</v>
      </c>
      <c r="B20" s="48">
        <v>5.6999999999999998E-4</v>
      </c>
      <c r="C20" s="48">
        <v>5.8938000000000003E-4</v>
      </c>
      <c r="D20" s="48">
        <v>6.0906529200000013E-4</v>
      </c>
      <c r="E20" s="48">
        <v>6.2800722258120009E-4</v>
      </c>
      <c r="F20" s="48">
        <v>6.4534022192444128E-4</v>
      </c>
      <c r="G20" s="48">
        <v>6.6031211507308835E-4</v>
      </c>
      <c r="H20" s="48">
        <v>6.7232979556741852E-4</v>
      </c>
      <c r="I20" s="48">
        <v>6.8120454886890847E-4</v>
      </c>
      <c r="J20" s="48">
        <v>6.8692666707940726E-4</v>
      </c>
      <c r="K20" s="48">
        <v>6.8988045174784868E-4</v>
      </c>
      <c r="L20" s="48">
        <v>6.90777296335121E-4</v>
      </c>
      <c r="M20" s="48">
        <v>6.9008651903878582E-4</v>
      </c>
      <c r="N20" s="48">
        <v>6.8794725082976555E-4</v>
      </c>
      <c r="O20" s="48">
        <v>6.8450751457561671E-4</v>
      </c>
      <c r="P20" s="48">
        <v>6.8005821573087521E-4</v>
      </c>
      <c r="Q20" s="48">
        <v>6.748217674697474E-4</v>
      </c>
      <c r="R20" s="48">
        <v>6.6895081809276061E-4</v>
      </c>
      <c r="S20" s="48">
        <v>6.6272957548449798E-4</v>
      </c>
      <c r="T20" s="48">
        <v>6.5630109860229829E-4</v>
      </c>
      <c r="U20" s="49">
        <v>6.4980371772613548E-4</v>
      </c>
      <c r="V20" s="49">
        <v>6.4330568054887414E-4</v>
      </c>
      <c r="W20" s="49">
        <v>6.3687262374338542E-4</v>
      </c>
      <c r="X20" s="49">
        <v>6.3050389750595153E-4</v>
      </c>
      <c r="Y20" s="49">
        <v>6.2419885853089207E-4</v>
      </c>
      <c r="Z20" s="49">
        <v>6.1795686994558314E-4</v>
      </c>
      <c r="AA20" s="49">
        <v>6.1177730124612731E-4</v>
      </c>
      <c r="AB20" s="49">
        <v>6.0565952823366605E-4</v>
      </c>
      <c r="AC20" s="49">
        <v>5.9960293295132933E-4</v>
      </c>
      <c r="AD20" s="49">
        <v>5.9360690362181604E-4</v>
      </c>
      <c r="AE20" s="49">
        <v>5.8767083458559789E-4</v>
      </c>
      <c r="AF20" s="49">
        <v>5.8179412623974192E-4</v>
      </c>
      <c r="AG20" s="49">
        <v>5.7597618497734449E-4</v>
      </c>
      <c r="AH20" s="49">
        <v>5.7021642312757108E-4</v>
      </c>
      <c r="AI20" s="49">
        <v>5.6451425889629536E-4</v>
      </c>
      <c r="AJ20" s="49">
        <v>5.588691163073324E-4</v>
      </c>
      <c r="AK20" s="49">
        <v>5.5328042514425906E-4</v>
      </c>
      <c r="AL20" s="49">
        <v>5.4774762089281645E-4</v>
      </c>
      <c r="AM20" s="49">
        <v>5.4227014468388832E-4</v>
      </c>
      <c r="AN20" s="49">
        <v>5.368474432370494E-4</v>
      </c>
      <c r="AO20" s="49">
        <v>5.3147896880467889E-4</v>
      </c>
      <c r="AP20" s="49">
        <v>5.2616417911663209E-4</v>
      </c>
      <c r="AQ20" s="49">
        <v>5.2090253732546576E-4</v>
      </c>
      <c r="AR20" s="49">
        <v>5.156935119522111E-4</v>
      </c>
      <c r="AS20" s="49">
        <v>5.1053657683268895E-4</v>
      </c>
      <c r="AT20" s="49">
        <v>5.0543121106436204E-4</v>
      </c>
      <c r="AU20" s="49">
        <v>5.003768989537184E-4</v>
      </c>
      <c r="AV20" s="49">
        <v>4.9537312996418125E-4</v>
      </c>
      <c r="AW20" s="49">
        <v>4.9041939866453939E-4</v>
      </c>
      <c r="AX20" s="49">
        <v>4.8551520467789399E-4</v>
      </c>
      <c r="AY20" s="49">
        <v>4.8066005263111507E-4</v>
      </c>
      <c r="AZ20" s="49">
        <v>4.7585345210480388E-4</v>
      </c>
      <c r="BA20" s="49">
        <v>4.7109491758375586E-4</v>
      </c>
      <c r="BB20" s="49">
        <v>4.6638396840791832E-4</v>
      </c>
      <c r="BC20" s="49">
        <v>4.6172012872383914E-4</v>
      </c>
      <c r="BD20" s="49">
        <v>4.5710292743660075E-4</v>
      </c>
      <c r="BE20" s="49">
        <v>4.5253189816223474E-4</v>
      </c>
      <c r="BF20" s="49">
        <v>4.4800657918061241E-4</v>
      </c>
      <c r="BG20" s="49">
        <v>4.4352651338880626E-4</v>
      </c>
      <c r="BH20" s="49">
        <v>4.3909124825491821E-4</v>
      </c>
      <c r="BI20" s="49">
        <v>4.3470033577236905E-4</v>
      </c>
      <c r="BJ20" s="49">
        <v>4.3035333241464536E-4</v>
      </c>
      <c r="BK20" s="49">
        <v>4.2604979909049892E-4</v>
      </c>
      <c r="BL20" s="49">
        <v>4.2178930109959393E-4</v>
      </c>
      <c r="BM20" s="49">
        <v>4.1757140808859801E-4</v>
      </c>
      <c r="BN20" s="49">
        <v>4.1339569400771203E-4</v>
      </c>
      <c r="BO20" s="49">
        <v>4.0926173706763491E-4</v>
      </c>
      <c r="BP20" s="49">
        <v>4.0516911969695855E-4</v>
      </c>
      <c r="BQ20" s="49">
        <v>4.0111742849998895E-4</v>
      </c>
      <c r="BR20" s="49">
        <v>3.9710625421498905E-4</v>
      </c>
      <c r="BS20" s="49">
        <v>3.9313519167283914E-4</v>
      </c>
      <c r="BT20" s="49">
        <v>3.8920383975611075E-4</v>
      </c>
      <c r="BU20" s="49">
        <v>3.8531180135854967E-4</v>
      </c>
      <c r="BV20" s="49">
        <v>3.8145868334496416E-4</v>
      </c>
      <c r="BW20" s="49">
        <v>3.776440965115145E-4</v>
      </c>
      <c r="BX20" s="49">
        <v>3.7386765554639934E-4</v>
      </c>
      <c r="BY20" s="49">
        <v>3.7012897899093536E-4</v>
      </c>
      <c r="BZ20" s="49">
        <v>3.6642768920102601E-4</v>
      </c>
      <c r="CA20" s="49">
        <v>3.6276341230901576E-4</v>
      </c>
      <c r="CB20" s="49">
        <v>3.5913577818592559E-4</v>
      </c>
      <c r="CC20" s="49">
        <v>3.5554442040406633E-4</v>
      </c>
      <c r="CD20" s="49">
        <v>3.5198897620002567E-4</v>
      </c>
      <c r="CE20" s="49">
        <v>3.4846908643802543E-4</v>
      </c>
      <c r="CF20" s="49">
        <v>3.4498439557364519E-4</v>
      </c>
      <c r="CG20" s="49">
        <v>3.4153455161790874E-4</v>
      </c>
      <c r="CH20" s="49">
        <v>3.3811920610172966E-4</v>
      </c>
      <c r="CI20" s="49">
        <v>3.3473801404071234E-4</v>
      </c>
      <c r="CJ20" s="49">
        <v>3.3139063390030522E-4</v>
      </c>
      <c r="CK20" s="49">
        <v>3.2807672756130217E-4</v>
      </c>
      <c r="CL20" s="49">
        <v>3.2479596028568914E-4</v>
      </c>
      <c r="CM20" s="49">
        <v>3.2154800068283227E-4</v>
      </c>
      <c r="CN20" s="49">
        <v>3.1833252067600394E-4</v>
      </c>
      <c r="CO20" s="49">
        <v>3.151491954692439E-4</v>
      </c>
      <c r="CP20" s="49">
        <v>3.1199770351455147E-4</v>
      </c>
      <c r="CQ20" s="49">
        <v>3.0887772647940597E-4</v>
      </c>
      <c r="CR20" s="49">
        <v>3.0578894921461189E-4</v>
      </c>
      <c r="CS20" s="49">
        <v>3.0273105972246578E-4</v>
      </c>
      <c r="CT20" s="49">
        <v>2.9970374912524113E-4</v>
      </c>
      <c r="CU20" s="49">
        <v>2.967067116339887E-4</v>
      </c>
      <c r="CV20" s="49">
        <v>2.9373964451764883E-4</v>
      </c>
      <c r="CW20" s="49">
        <v>2.9080224807247234E-4</v>
      </c>
      <c r="CX20" s="48">
        <v>2.8789422559174761E-4</v>
      </c>
      <c r="CY20" s="28">
        <v>2.8501528333583012E-4</v>
      </c>
    </row>
    <row r="21" spans="1:103" ht="15.75">
      <c r="A21" s="50">
        <v>39</v>
      </c>
      <c r="B21" s="48">
        <v>5.9500000000000004E-4</v>
      </c>
      <c r="C21" s="48">
        <v>6.1279050000000005E-4</v>
      </c>
      <c r="D21" s="48">
        <v>6.3111293595000009E-4</v>
      </c>
      <c r="E21" s="48">
        <v>6.489734320373851E-4</v>
      </c>
      <c r="F21" s="48">
        <v>6.6558715189754222E-4</v>
      </c>
      <c r="G21" s="48">
        <v>6.8016351052409838E-4</v>
      </c>
      <c r="H21" s="48">
        <v>6.9213438830932259E-4</v>
      </c>
      <c r="I21" s="48">
        <v>7.0120134879617481E-4</v>
      </c>
      <c r="J21" s="48">
        <v>7.0730180053070154E-4</v>
      </c>
      <c r="K21" s="48">
        <v>7.1076757935330194E-4</v>
      </c>
      <c r="L21" s="48">
        <v>7.121891145120085E-4</v>
      </c>
      <c r="M21" s="48">
        <v>7.1190423886620369E-4</v>
      </c>
      <c r="N21" s="48">
        <v>7.1005328784515156E-4</v>
      </c>
      <c r="O21" s="48">
        <v>7.0685804804984838E-4</v>
      </c>
      <c r="P21" s="48">
        <v>7.0254621395674432E-4</v>
      </c>
      <c r="Q21" s="48">
        <v>6.9727711735206876E-4</v>
      </c>
      <c r="R21" s="48">
        <v>6.9135026185457619E-4</v>
      </c>
      <c r="S21" s="48">
        <v>6.8498983944551407E-4</v>
      </c>
      <c r="T21" s="48">
        <v>6.7834543800289254E-4</v>
      </c>
      <c r="U21" s="49">
        <v>6.7162981816666384E-4</v>
      </c>
      <c r="V21" s="49">
        <v>6.6491351998499717E-4</v>
      </c>
      <c r="W21" s="49">
        <v>6.582643847851472E-4</v>
      </c>
      <c r="X21" s="49">
        <v>6.5168174093729577E-4</v>
      </c>
      <c r="Y21" s="49">
        <v>6.451649235279228E-4</v>
      </c>
      <c r="Z21" s="49">
        <v>6.3871327429264357E-4</v>
      </c>
      <c r="AA21" s="49">
        <v>6.3232614154971716E-4</v>
      </c>
      <c r="AB21" s="49">
        <v>6.2600288013422002E-4</v>
      </c>
      <c r="AC21" s="49">
        <v>6.1974285133287784E-4</v>
      </c>
      <c r="AD21" s="49">
        <v>6.1354542281954908E-4</v>
      </c>
      <c r="AE21" s="49">
        <v>6.0740996859135355E-4</v>
      </c>
      <c r="AF21" s="49">
        <v>6.0133586890544005E-4</v>
      </c>
      <c r="AG21" s="49">
        <v>5.9532251021638565E-4</v>
      </c>
      <c r="AH21" s="49">
        <v>5.893692851142218E-4</v>
      </c>
      <c r="AI21" s="49">
        <v>5.8347559226307958E-4</v>
      </c>
      <c r="AJ21" s="49">
        <v>5.7764083634044875E-4</v>
      </c>
      <c r="AK21" s="49">
        <v>5.7186442797704426E-4</v>
      </c>
      <c r="AL21" s="49">
        <v>5.6614578369727385E-4</v>
      </c>
      <c r="AM21" s="49">
        <v>5.6048432586030107E-4</v>
      </c>
      <c r="AN21" s="49">
        <v>5.5487948260169806E-4</v>
      </c>
      <c r="AO21" s="49">
        <v>5.4933068777568103E-4</v>
      </c>
      <c r="AP21" s="49">
        <v>5.4383738089792424E-4</v>
      </c>
      <c r="AQ21" s="49">
        <v>5.3839900708894494E-4</v>
      </c>
      <c r="AR21" s="49">
        <v>5.3301501701805544E-4</v>
      </c>
      <c r="AS21" s="49">
        <v>5.2768486684787489E-4</v>
      </c>
      <c r="AT21" s="49">
        <v>5.2240801817939617E-4</v>
      </c>
      <c r="AU21" s="49">
        <v>5.1718393799760217E-4</v>
      </c>
      <c r="AV21" s="49">
        <v>5.1201209861762617E-4</v>
      </c>
      <c r="AW21" s="49">
        <v>5.0689197763144995E-4</v>
      </c>
      <c r="AX21" s="49">
        <v>5.0182305785513549E-4</v>
      </c>
      <c r="AY21" s="49">
        <v>4.9680482727658415E-4</v>
      </c>
      <c r="AZ21" s="49">
        <v>4.9183677900381832E-4</v>
      </c>
      <c r="BA21" s="49">
        <v>4.8691841121378012E-4</v>
      </c>
      <c r="BB21" s="49">
        <v>4.8204922710164231E-4</v>
      </c>
      <c r="BC21" s="49">
        <v>4.7722873483062588E-4</v>
      </c>
      <c r="BD21" s="49">
        <v>4.724564474823196E-4</v>
      </c>
      <c r="BE21" s="49">
        <v>4.6773188300749637E-4</v>
      </c>
      <c r="BF21" s="49">
        <v>4.6305456417742138E-4</v>
      </c>
      <c r="BG21" s="49">
        <v>4.5842401853564717E-4</v>
      </c>
      <c r="BH21" s="49">
        <v>4.5383977835029068E-4</v>
      </c>
      <c r="BI21" s="49">
        <v>4.4930138056678776E-4</v>
      </c>
      <c r="BJ21" s="49">
        <v>4.4480836676111989E-4</v>
      </c>
      <c r="BK21" s="49">
        <v>4.403602830935087E-4</v>
      </c>
      <c r="BL21" s="49">
        <v>4.3595668026257363E-4</v>
      </c>
      <c r="BM21" s="49">
        <v>4.3159711345994791E-4</v>
      </c>
      <c r="BN21" s="49">
        <v>4.272811423253484E-4</v>
      </c>
      <c r="BO21" s="49">
        <v>4.230083309020949E-4</v>
      </c>
      <c r="BP21" s="49">
        <v>4.1877824759307394E-4</v>
      </c>
      <c r="BQ21" s="49">
        <v>4.145904651171432E-4</v>
      </c>
      <c r="BR21" s="49">
        <v>4.1044456046597174E-4</v>
      </c>
      <c r="BS21" s="49">
        <v>4.0634011486131202E-4</v>
      </c>
      <c r="BT21" s="49">
        <v>4.0227671371269888E-4</v>
      </c>
      <c r="BU21" s="49">
        <v>3.9825394657557188E-4</v>
      </c>
      <c r="BV21" s="49">
        <v>3.9427140710981615E-4</v>
      </c>
      <c r="BW21" s="49">
        <v>3.90328693038718E-4</v>
      </c>
      <c r="BX21" s="49">
        <v>3.864254061083308E-4</v>
      </c>
      <c r="BY21" s="49">
        <v>3.8256115204724747E-4</v>
      </c>
      <c r="BZ21" s="49">
        <v>3.7873554052677498E-4</v>
      </c>
      <c r="CA21" s="49">
        <v>3.7494818512150721E-4</v>
      </c>
      <c r="CB21" s="49">
        <v>3.7119870327029215E-4</v>
      </c>
      <c r="CC21" s="49">
        <v>3.6748671623758924E-4</v>
      </c>
      <c r="CD21" s="49">
        <v>3.6381184907521337E-4</v>
      </c>
      <c r="CE21" s="49">
        <v>3.6017373058446124E-4</v>
      </c>
      <c r="CF21" s="49">
        <v>3.5657199327861661E-4</v>
      </c>
      <c r="CG21" s="49">
        <v>3.5300627334583046E-4</v>
      </c>
      <c r="CH21" s="49">
        <v>3.4947621061237215E-4</v>
      </c>
      <c r="CI21" s="49">
        <v>3.459814485062484E-4</v>
      </c>
      <c r="CJ21" s="49">
        <v>3.425216340211859E-4</v>
      </c>
      <c r="CK21" s="49">
        <v>3.3909641768097406E-4</v>
      </c>
      <c r="CL21" s="49">
        <v>3.3570545350416429E-4</v>
      </c>
      <c r="CM21" s="49">
        <v>3.3234839896912266E-4</v>
      </c>
      <c r="CN21" s="49">
        <v>3.2902491497943144E-4</v>
      </c>
      <c r="CO21" s="49">
        <v>3.2573466582963713E-4</v>
      </c>
      <c r="CP21" s="49">
        <v>3.2247731917134077E-4</v>
      </c>
      <c r="CQ21" s="49">
        <v>3.1925254597962735E-4</v>
      </c>
      <c r="CR21" s="49">
        <v>3.1606002051983107E-4</v>
      </c>
      <c r="CS21" s="49">
        <v>3.1289942031463276E-4</v>
      </c>
      <c r="CT21" s="49">
        <v>3.0977042611148644E-4</v>
      </c>
      <c r="CU21" s="49">
        <v>3.0667272185037154E-4</v>
      </c>
      <c r="CV21" s="49">
        <v>3.0360599463186784E-4</v>
      </c>
      <c r="CW21" s="49">
        <v>3.0056993468554916E-4</v>
      </c>
      <c r="CX21" s="48">
        <v>2.9756423533869368E-4</v>
      </c>
      <c r="CY21" s="28">
        <v>2.9458859298530672E-4</v>
      </c>
    </row>
    <row r="22" spans="1:103" ht="15.75">
      <c r="A22" s="50">
        <v>40</v>
      </c>
      <c r="B22" s="48">
        <v>6.2799999999999998E-4</v>
      </c>
      <c r="C22" s="48">
        <v>6.4376279999999993E-4</v>
      </c>
      <c r="D22" s="48">
        <v>6.6030750395999998E-4</v>
      </c>
      <c r="E22" s="48">
        <v>6.7674916080860388E-4</v>
      </c>
      <c r="F22" s="48">
        <v>6.9231439150720174E-4</v>
      </c>
      <c r="G22" s="48">
        <v>7.0622991077649649E-4</v>
      </c>
      <c r="H22" s="48">
        <v>7.1795332729538634E-4</v>
      </c>
      <c r="I22" s="48">
        <v>7.2707133455203769E-4</v>
      </c>
      <c r="J22" s="48">
        <v>7.3346956229609558E-4</v>
      </c>
      <c r="K22" s="48">
        <v>7.3735695097626496E-4</v>
      </c>
      <c r="L22" s="48">
        <v>7.3920034335370557E-4</v>
      </c>
      <c r="M22" s="48">
        <v>7.3934818342237627E-4</v>
      </c>
      <c r="N22" s="48">
        <v>7.3786948705553148E-4</v>
      </c>
      <c r="O22" s="48">
        <v>7.349180091073094E-4</v>
      </c>
      <c r="P22" s="48">
        <v>7.3065548465448698E-4</v>
      </c>
      <c r="Q22" s="48">
        <v>7.2539476516497465E-4</v>
      </c>
      <c r="R22" s="48">
        <v>7.1937398861410533E-4</v>
      </c>
      <c r="S22" s="48">
        <v>7.1282768531771693E-4</v>
      </c>
      <c r="T22" s="48">
        <v>7.0598453953866678E-4</v>
      </c>
      <c r="U22" s="49">
        <v>6.9899529259723398E-4</v>
      </c>
      <c r="V22" s="49">
        <v>6.9200533967126159E-4</v>
      </c>
      <c r="W22" s="49">
        <v>6.8508528627454898E-4</v>
      </c>
      <c r="X22" s="49">
        <v>6.7823443341180352E-4</v>
      </c>
      <c r="Y22" s="49">
        <v>6.7145208907768545E-4</v>
      </c>
      <c r="Z22" s="49">
        <v>6.6473756818690854E-4</v>
      </c>
      <c r="AA22" s="49">
        <v>6.5809019250503943E-4</v>
      </c>
      <c r="AB22" s="49">
        <v>6.5150929057998898E-4</v>
      </c>
      <c r="AC22" s="49">
        <v>6.4499419767418905E-4</v>
      </c>
      <c r="AD22" s="49">
        <v>6.3854425569744716E-4</v>
      </c>
      <c r="AE22" s="49">
        <v>6.3215881314047267E-4</v>
      </c>
      <c r="AF22" s="49">
        <v>6.2583722500906798E-4</v>
      </c>
      <c r="AG22" s="49">
        <v>6.1957885275897733E-4</v>
      </c>
      <c r="AH22" s="49">
        <v>6.1338306423138758E-4</v>
      </c>
      <c r="AI22" s="49">
        <v>6.0724923358907367E-4</v>
      </c>
      <c r="AJ22" s="49">
        <v>6.0117674125318289E-4</v>
      </c>
      <c r="AK22" s="49">
        <v>5.9516497384065105E-4</v>
      </c>
      <c r="AL22" s="49">
        <v>5.892133241022445E-4</v>
      </c>
      <c r="AM22" s="49">
        <v>5.8332119086122204E-4</v>
      </c>
      <c r="AN22" s="49">
        <v>5.7748797895260985E-4</v>
      </c>
      <c r="AO22" s="49">
        <v>5.7171309916308373E-4</v>
      </c>
      <c r="AP22" s="49">
        <v>5.6599596817145286E-4</v>
      </c>
      <c r="AQ22" s="49">
        <v>5.6033600848973835E-4</v>
      </c>
      <c r="AR22" s="49">
        <v>5.5473264840484094E-4</v>
      </c>
      <c r="AS22" s="49">
        <v>5.4918532192079253E-4</v>
      </c>
      <c r="AT22" s="49">
        <v>5.4369346870158464E-4</v>
      </c>
      <c r="AU22" s="49">
        <v>5.3825653401456876E-4</v>
      </c>
      <c r="AV22" s="49">
        <v>5.3287396867442312E-4</v>
      </c>
      <c r="AW22" s="49">
        <v>5.2754522898767889E-4</v>
      </c>
      <c r="AX22" s="49">
        <v>5.2226977669780211E-4</v>
      </c>
      <c r="AY22" s="49">
        <v>5.1704707893082409E-4</v>
      </c>
      <c r="AZ22" s="49">
        <v>5.1187660814151585E-4</v>
      </c>
      <c r="BA22" s="49">
        <v>5.0675784206010072E-4</v>
      </c>
      <c r="BB22" s="49">
        <v>5.0169026363949972E-4</v>
      </c>
      <c r="BC22" s="49">
        <v>4.9667336100310468E-4</v>
      </c>
      <c r="BD22" s="49">
        <v>4.9170662739307365E-4</v>
      </c>
      <c r="BE22" s="49">
        <v>4.8678956111914291E-4</v>
      </c>
      <c r="BF22" s="49">
        <v>4.8192166550795149E-4</v>
      </c>
      <c r="BG22" s="49">
        <v>4.77102448852872E-4</v>
      </c>
      <c r="BH22" s="49">
        <v>4.723314243643433E-4</v>
      </c>
      <c r="BI22" s="49">
        <v>4.6760811012069988E-4</v>
      </c>
      <c r="BJ22" s="49">
        <v>4.6293202901949286E-4</v>
      </c>
      <c r="BK22" s="49">
        <v>4.5830270872929791E-4</v>
      </c>
      <c r="BL22" s="49">
        <v>4.5371968164200494E-4</v>
      </c>
      <c r="BM22" s="49">
        <v>4.4918248482558491E-4</v>
      </c>
      <c r="BN22" s="49">
        <v>4.4469065997732905E-4</v>
      </c>
      <c r="BO22" s="49">
        <v>4.4024375337755575E-4</v>
      </c>
      <c r="BP22" s="49">
        <v>4.3584131584378018E-4</v>
      </c>
      <c r="BQ22" s="49">
        <v>4.314829026853424E-4</v>
      </c>
      <c r="BR22" s="49">
        <v>4.2716807365848899E-4</v>
      </c>
      <c r="BS22" s="49">
        <v>4.2289639292190408E-4</v>
      </c>
      <c r="BT22" s="49">
        <v>4.1866742899268503E-4</v>
      </c>
      <c r="BU22" s="49">
        <v>4.1448075470275819E-4</v>
      </c>
      <c r="BV22" s="49">
        <v>4.1033594715573059E-4</v>
      </c>
      <c r="BW22" s="49">
        <v>4.0623258768417327E-4</v>
      </c>
      <c r="BX22" s="49">
        <v>4.0217026180733154E-4</v>
      </c>
      <c r="BY22" s="49">
        <v>3.9814855918925824E-4</v>
      </c>
      <c r="BZ22" s="49">
        <v>3.9416707359736562E-4</v>
      </c>
      <c r="CA22" s="49">
        <v>3.9022540286139199E-4</v>
      </c>
      <c r="CB22" s="49">
        <v>3.8632314883277807E-4</v>
      </c>
      <c r="CC22" s="49">
        <v>3.8245991734445027E-4</v>
      </c>
      <c r="CD22" s="49">
        <v>3.7863531817100576E-4</v>
      </c>
      <c r="CE22" s="49">
        <v>3.7484896498929572E-4</v>
      </c>
      <c r="CF22" s="49">
        <v>3.7110047533940273E-4</v>
      </c>
      <c r="CG22" s="49">
        <v>3.6738947058600872E-4</v>
      </c>
      <c r="CH22" s="49">
        <v>3.637155758801486E-4</v>
      </c>
      <c r="CI22" s="49">
        <v>3.6007842012134711E-4</v>
      </c>
      <c r="CJ22" s="49">
        <v>3.5647763592013362E-4</v>
      </c>
      <c r="CK22" s="49">
        <v>3.5291285956093229E-4</v>
      </c>
      <c r="CL22" s="49">
        <v>3.4938373096532298E-4</v>
      </c>
      <c r="CM22" s="49">
        <v>3.4588989365566975E-4</v>
      </c>
      <c r="CN22" s="49">
        <v>3.4243099471911303E-4</v>
      </c>
      <c r="CO22" s="49">
        <v>3.3900668477192188E-4</v>
      </c>
      <c r="CP22" s="49">
        <v>3.3561661792420264E-4</v>
      </c>
      <c r="CQ22" s="49">
        <v>3.3226045174496063E-4</v>
      </c>
      <c r="CR22" s="49">
        <v>3.2893784722751103E-4</v>
      </c>
      <c r="CS22" s="49">
        <v>3.256484687552359E-4</v>
      </c>
      <c r="CT22" s="49">
        <v>3.2239198406768357E-4</v>
      </c>
      <c r="CU22" s="49">
        <v>3.1916806422700673E-4</v>
      </c>
      <c r="CV22" s="49">
        <v>3.1597638358473666E-4</v>
      </c>
      <c r="CW22" s="49">
        <v>3.128166197488893E-4</v>
      </c>
      <c r="CX22" s="48">
        <v>3.096884535514004E-4</v>
      </c>
      <c r="CY22" s="28">
        <v>3.0659156901588638E-4</v>
      </c>
    </row>
    <row r="23" spans="1:103" ht="15.75">
      <c r="A23" s="50">
        <v>41</v>
      </c>
      <c r="B23" s="48">
        <v>6.7100000000000005E-4</v>
      </c>
      <c r="C23" s="48">
        <v>6.8435290000000003E-4</v>
      </c>
      <c r="D23" s="48">
        <v>6.9872431089999993E-4</v>
      </c>
      <c r="E23" s="48">
        <v>7.133975214288999E-4</v>
      </c>
      <c r="F23" s="48">
        <v>7.2759413210533505E-4</v>
      </c>
      <c r="G23" s="48">
        <v>7.4061806707002061E-4</v>
      </c>
      <c r="H23" s="48">
        <v>7.5187546168948498E-4</v>
      </c>
      <c r="I23" s="48">
        <v>7.6089796722975881E-4</v>
      </c>
      <c r="J23" s="48">
        <v>7.6751777954465767E-4</v>
      </c>
      <c r="K23" s="48">
        <v>7.7181587911010776E-4</v>
      </c>
      <c r="L23" s="48">
        <v>7.7405414515952702E-4</v>
      </c>
      <c r="M23" s="48">
        <v>7.7451857764662267E-4</v>
      </c>
      <c r="N23" s="48">
        <v>7.7327934792238804E-4</v>
      </c>
      <c r="O23" s="48">
        <v>7.7049554226986741E-4</v>
      </c>
      <c r="P23" s="48">
        <v>7.6633486634161013E-4</v>
      </c>
      <c r="Q23" s="48">
        <v>7.6104715576385303E-4</v>
      </c>
      <c r="R23" s="48">
        <v>7.5488267380216588E-4</v>
      </c>
      <c r="S23" s="48">
        <v>7.4808872973794634E-4</v>
      </c>
      <c r="T23" s="48">
        <v>7.4090707793246198E-4</v>
      </c>
      <c r="U23" s="49">
        <v>7.3357209786093056E-4</v>
      </c>
      <c r="V23" s="49">
        <v>7.2623637688232125E-4</v>
      </c>
      <c r="W23" s="49">
        <v>7.1897401311349807E-4</v>
      </c>
      <c r="X23" s="49">
        <v>7.1178427298236309E-4</v>
      </c>
      <c r="Y23" s="49">
        <v>7.0466643025253949E-4</v>
      </c>
      <c r="Z23" s="49">
        <v>6.9761976595001404E-4</v>
      </c>
      <c r="AA23" s="49">
        <v>6.9064356829051394E-4</v>
      </c>
      <c r="AB23" s="49">
        <v>6.8373713260760883E-4</v>
      </c>
      <c r="AC23" s="49">
        <v>6.7689976128153273E-4</v>
      </c>
      <c r="AD23" s="49">
        <v>6.7013076366871736E-4</v>
      </c>
      <c r="AE23" s="49">
        <v>6.6342945603203017E-4</v>
      </c>
      <c r="AF23" s="49">
        <v>6.5679516147170987E-4</v>
      </c>
      <c r="AG23" s="49">
        <v>6.5022720985699275E-4</v>
      </c>
      <c r="AH23" s="49">
        <v>6.4372493775842281E-4</v>
      </c>
      <c r="AI23" s="49">
        <v>6.372876883808386E-4</v>
      </c>
      <c r="AJ23" s="49">
        <v>6.3091481149703016E-4</v>
      </c>
      <c r="AK23" s="49">
        <v>6.2460566338205987E-4</v>
      </c>
      <c r="AL23" s="49">
        <v>6.1835960674823929E-4</v>
      </c>
      <c r="AM23" s="49">
        <v>6.1217601068075693E-4</v>
      </c>
      <c r="AN23" s="49">
        <v>6.0605425057394936E-4</v>
      </c>
      <c r="AO23" s="49">
        <v>5.9999370806820991E-4</v>
      </c>
      <c r="AP23" s="49">
        <v>5.9399377098752785E-4</v>
      </c>
      <c r="AQ23" s="49">
        <v>5.8805383327765256E-4</v>
      </c>
      <c r="AR23" s="49">
        <v>5.8217329494487599E-4</v>
      </c>
      <c r="AS23" s="49">
        <v>5.763515619954272E-4</v>
      </c>
      <c r="AT23" s="49">
        <v>5.7058804637547293E-4</v>
      </c>
      <c r="AU23" s="49">
        <v>5.6488216591171823E-4</v>
      </c>
      <c r="AV23" s="49">
        <v>5.5923334425260105E-4</v>
      </c>
      <c r="AW23" s="49">
        <v>5.5364101081007506E-4</v>
      </c>
      <c r="AX23" s="49">
        <v>5.4810460070197427E-4</v>
      </c>
      <c r="AY23" s="49">
        <v>5.4262355469495457E-4</v>
      </c>
      <c r="AZ23" s="49">
        <v>5.3719731914800501E-4</v>
      </c>
      <c r="BA23" s="49">
        <v>5.3182534595652491E-4</v>
      </c>
      <c r="BB23" s="49">
        <v>5.265070924969597E-4</v>
      </c>
      <c r="BC23" s="49">
        <v>5.2124202157199007E-4</v>
      </c>
      <c r="BD23" s="49">
        <v>5.1602960135627011E-4</v>
      </c>
      <c r="BE23" s="49">
        <v>5.1086930534270745E-4</v>
      </c>
      <c r="BF23" s="49">
        <v>5.0576061228928032E-4</v>
      </c>
      <c r="BG23" s="49">
        <v>5.0070300616638752E-4</v>
      </c>
      <c r="BH23" s="49">
        <v>4.9569597610472362E-4</v>
      </c>
      <c r="BI23" s="49">
        <v>4.9073901634367643E-4</v>
      </c>
      <c r="BJ23" s="49">
        <v>4.8583162618023965E-4</v>
      </c>
      <c r="BK23" s="49">
        <v>4.8097330991843726E-4</v>
      </c>
      <c r="BL23" s="49">
        <v>4.7616357681925289E-4</v>
      </c>
      <c r="BM23" s="49">
        <v>4.7140194105106035E-4</v>
      </c>
      <c r="BN23" s="49">
        <v>4.6668792164054977E-4</v>
      </c>
      <c r="BO23" s="49">
        <v>4.6202104242414429E-4</v>
      </c>
      <c r="BP23" s="49">
        <v>4.5740083199990284E-4</v>
      </c>
      <c r="BQ23" s="49">
        <v>4.5282682367990383E-4</v>
      </c>
      <c r="BR23" s="49">
        <v>4.4829855544310478E-4</v>
      </c>
      <c r="BS23" s="49">
        <v>4.4381556988867371E-4</v>
      </c>
      <c r="BT23" s="49">
        <v>4.3937741418978698E-4</v>
      </c>
      <c r="BU23" s="49">
        <v>4.349836400478891E-4</v>
      </c>
      <c r="BV23" s="49">
        <v>4.3063380364741021E-4</v>
      </c>
      <c r="BW23" s="49">
        <v>4.2632746561093609E-4</v>
      </c>
      <c r="BX23" s="49">
        <v>4.220641909548267E-4</v>
      </c>
      <c r="BY23" s="49">
        <v>4.1784354904527842E-4</v>
      </c>
      <c r="BZ23" s="49">
        <v>4.1366511355482561E-4</v>
      </c>
      <c r="CA23" s="49">
        <v>4.0952846241927733E-4</v>
      </c>
      <c r="CB23" s="49">
        <v>4.0543317779508456E-4</v>
      </c>
      <c r="CC23" s="49">
        <v>4.0137884601713371E-4</v>
      </c>
      <c r="CD23" s="49">
        <v>3.973650575569624E-4</v>
      </c>
      <c r="CE23" s="49">
        <v>3.9339140698139275E-4</v>
      </c>
      <c r="CF23" s="49">
        <v>3.894574929115788E-4</v>
      </c>
      <c r="CG23" s="49">
        <v>3.8556291798246299E-4</v>
      </c>
      <c r="CH23" s="49">
        <v>3.8170728880263834E-4</v>
      </c>
      <c r="CI23" s="49">
        <v>3.7789021591461196E-4</v>
      </c>
      <c r="CJ23" s="49">
        <v>3.7411131375546583E-4</v>
      </c>
      <c r="CK23" s="49">
        <v>3.7037020061791119E-4</v>
      </c>
      <c r="CL23" s="49">
        <v>3.6666649861173206E-4</v>
      </c>
      <c r="CM23" s="49">
        <v>3.6299983362561474E-4</v>
      </c>
      <c r="CN23" s="49">
        <v>3.5936983528935858E-4</v>
      </c>
      <c r="CO23" s="49">
        <v>3.5577613693646496E-4</v>
      </c>
      <c r="CP23" s="49">
        <v>3.5221837556710032E-4</v>
      </c>
      <c r="CQ23" s="49">
        <v>3.4869619181142933E-4</v>
      </c>
      <c r="CR23" s="49">
        <v>3.4520922989331502E-4</v>
      </c>
      <c r="CS23" s="49">
        <v>3.4175713759438184E-4</v>
      </c>
      <c r="CT23" s="49">
        <v>3.3833956621843802E-4</v>
      </c>
      <c r="CU23" s="49">
        <v>3.3495617055625366E-4</v>
      </c>
      <c r="CV23" s="49">
        <v>3.3160660885069113E-4</v>
      </c>
      <c r="CW23" s="49">
        <v>3.2829054276218423E-4</v>
      </c>
      <c r="CX23" s="48">
        <v>3.2500763733456239E-4</v>
      </c>
      <c r="CY23" s="28">
        <v>3.2175756096121676E-4</v>
      </c>
    </row>
    <row r="24" spans="1:103" ht="15.75">
      <c r="A24" s="50">
        <v>42</v>
      </c>
      <c r="B24" s="48">
        <v>7.2499999999999995E-4</v>
      </c>
      <c r="C24" s="48">
        <v>7.3558499999999986E-4</v>
      </c>
      <c r="D24" s="48">
        <v>7.4742791849999985E-4</v>
      </c>
      <c r="E24" s="48">
        <v>7.5990996473894977E-4</v>
      </c>
      <c r="F24" s="48">
        <v>7.7237248816066847E-4</v>
      </c>
      <c r="G24" s="48">
        <v>7.8418978722952682E-4</v>
      </c>
      <c r="H24" s="48">
        <v>7.9469793037840249E-4</v>
      </c>
      <c r="I24" s="48">
        <v>8.0343960761256484E-4</v>
      </c>
      <c r="J24" s="48">
        <v>8.1010815635574912E-4</v>
      </c>
      <c r="K24" s="48">
        <v>8.1464476203134135E-4</v>
      </c>
      <c r="L24" s="48">
        <v>8.1725162526984172E-4</v>
      </c>
      <c r="M24" s="48">
        <v>8.1806887689511146E-4</v>
      </c>
      <c r="N24" s="48">
        <v>8.1708719424283729E-4</v>
      </c>
      <c r="O24" s="48">
        <v>8.1439080650183592E-4</v>
      </c>
      <c r="P24" s="48">
        <v>8.1023741338867659E-4</v>
      </c>
      <c r="Q24" s="48">
        <v>8.0480882271897244E-4</v>
      </c>
      <c r="R24" s="48">
        <v>7.983703521372206E-4</v>
      </c>
      <c r="S24" s="48">
        <v>7.9126485600319928E-4</v>
      </c>
      <c r="T24" s="48">
        <v>7.8374783987116893E-4</v>
      </c>
      <c r="U24" s="49">
        <v>7.7598873625644429E-4</v>
      </c>
      <c r="V24" s="49">
        <v>7.6822884889387981E-4</v>
      </c>
      <c r="W24" s="49">
        <v>7.6054656040494095E-4</v>
      </c>
      <c r="X24" s="49">
        <v>7.5294109480089156E-4</v>
      </c>
      <c r="Y24" s="49">
        <v>7.454116838528826E-4</v>
      </c>
      <c r="Z24" s="49">
        <v>7.3795756701435379E-4</v>
      </c>
      <c r="AA24" s="49">
        <v>7.3057799134421022E-4</v>
      </c>
      <c r="AB24" s="49">
        <v>7.2327221143076814E-4</v>
      </c>
      <c r="AC24" s="49">
        <v>7.1603948931646042E-4</v>
      </c>
      <c r="AD24" s="49">
        <v>7.0887909442329583E-4</v>
      </c>
      <c r="AE24" s="49">
        <v>7.0179030347906283E-4</v>
      </c>
      <c r="AF24" s="49">
        <v>6.9477240044427222E-4</v>
      </c>
      <c r="AG24" s="49">
        <v>6.8782467643982946E-4</v>
      </c>
      <c r="AH24" s="49">
        <v>6.8094642967543118E-4</v>
      </c>
      <c r="AI24" s="49">
        <v>6.7413696537867683E-4</v>
      </c>
      <c r="AJ24" s="49">
        <v>6.6739559572489009E-4</v>
      </c>
      <c r="AK24" s="49">
        <v>6.6072163976764117E-4</v>
      </c>
      <c r="AL24" s="49">
        <v>6.5411442336996476E-4</v>
      </c>
      <c r="AM24" s="49">
        <v>6.4757327913626513E-4</v>
      </c>
      <c r="AN24" s="49">
        <v>6.4109754634490246E-4</v>
      </c>
      <c r="AO24" s="49">
        <v>6.3468657088145341E-4</v>
      </c>
      <c r="AP24" s="49">
        <v>6.2833970517263893E-4</v>
      </c>
      <c r="AQ24" s="49">
        <v>6.2205630812091253E-4</v>
      </c>
      <c r="AR24" s="49">
        <v>6.1583574503970345E-4</v>
      </c>
      <c r="AS24" s="49">
        <v>6.0967738758930645E-4</v>
      </c>
      <c r="AT24" s="49">
        <v>6.0358061371341336E-4</v>
      </c>
      <c r="AU24" s="49">
        <v>5.9754480757627927E-4</v>
      </c>
      <c r="AV24" s="49">
        <v>5.915693595005165E-4</v>
      </c>
      <c r="AW24" s="49">
        <v>5.8565366590551129E-4</v>
      </c>
      <c r="AX24" s="49">
        <v>5.7979712924645615E-4</v>
      </c>
      <c r="AY24" s="49">
        <v>5.7399915795399163E-4</v>
      </c>
      <c r="AZ24" s="49">
        <v>5.6825916637445175E-4</v>
      </c>
      <c r="BA24" s="49">
        <v>5.6257657471070726E-4</v>
      </c>
      <c r="BB24" s="49">
        <v>5.5695080896360017E-4</v>
      </c>
      <c r="BC24" s="49">
        <v>5.5138130087396418E-4</v>
      </c>
      <c r="BD24" s="49">
        <v>5.4586748786522457E-4</v>
      </c>
      <c r="BE24" s="49">
        <v>5.404088129865723E-4</v>
      </c>
      <c r="BF24" s="49">
        <v>5.3500472485670662E-4</v>
      </c>
      <c r="BG24" s="49">
        <v>5.2965467760813958E-4</v>
      </c>
      <c r="BH24" s="49">
        <v>5.2435813083205813E-4</v>
      </c>
      <c r="BI24" s="49">
        <v>5.1911454952373759E-4</v>
      </c>
      <c r="BJ24" s="49">
        <v>5.1392340402850022E-4</v>
      </c>
      <c r="BK24" s="49">
        <v>5.0878416998821521E-4</v>
      </c>
      <c r="BL24" s="49">
        <v>5.0369632828833302E-4</v>
      </c>
      <c r="BM24" s="49">
        <v>4.9865936500544973E-4</v>
      </c>
      <c r="BN24" s="49">
        <v>4.9367277135539526E-4</v>
      </c>
      <c r="BO24" s="49">
        <v>4.8873604364184126E-4</v>
      </c>
      <c r="BP24" s="49">
        <v>4.8384868320542284E-4</v>
      </c>
      <c r="BQ24" s="49">
        <v>4.7901019637336861E-4</v>
      </c>
      <c r="BR24" s="49">
        <v>4.7422009440963492E-4</v>
      </c>
      <c r="BS24" s="49">
        <v>4.6947789346553858E-4</v>
      </c>
      <c r="BT24" s="49">
        <v>4.6478311453088318E-4</v>
      </c>
      <c r="BU24" s="49">
        <v>4.6013528338557436E-4</v>
      </c>
      <c r="BV24" s="49">
        <v>4.5553393055171862E-4</v>
      </c>
      <c r="BW24" s="49">
        <v>4.5097859124620146E-4</v>
      </c>
      <c r="BX24" s="49">
        <v>4.4646880533373941E-4</v>
      </c>
      <c r="BY24" s="49">
        <v>4.4200411728040204E-4</v>
      </c>
      <c r="BZ24" s="49">
        <v>4.3758407610759801E-4</v>
      </c>
      <c r="CA24" s="49">
        <v>4.3320823534652203E-4</v>
      </c>
      <c r="CB24" s="49">
        <v>4.2887615299305683E-4</v>
      </c>
      <c r="CC24" s="49">
        <v>4.2458739146312627E-4</v>
      </c>
      <c r="CD24" s="49">
        <v>4.2034151754849502E-4</v>
      </c>
      <c r="CE24" s="49">
        <v>4.1613810237301006E-4</v>
      </c>
      <c r="CF24" s="49">
        <v>4.1197672134927994E-4</v>
      </c>
      <c r="CG24" s="49">
        <v>4.0785695413578715E-4</v>
      </c>
      <c r="CH24" s="49">
        <v>4.0377838459442926E-4</v>
      </c>
      <c r="CI24" s="49">
        <v>3.9974060074848497E-4</v>
      </c>
      <c r="CJ24" s="49">
        <v>3.9574319474100012E-4</v>
      </c>
      <c r="CK24" s="49">
        <v>3.9178576279359014E-4</v>
      </c>
      <c r="CL24" s="49">
        <v>3.8786790516565425E-4</v>
      </c>
      <c r="CM24" s="49">
        <v>3.839892261139977E-4</v>
      </c>
      <c r="CN24" s="49">
        <v>3.8014933385285772E-4</v>
      </c>
      <c r="CO24" s="49">
        <v>3.7634784051432916E-4</v>
      </c>
      <c r="CP24" s="49">
        <v>3.7258436210918587E-4</v>
      </c>
      <c r="CQ24" s="49">
        <v>3.68858518488094E-4</v>
      </c>
      <c r="CR24" s="49">
        <v>3.6516993330321307E-4</v>
      </c>
      <c r="CS24" s="49">
        <v>3.6151823397018092E-4</v>
      </c>
      <c r="CT24" s="49">
        <v>3.579030516304791E-4</v>
      </c>
      <c r="CU24" s="49">
        <v>3.5432402111417431E-4</v>
      </c>
      <c r="CV24" s="49">
        <v>3.5078078090303259E-4</v>
      </c>
      <c r="CW24" s="49">
        <v>3.4727297309400227E-4</v>
      </c>
      <c r="CX24" s="48">
        <v>3.4380024336306224E-4</v>
      </c>
      <c r="CY24" s="28">
        <v>3.403622409294316E-4</v>
      </c>
    </row>
    <row r="25" spans="1:103" ht="15.75">
      <c r="A25" s="50">
        <v>43</v>
      </c>
      <c r="B25" s="48">
        <v>7.9299999999999998E-4</v>
      </c>
      <c r="C25" s="48">
        <v>8.0037490000000005E-4</v>
      </c>
      <c r="D25" s="48">
        <v>8.0925906139000018E-4</v>
      </c>
      <c r="E25" s="48">
        <v>8.1913202193895822E-4</v>
      </c>
      <c r="F25" s="48">
        <v>8.2953499861758298E-4</v>
      </c>
      <c r="G25" s="48">
        <v>8.3973827910057927E-4</v>
      </c>
      <c r="H25" s="48">
        <v>8.4922732165441592E-4</v>
      </c>
      <c r="I25" s="48">
        <v>8.5746482667446375E-4</v>
      </c>
      <c r="J25" s="48">
        <v>8.6406730583985718E-4</v>
      </c>
      <c r="K25" s="48">
        <v>8.6873326929139247E-4</v>
      </c>
      <c r="L25" s="48">
        <v>8.7160008908005414E-4</v>
      </c>
      <c r="M25" s="48">
        <v>8.7264600918695028E-4</v>
      </c>
      <c r="N25" s="48">
        <v>8.7186062777868203E-4</v>
      </c>
      <c r="O25" s="48">
        <v>8.6924504589534594E-4</v>
      </c>
      <c r="P25" s="48">
        <v>8.6507266967504831E-4</v>
      </c>
      <c r="Q25" s="48">
        <v>8.5944969732216049E-4</v>
      </c>
      <c r="R25" s="48">
        <v>8.5274598968304767E-4</v>
      </c>
      <c r="S25" s="48">
        <v>8.452418249738368E-4</v>
      </c>
      <c r="T25" s="48">
        <v>8.3721202763658534E-4</v>
      </c>
      <c r="U25" s="49">
        <v>8.2892362856298309E-4</v>
      </c>
      <c r="V25" s="49">
        <v>8.2063439227735328E-4</v>
      </c>
      <c r="W25" s="49">
        <v>8.1242804835457969E-4</v>
      </c>
      <c r="X25" s="49">
        <v>8.0430376787103393E-4</v>
      </c>
      <c r="Y25" s="49">
        <v>7.9626073019232362E-4</v>
      </c>
      <c r="Z25" s="49">
        <v>7.8829812289040043E-4</v>
      </c>
      <c r="AA25" s="49">
        <v>7.8041514166149646E-4</v>
      </c>
      <c r="AB25" s="49">
        <v>7.726109902448815E-4</v>
      </c>
      <c r="AC25" s="49">
        <v>7.648848803424327E-4</v>
      </c>
      <c r="AD25" s="49">
        <v>7.5723603153900838E-4</v>
      </c>
      <c r="AE25" s="49">
        <v>7.4966367122361827E-4</v>
      </c>
      <c r="AF25" s="49">
        <v>7.421670345113821E-4</v>
      </c>
      <c r="AG25" s="49">
        <v>7.3474536416626829E-4</v>
      </c>
      <c r="AH25" s="49">
        <v>7.2739791052460565E-4</v>
      </c>
      <c r="AI25" s="49">
        <v>7.2012393141935964E-4</v>
      </c>
      <c r="AJ25" s="49">
        <v>7.1292269210516599E-4</v>
      </c>
      <c r="AK25" s="49">
        <v>7.0579346518411434E-4</v>
      </c>
      <c r="AL25" s="49">
        <v>6.9873553053227319E-4</v>
      </c>
      <c r="AM25" s="49">
        <v>6.9174817522695041E-4</v>
      </c>
      <c r="AN25" s="49">
        <v>6.8483069347468088E-4</v>
      </c>
      <c r="AO25" s="49">
        <v>6.7798238653993411E-4</v>
      </c>
      <c r="AP25" s="49">
        <v>6.7120256267453476E-4</v>
      </c>
      <c r="AQ25" s="49">
        <v>6.6449053704778938E-4</v>
      </c>
      <c r="AR25" s="49">
        <v>6.5784563167731148E-4</v>
      </c>
      <c r="AS25" s="49">
        <v>6.5126717536053834E-4</v>
      </c>
      <c r="AT25" s="49">
        <v>6.4475450360693294E-4</v>
      </c>
      <c r="AU25" s="49">
        <v>6.3830695857086358E-4</v>
      </c>
      <c r="AV25" s="49">
        <v>6.3192388898515497E-4</v>
      </c>
      <c r="AW25" s="49">
        <v>6.2560465009530342E-4</v>
      </c>
      <c r="AX25" s="49">
        <v>6.1934860359435042E-4</v>
      </c>
      <c r="AY25" s="49">
        <v>6.131551175584069E-4</v>
      </c>
      <c r="AZ25" s="49">
        <v>6.0702356638282285E-4</v>
      </c>
      <c r="BA25" s="49">
        <v>6.0095333071899461E-4</v>
      </c>
      <c r="BB25" s="49">
        <v>5.9494379741180468E-4</v>
      </c>
      <c r="BC25" s="49">
        <v>5.8899435943768667E-4</v>
      </c>
      <c r="BD25" s="49">
        <v>5.8310441584330974E-4</v>
      </c>
      <c r="BE25" s="49">
        <v>5.7727337168487667E-4</v>
      </c>
      <c r="BF25" s="49">
        <v>5.7150063796802787E-4</v>
      </c>
      <c r="BG25" s="49">
        <v>5.6578563158834756E-4</v>
      </c>
      <c r="BH25" s="49">
        <v>5.6012777527246406E-4</v>
      </c>
      <c r="BI25" s="49">
        <v>5.5452649751973945E-4</v>
      </c>
      <c r="BJ25" s="49">
        <v>5.4898123254454203E-4</v>
      </c>
      <c r="BK25" s="49">
        <v>5.4349142021909661E-4</v>
      </c>
      <c r="BL25" s="49">
        <v>5.3805650601690565E-4</v>
      </c>
      <c r="BM25" s="49">
        <v>5.3267594095673661E-4</v>
      </c>
      <c r="BN25" s="49">
        <v>5.2734918154716921E-4</v>
      </c>
      <c r="BO25" s="49">
        <v>5.2207568973169753E-4</v>
      </c>
      <c r="BP25" s="49">
        <v>5.1685493283438056E-4</v>
      </c>
      <c r="BQ25" s="49">
        <v>5.1168638350603673E-4</v>
      </c>
      <c r="BR25" s="49">
        <v>5.065695196709764E-4</v>
      </c>
      <c r="BS25" s="49">
        <v>5.0150382447426668E-4</v>
      </c>
      <c r="BT25" s="49">
        <v>4.9648878622952398E-4</v>
      </c>
      <c r="BU25" s="49">
        <v>4.915238983672287E-4</v>
      </c>
      <c r="BV25" s="49">
        <v>4.8660865938355641E-4</v>
      </c>
      <c r="BW25" s="49">
        <v>4.8174257278972083E-4</v>
      </c>
      <c r="BX25" s="49">
        <v>4.7692514706182361E-4</v>
      </c>
      <c r="BY25" s="49">
        <v>4.7215589559120534E-4</v>
      </c>
      <c r="BZ25" s="49">
        <v>4.6743433663529329E-4</v>
      </c>
      <c r="CA25" s="49">
        <v>4.6275999326894033E-4</v>
      </c>
      <c r="CB25" s="49">
        <v>4.5813239333625092E-4</v>
      </c>
      <c r="CC25" s="49">
        <v>4.5355106940288839E-4</v>
      </c>
      <c r="CD25" s="49">
        <v>4.4901555870885949E-4</v>
      </c>
      <c r="CE25" s="49">
        <v>4.4452540312177091E-4</v>
      </c>
      <c r="CF25" s="49">
        <v>4.4008014909055319E-4</v>
      </c>
      <c r="CG25" s="49">
        <v>4.3567934759964765E-4</v>
      </c>
      <c r="CH25" s="49">
        <v>4.3132255412365114E-4</v>
      </c>
      <c r="CI25" s="49">
        <v>4.2700932858241464E-4</v>
      </c>
      <c r="CJ25" s="49">
        <v>4.2273923529659047E-4</v>
      </c>
      <c r="CK25" s="49">
        <v>4.1851184294362456E-4</v>
      </c>
      <c r="CL25" s="49">
        <v>4.143267245141883E-4</v>
      </c>
      <c r="CM25" s="49">
        <v>4.1018345726904641E-4</v>
      </c>
      <c r="CN25" s="49">
        <v>4.0608162269635594E-4</v>
      </c>
      <c r="CO25" s="49">
        <v>4.0202080646939236E-4</v>
      </c>
      <c r="CP25" s="49">
        <v>3.9800059840469843E-4</v>
      </c>
      <c r="CQ25" s="49">
        <v>3.9402059242065146E-4</v>
      </c>
      <c r="CR25" s="49">
        <v>3.9008038649644493E-4</v>
      </c>
      <c r="CS25" s="49">
        <v>3.861795826314805E-4</v>
      </c>
      <c r="CT25" s="49">
        <v>3.8231778680516569E-4</v>
      </c>
      <c r="CU25" s="49">
        <v>3.7849460893711406E-4</v>
      </c>
      <c r="CV25" s="49">
        <v>3.7470966284774293E-4</v>
      </c>
      <c r="CW25" s="49">
        <v>3.709625662192655E-4</v>
      </c>
      <c r="CX25" s="48">
        <v>3.6725294055707286E-4</v>
      </c>
      <c r="CY25" s="28">
        <v>3.6358041115150213E-4</v>
      </c>
    </row>
    <row r="26" spans="1:103" ht="15.75">
      <c r="A26" s="50">
        <v>44</v>
      </c>
      <c r="B26" s="48">
        <v>8.7600000000000004E-4</v>
      </c>
      <c r="C26" s="48">
        <v>8.7985440000000004E-4</v>
      </c>
      <c r="D26" s="48">
        <v>8.8539748272000005E-4</v>
      </c>
      <c r="E26" s="48">
        <v>8.9230358308521607E-4</v>
      </c>
      <c r="F26" s="48">
        <v>9.0015585461636588E-4</v>
      </c>
      <c r="G26" s="48">
        <v>9.0843728847883653E-4</v>
      </c>
      <c r="H26" s="48">
        <v>9.1661322407514596E-4</v>
      </c>
      <c r="I26" s="48">
        <v>9.2403779119015468E-4</v>
      </c>
      <c r="J26" s="48">
        <v>9.302288443911287E-4</v>
      </c>
      <c r="K26" s="48">
        <v>9.348799886130842E-4</v>
      </c>
      <c r="L26" s="48">
        <v>9.3787160457664619E-4</v>
      </c>
      <c r="M26" s="48">
        <v>9.3909083766259593E-4</v>
      </c>
      <c r="N26" s="48">
        <v>9.3843347407623207E-4</v>
      </c>
      <c r="O26" s="48">
        <v>9.358997036962262E-4</v>
      </c>
      <c r="P26" s="48">
        <v>9.3159456505922348E-4</v>
      </c>
      <c r="Q26" s="48">
        <v>9.2572551929935045E-4</v>
      </c>
      <c r="R26" s="48">
        <v>9.1869000535267534E-4</v>
      </c>
      <c r="S26" s="48">
        <v>9.1069740230610707E-4</v>
      </c>
      <c r="T26" s="48">
        <v>9.0204577698419907E-4</v>
      </c>
      <c r="U26" s="49">
        <v>8.9311552379205551E-4</v>
      </c>
      <c r="V26" s="49">
        <v>8.841843685541349E-4</v>
      </c>
      <c r="W26" s="49">
        <v>8.7534252486859356E-4</v>
      </c>
      <c r="X26" s="49">
        <v>8.6658909961990767E-4</v>
      </c>
      <c r="Y26" s="49">
        <v>8.5792320862370861E-4</v>
      </c>
      <c r="Z26" s="49">
        <v>8.4934397653747156E-4</v>
      </c>
      <c r="AA26" s="49">
        <v>8.408505367720968E-4</v>
      </c>
      <c r="AB26" s="49">
        <v>8.3244203140437581E-4</v>
      </c>
      <c r="AC26" s="49">
        <v>8.2411761109033206E-4</v>
      </c>
      <c r="AD26" s="49">
        <v>8.1587643497942877E-4</v>
      </c>
      <c r="AE26" s="49">
        <v>8.0771767062963451E-4</v>
      </c>
      <c r="AF26" s="49">
        <v>7.9964049392333811E-4</v>
      </c>
      <c r="AG26" s="49">
        <v>7.9164408898410468E-4</v>
      </c>
      <c r="AH26" s="49">
        <v>7.837276480942636E-4</v>
      </c>
      <c r="AI26" s="49">
        <v>7.7589037161332095E-4</v>
      </c>
      <c r="AJ26" s="49">
        <v>7.6813146789718771E-4</v>
      </c>
      <c r="AK26" s="49">
        <v>7.6045015321821586E-4</v>
      </c>
      <c r="AL26" s="49">
        <v>7.5284565168603373E-4</v>
      </c>
      <c r="AM26" s="49">
        <v>7.4531719516917336E-4</v>
      </c>
      <c r="AN26" s="49">
        <v>7.3786402321748162E-4</v>
      </c>
      <c r="AO26" s="49">
        <v>7.3048538298530678E-4</v>
      </c>
      <c r="AP26" s="49">
        <v>7.2318052915545375E-4</v>
      </c>
      <c r="AQ26" s="49">
        <v>7.1594872386389916E-4</v>
      </c>
      <c r="AR26" s="49">
        <v>7.0878923662526011E-4</v>
      </c>
      <c r="AS26" s="49">
        <v>7.0170134425900747E-4</v>
      </c>
      <c r="AT26" s="49">
        <v>6.9468433081641744E-4</v>
      </c>
      <c r="AU26" s="49">
        <v>6.8773748750825328E-4</v>
      </c>
      <c r="AV26" s="49">
        <v>6.8086011263317073E-4</v>
      </c>
      <c r="AW26" s="49">
        <v>6.74051511506839E-4</v>
      </c>
      <c r="AX26" s="49">
        <v>6.6731099639177058E-4</v>
      </c>
      <c r="AY26" s="49">
        <v>6.6063788642785283E-4</v>
      </c>
      <c r="AZ26" s="49">
        <v>6.540315075635743E-4</v>
      </c>
      <c r="BA26" s="49">
        <v>6.474911924879386E-4</v>
      </c>
      <c r="BB26" s="49">
        <v>6.4101628056305923E-4</v>
      </c>
      <c r="BC26" s="49">
        <v>6.3460611775742861E-4</v>
      </c>
      <c r="BD26" s="49">
        <v>6.2826005657985436E-4</v>
      </c>
      <c r="BE26" s="49">
        <v>6.2197745601405585E-4</v>
      </c>
      <c r="BF26" s="49">
        <v>6.157576814539153E-4</v>
      </c>
      <c r="BG26" s="49">
        <v>6.0960010463937612E-4</v>
      </c>
      <c r="BH26" s="49">
        <v>6.0350410359298232E-4</v>
      </c>
      <c r="BI26" s="49">
        <v>5.9746906255705252E-4</v>
      </c>
      <c r="BJ26" s="49">
        <v>5.9149437193148195E-4</v>
      </c>
      <c r="BK26" s="49">
        <v>5.8557942821216714E-4</v>
      </c>
      <c r="BL26" s="49">
        <v>5.7972363393004548E-4</v>
      </c>
      <c r="BM26" s="49">
        <v>5.7392639759074504E-4</v>
      </c>
      <c r="BN26" s="49">
        <v>5.6818713361483756E-4</v>
      </c>
      <c r="BO26" s="49">
        <v>5.6250526227868915E-4</v>
      </c>
      <c r="BP26" s="49">
        <v>5.5688020965590228E-4</v>
      </c>
      <c r="BQ26" s="49">
        <v>5.5131140755934323E-4</v>
      </c>
      <c r="BR26" s="49">
        <v>5.4579829348374979E-4</v>
      </c>
      <c r="BS26" s="49">
        <v>5.4034031054891226E-4</v>
      </c>
      <c r="BT26" s="49">
        <v>5.349369074434231E-4</v>
      </c>
      <c r="BU26" s="49">
        <v>5.2958753836898891E-4</v>
      </c>
      <c r="BV26" s="49">
        <v>5.2429166298529901E-4</v>
      </c>
      <c r="BW26" s="49">
        <v>5.1904874635544601E-4</v>
      </c>
      <c r="BX26" s="49">
        <v>5.138582588918915E-4</v>
      </c>
      <c r="BY26" s="49">
        <v>5.0871967630297253E-4</v>
      </c>
      <c r="BZ26" s="49">
        <v>5.0363247953994275E-4</v>
      </c>
      <c r="CA26" s="49">
        <v>4.9859615474454337E-4</v>
      </c>
      <c r="CB26" s="49">
        <v>4.9361019319709798E-4</v>
      </c>
      <c r="CC26" s="49">
        <v>4.88674091265127E-4</v>
      </c>
      <c r="CD26" s="49">
        <v>4.8378735035247572E-4</v>
      </c>
      <c r="CE26" s="49">
        <v>4.7894947684895095E-4</v>
      </c>
      <c r="CF26" s="49">
        <v>4.7415998208046143E-4</v>
      </c>
      <c r="CG26" s="49">
        <v>4.694183822596568E-4</v>
      </c>
      <c r="CH26" s="49">
        <v>4.647241984370602E-4</v>
      </c>
      <c r="CI26" s="49">
        <v>4.6007695645268958E-4</v>
      </c>
      <c r="CJ26" s="49">
        <v>4.5547618688816267E-4</v>
      </c>
      <c r="CK26" s="49">
        <v>4.5092142501928107E-4</v>
      </c>
      <c r="CL26" s="49">
        <v>4.4641221076908825E-4</v>
      </c>
      <c r="CM26" s="49">
        <v>4.4194808866139735E-4</v>
      </c>
      <c r="CN26" s="49">
        <v>4.3752860777478337E-4</v>
      </c>
      <c r="CO26" s="49">
        <v>4.3315332169703552E-4</v>
      </c>
      <c r="CP26" s="49">
        <v>4.2882178848006517E-4</v>
      </c>
      <c r="CQ26" s="49">
        <v>4.245335705952645E-4</v>
      </c>
      <c r="CR26" s="49">
        <v>4.2028823488931183E-4</v>
      </c>
      <c r="CS26" s="49">
        <v>4.1608535254041869E-4</v>
      </c>
      <c r="CT26" s="49">
        <v>4.1192449901501451E-4</v>
      </c>
      <c r="CU26" s="49">
        <v>4.0780525402486437E-4</v>
      </c>
      <c r="CV26" s="49">
        <v>4.0372720148461571E-4</v>
      </c>
      <c r="CW26" s="49">
        <v>3.9968992946976954E-4</v>
      </c>
      <c r="CX26" s="48">
        <v>3.9569303017507183E-4</v>
      </c>
      <c r="CY26" s="28">
        <v>3.917360998733211E-4</v>
      </c>
    </row>
    <row r="27" spans="1:103" ht="15.75">
      <c r="A27" s="50">
        <v>45</v>
      </c>
      <c r="B27" s="48">
        <v>9.7300000000000002E-4</v>
      </c>
      <c r="C27" s="48">
        <v>9.7309730000000002E-4</v>
      </c>
      <c r="D27" s="48">
        <v>9.7504349460000004E-4</v>
      </c>
      <c r="E27" s="48">
        <v>9.7865115553002016E-4</v>
      </c>
      <c r="F27" s="48">
        <v>9.8364227642322335E-4</v>
      </c>
      <c r="G27" s="48">
        <v>9.8964249430940504E-4</v>
      </c>
      <c r="H27" s="48">
        <v>9.9607517052241619E-4</v>
      </c>
      <c r="I27" s="48">
        <v>1.0023504440967075E-3</v>
      </c>
      <c r="J27" s="48">
        <v>1.0079636065836492E-3</v>
      </c>
      <c r="K27" s="48">
        <v>1.0123986464526172E-3</v>
      </c>
      <c r="L27" s="48">
        <v>1.0153346025273298E-3</v>
      </c>
      <c r="M27" s="48">
        <v>1.0165530040503626E-3</v>
      </c>
      <c r="N27" s="48">
        <v>1.0159430722479323E-3</v>
      </c>
      <c r="O27" s="48">
        <v>1.0133016202600875E-3</v>
      </c>
      <c r="P27" s="48">
        <v>1.0088430931309432E-3</v>
      </c>
      <c r="Q27" s="48">
        <v>1.0026891502628445E-3</v>
      </c>
      <c r="R27" s="48">
        <v>9.9516898163587312E-4</v>
      </c>
      <c r="S27" s="48">
        <v>9.8661052839380458E-4</v>
      </c>
      <c r="T27" s="48">
        <v>9.7733638942690292E-4</v>
      </c>
      <c r="U27" s="49">
        <v>9.6766075917157658E-4</v>
      </c>
      <c r="V27" s="49">
        <v>9.579841515798608E-4</v>
      </c>
      <c r="W27" s="49">
        <v>9.4840431006406223E-4</v>
      </c>
      <c r="X27" s="49">
        <v>9.3892026696342163E-4</v>
      </c>
      <c r="Y27" s="49">
        <v>9.2953106429378735E-4</v>
      </c>
      <c r="Z27" s="49">
        <v>9.2023575365084945E-4</v>
      </c>
      <c r="AA27" s="49">
        <v>9.1103339611434098E-4</v>
      </c>
      <c r="AB27" s="49">
        <v>9.0192306215319752E-4</v>
      </c>
      <c r="AC27" s="49">
        <v>8.9290383153166559E-4</v>
      </c>
      <c r="AD27" s="49">
        <v>8.8397479321634888E-4</v>
      </c>
      <c r="AE27" s="49">
        <v>8.7513504528418534E-4</v>
      </c>
      <c r="AF27" s="49">
        <v>8.6638369483134348E-4</v>
      </c>
      <c r="AG27" s="49">
        <v>8.5771985788303008E-4</v>
      </c>
      <c r="AH27" s="49">
        <v>8.4914265930419977E-4</v>
      </c>
      <c r="AI27" s="49">
        <v>8.4065123271115773E-4</v>
      </c>
      <c r="AJ27" s="49">
        <v>8.3224472038404614E-4</v>
      </c>
      <c r="AK27" s="49">
        <v>8.2392227318020571E-4</v>
      </c>
      <c r="AL27" s="49">
        <v>8.1568305044840369E-4</v>
      </c>
      <c r="AM27" s="49">
        <v>8.0752621994391966E-4</v>
      </c>
      <c r="AN27" s="49">
        <v>7.9945095774448045E-4</v>
      </c>
      <c r="AO27" s="49">
        <v>7.9145644816703566E-4</v>
      </c>
      <c r="AP27" s="49">
        <v>7.8354188368536535E-4</v>
      </c>
      <c r="AQ27" s="49">
        <v>7.7570646484851171E-4</v>
      </c>
      <c r="AR27" s="49">
        <v>7.6794940020002663E-4</v>
      </c>
      <c r="AS27" s="49">
        <v>7.6026990619802639E-4</v>
      </c>
      <c r="AT27" s="49">
        <v>7.526672071360461E-4</v>
      </c>
      <c r="AU27" s="49">
        <v>7.4514053506468563E-4</v>
      </c>
      <c r="AV27" s="49">
        <v>7.376891297140388E-4</v>
      </c>
      <c r="AW27" s="49">
        <v>7.3031223841689842E-4</v>
      </c>
      <c r="AX27" s="49">
        <v>7.2300911603272947E-4</v>
      </c>
      <c r="AY27" s="49">
        <v>7.1577902487240214E-4</v>
      </c>
      <c r="AZ27" s="49">
        <v>7.0862123462367812E-4</v>
      </c>
      <c r="BA27" s="49">
        <v>7.0153502227744138E-4</v>
      </c>
      <c r="BB27" s="49">
        <v>6.945196720546669E-4</v>
      </c>
      <c r="BC27" s="49">
        <v>6.875744753341202E-4</v>
      </c>
      <c r="BD27" s="49">
        <v>6.8069873058077901E-4</v>
      </c>
      <c r="BE27" s="49">
        <v>6.7389174327497122E-4</v>
      </c>
      <c r="BF27" s="49">
        <v>6.671528258422215E-4</v>
      </c>
      <c r="BG27" s="49">
        <v>6.6048129758379927E-4</v>
      </c>
      <c r="BH27" s="49">
        <v>6.5387648460796125E-4</v>
      </c>
      <c r="BI27" s="49">
        <v>6.4733771976188161E-4</v>
      </c>
      <c r="BJ27" s="49">
        <v>6.4086434256426276E-4</v>
      </c>
      <c r="BK27" s="49">
        <v>6.3445569913862018E-4</v>
      </c>
      <c r="BL27" s="49">
        <v>6.2811114214723397E-4</v>
      </c>
      <c r="BM27" s="49">
        <v>6.2183003072576164E-4</v>
      </c>
      <c r="BN27" s="49">
        <v>6.1561173041850407E-4</v>
      </c>
      <c r="BO27" s="49">
        <v>6.0945561311431904E-4</v>
      </c>
      <c r="BP27" s="49">
        <v>6.0336105698317584E-4</v>
      </c>
      <c r="BQ27" s="49">
        <v>5.9732744641334404E-4</v>
      </c>
      <c r="BR27" s="49">
        <v>5.9135417194921061E-4</v>
      </c>
      <c r="BS27" s="49">
        <v>5.8544063022971846E-4</v>
      </c>
      <c r="BT27" s="49">
        <v>5.795862239274213E-4</v>
      </c>
      <c r="BU27" s="49">
        <v>5.7379036168814712E-4</v>
      </c>
      <c r="BV27" s="49">
        <v>5.6805245807126569E-4</v>
      </c>
      <c r="BW27" s="49">
        <v>5.6237193349055307E-4</v>
      </c>
      <c r="BX27" s="49">
        <v>5.5674821415564756E-4</v>
      </c>
      <c r="BY27" s="49">
        <v>5.5118073201409113E-4</v>
      </c>
      <c r="BZ27" s="49">
        <v>5.4566892469395023E-4</v>
      </c>
      <c r="CA27" s="49">
        <v>5.4021223544701072E-4</v>
      </c>
      <c r="CB27" s="49">
        <v>5.3481011309254058E-4</v>
      </c>
      <c r="CC27" s="49">
        <v>5.2946201196161515E-4</v>
      </c>
      <c r="CD27" s="49">
        <v>5.2416739184199903E-4</v>
      </c>
      <c r="CE27" s="49">
        <v>5.1892571792357903E-4</v>
      </c>
      <c r="CF27" s="49">
        <v>5.1373646074434327E-4</v>
      </c>
      <c r="CG27" s="49">
        <v>5.0859909613689986E-4</v>
      </c>
      <c r="CH27" s="49">
        <v>5.0351310517553086E-4</v>
      </c>
      <c r="CI27" s="49">
        <v>4.9847797412377556E-4</v>
      </c>
      <c r="CJ27" s="49">
        <v>4.9349319438253775E-4</v>
      </c>
      <c r="CK27" s="49">
        <v>4.8855826243871241E-4</v>
      </c>
      <c r="CL27" s="49">
        <v>4.8367267981432526E-4</v>
      </c>
      <c r="CM27" s="49">
        <v>4.7883595301618202E-4</v>
      </c>
      <c r="CN27" s="49">
        <v>4.7404759348602021E-4</v>
      </c>
      <c r="CO27" s="49">
        <v>4.6930711755116002E-4</v>
      </c>
      <c r="CP27" s="49">
        <v>4.6461404637564841E-4</v>
      </c>
      <c r="CQ27" s="49">
        <v>4.5996790591189193E-4</v>
      </c>
      <c r="CR27" s="49">
        <v>4.55368226852773E-4</v>
      </c>
      <c r="CS27" s="49">
        <v>4.5081454458424528E-4</v>
      </c>
      <c r="CT27" s="49">
        <v>4.4630639913840282E-4</v>
      </c>
      <c r="CU27" s="49">
        <v>4.4184333514701878E-4</v>
      </c>
      <c r="CV27" s="49">
        <v>4.3742490179554861E-4</v>
      </c>
      <c r="CW27" s="49">
        <v>4.3305065277759314E-4</v>
      </c>
      <c r="CX27" s="48">
        <v>4.2872014624981722E-4</v>
      </c>
      <c r="CY27" s="28">
        <v>4.2443294478731905E-4</v>
      </c>
    </row>
    <row r="28" spans="1:103" ht="15.75">
      <c r="A28" s="50">
        <v>46</v>
      </c>
      <c r="B28" s="48">
        <v>1.0870000000000001E-3</v>
      </c>
      <c r="C28" s="48">
        <v>1.0833042000000001E-3</v>
      </c>
      <c r="D28" s="48">
        <v>1.0814625828600001E-3</v>
      </c>
      <c r="E28" s="48">
        <v>1.0814625828600001E-3</v>
      </c>
      <c r="F28" s="48">
        <v>1.0831929229925762E-3</v>
      </c>
      <c r="G28" s="48">
        <v>1.0864425017615539E-3</v>
      </c>
      <c r="H28" s="48">
        <v>1.0906796275184239E-3</v>
      </c>
      <c r="I28" s="48">
        <v>1.0953695499167531E-3</v>
      </c>
      <c r="J28" s="48">
        <v>1.0999701020264034E-3</v>
      </c>
      <c r="K28" s="48">
        <v>1.1038199973834959E-3</v>
      </c>
      <c r="L28" s="48">
        <v>1.1064691653772162E-3</v>
      </c>
      <c r="M28" s="48">
        <v>1.1075756345425933E-3</v>
      </c>
      <c r="N28" s="48">
        <v>1.1068003315984135E-3</v>
      </c>
      <c r="O28" s="48">
        <v>1.1040333307694174E-3</v>
      </c>
      <c r="P28" s="48">
        <v>1.0992859874471089E-3</v>
      </c>
      <c r="Q28" s="48">
        <v>1.0926902715224262E-3</v>
      </c>
      <c r="R28" s="48">
        <v>1.0846043635131602E-3</v>
      </c>
      <c r="S28" s="48">
        <v>1.0753852264232984E-3</v>
      </c>
      <c r="T28" s="48">
        <v>1.0652766052949194E-3</v>
      </c>
      <c r="U28" s="49">
        <v>1.0548368945630291E-3</v>
      </c>
      <c r="V28" s="49">
        <v>1.0442885256173988E-3</v>
      </c>
      <c r="W28" s="49">
        <v>1.0338456403612248E-3</v>
      </c>
      <c r="X28" s="49">
        <v>1.0235071839576125E-3</v>
      </c>
      <c r="Y28" s="49">
        <v>1.0132721121180364E-3</v>
      </c>
      <c r="Z28" s="49">
        <v>1.0031393909968561E-3</v>
      </c>
      <c r="AA28" s="49">
        <v>9.9310799708688747E-4</v>
      </c>
      <c r="AB28" s="49">
        <v>9.8317691711601865E-4</v>
      </c>
      <c r="AC28" s="49">
        <v>9.7334514794485843E-4</v>
      </c>
      <c r="AD28" s="49">
        <v>9.6361169646540983E-4</v>
      </c>
      <c r="AE28" s="49">
        <v>9.5397557950075568E-4</v>
      </c>
      <c r="AF28" s="49">
        <v>9.4443582370574812E-4</v>
      </c>
      <c r="AG28" s="49">
        <v>9.3499146546869064E-4</v>
      </c>
      <c r="AH28" s="49">
        <v>9.2564155081400373E-4</v>
      </c>
      <c r="AI28" s="49">
        <v>9.1638513530586366E-4</v>
      </c>
      <c r="AJ28" s="49">
        <v>9.07221283952805E-4</v>
      </c>
      <c r="AK28" s="49">
        <v>8.9814907111327694E-4</v>
      </c>
      <c r="AL28" s="49">
        <v>8.8916758040214416E-4</v>
      </c>
      <c r="AM28" s="49">
        <v>8.8027590459812267E-4</v>
      </c>
      <c r="AN28" s="49">
        <v>8.7147314555214141E-4</v>
      </c>
      <c r="AO28" s="49">
        <v>8.6275841409661999E-4</v>
      </c>
      <c r="AP28" s="49">
        <v>8.5413082995565383E-4</v>
      </c>
      <c r="AQ28" s="49">
        <v>8.4558952165609733E-4</v>
      </c>
      <c r="AR28" s="49">
        <v>8.3713362643953631E-4</v>
      </c>
      <c r="AS28" s="49">
        <v>8.2876229017514089E-4</v>
      </c>
      <c r="AT28" s="49">
        <v>8.204746672733895E-4</v>
      </c>
      <c r="AU28" s="49">
        <v>8.1226992060065561E-4</v>
      </c>
      <c r="AV28" s="49">
        <v>8.041472213946491E-4</v>
      </c>
      <c r="AW28" s="49">
        <v>7.9610574918070258E-4</v>
      </c>
      <c r="AX28" s="49">
        <v>7.8814469168889557E-4</v>
      </c>
      <c r="AY28" s="49">
        <v>7.802632447720066E-4</v>
      </c>
      <c r="AZ28" s="49">
        <v>7.7246061232428653E-4</v>
      </c>
      <c r="BA28" s="49">
        <v>7.6473600620104371E-4</v>
      </c>
      <c r="BB28" s="49">
        <v>7.5708864613903328E-4</v>
      </c>
      <c r="BC28" s="49">
        <v>7.4951775967764295E-4</v>
      </c>
      <c r="BD28" s="49">
        <v>7.4202258208086653E-4</v>
      </c>
      <c r="BE28" s="49">
        <v>7.3460235626005791E-4</v>
      </c>
      <c r="BF28" s="49">
        <v>7.2725633269745728E-4</v>
      </c>
      <c r="BG28" s="49">
        <v>7.1998376937048268E-4</v>
      </c>
      <c r="BH28" s="49">
        <v>7.1278393167677786E-4</v>
      </c>
      <c r="BI28" s="49">
        <v>7.0565609236001008E-4</v>
      </c>
      <c r="BJ28" s="49">
        <v>6.9859953143641001E-4</v>
      </c>
      <c r="BK28" s="49">
        <v>6.9161353612204595E-4</v>
      </c>
      <c r="BL28" s="49">
        <v>6.8469740076082552E-4</v>
      </c>
      <c r="BM28" s="49">
        <v>6.7785042675321721E-4</v>
      </c>
      <c r="BN28" s="49">
        <v>6.7107192248568503E-4</v>
      </c>
      <c r="BO28" s="49">
        <v>6.6436120326082823E-4</v>
      </c>
      <c r="BP28" s="49">
        <v>6.5771759122821996E-4</v>
      </c>
      <c r="BQ28" s="49">
        <v>6.5114041531593781E-4</v>
      </c>
      <c r="BR28" s="49">
        <v>6.4462901116277846E-4</v>
      </c>
      <c r="BS28" s="49">
        <v>6.381827210511507E-4</v>
      </c>
      <c r="BT28" s="49">
        <v>6.3180089384063916E-4</v>
      </c>
      <c r="BU28" s="49">
        <v>6.2548288490223277E-4</v>
      </c>
      <c r="BV28" s="49">
        <v>6.1922805605321045E-4</v>
      </c>
      <c r="BW28" s="49">
        <v>6.1303577549267838E-4</v>
      </c>
      <c r="BX28" s="49">
        <v>6.0690541773775154E-4</v>
      </c>
      <c r="BY28" s="49">
        <v>6.0083636356037407E-4</v>
      </c>
      <c r="BZ28" s="49">
        <v>5.9482799992477029E-4</v>
      </c>
      <c r="CA28" s="49">
        <v>5.8887971992552257E-4</v>
      </c>
      <c r="CB28" s="49">
        <v>5.8299092272626738E-4</v>
      </c>
      <c r="CC28" s="49">
        <v>5.7716101349900473E-4</v>
      </c>
      <c r="CD28" s="49">
        <v>5.7138940336401466E-4</v>
      </c>
      <c r="CE28" s="49">
        <v>5.656755093303745E-4</v>
      </c>
      <c r="CF28" s="49">
        <v>5.6001875423707071E-4</v>
      </c>
      <c r="CG28" s="49">
        <v>5.5441856669470005E-4</v>
      </c>
      <c r="CH28" s="49">
        <v>5.4887438102775305E-4</v>
      </c>
      <c r="CI28" s="49">
        <v>5.4338563721747547E-4</v>
      </c>
      <c r="CJ28" s="49">
        <v>5.3795178084530069E-4</v>
      </c>
      <c r="CK28" s="49">
        <v>5.3257226303684766E-4</v>
      </c>
      <c r="CL28" s="49">
        <v>5.2724654040647921E-4</v>
      </c>
      <c r="CM28" s="49">
        <v>5.2197407500241446E-4</v>
      </c>
      <c r="CN28" s="49">
        <v>5.1675433425239033E-4</v>
      </c>
      <c r="CO28" s="49">
        <v>5.1158679090986643E-4</v>
      </c>
      <c r="CP28" s="49">
        <v>5.064709230007678E-4</v>
      </c>
      <c r="CQ28" s="49">
        <v>5.0140621377076013E-4</v>
      </c>
      <c r="CR28" s="49">
        <v>4.9639215163305248E-4</v>
      </c>
      <c r="CS28" s="49">
        <v>4.9142823011672193E-4</v>
      </c>
      <c r="CT28" s="49">
        <v>4.8651394781555472E-4</v>
      </c>
      <c r="CU28" s="49">
        <v>4.8164880833739918E-4</v>
      </c>
      <c r="CV28" s="49">
        <v>4.7683232025402518E-4</v>
      </c>
      <c r="CW28" s="49">
        <v>4.7206399705148494E-4</v>
      </c>
      <c r="CX28" s="48">
        <v>4.673433570809701E-4</v>
      </c>
      <c r="CY28" s="28">
        <v>4.6266992351016041E-4</v>
      </c>
    </row>
    <row r="29" spans="1:103" ht="15.75">
      <c r="A29" s="50">
        <v>47</v>
      </c>
      <c r="B29" s="48">
        <v>1.2149999999999999E-3</v>
      </c>
      <c r="C29" s="48">
        <v>1.2077099999999999E-3</v>
      </c>
      <c r="D29" s="48">
        <v>1.2021545339999998E-3</v>
      </c>
      <c r="E29" s="48">
        <v>1.1984278549445999E-3</v>
      </c>
      <c r="F29" s="48">
        <v>1.1967500559476776E-3</v>
      </c>
      <c r="G29" s="48">
        <v>1.1968697309532724E-3</v>
      </c>
      <c r="H29" s="48">
        <v>1.1985453485766071E-3</v>
      </c>
      <c r="I29" s="48">
        <v>1.2011821483434756E-3</v>
      </c>
      <c r="J29" s="48">
        <v>1.2043052219291685E-3</v>
      </c>
      <c r="K29" s="48">
        <v>1.2071955544617984E-3</v>
      </c>
      <c r="L29" s="48">
        <v>1.2092477869043836E-3</v>
      </c>
      <c r="M29" s="48">
        <v>1.209973335576526E-3</v>
      </c>
      <c r="N29" s="48">
        <v>1.2088843595745072E-3</v>
      </c>
      <c r="O29" s="48">
        <v>1.205862148675571E-3</v>
      </c>
      <c r="P29" s="48">
        <v>1.2006769414362661E-3</v>
      </c>
      <c r="Q29" s="48">
        <v>1.1935929474817921E-3</v>
      </c>
      <c r="R29" s="48">
        <v>1.1848797189651749E-3</v>
      </c>
      <c r="S29" s="48">
        <v>1.1748082413539709E-3</v>
      </c>
      <c r="T29" s="48">
        <v>1.163882524709379E-3</v>
      </c>
      <c r="U29" s="49">
        <v>1.1524764759672272E-3</v>
      </c>
      <c r="V29" s="49">
        <v>1.1409517112075549E-3</v>
      </c>
      <c r="W29" s="49">
        <v>1.1295421940954794E-3</v>
      </c>
      <c r="X29" s="49">
        <v>1.1182467721545246E-3</v>
      </c>
      <c r="Y29" s="49">
        <v>1.1070643044329793E-3</v>
      </c>
      <c r="Z29" s="49">
        <v>1.0959936613886495E-3</v>
      </c>
      <c r="AA29" s="49">
        <v>1.085033724774763E-3</v>
      </c>
      <c r="AB29" s="49">
        <v>1.0741833875270153E-3</v>
      </c>
      <c r="AC29" s="49">
        <v>1.0634415536517451E-3</v>
      </c>
      <c r="AD29" s="49">
        <v>1.0528071381152276E-3</v>
      </c>
      <c r="AE29" s="49">
        <v>1.0422790667340752E-3</v>
      </c>
      <c r="AF29" s="49">
        <v>1.0318562760667344E-3</v>
      </c>
      <c r="AG29" s="49">
        <v>1.0215377133060671E-3</v>
      </c>
      <c r="AH29" s="49">
        <v>1.0113223361730064E-3</v>
      </c>
      <c r="AI29" s="49">
        <v>1.0012091128112762E-3</v>
      </c>
      <c r="AJ29" s="49">
        <v>9.9119702168316338E-4</v>
      </c>
      <c r="AK29" s="49">
        <v>9.8128505146633177E-4</v>
      </c>
      <c r="AL29" s="49">
        <v>9.7147220095166842E-4</v>
      </c>
      <c r="AM29" s="49">
        <v>9.6175747894215171E-4</v>
      </c>
      <c r="AN29" s="49">
        <v>9.5213990415273018E-4</v>
      </c>
      <c r="AO29" s="49">
        <v>9.4261850511120286E-4</v>
      </c>
      <c r="AP29" s="49">
        <v>9.3319232006009085E-4</v>
      </c>
      <c r="AQ29" s="49">
        <v>9.2386039685948991E-4</v>
      </c>
      <c r="AR29" s="49">
        <v>9.1462179289089499E-4</v>
      </c>
      <c r="AS29" s="49">
        <v>9.0547557496198599E-4</v>
      </c>
      <c r="AT29" s="49">
        <v>8.9642081921236611E-4</v>
      </c>
      <c r="AU29" s="49">
        <v>8.8745661102024244E-4</v>
      </c>
      <c r="AV29" s="49">
        <v>8.7858204491004003E-4</v>
      </c>
      <c r="AW29" s="49">
        <v>8.6979622446093957E-4</v>
      </c>
      <c r="AX29" s="49">
        <v>8.6109826221633017E-4</v>
      </c>
      <c r="AY29" s="49">
        <v>8.5248727959416691E-4</v>
      </c>
      <c r="AZ29" s="49">
        <v>8.4396240679822528E-4</v>
      </c>
      <c r="BA29" s="49">
        <v>8.3552278273024303E-4</v>
      </c>
      <c r="BB29" s="49">
        <v>8.2716755490294062E-4</v>
      </c>
      <c r="BC29" s="49">
        <v>8.1889587935391123E-4</v>
      </c>
      <c r="BD29" s="49">
        <v>8.1070692056037208E-4</v>
      </c>
      <c r="BE29" s="49">
        <v>8.0259985135476834E-4</v>
      </c>
      <c r="BF29" s="49">
        <v>7.9457385284122063E-4</v>
      </c>
      <c r="BG29" s="49">
        <v>7.866281143128084E-4</v>
      </c>
      <c r="BH29" s="49">
        <v>7.7876183316968027E-4</v>
      </c>
      <c r="BI29" s="49">
        <v>7.7097421483798346E-4</v>
      </c>
      <c r="BJ29" s="49">
        <v>7.6326447268960365E-4</v>
      </c>
      <c r="BK29" s="49">
        <v>7.5563182796270761E-4</v>
      </c>
      <c r="BL29" s="49">
        <v>7.4807550968308053E-4</v>
      </c>
      <c r="BM29" s="49">
        <v>7.4059475458624973E-4</v>
      </c>
      <c r="BN29" s="49">
        <v>7.3318880704038728E-4</v>
      </c>
      <c r="BO29" s="49">
        <v>7.2585691896998343E-4</v>
      </c>
      <c r="BP29" s="49">
        <v>7.185983497802836E-4</v>
      </c>
      <c r="BQ29" s="49">
        <v>7.1141236628248072E-4</v>
      </c>
      <c r="BR29" s="49">
        <v>7.0429824261965593E-4</v>
      </c>
      <c r="BS29" s="49">
        <v>6.9725526019345937E-4</v>
      </c>
      <c r="BT29" s="49">
        <v>6.9028270759152472E-4</v>
      </c>
      <c r="BU29" s="49">
        <v>6.8337988051560944E-4</v>
      </c>
      <c r="BV29" s="49">
        <v>6.7654608171045338E-4</v>
      </c>
      <c r="BW29" s="49">
        <v>6.6978062089334881E-4</v>
      </c>
      <c r="BX29" s="49">
        <v>6.6308281468441537E-4</v>
      </c>
      <c r="BY29" s="49">
        <v>6.5645198653757121E-4</v>
      </c>
      <c r="BZ29" s="49">
        <v>6.498874666721955E-4</v>
      </c>
      <c r="CA29" s="49">
        <v>6.4338859200547356E-4</v>
      </c>
      <c r="CB29" s="49">
        <v>6.3695470608541877E-4</v>
      </c>
      <c r="CC29" s="49">
        <v>6.3058515902456459E-4</v>
      </c>
      <c r="CD29" s="49">
        <v>6.2427930743431893E-4</v>
      </c>
      <c r="CE29" s="49">
        <v>6.180365143599757E-4</v>
      </c>
      <c r="CF29" s="49">
        <v>6.1185614921637594E-4</v>
      </c>
      <c r="CG29" s="49">
        <v>6.0573758772421214E-4</v>
      </c>
      <c r="CH29" s="49">
        <v>5.9968021184696998E-4</v>
      </c>
      <c r="CI29" s="49">
        <v>5.9368340972850027E-4</v>
      </c>
      <c r="CJ29" s="49">
        <v>5.8774657563121521E-4</v>
      </c>
      <c r="CK29" s="49">
        <v>5.8186910987490306E-4</v>
      </c>
      <c r="CL29" s="49">
        <v>5.7605041877615399E-4</v>
      </c>
      <c r="CM29" s="49">
        <v>5.7028991458839241E-4</v>
      </c>
      <c r="CN29" s="49">
        <v>5.6458701544250846E-4</v>
      </c>
      <c r="CO29" s="49">
        <v>5.589411452880834E-4</v>
      </c>
      <c r="CP29" s="49">
        <v>5.5335173383520256E-4</v>
      </c>
      <c r="CQ29" s="49">
        <v>5.4781821649685055E-4</v>
      </c>
      <c r="CR29" s="49">
        <v>5.4234003433188205E-4</v>
      </c>
      <c r="CS29" s="49">
        <v>5.3691663398856327E-4</v>
      </c>
      <c r="CT29" s="49">
        <v>5.3154746764867765E-4</v>
      </c>
      <c r="CU29" s="49">
        <v>5.2623199297219085E-4</v>
      </c>
      <c r="CV29" s="49">
        <v>5.209696730424689E-4</v>
      </c>
      <c r="CW29" s="49">
        <v>5.157599763120442E-4</v>
      </c>
      <c r="CX29" s="48">
        <v>5.1060237654892374E-4</v>
      </c>
      <c r="CY29" s="28">
        <v>5.0549635278343455E-4</v>
      </c>
    </row>
    <row r="30" spans="1:103" ht="15.75">
      <c r="A30" s="50">
        <v>48</v>
      </c>
      <c r="B30" s="48">
        <v>1.358E-3</v>
      </c>
      <c r="C30" s="48">
        <v>1.3476791999999999E-3</v>
      </c>
      <c r="D30" s="48">
        <v>1.33864974936E-3</v>
      </c>
      <c r="E30" s="48">
        <v>1.331421040713456E-3</v>
      </c>
      <c r="F30" s="48">
        <v>1.3262284986546736E-3</v>
      </c>
      <c r="G30" s="48">
        <v>1.3230455502579025E-3</v>
      </c>
      <c r="H30" s="48">
        <v>1.3217225047076446E-3</v>
      </c>
      <c r="I30" s="48">
        <v>1.3219868492085861E-3</v>
      </c>
      <c r="J30" s="48">
        <v>1.3230444386879529E-3</v>
      </c>
      <c r="K30" s="48">
        <v>1.3243674831266408E-3</v>
      </c>
      <c r="L30" s="48">
        <v>1.3252945403648294E-3</v>
      </c>
      <c r="M30" s="48">
        <v>1.3251620109107928E-3</v>
      </c>
      <c r="N30" s="48">
        <v>1.3234393002966088E-3</v>
      </c>
      <c r="O30" s="48">
        <v>1.319866014185808E-3</v>
      </c>
      <c r="P30" s="48">
        <v>1.314190590324809E-3</v>
      </c>
      <c r="Q30" s="48">
        <v>1.306568284900925E-3</v>
      </c>
      <c r="R30" s="48">
        <v>1.2970303364211483E-3</v>
      </c>
      <c r="S30" s="48">
        <v>1.2861352815952108E-3</v>
      </c>
      <c r="T30" s="48">
        <v>1.2741742234763753E-3</v>
      </c>
      <c r="U30" s="49">
        <v>1.2616873160863067E-3</v>
      </c>
      <c r="V30" s="49">
        <v>1.2490704429254436E-3</v>
      </c>
      <c r="W30" s="49">
        <v>1.2365797384961891E-3</v>
      </c>
      <c r="X30" s="49">
        <v>1.2242139411112272E-3</v>
      </c>
      <c r="Y30" s="49">
        <v>1.211971801700115E-3</v>
      </c>
      <c r="Z30" s="49">
        <v>1.1998520836831138E-3</v>
      </c>
      <c r="AA30" s="49">
        <v>1.1878535628462826E-3</v>
      </c>
      <c r="AB30" s="49">
        <v>1.1759750272178197E-3</v>
      </c>
      <c r="AC30" s="49">
        <v>1.1642152769456415E-3</v>
      </c>
      <c r="AD30" s="49">
        <v>1.152573124176185E-3</v>
      </c>
      <c r="AE30" s="49">
        <v>1.1410473929344231E-3</v>
      </c>
      <c r="AF30" s="49">
        <v>1.1296369190050789E-3</v>
      </c>
      <c r="AG30" s="49">
        <v>1.1183405498150281E-3</v>
      </c>
      <c r="AH30" s="49">
        <v>1.1071571443168778E-3</v>
      </c>
      <c r="AI30" s="49">
        <v>1.0960855728737091E-3</v>
      </c>
      <c r="AJ30" s="49">
        <v>1.0851247171449719E-3</v>
      </c>
      <c r="AK30" s="49">
        <v>1.0742734699735223E-3</v>
      </c>
      <c r="AL30" s="49">
        <v>1.063530735273787E-3</v>
      </c>
      <c r="AM30" s="49">
        <v>1.0528954279210492E-3</v>
      </c>
      <c r="AN30" s="49">
        <v>1.0423664736418387E-3</v>
      </c>
      <c r="AO30" s="49">
        <v>1.0319428089054204E-3</v>
      </c>
      <c r="AP30" s="49">
        <v>1.0216233808163662E-3</v>
      </c>
      <c r="AQ30" s="49">
        <v>1.0114071470082025E-3</v>
      </c>
      <c r="AR30" s="49">
        <v>1.0012930755381204E-3</v>
      </c>
      <c r="AS30" s="49">
        <v>9.9128014478273917E-4</v>
      </c>
      <c r="AT30" s="49">
        <v>9.8136734333491185E-4</v>
      </c>
      <c r="AU30" s="49">
        <v>9.7155366990156272E-4</v>
      </c>
      <c r="AV30" s="49">
        <v>9.618381332025471E-4</v>
      </c>
      <c r="AW30" s="49">
        <v>9.522197518705216E-4</v>
      </c>
      <c r="AX30" s="49">
        <v>9.4269755435181634E-4</v>
      </c>
      <c r="AY30" s="49">
        <v>9.3327057880829821E-4</v>
      </c>
      <c r="AZ30" s="49">
        <v>9.2393787302021526E-4</v>
      </c>
      <c r="BA30" s="49">
        <v>9.1469849429001314E-4</v>
      </c>
      <c r="BB30" s="49">
        <v>9.0555150934711298E-4</v>
      </c>
      <c r="BC30" s="49">
        <v>8.9649599425364185E-4</v>
      </c>
      <c r="BD30" s="49">
        <v>8.8753103431110539E-4</v>
      </c>
      <c r="BE30" s="49">
        <v>8.7865572396799427E-4</v>
      </c>
      <c r="BF30" s="49">
        <v>8.6986916672831432E-4</v>
      </c>
      <c r="BG30" s="49">
        <v>8.6117047506103117E-4</v>
      </c>
      <c r="BH30" s="49">
        <v>8.5255877031042082E-4</v>
      </c>
      <c r="BI30" s="49">
        <v>8.4403318260731664E-4</v>
      </c>
      <c r="BJ30" s="49">
        <v>8.3559285078124343E-4</v>
      </c>
      <c r="BK30" s="49">
        <v>8.2723692227343098E-4</v>
      </c>
      <c r="BL30" s="49">
        <v>8.1896455305069664E-4</v>
      </c>
      <c r="BM30" s="49">
        <v>8.1077490752018964E-4</v>
      </c>
      <c r="BN30" s="49">
        <v>8.0266715844498778E-4</v>
      </c>
      <c r="BO30" s="49">
        <v>7.9464048686053788E-4</v>
      </c>
      <c r="BP30" s="49">
        <v>7.8669408199193245E-4</v>
      </c>
      <c r="BQ30" s="49">
        <v>7.7882714117201316E-4</v>
      </c>
      <c r="BR30" s="49">
        <v>7.7103886976029302E-4</v>
      </c>
      <c r="BS30" s="49">
        <v>7.6332848106269008E-4</v>
      </c>
      <c r="BT30" s="49">
        <v>7.5569519625206312E-4</v>
      </c>
      <c r="BU30" s="49">
        <v>7.4813824428954245E-4</v>
      </c>
      <c r="BV30" s="49">
        <v>7.4065686184664702E-4</v>
      </c>
      <c r="BW30" s="49">
        <v>7.3325029322818052E-4</v>
      </c>
      <c r="BX30" s="49">
        <v>7.2591779029589868E-4</v>
      </c>
      <c r="BY30" s="49">
        <v>7.1865861239293969E-4</v>
      </c>
      <c r="BZ30" s="49">
        <v>7.1147202626901029E-4</v>
      </c>
      <c r="CA30" s="49">
        <v>7.0435730600632018E-4</v>
      </c>
      <c r="CB30" s="49">
        <v>6.9731373294625693E-4</v>
      </c>
      <c r="CC30" s="49">
        <v>6.9034059561679439E-4</v>
      </c>
      <c r="CD30" s="49">
        <v>6.8343718966062646E-4</v>
      </c>
      <c r="CE30" s="49">
        <v>6.7660281776402023E-4</v>
      </c>
      <c r="CF30" s="49">
        <v>6.6983678958638005E-4</v>
      </c>
      <c r="CG30" s="49">
        <v>6.6313842169051624E-4</v>
      </c>
      <c r="CH30" s="49">
        <v>6.565070374736111E-4</v>
      </c>
      <c r="CI30" s="49">
        <v>6.4994196709887496E-4</v>
      </c>
      <c r="CJ30" s="49">
        <v>6.4344254742788615E-4</v>
      </c>
      <c r="CK30" s="49">
        <v>6.3700812195360726E-4</v>
      </c>
      <c r="CL30" s="49">
        <v>6.3063804073407116E-4</v>
      </c>
      <c r="CM30" s="49">
        <v>6.2433166032673047E-4</v>
      </c>
      <c r="CN30" s="49">
        <v>6.1808834372346314E-4</v>
      </c>
      <c r="CO30" s="49">
        <v>6.1190746028622848E-4</v>
      </c>
      <c r="CP30" s="49">
        <v>6.0578838568336622E-4</v>
      </c>
      <c r="CQ30" s="49">
        <v>5.9973050182653251E-4</v>
      </c>
      <c r="CR30" s="49">
        <v>5.9373319680826721E-4</v>
      </c>
      <c r="CS30" s="49">
        <v>5.877958648401845E-4</v>
      </c>
      <c r="CT30" s="49">
        <v>5.8191790619178268E-4</v>
      </c>
      <c r="CU30" s="49">
        <v>5.7609872712986482E-4</v>
      </c>
      <c r="CV30" s="49">
        <v>5.703377398585662E-4</v>
      </c>
      <c r="CW30" s="49">
        <v>5.6463436245998049E-4</v>
      </c>
      <c r="CX30" s="48">
        <v>5.5898801883538069E-4</v>
      </c>
      <c r="CY30" s="28">
        <v>5.5339813864702689E-4</v>
      </c>
    </row>
    <row r="31" spans="1:103" ht="15.75">
      <c r="A31" s="50">
        <v>49</v>
      </c>
      <c r="B31" s="48">
        <v>1.5150000000000001E-3</v>
      </c>
      <c r="C31" s="48">
        <v>1.5024255000000001E-3</v>
      </c>
      <c r="D31" s="48">
        <v>1.4907065811E-3</v>
      </c>
      <c r="E31" s="48">
        <v>1.4802716350323E-3</v>
      </c>
      <c r="F31" s="48">
        <v>1.4716860595491126E-3</v>
      </c>
      <c r="G31" s="48">
        <v>1.4652106408870966E-3</v>
      </c>
      <c r="H31" s="48">
        <v>1.4606684879003467E-3</v>
      </c>
      <c r="I31" s="48">
        <v>1.4580392846221259E-3</v>
      </c>
      <c r="J31" s="48">
        <v>1.456727049265966E-3</v>
      </c>
      <c r="K31" s="48">
        <v>1.4561443584462596E-3</v>
      </c>
      <c r="L31" s="48">
        <v>1.4555619007028812E-3</v>
      </c>
      <c r="M31" s="48">
        <v>1.4542518949922487E-3</v>
      </c>
      <c r="N31" s="48">
        <v>1.4516342415812626E-3</v>
      </c>
      <c r="O31" s="48">
        <v>1.4472793388565189E-3</v>
      </c>
      <c r="P31" s="48">
        <v>1.4409113097655502E-3</v>
      </c>
      <c r="Q31" s="48">
        <v>1.4324099330379335E-3</v>
      </c>
      <c r="R31" s="48">
        <v>1.4220965815200605E-3</v>
      </c>
      <c r="S31" s="48">
        <v>1.4101509702352921E-3</v>
      </c>
      <c r="T31" s="48">
        <v>1.3970365662121038E-3</v>
      </c>
      <c r="U31" s="49">
        <v>1.3833456078632253E-3</v>
      </c>
      <c r="V31" s="49">
        <v>1.369512151784593E-3</v>
      </c>
      <c r="W31" s="49">
        <v>1.3558170302667471E-3</v>
      </c>
      <c r="X31" s="49">
        <v>1.3422588599640796E-3</v>
      </c>
      <c r="Y31" s="49">
        <v>1.3288362713644389E-3</v>
      </c>
      <c r="Z31" s="49">
        <v>1.3155479086507944E-3</v>
      </c>
      <c r="AA31" s="49">
        <v>1.3023924295642864E-3</v>
      </c>
      <c r="AB31" s="49">
        <v>1.2893685052686435E-3</v>
      </c>
      <c r="AC31" s="49">
        <v>1.2764748202159571E-3</v>
      </c>
      <c r="AD31" s="49">
        <v>1.2637100720137976E-3</v>
      </c>
      <c r="AE31" s="49">
        <v>1.2510729712936596E-3</v>
      </c>
      <c r="AF31" s="49">
        <v>1.238562241580723E-3</v>
      </c>
      <c r="AG31" s="49">
        <v>1.2261766191649158E-3</v>
      </c>
      <c r="AH31" s="49">
        <v>1.2139148529732666E-3</v>
      </c>
      <c r="AI31" s="49">
        <v>1.2017757044435339E-3</v>
      </c>
      <c r="AJ31" s="49">
        <v>1.1897579473990985E-3</v>
      </c>
      <c r="AK31" s="49">
        <v>1.1778603679251075E-3</v>
      </c>
      <c r="AL31" s="49">
        <v>1.1660817642458563E-3</v>
      </c>
      <c r="AM31" s="49">
        <v>1.1544209466033976E-3</v>
      </c>
      <c r="AN31" s="49">
        <v>1.1428767371373637E-3</v>
      </c>
      <c r="AO31" s="49">
        <v>1.13144796976599E-3</v>
      </c>
      <c r="AP31" s="49">
        <v>1.12013349006833E-3</v>
      </c>
      <c r="AQ31" s="49">
        <v>1.1089321551676467E-3</v>
      </c>
      <c r="AR31" s="49">
        <v>1.0978428336159702E-3</v>
      </c>
      <c r="AS31" s="49">
        <v>1.0868644052798105E-3</v>
      </c>
      <c r="AT31" s="49">
        <v>1.0759957612270124E-3</v>
      </c>
      <c r="AU31" s="49">
        <v>1.0652358036147421E-3</v>
      </c>
      <c r="AV31" s="49">
        <v>1.0545834455785946E-3</v>
      </c>
      <c r="AW31" s="49">
        <v>1.0440376111228087E-3</v>
      </c>
      <c r="AX31" s="49">
        <v>1.0335972350115805E-3</v>
      </c>
      <c r="AY31" s="49">
        <v>1.0232612626614648E-3</v>
      </c>
      <c r="AZ31" s="49">
        <v>1.0130286500348502E-3</v>
      </c>
      <c r="BA31" s="49">
        <v>1.0028983635345017E-3</v>
      </c>
      <c r="BB31" s="49">
        <v>9.9286937989915658E-4</v>
      </c>
      <c r="BC31" s="49">
        <v>9.8294068610016504E-4</v>
      </c>
      <c r="BD31" s="49">
        <v>9.731112792391634E-4</v>
      </c>
      <c r="BE31" s="49">
        <v>9.6338016644677174E-4</v>
      </c>
      <c r="BF31" s="49">
        <v>9.5374636478230397E-4</v>
      </c>
      <c r="BG31" s="49">
        <v>9.4420890113448093E-4</v>
      </c>
      <c r="BH31" s="49">
        <v>9.3476681212313606E-4</v>
      </c>
      <c r="BI31" s="49">
        <v>9.2541914400190472E-4</v>
      </c>
      <c r="BJ31" s="49">
        <v>9.1616495256188562E-4</v>
      </c>
      <c r="BK31" s="49">
        <v>9.0700330303626674E-4</v>
      </c>
      <c r="BL31" s="49">
        <v>8.9793327000590409E-4</v>
      </c>
      <c r="BM31" s="49">
        <v>8.8895393730584508E-4</v>
      </c>
      <c r="BN31" s="49">
        <v>8.8006439793278661E-4</v>
      </c>
      <c r="BO31" s="49">
        <v>8.7126375395345874E-4</v>
      </c>
      <c r="BP31" s="49">
        <v>8.625511164139241E-4</v>
      </c>
      <c r="BQ31" s="49">
        <v>8.5392560524978481E-4</v>
      </c>
      <c r="BR31" s="49">
        <v>8.4538634919728692E-4</v>
      </c>
      <c r="BS31" s="49">
        <v>8.3693248570531405E-4</v>
      </c>
      <c r="BT31" s="49">
        <v>8.2856316084826086E-4</v>
      </c>
      <c r="BU31" s="49">
        <v>8.202775292397782E-4</v>
      </c>
      <c r="BV31" s="49">
        <v>8.1207475394738042E-4</v>
      </c>
      <c r="BW31" s="49">
        <v>8.039540064079066E-4</v>
      </c>
      <c r="BX31" s="49">
        <v>7.9591446634382748E-4</v>
      </c>
      <c r="BY31" s="49">
        <v>7.8795532168038915E-4</v>
      </c>
      <c r="BZ31" s="49">
        <v>7.8007576846358527E-4</v>
      </c>
      <c r="CA31" s="49">
        <v>7.7227501077894946E-4</v>
      </c>
      <c r="CB31" s="49">
        <v>7.6455226067115994E-4</v>
      </c>
      <c r="CC31" s="49">
        <v>7.5690673806444832E-4</v>
      </c>
      <c r="CD31" s="49">
        <v>7.4933767068380383E-4</v>
      </c>
      <c r="CE31" s="49">
        <v>7.4184429397696578E-4</v>
      </c>
      <c r="CF31" s="49">
        <v>7.3442585103719615E-4</v>
      </c>
      <c r="CG31" s="49">
        <v>7.2708159252682413E-4</v>
      </c>
      <c r="CH31" s="49">
        <v>7.1981077660155583E-4</v>
      </c>
      <c r="CI31" s="49">
        <v>7.1261266883554028E-4</v>
      </c>
      <c r="CJ31" s="49">
        <v>7.0548654214718485E-4</v>
      </c>
      <c r="CK31" s="49">
        <v>6.9843167672571302E-4</v>
      </c>
      <c r="CL31" s="49">
        <v>6.9144735995845593E-4</v>
      </c>
      <c r="CM31" s="49">
        <v>6.8453288635887135E-4</v>
      </c>
      <c r="CN31" s="49">
        <v>6.7768755749528264E-4</v>
      </c>
      <c r="CO31" s="49">
        <v>6.7091068192032981E-4</v>
      </c>
      <c r="CP31" s="49">
        <v>6.6420157510112656E-4</v>
      </c>
      <c r="CQ31" s="49">
        <v>6.5755955935011532E-4</v>
      </c>
      <c r="CR31" s="49">
        <v>6.5098396375661417E-4</v>
      </c>
      <c r="CS31" s="49">
        <v>6.4447412411904807E-4</v>
      </c>
      <c r="CT31" s="49">
        <v>6.3802938287785759E-4</v>
      </c>
      <c r="CU31" s="49">
        <v>6.3164908904907906E-4</v>
      </c>
      <c r="CV31" s="49">
        <v>6.2533259815858824E-4</v>
      </c>
      <c r="CW31" s="49">
        <v>6.1907927217700232E-4</v>
      </c>
      <c r="CX31" s="48">
        <v>6.1288847945523226E-4</v>
      </c>
      <c r="CY31" s="28">
        <v>6.0675959466067997E-4</v>
      </c>
    </row>
    <row r="32" spans="1:103" ht="15.75">
      <c r="A32" s="50">
        <v>50</v>
      </c>
      <c r="B32" s="48">
        <v>4.0639999999999999E-3</v>
      </c>
      <c r="C32" s="48">
        <v>4.0302688000000003E-3</v>
      </c>
      <c r="D32" s="48">
        <v>3.9972205958400007E-3</v>
      </c>
      <c r="E32" s="48">
        <v>3.9660422751924482E-3</v>
      </c>
      <c r="F32" s="48">
        <v>3.9382799792661008E-3</v>
      </c>
      <c r="G32" s="48">
        <v>3.9146502993905041E-3</v>
      </c>
      <c r="H32" s="48">
        <v>3.8958599779534294E-3</v>
      </c>
      <c r="I32" s="48">
        <v>3.8814452960350015E-3</v>
      </c>
      <c r="J32" s="48">
        <v>3.8709653937357069E-3</v>
      </c>
      <c r="K32" s="48">
        <v>3.8632234629482356E-3</v>
      </c>
      <c r="L32" s="48">
        <v>3.8566559830612236E-3</v>
      </c>
      <c r="M32" s="48">
        <v>3.849328336693407E-3</v>
      </c>
      <c r="N32" s="48">
        <v>3.8397050158516738E-3</v>
      </c>
      <c r="O32" s="48">
        <v>3.8266500187977785E-3</v>
      </c>
      <c r="P32" s="48">
        <v>3.8090474287113085E-3</v>
      </c>
      <c r="Q32" s="48">
        <v>3.7861931441390407E-3</v>
      </c>
      <c r="R32" s="48">
        <v>3.7589325535012396E-3</v>
      </c>
      <c r="S32" s="48">
        <v>3.7273575200518294E-3</v>
      </c>
      <c r="T32" s="48">
        <v>3.6926930951153474E-3</v>
      </c>
      <c r="U32" s="49">
        <v>3.6565047027832167E-3</v>
      </c>
      <c r="V32" s="49">
        <v>3.6199396557553844E-3</v>
      </c>
      <c r="W32" s="49">
        <v>3.5837402591978305E-3</v>
      </c>
      <c r="X32" s="49">
        <v>3.5479028566058521E-3</v>
      </c>
      <c r="Y32" s="49">
        <v>3.5124238280397936E-3</v>
      </c>
      <c r="Z32" s="49">
        <v>3.4772995897593955E-3</v>
      </c>
      <c r="AA32" s="49">
        <v>3.4425265938618013E-3</v>
      </c>
      <c r="AB32" s="49">
        <v>3.4081013279231832E-3</v>
      </c>
      <c r="AC32" s="49">
        <v>3.3740203146439512E-3</v>
      </c>
      <c r="AD32" s="49">
        <v>3.3402801114975119E-3</v>
      </c>
      <c r="AE32" s="49">
        <v>3.3068773103825367E-3</v>
      </c>
      <c r="AF32" s="49">
        <v>3.2738085372787111E-3</v>
      </c>
      <c r="AG32" s="49">
        <v>3.2410704519059241E-3</v>
      </c>
      <c r="AH32" s="49">
        <v>3.2086597473868651E-3</v>
      </c>
      <c r="AI32" s="49">
        <v>3.1765731499129963E-3</v>
      </c>
      <c r="AJ32" s="49">
        <v>3.1448074184138664E-3</v>
      </c>
      <c r="AK32" s="49">
        <v>3.1133593442297276E-3</v>
      </c>
      <c r="AL32" s="49">
        <v>3.0822257507874301E-3</v>
      </c>
      <c r="AM32" s="49">
        <v>3.0514034932795559E-3</v>
      </c>
      <c r="AN32" s="49">
        <v>3.0208894583467604E-3</v>
      </c>
      <c r="AO32" s="49">
        <v>2.9906805637632929E-3</v>
      </c>
      <c r="AP32" s="49">
        <v>2.9607737581256598E-3</v>
      </c>
      <c r="AQ32" s="49">
        <v>2.9311660205444032E-3</v>
      </c>
      <c r="AR32" s="49">
        <v>2.9018543603389593E-3</v>
      </c>
      <c r="AS32" s="49">
        <v>2.8728358167355696E-3</v>
      </c>
      <c r="AT32" s="49">
        <v>2.844107458568214E-3</v>
      </c>
      <c r="AU32" s="49">
        <v>2.8156663839825321E-3</v>
      </c>
      <c r="AV32" s="49">
        <v>2.7875097201427068E-3</v>
      </c>
      <c r="AW32" s="49">
        <v>2.7596346229412797E-3</v>
      </c>
      <c r="AX32" s="49">
        <v>2.732038276711867E-3</v>
      </c>
      <c r="AY32" s="49">
        <v>2.7047178939447482E-3</v>
      </c>
      <c r="AZ32" s="49">
        <v>2.6776707150053007E-3</v>
      </c>
      <c r="BA32" s="49">
        <v>2.6508940078552477E-3</v>
      </c>
      <c r="BB32" s="49">
        <v>2.6243850677766952E-3</v>
      </c>
      <c r="BC32" s="49">
        <v>2.5981412170989282E-3</v>
      </c>
      <c r="BD32" s="49">
        <v>2.572159804927939E-3</v>
      </c>
      <c r="BE32" s="49">
        <v>2.5464382068786594E-3</v>
      </c>
      <c r="BF32" s="49">
        <v>2.5209738248098729E-3</v>
      </c>
      <c r="BG32" s="49">
        <v>2.4957640865617739E-3</v>
      </c>
      <c r="BH32" s="49">
        <v>2.4708064456961561E-3</v>
      </c>
      <c r="BI32" s="49">
        <v>2.4460983812391946E-3</v>
      </c>
      <c r="BJ32" s="49">
        <v>2.4216373974268028E-3</v>
      </c>
      <c r="BK32" s="49">
        <v>2.3974210234525349E-3</v>
      </c>
      <c r="BL32" s="49">
        <v>2.3734468132180094E-3</v>
      </c>
      <c r="BM32" s="49">
        <v>2.3497123450858292E-3</v>
      </c>
      <c r="BN32" s="49">
        <v>2.3262152216349708E-3</v>
      </c>
      <c r="BO32" s="49">
        <v>2.302953069418621E-3</v>
      </c>
      <c r="BP32" s="49">
        <v>2.2799235387244345E-3</v>
      </c>
      <c r="BQ32" s="49">
        <v>2.2571243033371901E-3</v>
      </c>
      <c r="BR32" s="49">
        <v>2.2345530603038182E-3</v>
      </c>
      <c r="BS32" s="49">
        <v>2.2122075297007801E-3</v>
      </c>
      <c r="BT32" s="49">
        <v>2.1900854544037725E-3</v>
      </c>
      <c r="BU32" s="49">
        <v>2.1681845998597349E-3</v>
      </c>
      <c r="BV32" s="49">
        <v>2.1465027538611374E-3</v>
      </c>
      <c r="BW32" s="49">
        <v>2.1250377263225258E-3</v>
      </c>
      <c r="BX32" s="49">
        <v>2.1037873490593003E-3</v>
      </c>
      <c r="BY32" s="49">
        <v>2.0827494755687073E-3</v>
      </c>
      <c r="BZ32" s="49">
        <v>2.0619219808130202E-3</v>
      </c>
      <c r="CA32" s="49">
        <v>2.0413027610048898E-3</v>
      </c>
      <c r="CB32" s="49">
        <v>2.0208897333948411E-3</v>
      </c>
      <c r="CC32" s="49">
        <v>2.0006808360608927E-3</v>
      </c>
      <c r="CD32" s="49">
        <v>1.9806740277002839E-3</v>
      </c>
      <c r="CE32" s="49">
        <v>1.9608672874232812E-3</v>
      </c>
      <c r="CF32" s="49">
        <v>1.9412586145490483E-3</v>
      </c>
      <c r="CG32" s="49">
        <v>1.9218460284035578E-3</v>
      </c>
      <c r="CH32" s="49">
        <v>1.9026275681195222E-3</v>
      </c>
      <c r="CI32" s="49">
        <v>1.883601292438327E-3</v>
      </c>
      <c r="CJ32" s="49">
        <v>1.8647652795139437E-3</v>
      </c>
      <c r="CK32" s="49">
        <v>1.8461176267188042E-3</v>
      </c>
      <c r="CL32" s="49">
        <v>1.8276564504516161E-3</v>
      </c>
      <c r="CM32" s="49">
        <v>1.8093798859470998E-3</v>
      </c>
      <c r="CN32" s="49">
        <v>1.7912860870876288E-3</v>
      </c>
      <c r="CO32" s="49">
        <v>1.7733732262167525E-3</v>
      </c>
      <c r="CP32" s="49">
        <v>1.7556394939545849E-3</v>
      </c>
      <c r="CQ32" s="49">
        <v>1.7380830990150391E-3</v>
      </c>
      <c r="CR32" s="49">
        <v>1.7207022680248887E-3</v>
      </c>
      <c r="CS32" s="49">
        <v>1.7034952453446398E-3</v>
      </c>
      <c r="CT32" s="49">
        <v>1.6864602928911934E-3</v>
      </c>
      <c r="CU32" s="49">
        <v>1.6695956899622814E-3</v>
      </c>
      <c r="CV32" s="49">
        <v>1.6528997330626585E-3</v>
      </c>
      <c r="CW32" s="49">
        <v>1.636370735732032E-3</v>
      </c>
      <c r="CX32" s="48">
        <v>1.6200070283747116E-3</v>
      </c>
      <c r="CY32" s="28">
        <v>1.6038069580909644E-3</v>
      </c>
    </row>
    <row r="33" spans="1:103" ht="15.75">
      <c r="A33" s="50">
        <v>51</v>
      </c>
      <c r="B33" s="48">
        <v>4.3839999999999999E-3</v>
      </c>
      <c r="C33" s="48">
        <v>4.35112E-3</v>
      </c>
      <c r="D33" s="48">
        <v>4.316746152E-3</v>
      </c>
      <c r="E33" s="48">
        <v>4.2826438573992003E-3</v>
      </c>
      <c r="F33" s="48">
        <v>4.2496674996972267E-3</v>
      </c>
      <c r="G33" s="48">
        <v>4.2194948604493765E-3</v>
      </c>
      <c r="H33" s="48">
        <v>4.1933339923145903E-3</v>
      </c>
      <c r="I33" s="48">
        <v>4.1711093221553234E-3</v>
      </c>
      <c r="J33" s="48">
        <v>4.1531735520700559E-3</v>
      </c>
      <c r="K33" s="48">
        <v>4.1382221272826033E-3</v>
      </c>
      <c r="L33" s="48">
        <v>4.1253936386880276E-3</v>
      </c>
      <c r="M33" s="48">
        <v>4.1134299971358323E-3</v>
      </c>
      <c r="N33" s="48">
        <v>4.0998556781452842E-3</v>
      </c>
      <c r="O33" s="48">
        <v>4.0834562554327028E-3</v>
      </c>
      <c r="P33" s="48">
        <v>4.0630389741555389E-3</v>
      </c>
      <c r="Q33" s="48">
        <v>4.0382544364131901E-3</v>
      </c>
      <c r="R33" s="48">
        <v>4.0087751790273737E-3</v>
      </c>
      <c r="S33" s="48">
        <v>3.9751014675235442E-3</v>
      </c>
      <c r="T33" s="48">
        <v>3.938133023875575E-3</v>
      </c>
      <c r="U33" s="49">
        <v>3.8995393202415941E-3</v>
      </c>
      <c r="V33" s="49">
        <v>3.8605439270391782E-3</v>
      </c>
      <c r="W33" s="49">
        <v>3.8219384877687863E-3</v>
      </c>
      <c r="X33" s="49">
        <v>3.7837191028910985E-3</v>
      </c>
      <c r="Y33" s="49">
        <v>3.7458819118621873E-3</v>
      </c>
      <c r="Z33" s="49">
        <v>3.7084230927435652E-3</v>
      </c>
      <c r="AA33" s="49">
        <v>3.6713388618161294E-3</v>
      </c>
      <c r="AB33" s="49">
        <v>3.6346254731979681E-3</v>
      </c>
      <c r="AC33" s="49">
        <v>3.5982792184659882E-3</v>
      </c>
      <c r="AD33" s="49">
        <v>3.5622964262813283E-3</v>
      </c>
      <c r="AE33" s="49">
        <v>3.5266734620185152E-3</v>
      </c>
      <c r="AF33" s="49">
        <v>3.4914067273983298E-3</v>
      </c>
      <c r="AG33" s="49">
        <v>3.4564926601243465E-3</v>
      </c>
      <c r="AH33" s="49">
        <v>3.4219277335231029E-3</v>
      </c>
      <c r="AI33" s="49">
        <v>3.3877084561878719E-3</v>
      </c>
      <c r="AJ33" s="49">
        <v>3.3538313716259933E-3</v>
      </c>
      <c r="AK33" s="49">
        <v>3.3202930579097332E-3</v>
      </c>
      <c r="AL33" s="49">
        <v>3.2870901273306359E-3</v>
      </c>
      <c r="AM33" s="49">
        <v>3.2542192260573296E-3</v>
      </c>
      <c r="AN33" s="49">
        <v>3.2216770337967562E-3</v>
      </c>
      <c r="AO33" s="49">
        <v>3.1894602634587885E-3</v>
      </c>
      <c r="AP33" s="49">
        <v>3.1575656608242007E-3</v>
      </c>
      <c r="AQ33" s="49">
        <v>3.1259900042159587E-3</v>
      </c>
      <c r="AR33" s="49">
        <v>3.0947301041737989E-3</v>
      </c>
      <c r="AS33" s="49">
        <v>3.063782803132061E-3</v>
      </c>
      <c r="AT33" s="49">
        <v>3.0331449751007404E-3</v>
      </c>
      <c r="AU33" s="49">
        <v>3.0028135253497329E-3</v>
      </c>
      <c r="AV33" s="49">
        <v>2.9727853900962356E-3</v>
      </c>
      <c r="AW33" s="49">
        <v>2.9430575361952733E-3</v>
      </c>
      <c r="AX33" s="49">
        <v>2.9136269608333203E-3</v>
      </c>
      <c r="AY33" s="49">
        <v>2.8844906912249869E-3</v>
      </c>
      <c r="AZ33" s="49">
        <v>2.8556457843127371E-3</v>
      </c>
      <c r="BA33" s="49">
        <v>2.8270893264696097E-3</v>
      </c>
      <c r="BB33" s="49">
        <v>2.7988184332049136E-3</v>
      </c>
      <c r="BC33" s="49">
        <v>2.7708302488728643E-3</v>
      </c>
      <c r="BD33" s="49">
        <v>2.7431219463841358E-3</v>
      </c>
      <c r="BE33" s="49">
        <v>2.7156907269202946E-3</v>
      </c>
      <c r="BF33" s="49">
        <v>2.6885338196510917E-3</v>
      </c>
      <c r="BG33" s="49">
        <v>2.6616484814545806E-3</v>
      </c>
      <c r="BH33" s="49">
        <v>2.6350319966400347E-3</v>
      </c>
      <c r="BI33" s="49">
        <v>2.6086816766736345E-3</v>
      </c>
      <c r="BJ33" s="49">
        <v>2.582594859906898E-3</v>
      </c>
      <c r="BK33" s="49">
        <v>2.5567689113078292E-3</v>
      </c>
      <c r="BL33" s="49">
        <v>2.5312012221947507E-3</v>
      </c>
      <c r="BM33" s="49">
        <v>2.5058892099728033E-3</v>
      </c>
      <c r="BN33" s="49">
        <v>2.4808303178730754E-3</v>
      </c>
      <c r="BO33" s="49">
        <v>2.4560220146943447E-3</v>
      </c>
      <c r="BP33" s="49">
        <v>2.4314617945474012E-3</v>
      </c>
      <c r="BQ33" s="49">
        <v>2.4071471766019272E-3</v>
      </c>
      <c r="BR33" s="49">
        <v>2.3830757048359081E-3</v>
      </c>
      <c r="BS33" s="49">
        <v>2.3592449477875489E-3</v>
      </c>
      <c r="BT33" s="49">
        <v>2.3356524983096732E-3</v>
      </c>
      <c r="BU33" s="49">
        <v>2.3122959733265763E-3</v>
      </c>
      <c r="BV33" s="49">
        <v>2.2891730135933103E-3</v>
      </c>
      <c r="BW33" s="49">
        <v>2.2662812834573771E-3</v>
      </c>
      <c r="BX33" s="49">
        <v>2.2436184706228035E-3</v>
      </c>
      <c r="BY33" s="49">
        <v>2.2211822859165755E-3</v>
      </c>
      <c r="BZ33" s="49">
        <v>2.1989704630574099E-3</v>
      </c>
      <c r="CA33" s="49">
        <v>2.1769807584268359E-3</v>
      </c>
      <c r="CB33" s="49">
        <v>2.1552109508425677E-3</v>
      </c>
      <c r="CC33" s="49">
        <v>2.1336588413341422E-3</v>
      </c>
      <c r="CD33" s="49">
        <v>2.1123222529208009E-3</v>
      </c>
      <c r="CE33" s="49">
        <v>2.0911990303915926E-3</v>
      </c>
      <c r="CF33" s="49">
        <v>2.0702870400876767E-3</v>
      </c>
      <c r="CG33" s="49">
        <v>2.0495841696867999E-3</v>
      </c>
      <c r="CH33" s="49">
        <v>2.0290883279899317E-3</v>
      </c>
      <c r="CI33" s="49">
        <v>2.0087974447100324E-3</v>
      </c>
      <c r="CJ33" s="49">
        <v>1.9887094702629319E-3</v>
      </c>
      <c r="CK33" s="49">
        <v>1.9688223755603023E-3</v>
      </c>
      <c r="CL33" s="49">
        <v>1.9491341518046992E-3</v>
      </c>
      <c r="CM33" s="49">
        <v>1.9296428102866521E-3</v>
      </c>
      <c r="CN33" s="49">
        <v>1.9103463821837855E-3</v>
      </c>
      <c r="CO33" s="49">
        <v>1.8912429183619477E-3</v>
      </c>
      <c r="CP33" s="49">
        <v>1.8723304891783282E-3</v>
      </c>
      <c r="CQ33" s="49">
        <v>1.853607184286545E-3</v>
      </c>
      <c r="CR33" s="49">
        <v>1.8350711124436796E-3</v>
      </c>
      <c r="CS33" s="49">
        <v>1.8167204013192428E-3</v>
      </c>
      <c r="CT33" s="49">
        <v>1.7985531973060502E-3</v>
      </c>
      <c r="CU33" s="49">
        <v>1.7805676653329897E-3</v>
      </c>
      <c r="CV33" s="49">
        <v>1.7627619886796597E-3</v>
      </c>
      <c r="CW33" s="49">
        <v>1.745134368792863E-3</v>
      </c>
      <c r="CX33" s="48">
        <v>1.7276830251049342E-3</v>
      </c>
      <c r="CY33" s="28">
        <v>1.7104061948538848E-3</v>
      </c>
    </row>
    <row r="34" spans="1:103" ht="15.75">
      <c r="A34" s="50">
        <v>52</v>
      </c>
      <c r="B34" s="48">
        <v>4.7089999999999996E-3</v>
      </c>
      <c r="C34" s="48">
        <v>4.6793332999999996E-3</v>
      </c>
      <c r="D34" s="48">
        <v>4.6465779669E-3</v>
      </c>
      <c r="E34" s="48">
        <v>4.6117286321482502E-3</v>
      </c>
      <c r="F34" s="48">
        <v>4.5762183216807089E-3</v>
      </c>
      <c r="G34" s="48">
        <v>4.5414390624359353E-3</v>
      </c>
      <c r="H34" s="48">
        <v>4.5087407011863969E-3</v>
      </c>
      <c r="I34" s="48">
        <v>4.4789830125585668E-3</v>
      </c>
      <c r="J34" s="48">
        <v>4.4530049110857268E-3</v>
      </c>
      <c r="K34" s="48">
        <v>4.4307398865302983E-3</v>
      </c>
      <c r="L34" s="48">
        <v>4.4112446310295653E-3</v>
      </c>
      <c r="M34" s="48">
        <v>4.3931585280423445E-3</v>
      </c>
      <c r="N34" s="48">
        <v>4.374707262224567E-3</v>
      </c>
      <c r="O34" s="48">
        <v>4.3545836088183338E-3</v>
      </c>
      <c r="P34" s="48">
        <v>4.3310688573307147E-3</v>
      </c>
      <c r="Q34" s="48">
        <v>4.3033500166437984E-3</v>
      </c>
      <c r="R34" s="48">
        <v>4.2715052265206348E-3</v>
      </c>
      <c r="S34" s="48">
        <v>4.2356245826178614E-3</v>
      </c>
      <c r="T34" s="48">
        <v>4.1962332739995155E-3</v>
      </c>
      <c r="U34" s="49">
        <v>4.1551101879143204E-3</v>
      </c>
      <c r="V34" s="49">
        <v>4.1135590860351774E-3</v>
      </c>
      <c r="W34" s="49">
        <v>4.072423495174826E-3</v>
      </c>
      <c r="X34" s="49">
        <v>4.031699260223078E-3</v>
      </c>
      <c r="Y34" s="49">
        <v>3.9913822676208473E-3</v>
      </c>
      <c r="Z34" s="49">
        <v>3.9514684449446389E-3</v>
      </c>
      <c r="AA34" s="49">
        <v>3.9119537604951921E-3</v>
      </c>
      <c r="AB34" s="49">
        <v>3.87283422289024E-3</v>
      </c>
      <c r="AC34" s="49">
        <v>3.8341058806613377E-3</v>
      </c>
      <c r="AD34" s="49">
        <v>3.7957648218547241E-3</v>
      </c>
      <c r="AE34" s="49">
        <v>3.7578071736361768E-3</v>
      </c>
      <c r="AF34" s="49">
        <v>3.7202291018998148E-3</v>
      </c>
      <c r="AG34" s="49">
        <v>3.6830268108808168E-3</v>
      </c>
      <c r="AH34" s="49">
        <v>3.6461965427720087E-3</v>
      </c>
      <c r="AI34" s="49">
        <v>3.6097345773442886E-3</v>
      </c>
      <c r="AJ34" s="49">
        <v>3.5736372315708456E-3</v>
      </c>
      <c r="AK34" s="49">
        <v>3.5379008592551372E-3</v>
      </c>
      <c r="AL34" s="49">
        <v>3.5025218506625857E-3</v>
      </c>
      <c r="AM34" s="49">
        <v>3.46749663215596E-3</v>
      </c>
      <c r="AN34" s="49">
        <v>3.4328216658344002E-3</v>
      </c>
      <c r="AO34" s="49">
        <v>3.398493449176056E-3</v>
      </c>
      <c r="AP34" s="49">
        <v>3.3645085146842956E-3</v>
      </c>
      <c r="AQ34" s="49">
        <v>3.3308634295374528E-3</v>
      </c>
      <c r="AR34" s="49">
        <v>3.2975547952420782E-3</v>
      </c>
      <c r="AS34" s="49">
        <v>3.2645792472896576E-3</v>
      </c>
      <c r="AT34" s="49">
        <v>3.2319334548167608E-3</v>
      </c>
      <c r="AU34" s="49">
        <v>3.1996141202685932E-3</v>
      </c>
      <c r="AV34" s="49">
        <v>3.1676179790659071E-3</v>
      </c>
      <c r="AW34" s="49">
        <v>3.1359417992752481E-3</v>
      </c>
      <c r="AX34" s="49">
        <v>3.1045823812824954E-3</v>
      </c>
      <c r="AY34" s="49">
        <v>3.0735365574696702E-3</v>
      </c>
      <c r="AZ34" s="49">
        <v>3.0428011918949734E-3</v>
      </c>
      <c r="BA34" s="49">
        <v>3.0123731799760237E-3</v>
      </c>
      <c r="BB34" s="49">
        <v>2.9822494481762636E-3</v>
      </c>
      <c r="BC34" s="49">
        <v>2.9524269536945012E-3</v>
      </c>
      <c r="BD34" s="49">
        <v>2.9229026841575559E-3</v>
      </c>
      <c r="BE34" s="49">
        <v>2.8936736573159805E-3</v>
      </c>
      <c r="BF34" s="49">
        <v>2.8647369207428206E-3</v>
      </c>
      <c r="BG34" s="49">
        <v>2.8360895515353924E-3</v>
      </c>
      <c r="BH34" s="49">
        <v>2.8077286560200384E-3</v>
      </c>
      <c r="BI34" s="49">
        <v>2.7796513694598379E-3</v>
      </c>
      <c r="BJ34" s="49">
        <v>2.7518548557652397E-3</v>
      </c>
      <c r="BK34" s="49">
        <v>2.7243363072075874E-3</v>
      </c>
      <c r="BL34" s="49">
        <v>2.6970929441355114E-3</v>
      </c>
      <c r="BM34" s="49">
        <v>2.6701220146941561E-3</v>
      </c>
      <c r="BN34" s="49">
        <v>2.6434207945472145E-3</v>
      </c>
      <c r="BO34" s="49">
        <v>2.6169865866017424E-3</v>
      </c>
      <c r="BP34" s="49">
        <v>2.5908167207357251E-3</v>
      </c>
      <c r="BQ34" s="49">
        <v>2.564908553528368E-3</v>
      </c>
      <c r="BR34" s="49">
        <v>2.5392594679930843E-3</v>
      </c>
      <c r="BS34" s="49">
        <v>2.5138668733131536E-3</v>
      </c>
      <c r="BT34" s="49">
        <v>2.4887282045800221E-3</v>
      </c>
      <c r="BU34" s="49">
        <v>2.4638409225342219E-3</v>
      </c>
      <c r="BV34" s="49">
        <v>2.4392025133088795E-3</v>
      </c>
      <c r="BW34" s="49">
        <v>2.4148104881757905E-3</v>
      </c>
      <c r="BX34" s="49">
        <v>2.3906623832940324E-3</v>
      </c>
      <c r="BY34" s="49">
        <v>2.366755759461092E-3</v>
      </c>
      <c r="BZ34" s="49">
        <v>2.3430882018664811E-3</v>
      </c>
      <c r="CA34" s="49">
        <v>2.3196573198478163E-3</v>
      </c>
      <c r="CB34" s="49">
        <v>2.296460746649338E-3</v>
      </c>
      <c r="CC34" s="49">
        <v>2.2734961391828448E-3</v>
      </c>
      <c r="CD34" s="49">
        <v>2.2507611777910163E-3</v>
      </c>
      <c r="CE34" s="49">
        <v>2.2282535660131061E-3</v>
      </c>
      <c r="CF34" s="49">
        <v>2.2059710303529751E-3</v>
      </c>
      <c r="CG34" s="49">
        <v>2.1839113200494455E-3</v>
      </c>
      <c r="CH34" s="49">
        <v>2.1620722068489509E-3</v>
      </c>
      <c r="CI34" s="49">
        <v>2.1404514847804612E-3</v>
      </c>
      <c r="CJ34" s="49">
        <v>2.1190469699326566E-3</v>
      </c>
      <c r="CK34" s="49">
        <v>2.09785650023333E-3</v>
      </c>
      <c r="CL34" s="49">
        <v>2.0768779352309968E-3</v>
      </c>
      <c r="CM34" s="49">
        <v>2.0561091558786867E-3</v>
      </c>
      <c r="CN34" s="49">
        <v>2.0355480643199E-3</v>
      </c>
      <c r="CO34" s="49">
        <v>2.015192583676701E-3</v>
      </c>
      <c r="CP34" s="49">
        <v>1.995040657839934E-3</v>
      </c>
      <c r="CQ34" s="49">
        <v>1.9750902512615347E-3</v>
      </c>
      <c r="CR34" s="49">
        <v>1.9553393487489194E-3</v>
      </c>
      <c r="CS34" s="49">
        <v>1.9357859552614303E-3</v>
      </c>
      <c r="CT34" s="49">
        <v>1.9164280957088158E-3</v>
      </c>
      <c r="CU34" s="49">
        <v>1.8972638147517276E-3</v>
      </c>
      <c r="CV34" s="49">
        <v>1.8782911766042102E-3</v>
      </c>
      <c r="CW34" s="49">
        <v>1.8595082648381681E-3</v>
      </c>
      <c r="CX34" s="48">
        <v>1.8409131821897863E-3</v>
      </c>
      <c r="CY34" s="28">
        <v>1.8225040503678884E-3</v>
      </c>
    </row>
    <row r="35" spans="1:103" ht="15.75">
      <c r="A35" s="50">
        <v>53</v>
      </c>
      <c r="B35" s="48">
        <v>5.0419999999999996E-3</v>
      </c>
      <c r="C35" s="48">
        <v>5.0177983999999997E-3</v>
      </c>
      <c r="D35" s="48">
        <v>4.9886951692799993E-3</v>
      </c>
      <c r="E35" s="48">
        <v>4.9557697811627513E-3</v>
      </c>
      <c r="F35" s="48">
        <v>4.9195926617602633E-3</v>
      </c>
      <c r="G35" s="48">
        <v>4.8817117982647091E-3</v>
      </c>
      <c r="H35" s="48">
        <v>4.8441226174180708E-3</v>
      </c>
      <c r="I35" s="48">
        <v>4.807791697787436E-3</v>
      </c>
      <c r="J35" s="48">
        <v>4.7741371559029237E-3</v>
      </c>
      <c r="K35" s="48">
        <v>4.7435826781051455E-3</v>
      </c>
      <c r="L35" s="48">
        <v>4.7165442568399456E-3</v>
      </c>
      <c r="M35" s="48">
        <v>4.6915465722786936E-3</v>
      </c>
      <c r="N35" s="48">
        <v>4.667619684760072E-3</v>
      </c>
      <c r="O35" s="48">
        <v>4.642881300430844E-3</v>
      </c>
      <c r="P35" s="48">
        <v>4.615488300758302E-3</v>
      </c>
      <c r="Q35" s="48">
        <v>4.5845645291432216E-3</v>
      </c>
      <c r="R35" s="48">
        <v>4.5497218387217332E-3</v>
      </c>
      <c r="S35" s="48">
        <v>4.5110492030925988E-3</v>
      </c>
      <c r="T35" s="48">
        <v>4.4690964455038375E-3</v>
      </c>
      <c r="U35" s="49">
        <v>4.4252993003379001E-3</v>
      </c>
      <c r="V35" s="49">
        <v>4.3810463073345211E-3</v>
      </c>
      <c r="W35" s="49">
        <v>4.3372358442611758E-3</v>
      </c>
      <c r="X35" s="49">
        <v>4.2938634858185644E-3</v>
      </c>
      <c r="Y35" s="49">
        <v>4.2509248509603791E-3</v>
      </c>
      <c r="Z35" s="49">
        <v>4.2084156024507751E-3</v>
      </c>
      <c r="AA35" s="49">
        <v>4.1663314464262672E-3</v>
      </c>
      <c r="AB35" s="49">
        <v>4.1246681319620044E-3</v>
      </c>
      <c r="AC35" s="49">
        <v>4.0834214506423839E-3</v>
      </c>
      <c r="AD35" s="49">
        <v>4.04258723613596E-3</v>
      </c>
      <c r="AE35" s="49">
        <v>4.0021613637746005E-3</v>
      </c>
      <c r="AF35" s="49">
        <v>3.9621397501368545E-3</v>
      </c>
      <c r="AG35" s="49">
        <v>3.9225183526354858E-3</v>
      </c>
      <c r="AH35" s="49">
        <v>3.8832931691091307E-3</v>
      </c>
      <c r="AI35" s="49">
        <v>3.8444602374180393E-3</v>
      </c>
      <c r="AJ35" s="49">
        <v>3.8060156350438589E-3</v>
      </c>
      <c r="AK35" s="49">
        <v>3.7679554786934203E-3</v>
      </c>
      <c r="AL35" s="49">
        <v>3.7302759239064859E-3</v>
      </c>
      <c r="AM35" s="49">
        <v>3.6929731646674212E-3</v>
      </c>
      <c r="AN35" s="49">
        <v>3.6560434330207467E-3</v>
      </c>
      <c r="AO35" s="49">
        <v>3.6194829986905394E-3</v>
      </c>
      <c r="AP35" s="49">
        <v>3.583288168703634E-3</v>
      </c>
      <c r="AQ35" s="49">
        <v>3.5474552870165977E-3</v>
      </c>
      <c r="AR35" s="49">
        <v>3.5119807341464316E-3</v>
      </c>
      <c r="AS35" s="49">
        <v>3.4768609268049674E-3</v>
      </c>
      <c r="AT35" s="49">
        <v>3.4420923175369177E-3</v>
      </c>
      <c r="AU35" s="49">
        <v>3.4076713943615483E-3</v>
      </c>
      <c r="AV35" s="49">
        <v>3.3735946804179327E-3</v>
      </c>
      <c r="AW35" s="49">
        <v>3.3398587336137533E-3</v>
      </c>
      <c r="AX35" s="49">
        <v>3.3064601462776157E-3</v>
      </c>
      <c r="AY35" s="49">
        <v>3.2733955448148396E-3</v>
      </c>
      <c r="AZ35" s="49">
        <v>3.240661589366691E-3</v>
      </c>
      <c r="BA35" s="49">
        <v>3.2082549734730242E-3</v>
      </c>
      <c r="BB35" s="49">
        <v>3.1761724237382941E-3</v>
      </c>
      <c r="BC35" s="49">
        <v>3.144410699500911E-3</v>
      </c>
      <c r="BD35" s="49">
        <v>3.112966592505902E-3</v>
      </c>
      <c r="BE35" s="49">
        <v>3.081836926580843E-3</v>
      </c>
      <c r="BF35" s="49">
        <v>3.0510185573150344E-3</v>
      </c>
      <c r="BG35" s="49">
        <v>3.0205083717418841E-3</v>
      </c>
      <c r="BH35" s="49">
        <v>2.9903032880244651E-3</v>
      </c>
      <c r="BI35" s="49">
        <v>2.9604002551442206E-3</v>
      </c>
      <c r="BJ35" s="49">
        <v>2.9307962525927786E-3</v>
      </c>
      <c r="BK35" s="49">
        <v>2.9014882900668506E-3</v>
      </c>
      <c r="BL35" s="49">
        <v>2.8724734071661822E-3</v>
      </c>
      <c r="BM35" s="49">
        <v>2.8437486730945203E-3</v>
      </c>
      <c r="BN35" s="49">
        <v>2.8153111863635752E-3</v>
      </c>
      <c r="BO35" s="49">
        <v>2.7871580744999393E-3</v>
      </c>
      <c r="BP35" s="49">
        <v>2.7592864937549398E-3</v>
      </c>
      <c r="BQ35" s="49">
        <v>2.7316936288173904E-3</v>
      </c>
      <c r="BR35" s="49">
        <v>2.7043766925292164E-3</v>
      </c>
      <c r="BS35" s="49">
        <v>2.677332925603924E-3</v>
      </c>
      <c r="BT35" s="49">
        <v>2.6505595963478845E-3</v>
      </c>
      <c r="BU35" s="49">
        <v>2.6240540003844058E-3</v>
      </c>
      <c r="BV35" s="49">
        <v>2.5978134603805618E-3</v>
      </c>
      <c r="BW35" s="49">
        <v>2.571835325776756E-3</v>
      </c>
      <c r="BX35" s="49">
        <v>2.5461169725189883E-3</v>
      </c>
      <c r="BY35" s="49">
        <v>2.5206558027937986E-3</v>
      </c>
      <c r="BZ35" s="49">
        <v>2.4954492447658606E-3</v>
      </c>
      <c r="CA35" s="49">
        <v>2.4704947523182018E-3</v>
      </c>
      <c r="CB35" s="49">
        <v>2.44578980479502E-3</v>
      </c>
      <c r="CC35" s="49">
        <v>2.4213319067470699E-3</v>
      </c>
      <c r="CD35" s="49">
        <v>2.3971185876795992E-3</v>
      </c>
      <c r="CE35" s="49">
        <v>2.3731474018028032E-3</v>
      </c>
      <c r="CF35" s="49">
        <v>2.3494159277847753E-3</v>
      </c>
      <c r="CG35" s="49">
        <v>2.3259217685069277E-3</v>
      </c>
      <c r="CH35" s="49">
        <v>2.3026625508218582E-3</v>
      </c>
      <c r="CI35" s="49">
        <v>2.2796359253136394E-3</v>
      </c>
      <c r="CJ35" s="49">
        <v>2.2568395660605028E-3</v>
      </c>
      <c r="CK35" s="49">
        <v>2.2342711703998977E-3</v>
      </c>
      <c r="CL35" s="49">
        <v>2.2119284586958987E-3</v>
      </c>
      <c r="CM35" s="49">
        <v>2.1898091741089395E-3</v>
      </c>
      <c r="CN35" s="49">
        <v>2.1679110823678502E-3</v>
      </c>
      <c r="CO35" s="49">
        <v>2.1462319715441717E-3</v>
      </c>
      <c r="CP35" s="49">
        <v>2.1247696518287298E-3</v>
      </c>
      <c r="CQ35" s="49">
        <v>2.1035219553104424E-3</v>
      </c>
      <c r="CR35" s="49">
        <v>2.082486735757338E-3</v>
      </c>
      <c r="CS35" s="49">
        <v>2.0616618683997646E-3</v>
      </c>
      <c r="CT35" s="49">
        <v>2.0410452497157672E-3</v>
      </c>
      <c r="CU35" s="49">
        <v>2.0206347972186096E-3</v>
      </c>
      <c r="CV35" s="49">
        <v>2.0004284492464233E-3</v>
      </c>
      <c r="CW35" s="49">
        <v>1.9804241647539589E-3</v>
      </c>
      <c r="CX35" s="48">
        <v>1.9606199231064192E-3</v>
      </c>
      <c r="CY35" s="28">
        <v>1.941013723875355E-3</v>
      </c>
    </row>
    <row r="36" spans="1:103" ht="15.75">
      <c r="A36" s="50">
        <v>54</v>
      </c>
      <c r="B36" s="48">
        <v>5.3839999999999999E-3</v>
      </c>
      <c r="C36" s="48">
        <v>5.3678479999999997E-3</v>
      </c>
      <c r="D36" s="48">
        <v>5.3453030384000002E-3</v>
      </c>
      <c r="E36" s="48">
        <v>5.3164384019926403E-3</v>
      </c>
      <c r="F36" s="48">
        <v>5.2818815523796884E-3</v>
      </c>
      <c r="G36" s="48">
        <v>5.2433238170473172E-3</v>
      </c>
      <c r="H36" s="48">
        <v>5.2024258912743478E-3</v>
      </c>
      <c r="I36" s="48">
        <v>5.1608064841441531E-3</v>
      </c>
      <c r="J36" s="48">
        <v>5.120036112919414E-3</v>
      </c>
      <c r="K36" s="48">
        <v>5.0816358420725186E-3</v>
      </c>
      <c r="L36" s="48">
        <v>5.046572554762218E-3</v>
      </c>
      <c r="M36" s="48">
        <v>5.0142744904117399E-3</v>
      </c>
      <c r="N36" s="48">
        <v>4.9836874160202283E-3</v>
      </c>
      <c r="O36" s="48">
        <v>4.9532869227825052E-3</v>
      </c>
      <c r="P36" s="48">
        <v>4.9215858864766976E-3</v>
      </c>
      <c r="Q36" s="48">
        <v>4.8871347852713605E-3</v>
      </c>
      <c r="R36" s="48">
        <v>4.8490151339462438E-3</v>
      </c>
      <c r="S36" s="48">
        <v>4.8073136037943059E-3</v>
      </c>
      <c r="T36" s="48">
        <v>4.7626055872790193E-3</v>
      </c>
      <c r="U36" s="49">
        <v>4.715932052523685E-3</v>
      </c>
      <c r="V36" s="49">
        <v>4.6687727319984478E-3</v>
      </c>
      <c r="W36" s="49">
        <v>4.6220850046784631E-3</v>
      </c>
      <c r="X36" s="49">
        <v>4.5758641546316788E-3</v>
      </c>
      <c r="Y36" s="49">
        <v>4.5301055130853619E-3</v>
      </c>
      <c r="Z36" s="49">
        <v>4.4848044579545079E-3</v>
      </c>
      <c r="AA36" s="49">
        <v>4.4399564133749628E-3</v>
      </c>
      <c r="AB36" s="49">
        <v>4.3955568492412131E-3</v>
      </c>
      <c r="AC36" s="49">
        <v>4.351601280748801E-3</v>
      </c>
      <c r="AD36" s="49">
        <v>4.3080852679413129E-3</v>
      </c>
      <c r="AE36" s="49">
        <v>4.2650044152618997E-3</v>
      </c>
      <c r="AF36" s="49">
        <v>4.2223543711092807E-3</v>
      </c>
      <c r="AG36" s="49">
        <v>4.1801308273981879E-3</v>
      </c>
      <c r="AH36" s="49">
        <v>4.1383295191242059E-3</v>
      </c>
      <c r="AI36" s="49">
        <v>4.0969462239329639E-3</v>
      </c>
      <c r="AJ36" s="49">
        <v>4.0559767616936346E-3</v>
      </c>
      <c r="AK36" s="49">
        <v>4.0154169940766985E-3</v>
      </c>
      <c r="AL36" s="49">
        <v>3.9752628241359316E-3</v>
      </c>
      <c r="AM36" s="49">
        <v>3.935510195894572E-3</v>
      </c>
      <c r="AN36" s="49">
        <v>3.8961550939356263E-3</v>
      </c>
      <c r="AO36" s="49">
        <v>3.85719354299627E-3</v>
      </c>
      <c r="AP36" s="49">
        <v>3.8186216075663071E-3</v>
      </c>
      <c r="AQ36" s="49">
        <v>3.7804353914906441E-3</v>
      </c>
      <c r="AR36" s="49">
        <v>3.7426310375757378E-3</v>
      </c>
      <c r="AS36" s="49">
        <v>3.7052047271999805E-3</v>
      </c>
      <c r="AT36" s="49">
        <v>3.6681526799279807E-3</v>
      </c>
      <c r="AU36" s="49">
        <v>3.631471153128701E-3</v>
      </c>
      <c r="AV36" s="49">
        <v>3.595156441597414E-3</v>
      </c>
      <c r="AW36" s="49">
        <v>3.5592048771814397E-3</v>
      </c>
      <c r="AX36" s="49">
        <v>3.5236128284096254E-3</v>
      </c>
      <c r="AY36" s="49">
        <v>3.4883767001255292E-3</v>
      </c>
      <c r="AZ36" s="49">
        <v>3.4534929331242739E-3</v>
      </c>
      <c r="BA36" s="49">
        <v>3.4189580037930311E-3</v>
      </c>
      <c r="BB36" s="49">
        <v>3.3847684237551007E-3</v>
      </c>
      <c r="BC36" s="49">
        <v>3.3509207395175495E-3</v>
      </c>
      <c r="BD36" s="49">
        <v>3.3174115321223741E-3</v>
      </c>
      <c r="BE36" s="49">
        <v>3.2842374168011502E-3</v>
      </c>
      <c r="BF36" s="49">
        <v>3.2513950426331386E-3</v>
      </c>
      <c r="BG36" s="49">
        <v>3.2188810922068071E-3</v>
      </c>
      <c r="BH36" s="49">
        <v>3.1866922812847391E-3</v>
      </c>
      <c r="BI36" s="49">
        <v>3.1548253584718915E-3</v>
      </c>
      <c r="BJ36" s="49">
        <v>3.1232771048871726E-3</v>
      </c>
      <c r="BK36" s="49">
        <v>3.0920443338383007E-3</v>
      </c>
      <c r="BL36" s="49">
        <v>3.0611238904999175E-3</v>
      </c>
      <c r="BM36" s="49">
        <v>3.0305126515949182E-3</v>
      </c>
      <c r="BN36" s="49">
        <v>3.000207525078969E-3</v>
      </c>
      <c r="BO36" s="49">
        <v>2.9702054498281791E-3</v>
      </c>
      <c r="BP36" s="49">
        <v>2.9405033953298974E-3</v>
      </c>
      <c r="BQ36" s="49">
        <v>2.9110983613765983E-3</v>
      </c>
      <c r="BR36" s="49">
        <v>2.8819873777628322E-3</v>
      </c>
      <c r="BS36" s="49">
        <v>2.853167503985204E-3</v>
      </c>
      <c r="BT36" s="49">
        <v>2.8246358289453519E-3</v>
      </c>
      <c r="BU36" s="49">
        <v>2.7963894706558982E-3</v>
      </c>
      <c r="BV36" s="49">
        <v>2.7684255759493391E-3</v>
      </c>
      <c r="BW36" s="49">
        <v>2.7407413201898457E-3</v>
      </c>
      <c r="BX36" s="49">
        <v>2.7133339069879471E-3</v>
      </c>
      <c r="BY36" s="49">
        <v>2.6862005679180677E-3</v>
      </c>
      <c r="BZ36" s="49">
        <v>2.6593385622388872E-3</v>
      </c>
      <c r="CA36" s="49">
        <v>2.6327451766164985E-3</v>
      </c>
      <c r="CB36" s="49">
        <v>2.6064177248503336E-3</v>
      </c>
      <c r="CC36" s="49">
        <v>2.5803535476018303E-3</v>
      </c>
      <c r="CD36" s="49">
        <v>2.5545500121258121E-3</v>
      </c>
      <c r="CE36" s="49">
        <v>2.5290045120045538E-3</v>
      </c>
      <c r="CF36" s="49">
        <v>2.5037144668845083E-3</v>
      </c>
      <c r="CG36" s="49">
        <v>2.4786773222156633E-3</v>
      </c>
      <c r="CH36" s="49">
        <v>2.4538905489935067E-3</v>
      </c>
      <c r="CI36" s="49">
        <v>2.4293516435035718E-3</v>
      </c>
      <c r="CJ36" s="49">
        <v>2.4050581270685361E-3</v>
      </c>
      <c r="CK36" s="49">
        <v>2.3810075457978506E-3</v>
      </c>
      <c r="CL36" s="49">
        <v>2.3571974703398722E-3</v>
      </c>
      <c r="CM36" s="49">
        <v>2.3336254956364735E-3</v>
      </c>
      <c r="CN36" s="49">
        <v>2.3102892406801087E-3</v>
      </c>
      <c r="CO36" s="49">
        <v>2.2871863482733078E-3</v>
      </c>
      <c r="CP36" s="49">
        <v>2.2643144847905748E-3</v>
      </c>
      <c r="CQ36" s="49">
        <v>2.2416713399426688E-3</v>
      </c>
      <c r="CR36" s="49">
        <v>2.2192546265432421E-3</v>
      </c>
      <c r="CS36" s="49">
        <v>2.1970620802778096E-3</v>
      </c>
      <c r="CT36" s="49">
        <v>2.1750914594750315E-3</v>
      </c>
      <c r="CU36" s="49">
        <v>2.1533405448802812E-3</v>
      </c>
      <c r="CV36" s="49">
        <v>2.1318071394314784E-3</v>
      </c>
      <c r="CW36" s="49">
        <v>2.1104890680371637E-3</v>
      </c>
      <c r="CX36" s="48">
        <v>2.0893841773567921E-3</v>
      </c>
      <c r="CY36" s="28">
        <v>2.0684903355832241E-3</v>
      </c>
    </row>
    <row r="37" spans="1:103" ht="15.75">
      <c r="A37" s="50">
        <v>55</v>
      </c>
      <c r="B37" s="48">
        <v>5.7349999999999996E-3</v>
      </c>
      <c r="C37" s="48">
        <v>5.7292649999999999E-3</v>
      </c>
      <c r="D37" s="48">
        <v>5.7155147640000001E-3</v>
      </c>
      <c r="E37" s="48">
        <v>5.6932242564203999E-3</v>
      </c>
      <c r="F37" s="48">
        <v>5.6624808454357302E-3</v>
      </c>
      <c r="G37" s="48">
        <v>5.6251084718558541E-3</v>
      </c>
      <c r="H37" s="48">
        <v>5.5823576474697493E-3</v>
      </c>
      <c r="I37" s="48">
        <v>5.5365823147604971E-3</v>
      </c>
      <c r="J37" s="48">
        <v>5.4895213650850332E-3</v>
      </c>
      <c r="K37" s="48">
        <v>5.4434093856183191E-3</v>
      </c>
      <c r="L37" s="48">
        <v>5.4004064514719344E-3</v>
      </c>
      <c r="M37" s="48">
        <v>5.3604434437310427E-3</v>
      </c>
      <c r="N37" s="48">
        <v>5.3229203396249255E-3</v>
      </c>
      <c r="O37" s="48">
        <v>5.2861921892815135E-3</v>
      </c>
      <c r="P37" s="48">
        <v>5.2491888439565428E-3</v>
      </c>
      <c r="Q37" s="48">
        <v>5.2103448465112643E-3</v>
      </c>
      <c r="R37" s="48">
        <v>5.1686620877391745E-3</v>
      </c>
      <c r="S37" s="48">
        <v>5.1236947275758431E-3</v>
      </c>
      <c r="T37" s="48">
        <v>5.0760443666093879E-3</v>
      </c>
      <c r="U37" s="49">
        <v>5.0262991318166155E-3</v>
      </c>
      <c r="V37" s="49">
        <v>4.9760361404984493E-3</v>
      </c>
      <c r="W37" s="49">
        <v>4.926275779093465E-3</v>
      </c>
      <c r="X37" s="49">
        <v>4.8770130213025304E-3</v>
      </c>
      <c r="Y37" s="49">
        <v>4.8282428910895051E-3</v>
      </c>
      <c r="Z37" s="49">
        <v>4.7799604621786103E-3</v>
      </c>
      <c r="AA37" s="49">
        <v>4.7321608575568242E-3</v>
      </c>
      <c r="AB37" s="49">
        <v>4.6848392489812563E-3</v>
      </c>
      <c r="AC37" s="49">
        <v>4.6379908564914436E-3</v>
      </c>
      <c r="AD37" s="49">
        <v>4.5916109479265292E-3</v>
      </c>
      <c r="AE37" s="49">
        <v>4.5456948384472642E-3</v>
      </c>
      <c r="AF37" s="49">
        <v>4.5002378900627915E-3</v>
      </c>
      <c r="AG37" s="49">
        <v>4.4552355111621639E-3</v>
      </c>
      <c r="AH37" s="49">
        <v>4.4106831560505426E-3</v>
      </c>
      <c r="AI37" s="49">
        <v>4.3665763244900369E-3</v>
      </c>
      <c r="AJ37" s="49">
        <v>4.3229105612451364E-3</v>
      </c>
      <c r="AK37" s="49">
        <v>4.2796814556326848E-3</v>
      </c>
      <c r="AL37" s="49">
        <v>4.2368846410763576E-3</v>
      </c>
      <c r="AM37" s="49">
        <v>4.194515794665594E-3</v>
      </c>
      <c r="AN37" s="49">
        <v>4.1525706367189384E-3</v>
      </c>
      <c r="AO37" s="49">
        <v>4.1110449303517491E-3</v>
      </c>
      <c r="AP37" s="49">
        <v>4.0699344810482315E-3</v>
      </c>
      <c r="AQ37" s="49">
        <v>4.0292351362377493E-3</v>
      </c>
      <c r="AR37" s="49">
        <v>3.9889427848753718E-3</v>
      </c>
      <c r="AS37" s="49">
        <v>3.9490533570266185E-3</v>
      </c>
      <c r="AT37" s="49">
        <v>3.9095628234563518E-3</v>
      </c>
      <c r="AU37" s="49">
        <v>3.8704671952217882E-3</v>
      </c>
      <c r="AV37" s="49">
        <v>3.8317625232695703E-3</v>
      </c>
      <c r="AW37" s="49">
        <v>3.7934448980368744E-3</v>
      </c>
      <c r="AX37" s="49">
        <v>3.7555104490565056E-3</v>
      </c>
      <c r="AY37" s="49">
        <v>3.7179553445659407E-3</v>
      </c>
      <c r="AZ37" s="49">
        <v>3.6807757911202811E-3</v>
      </c>
      <c r="BA37" s="49">
        <v>3.6439680332090783E-3</v>
      </c>
      <c r="BB37" s="49">
        <v>3.6075283528769876E-3</v>
      </c>
      <c r="BC37" s="49">
        <v>3.5714530693482177E-3</v>
      </c>
      <c r="BD37" s="49">
        <v>3.5357385386547355E-3</v>
      </c>
      <c r="BE37" s="49">
        <v>3.500381153268188E-3</v>
      </c>
      <c r="BF37" s="49">
        <v>3.4653773417355062E-3</v>
      </c>
      <c r="BG37" s="49">
        <v>3.4307235683181509E-3</v>
      </c>
      <c r="BH37" s="49">
        <v>3.3964163326349692E-3</v>
      </c>
      <c r="BI37" s="49">
        <v>3.3624521693086194E-3</v>
      </c>
      <c r="BJ37" s="49">
        <v>3.3288276476155332E-3</v>
      </c>
      <c r="BK37" s="49">
        <v>3.295539371139378E-3</v>
      </c>
      <c r="BL37" s="49">
        <v>3.2625839774279844E-3</v>
      </c>
      <c r="BM37" s="49">
        <v>3.2299581376537046E-3</v>
      </c>
      <c r="BN37" s="49">
        <v>3.1976585562771675E-3</v>
      </c>
      <c r="BO37" s="49">
        <v>3.1656819707143956E-3</v>
      </c>
      <c r="BP37" s="49">
        <v>3.1340251510072518E-3</v>
      </c>
      <c r="BQ37" s="49">
        <v>3.1026848994971791E-3</v>
      </c>
      <c r="BR37" s="49">
        <v>3.0716580505022071E-3</v>
      </c>
      <c r="BS37" s="49">
        <v>3.040941469997185E-3</v>
      </c>
      <c r="BT37" s="49">
        <v>3.0105320552972132E-3</v>
      </c>
      <c r="BU37" s="49">
        <v>2.9804267347442411E-3</v>
      </c>
      <c r="BV37" s="49">
        <v>2.9506224673967987E-3</v>
      </c>
      <c r="BW37" s="49">
        <v>2.9211162427228306E-3</v>
      </c>
      <c r="BX37" s="49">
        <v>2.8919050802956024E-3</v>
      </c>
      <c r="BY37" s="49">
        <v>2.8629860294926463E-3</v>
      </c>
      <c r="BZ37" s="49">
        <v>2.8343561691977198E-3</v>
      </c>
      <c r="CA37" s="49">
        <v>2.8060126075057424E-3</v>
      </c>
      <c r="CB37" s="49">
        <v>2.777952481430685E-3</v>
      </c>
      <c r="CC37" s="49">
        <v>2.7501729566163781E-3</v>
      </c>
      <c r="CD37" s="49">
        <v>2.7226712270502144E-3</v>
      </c>
      <c r="CE37" s="49">
        <v>2.6954445147797123E-3</v>
      </c>
      <c r="CF37" s="49">
        <v>2.6684900696319152E-3</v>
      </c>
      <c r="CG37" s="49">
        <v>2.6418051689355961E-3</v>
      </c>
      <c r="CH37" s="49">
        <v>2.6153871172462399E-3</v>
      </c>
      <c r="CI37" s="49">
        <v>2.5892332460737775E-3</v>
      </c>
      <c r="CJ37" s="49">
        <v>2.5633409136130397E-3</v>
      </c>
      <c r="CK37" s="49">
        <v>2.5377075044769092E-3</v>
      </c>
      <c r="CL37" s="49">
        <v>2.5123304294321401E-3</v>
      </c>
      <c r="CM37" s="49">
        <v>2.4872071251378189E-3</v>
      </c>
      <c r="CN37" s="49">
        <v>2.4623350538864408E-3</v>
      </c>
      <c r="CO37" s="49">
        <v>2.4377117033475763E-3</v>
      </c>
      <c r="CP37" s="49">
        <v>2.4133345863141006E-3</v>
      </c>
      <c r="CQ37" s="49">
        <v>2.3892012404509596E-3</v>
      </c>
      <c r="CR37" s="49">
        <v>2.3653092280464501E-3</v>
      </c>
      <c r="CS37" s="49">
        <v>2.3416561357659854E-3</v>
      </c>
      <c r="CT37" s="49">
        <v>2.3182395744083253E-3</v>
      </c>
      <c r="CU37" s="49">
        <v>2.2950571786642419E-3</v>
      </c>
      <c r="CV37" s="49">
        <v>2.2721066068775993E-3</v>
      </c>
      <c r="CW37" s="49">
        <v>2.2493855408088231E-3</v>
      </c>
      <c r="CX37" s="48">
        <v>2.2268916854007348E-3</v>
      </c>
      <c r="CY37" s="28">
        <v>2.2046227685467274E-3</v>
      </c>
    </row>
    <row r="38" spans="1:103" ht="15.75">
      <c r="A38" s="50">
        <v>56</v>
      </c>
      <c r="B38" s="48">
        <v>6.0990000000000003E-3</v>
      </c>
      <c r="C38" s="48">
        <v>6.1050989999999992E-3</v>
      </c>
      <c r="D38" s="48">
        <v>6.1014359405999986E-3</v>
      </c>
      <c r="E38" s="48">
        <v>6.0874026379366189E-3</v>
      </c>
      <c r="F38" s="48">
        <v>6.0630530273848727E-3</v>
      </c>
      <c r="G38" s="48">
        <v>6.0284936251287788E-3</v>
      </c>
      <c r="H38" s="48">
        <v>5.9856913203903649E-3</v>
      </c>
      <c r="I38" s="48">
        <v>5.9372072206952033E-3</v>
      </c>
      <c r="J38" s="48">
        <v>5.8849597971530852E-3</v>
      </c>
      <c r="K38" s="48">
        <v>5.8319951589787073E-3</v>
      </c>
      <c r="L38" s="48">
        <v>5.781256801095592E-3</v>
      </c>
      <c r="M38" s="48">
        <v>5.7338504953266083E-3</v>
      </c>
      <c r="N38" s="48">
        <v>5.6891264614630606E-3</v>
      </c>
      <c r="O38" s="48">
        <v>5.6458891003559409E-3</v>
      </c>
      <c r="P38" s="48">
        <v>5.6029803431932356E-3</v>
      </c>
      <c r="Q38" s="48">
        <v>5.5592770965163284E-3</v>
      </c>
      <c r="R38" s="48">
        <v>5.5131350966152433E-3</v>
      </c>
      <c r="S38" s="48">
        <v>5.4646195077650292E-3</v>
      </c>
      <c r="T38" s="48">
        <v>5.413252084392038E-3</v>
      </c>
      <c r="U38" s="49">
        <v>5.3602022139649956E-3</v>
      </c>
      <c r="V38" s="49">
        <v>5.3066001918253454E-3</v>
      </c>
      <c r="W38" s="49">
        <v>5.2535341899070916E-3</v>
      </c>
      <c r="X38" s="49">
        <v>5.2009988480080207E-3</v>
      </c>
      <c r="Y38" s="49">
        <v>5.1489888595279403E-3</v>
      </c>
      <c r="Z38" s="49">
        <v>5.0974989709326604E-3</v>
      </c>
      <c r="AA38" s="49">
        <v>5.0465239812233342E-3</v>
      </c>
      <c r="AB38" s="49">
        <v>4.9960587414111012E-3</v>
      </c>
      <c r="AC38" s="49">
        <v>4.94609815399699E-3</v>
      </c>
      <c r="AD38" s="49">
        <v>4.8966371724570197E-3</v>
      </c>
      <c r="AE38" s="49">
        <v>4.8476708007324492E-3</v>
      </c>
      <c r="AF38" s="49">
        <v>4.799194092725125E-3</v>
      </c>
      <c r="AG38" s="49">
        <v>4.7512021517978741E-3</v>
      </c>
      <c r="AH38" s="49">
        <v>4.7036901302798953E-3</v>
      </c>
      <c r="AI38" s="49">
        <v>4.6566532289770961E-3</v>
      </c>
      <c r="AJ38" s="49">
        <v>4.6100866966873252E-3</v>
      </c>
      <c r="AK38" s="49">
        <v>4.5639858297204516E-3</v>
      </c>
      <c r="AL38" s="49">
        <v>4.5183459714232474E-3</v>
      </c>
      <c r="AM38" s="49">
        <v>4.4731625117090147E-3</v>
      </c>
      <c r="AN38" s="49">
        <v>4.4284308865919246E-3</v>
      </c>
      <c r="AO38" s="49">
        <v>4.3841465777260053E-3</v>
      </c>
      <c r="AP38" s="49">
        <v>4.3403051119487454E-3</v>
      </c>
      <c r="AQ38" s="49">
        <v>4.2969020608292583E-3</v>
      </c>
      <c r="AR38" s="49">
        <v>4.253933040220966E-3</v>
      </c>
      <c r="AS38" s="49">
        <v>4.2113937098187566E-3</v>
      </c>
      <c r="AT38" s="49">
        <v>4.1692797727205686E-3</v>
      </c>
      <c r="AU38" s="49">
        <v>4.1275869749933629E-3</v>
      </c>
      <c r="AV38" s="49">
        <v>4.086311105243429E-3</v>
      </c>
      <c r="AW38" s="49">
        <v>4.0454479941909949E-3</v>
      </c>
      <c r="AX38" s="49">
        <v>4.0049935142490852E-3</v>
      </c>
      <c r="AY38" s="49">
        <v>3.9649435791065946E-3</v>
      </c>
      <c r="AZ38" s="49">
        <v>3.9252941433155289E-3</v>
      </c>
      <c r="BA38" s="49">
        <v>3.8860412018823735E-3</v>
      </c>
      <c r="BB38" s="49">
        <v>3.8471807898635495E-3</v>
      </c>
      <c r="BC38" s="49">
        <v>3.808708981964914E-3</v>
      </c>
      <c r="BD38" s="49">
        <v>3.7706218921452648E-3</v>
      </c>
      <c r="BE38" s="49">
        <v>3.732915673223812E-3</v>
      </c>
      <c r="BF38" s="49">
        <v>3.6955865164915737E-3</v>
      </c>
      <c r="BG38" s="49">
        <v>3.6586306513266579E-3</v>
      </c>
      <c r="BH38" s="49">
        <v>3.6220443448133914E-3</v>
      </c>
      <c r="BI38" s="49">
        <v>3.5858239013652573E-3</v>
      </c>
      <c r="BJ38" s="49">
        <v>3.5499656623516045E-3</v>
      </c>
      <c r="BK38" s="49">
        <v>3.5144660057280885E-3</v>
      </c>
      <c r="BL38" s="49">
        <v>3.4793213456708076E-3</v>
      </c>
      <c r="BM38" s="49">
        <v>3.4445281322140996E-3</v>
      </c>
      <c r="BN38" s="49">
        <v>3.4100828508919585E-3</v>
      </c>
      <c r="BO38" s="49">
        <v>3.375982022383039E-3</v>
      </c>
      <c r="BP38" s="49">
        <v>3.3422222021592088E-3</v>
      </c>
      <c r="BQ38" s="49">
        <v>3.3087999801376168E-3</v>
      </c>
      <c r="BR38" s="49">
        <v>3.2757119803362407E-3</v>
      </c>
      <c r="BS38" s="49">
        <v>3.2429548605328782E-3</v>
      </c>
      <c r="BT38" s="49">
        <v>3.2105253119275494E-3</v>
      </c>
      <c r="BU38" s="49">
        <v>3.1784200588082737E-3</v>
      </c>
      <c r="BV38" s="49">
        <v>3.1466358582201912E-3</v>
      </c>
      <c r="BW38" s="49">
        <v>3.1151694996379891E-3</v>
      </c>
      <c r="BX38" s="49">
        <v>3.0840178046416091E-3</v>
      </c>
      <c r="BY38" s="49">
        <v>3.0531776265951931E-3</v>
      </c>
      <c r="BZ38" s="49">
        <v>3.0226458503292411E-3</v>
      </c>
      <c r="CA38" s="49">
        <v>2.9924193918259485E-3</v>
      </c>
      <c r="CB38" s="49">
        <v>2.9624951979076888E-3</v>
      </c>
      <c r="CC38" s="49">
        <v>2.9328702459286119E-3</v>
      </c>
      <c r="CD38" s="49">
        <v>2.9035415434693259E-3</v>
      </c>
      <c r="CE38" s="49">
        <v>2.8745061280346326E-3</v>
      </c>
      <c r="CF38" s="49">
        <v>2.8457610667542862E-3</v>
      </c>
      <c r="CG38" s="49">
        <v>2.8173034560867432E-3</v>
      </c>
      <c r="CH38" s="49">
        <v>2.7891304215258757E-3</v>
      </c>
      <c r="CI38" s="49">
        <v>2.7612391173106169E-3</v>
      </c>
      <c r="CJ38" s="49">
        <v>2.7336267261375106E-3</v>
      </c>
      <c r="CK38" s="49">
        <v>2.7062904588761355E-3</v>
      </c>
      <c r="CL38" s="49">
        <v>2.679227554287374E-3</v>
      </c>
      <c r="CM38" s="49">
        <v>2.6524352787445004E-3</v>
      </c>
      <c r="CN38" s="49">
        <v>2.6259109259570554E-3</v>
      </c>
      <c r="CO38" s="49">
        <v>2.5996518166974849E-3</v>
      </c>
      <c r="CP38" s="49">
        <v>2.57365529853051E-3</v>
      </c>
      <c r="CQ38" s="49">
        <v>2.5479187455452047E-3</v>
      </c>
      <c r="CR38" s="49">
        <v>2.5224395580897528E-3</v>
      </c>
      <c r="CS38" s="49">
        <v>2.4972151625088554E-3</v>
      </c>
      <c r="CT38" s="49">
        <v>2.4722430108837668E-3</v>
      </c>
      <c r="CU38" s="49">
        <v>2.4475205807749289E-3</v>
      </c>
      <c r="CV38" s="49">
        <v>2.4230453749671797E-3</v>
      </c>
      <c r="CW38" s="49">
        <v>2.3988149212175081E-3</v>
      </c>
      <c r="CX38" s="48">
        <v>2.3748267720053329E-3</v>
      </c>
      <c r="CY38" s="28">
        <v>2.3510785042852797E-3</v>
      </c>
    </row>
    <row r="39" spans="1:103" ht="15.75">
      <c r="A39" s="50">
        <v>57</v>
      </c>
      <c r="B39" s="48">
        <v>6.4780000000000003E-3</v>
      </c>
      <c r="C39" s="48">
        <v>6.4974339999999998E-3</v>
      </c>
      <c r="D39" s="48">
        <v>6.5058806642E-3</v>
      </c>
      <c r="E39" s="48">
        <v>6.5019771358014794E-3</v>
      </c>
      <c r="F39" s="48">
        <v>6.4850719952483952E-3</v>
      </c>
      <c r="G39" s="48">
        <v>6.455240664070252E-3</v>
      </c>
      <c r="H39" s="48">
        <v>6.4145726478866093E-3</v>
      </c>
      <c r="I39" s="48">
        <v>6.3651804384978819E-3</v>
      </c>
      <c r="J39" s="48">
        <v>6.3091668506391006E-3</v>
      </c>
      <c r="K39" s="48">
        <v>6.2504915989281574E-3</v>
      </c>
      <c r="L39" s="48">
        <v>6.1929870762180185E-3</v>
      </c>
      <c r="M39" s="48">
        <v>6.1378694912396781E-3</v>
      </c>
      <c r="N39" s="48">
        <v>6.0856976005641411E-3</v>
      </c>
      <c r="O39" s="48">
        <v>6.0351863104794587E-3</v>
      </c>
      <c r="P39" s="48">
        <v>5.9856977827335272E-3</v>
      </c>
      <c r="Q39" s="48">
        <v>5.9360164911368392E-3</v>
      </c>
      <c r="R39" s="48">
        <v>5.8849667493130623E-3</v>
      </c>
      <c r="S39" s="48">
        <v>5.8320020485692443E-3</v>
      </c>
      <c r="T39" s="48">
        <v>5.7765980291078368E-3</v>
      </c>
      <c r="U39" s="49">
        <v>5.7199873684225799E-3</v>
      </c>
      <c r="V39" s="49">
        <v>5.6627874947383543E-3</v>
      </c>
      <c r="W39" s="49">
        <v>5.6061596197909706E-3</v>
      </c>
      <c r="X39" s="49">
        <v>5.5500980235930605E-3</v>
      </c>
      <c r="Y39" s="49">
        <v>5.4945970433571299E-3</v>
      </c>
      <c r="Z39" s="49">
        <v>5.4396510729235589E-3</v>
      </c>
      <c r="AA39" s="49">
        <v>5.3852545621943231E-3</v>
      </c>
      <c r="AB39" s="49">
        <v>5.3314020165723796E-3</v>
      </c>
      <c r="AC39" s="49">
        <v>5.2780879964066559E-3</v>
      </c>
      <c r="AD39" s="49">
        <v>5.2253071164425893E-3</v>
      </c>
      <c r="AE39" s="49">
        <v>5.173054045278163E-3</v>
      </c>
      <c r="AF39" s="49">
        <v>5.1213235048253817E-3</v>
      </c>
      <c r="AG39" s="49">
        <v>5.0701102697771278E-3</v>
      </c>
      <c r="AH39" s="49">
        <v>5.0194091670793563E-3</v>
      </c>
      <c r="AI39" s="49">
        <v>4.969215075408563E-3</v>
      </c>
      <c r="AJ39" s="49">
        <v>4.9195229246544771E-3</v>
      </c>
      <c r="AK39" s="49">
        <v>4.8703276954079324E-3</v>
      </c>
      <c r="AL39" s="49">
        <v>4.8216244184538532E-3</v>
      </c>
      <c r="AM39" s="49">
        <v>4.7734081742693149E-3</v>
      </c>
      <c r="AN39" s="49">
        <v>4.7256740925266218E-3</v>
      </c>
      <c r="AO39" s="49">
        <v>4.6784173516013555E-3</v>
      </c>
      <c r="AP39" s="49">
        <v>4.6316331780853421E-3</v>
      </c>
      <c r="AQ39" s="49">
        <v>4.585316846304489E-3</v>
      </c>
      <c r="AR39" s="49">
        <v>4.5394636778414441E-3</v>
      </c>
      <c r="AS39" s="49">
        <v>4.4940690410630296E-3</v>
      </c>
      <c r="AT39" s="49">
        <v>4.4491283506523996E-3</v>
      </c>
      <c r="AU39" s="49">
        <v>4.404637067145876E-3</v>
      </c>
      <c r="AV39" s="49">
        <v>4.3605906964744173E-3</v>
      </c>
      <c r="AW39" s="49">
        <v>4.3169847895096732E-3</v>
      </c>
      <c r="AX39" s="49">
        <v>4.2738149416145762E-3</v>
      </c>
      <c r="AY39" s="49">
        <v>4.2310767921984304E-3</v>
      </c>
      <c r="AZ39" s="49">
        <v>4.1887660242764463E-3</v>
      </c>
      <c r="BA39" s="49">
        <v>4.1468783640336822E-3</v>
      </c>
      <c r="BB39" s="49">
        <v>4.1054095803933453E-3</v>
      </c>
      <c r="BC39" s="49">
        <v>4.0643554845894115E-3</v>
      </c>
      <c r="BD39" s="49">
        <v>4.0237119297435175E-3</v>
      </c>
      <c r="BE39" s="49">
        <v>3.9834748104460825E-3</v>
      </c>
      <c r="BF39" s="49">
        <v>3.9436400623416214E-3</v>
      </c>
      <c r="BG39" s="49">
        <v>3.9042036617182052E-3</v>
      </c>
      <c r="BH39" s="49">
        <v>3.8651616251010232E-3</v>
      </c>
      <c r="BI39" s="49">
        <v>3.8265100088500132E-3</v>
      </c>
      <c r="BJ39" s="49">
        <v>3.7882449087615132E-3</v>
      </c>
      <c r="BK39" s="49">
        <v>3.750362459673898E-3</v>
      </c>
      <c r="BL39" s="49">
        <v>3.7128588350771592E-3</v>
      </c>
      <c r="BM39" s="49">
        <v>3.6757302467263875E-3</v>
      </c>
      <c r="BN39" s="49">
        <v>3.6389729442591234E-3</v>
      </c>
      <c r="BO39" s="49">
        <v>3.6025832148165321E-3</v>
      </c>
      <c r="BP39" s="49">
        <v>3.5665573826683668E-3</v>
      </c>
      <c r="BQ39" s="49">
        <v>3.5308918088416828E-3</v>
      </c>
      <c r="BR39" s="49">
        <v>3.495582890753266E-3</v>
      </c>
      <c r="BS39" s="49">
        <v>3.4606270618457334E-3</v>
      </c>
      <c r="BT39" s="49">
        <v>3.4260207912272761E-3</v>
      </c>
      <c r="BU39" s="49">
        <v>3.3917605833150032E-3</v>
      </c>
      <c r="BV39" s="49">
        <v>3.357842977481853E-3</v>
      </c>
      <c r="BW39" s="49">
        <v>3.3242645477070346E-3</v>
      </c>
      <c r="BX39" s="49">
        <v>3.2910219022299642E-3</v>
      </c>
      <c r="BY39" s="49">
        <v>3.2581116832076647E-3</v>
      </c>
      <c r="BZ39" s="49">
        <v>3.2255305663755878E-3</v>
      </c>
      <c r="CA39" s="49">
        <v>3.1932752607118321E-3</v>
      </c>
      <c r="CB39" s="49">
        <v>3.1613425081047138E-3</v>
      </c>
      <c r="CC39" s="49">
        <v>3.1297290830236669E-3</v>
      </c>
      <c r="CD39" s="49">
        <v>3.0984317921934302E-3</v>
      </c>
      <c r="CE39" s="49">
        <v>3.0674474742714958E-3</v>
      </c>
      <c r="CF39" s="49">
        <v>3.036772999528781E-3</v>
      </c>
      <c r="CG39" s="49">
        <v>3.0064052695334934E-3</v>
      </c>
      <c r="CH39" s="49">
        <v>2.9763412168381585E-3</v>
      </c>
      <c r="CI39" s="49">
        <v>2.9465778046697767E-3</v>
      </c>
      <c r="CJ39" s="49">
        <v>2.9171120266230791E-3</v>
      </c>
      <c r="CK39" s="49">
        <v>2.8879409063568484E-3</v>
      </c>
      <c r="CL39" s="49">
        <v>2.8590614972932799E-3</v>
      </c>
      <c r="CM39" s="49">
        <v>2.8304708823203469E-3</v>
      </c>
      <c r="CN39" s="49">
        <v>2.8021661734971433E-3</v>
      </c>
      <c r="CO39" s="49">
        <v>2.7741445117621718E-3</v>
      </c>
      <c r="CP39" s="49">
        <v>2.7464030666445502E-3</v>
      </c>
      <c r="CQ39" s="49">
        <v>2.7189390359781047E-3</v>
      </c>
      <c r="CR39" s="49">
        <v>2.6917496456183238E-3</v>
      </c>
      <c r="CS39" s="49">
        <v>2.6648321491621403E-3</v>
      </c>
      <c r="CT39" s="49">
        <v>2.638183827670519E-3</v>
      </c>
      <c r="CU39" s="49">
        <v>2.6118019893938138E-3</v>
      </c>
      <c r="CV39" s="49">
        <v>2.5856839694998759E-3</v>
      </c>
      <c r="CW39" s="49">
        <v>2.5598271298048771E-3</v>
      </c>
      <c r="CX39" s="48">
        <v>2.5342288585068285E-3</v>
      </c>
      <c r="CY39" s="28">
        <v>2.5088865699217601E-3</v>
      </c>
    </row>
    <row r="40" spans="1:103" ht="15.75">
      <c r="A40" s="50">
        <v>58</v>
      </c>
      <c r="B40" s="48">
        <v>6.8770000000000003E-3</v>
      </c>
      <c r="C40" s="48">
        <v>6.9106973E-3</v>
      </c>
      <c r="D40" s="48">
        <v>6.9328115313600008E-3</v>
      </c>
      <c r="E40" s="48">
        <v>6.9404376240444973E-3</v>
      </c>
      <c r="F40" s="48">
        <v>6.9328031426580481E-3</v>
      </c>
      <c r="G40" s="48">
        <v>6.9092316119730114E-3</v>
      </c>
      <c r="H40" s="48">
        <v>6.871921761268357E-3</v>
      </c>
      <c r="I40" s="48">
        <v>6.8224439245872246E-3</v>
      </c>
      <c r="J40" s="48">
        <v>6.7644531512282332E-3</v>
      </c>
      <c r="K40" s="48">
        <v>6.7015437369218108E-3</v>
      </c>
      <c r="L40" s="48">
        <v>6.6378790714210541E-3</v>
      </c>
      <c r="M40" s="48">
        <v>6.5754830081496962E-3</v>
      </c>
      <c r="N40" s="48">
        <v>6.5156461127755336E-3</v>
      </c>
      <c r="O40" s="48">
        <v>6.4583084269831089E-3</v>
      </c>
      <c r="P40" s="48">
        <v>6.4021211436683552E-3</v>
      </c>
      <c r="Q40" s="48">
        <v>6.3464226897184403E-3</v>
      </c>
      <c r="R40" s="48">
        <v>6.2905741700489178E-3</v>
      </c>
      <c r="S40" s="48">
        <v>6.2327008876844675E-3</v>
      </c>
      <c r="T40" s="48">
        <v>6.1734902292514653E-3</v>
      </c>
      <c r="U40" s="49">
        <v>6.112372675981876E-3</v>
      </c>
      <c r="V40" s="49">
        <v>6.0512489492220572E-3</v>
      </c>
      <c r="W40" s="49">
        <v>5.9907364597298366E-3</v>
      </c>
      <c r="X40" s="49">
        <v>5.9308290951325384E-3</v>
      </c>
      <c r="Y40" s="49">
        <v>5.8715208041812128E-3</v>
      </c>
      <c r="Z40" s="49">
        <v>5.8128055961394007E-3</v>
      </c>
      <c r="AA40" s="49">
        <v>5.7546775401780071E-3</v>
      </c>
      <c r="AB40" s="49">
        <v>5.6971307647762266E-3</v>
      </c>
      <c r="AC40" s="49">
        <v>5.640159457128464E-3</v>
      </c>
      <c r="AD40" s="49">
        <v>5.5837578625571793E-3</v>
      </c>
      <c r="AE40" s="49">
        <v>5.5279202839316078E-3</v>
      </c>
      <c r="AF40" s="49">
        <v>5.472641081092292E-3</v>
      </c>
      <c r="AG40" s="49">
        <v>5.4179146702813688E-3</v>
      </c>
      <c r="AH40" s="49">
        <v>5.3637355235785552E-3</v>
      </c>
      <c r="AI40" s="49">
        <v>5.3100981683427695E-3</v>
      </c>
      <c r="AJ40" s="49">
        <v>5.2569971866593419E-3</v>
      </c>
      <c r="AK40" s="49">
        <v>5.204427214792748E-3</v>
      </c>
      <c r="AL40" s="49">
        <v>5.1523829426448203E-3</v>
      </c>
      <c r="AM40" s="49">
        <v>5.1008591132183723E-3</v>
      </c>
      <c r="AN40" s="49">
        <v>5.0498505220861883E-3</v>
      </c>
      <c r="AO40" s="49">
        <v>4.9993520168653263E-3</v>
      </c>
      <c r="AP40" s="49">
        <v>4.9493584966966726E-3</v>
      </c>
      <c r="AQ40" s="49">
        <v>4.8998649117297059E-3</v>
      </c>
      <c r="AR40" s="49">
        <v>4.8508662626124089E-3</v>
      </c>
      <c r="AS40" s="49">
        <v>4.8023575999862848E-3</v>
      </c>
      <c r="AT40" s="49">
        <v>4.754334023986422E-3</v>
      </c>
      <c r="AU40" s="49">
        <v>4.7067906837465574E-3</v>
      </c>
      <c r="AV40" s="49">
        <v>4.6597227769090916E-3</v>
      </c>
      <c r="AW40" s="49">
        <v>4.6131255491400009E-3</v>
      </c>
      <c r="AX40" s="49">
        <v>4.5669942936486007E-3</v>
      </c>
      <c r="AY40" s="49">
        <v>4.5213243507121149E-3</v>
      </c>
      <c r="AZ40" s="49">
        <v>4.4761111072049936E-3</v>
      </c>
      <c r="BA40" s="49">
        <v>4.4313499961329437E-3</v>
      </c>
      <c r="BB40" s="49">
        <v>4.3870364961716146E-3</v>
      </c>
      <c r="BC40" s="49">
        <v>4.3431661312098987E-3</v>
      </c>
      <c r="BD40" s="49">
        <v>4.2997344698977999E-3</v>
      </c>
      <c r="BE40" s="49">
        <v>4.2567371251988218E-3</v>
      </c>
      <c r="BF40" s="49">
        <v>4.2141697539468332E-3</v>
      </c>
      <c r="BG40" s="49">
        <v>4.1720280564073644E-3</v>
      </c>
      <c r="BH40" s="49">
        <v>4.1303077758432904E-3</v>
      </c>
      <c r="BI40" s="49">
        <v>4.0890046980848575E-3</v>
      </c>
      <c r="BJ40" s="49">
        <v>4.0481146511040086E-3</v>
      </c>
      <c r="BK40" s="49">
        <v>4.0076335045929681E-3</v>
      </c>
      <c r="BL40" s="49">
        <v>3.9675571695470388E-3</v>
      </c>
      <c r="BM40" s="49">
        <v>3.927881597851568E-3</v>
      </c>
      <c r="BN40" s="49">
        <v>3.8886027818730521E-3</v>
      </c>
      <c r="BO40" s="49">
        <v>3.8497167540543216E-3</v>
      </c>
      <c r="BP40" s="49">
        <v>3.8112195865137783E-3</v>
      </c>
      <c r="BQ40" s="49">
        <v>3.7731073906486405E-3</v>
      </c>
      <c r="BR40" s="49">
        <v>3.7353763167421541E-3</v>
      </c>
      <c r="BS40" s="49">
        <v>3.6980225535747325E-3</v>
      </c>
      <c r="BT40" s="49">
        <v>3.6610423280389851E-3</v>
      </c>
      <c r="BU40" s="49">
        <v>3.6244319047585953E-3</v>
      </c>
      <c r="BV40" s="49">
        <v>3.5881875857110093E-3</v>
      </c>
      <c r="BW40" s="49">
        <v>3.5523057098538991E-3</v>
      </c>
      <c r="BX40" s="49">
        <v>3.5167826527553602E-3</v>
      </c>
      <c r="BY40" s="49">
        <v>3.4816148262278067E-3</v>
      </c>
      <c r="BZ40" s="49">
        <v>3.4467986779655288E-3</v>
      </c>
      <c r="CA40" s="49">
        <v>3.4123306911858736E-3</v>
      </c>
      <c r="CB40" s="49">
        <v>3.3782073842740148E-3</v>
      </c>
      <c r="CC40" s="49">
        <v>3.3444253104312747E-3</v>
      </c>
      <c r="CD40" s="49">
        <v>3.3109810573269619E-3</v>
      </c>
      <c r="CE40" s="49">
        <v>3.2778712467536925E-3</v>
      </c>
      <c r="CF40" s="49">
        <v>3.2450925342861555E-3</v>
      </c>
      <c r="CG40" s="49">
        <v>3.2126416089432938E-3</v>
      </c>
      <c r="CH40" s="49">
        <v>3.180515192853861E-3</v>
      </c>
      <c r="CI40" s="49">
        <v>3.1487100409253225E-3</v>
      </c>
      <c r="CJ40" s="49">
        <v>3.1172229405160693E-3</v>
      </c>
      <c r="CK40" s="49">
        <v>3.0860507111109088E-3</v>
      </c>
      <c r="CL40" s="49">
        <v>3.0551902039997999E-3</v>
      </c>
      <c r="CM40" s="49">
        <v>3.0246383019598018E-3</v>
      </c>
      <c r="CN40" s="49">
        <v>2.9943919189402038E-3</v>
      </c>
      <c r="CO40" s="49">
        <v>2.9644479997508015E-3</v>
      </c>
      <c r="CP40" s="49">
        <v>2.9348035197532935E-3</v>
      </c>
      <c r="CQ40" s="49">
        <v>2.9054554845557605E-3</v>
      </c>
      <c r="CR40" s="49">
        <v>2.8764009297102028E-3</v>
      </c>
      <c r="CS40" s="49">
        <v>2.8476369204131009E-3</v>
      </c>
      <c r="CT40" s="49">
        <v>2.8191605512089698E-3</v>
      </c>
      <c r="CU40" s="49">
        <v>2.7909689456968802E-3</v>
      </c>
      <c r="CV40" s="49">
        <v>2.7630592562399112E-3</v>
      </c>
      <c r="CW40" s="49">
        <v>2.7354286636775121E-3</v>
      </c>
      <c r="CX40" s="48">
        <v>2.7080743770407367E-3</v>
      </c>
      <c r="CY40" s="28">
        <v>2.6809936332703294E-3</v>
      </c>
    </row>
    <row r="41" spans="1:103" ht="15.75">
      <c r="A41" s="50">
        <v>59</v>
      </c>
      <c r="B41" s="48">
        <v>7.3049999999999999E-3</v>
      </c>
      <c r="C41" s="48">
        <v>7.3532129999999991E-3</v>
      </c>
      <c r="D41" s="48">
        <v>7.388508422399998E-3</v>
      </c>
      <c r="E41" s="48">
        <v>7.4084573951404779E-3</v>
      </c>
      <c r="F41" s="48">
        <v>7.4106799323590197E-3</v>
      </c>
      <c r="G41" s="48">
        <v>7.3943764365078301E-3</v>
      </c>
      <c r="H41" s="48">
        <v>7.361101742543545E-3</v>
      </c>
      <c r="I41" s="48">
        <v>7.313254581217012E-3</v>
      </c>
      <c r="J41" s="48">
        <v>7.2540172191091542E-3</v>
      </c>
      <c r="K41" s="48">
        <v>7.1872802606933505E-3</v>
      </c>
      <c r="L41" s="48">
        <v>7.1182823701906942E-3</v>
      </c>
      <c r="M41" s="48">
        <v>7.0499468594368633E-3</v>
      </c>
      <c r="N41" s="48">
        <v>6.9829723642722136E-3</v>
      </c>
      <c r="O41" s="48">
        <v>6.9180307212844822E-3</v>
      </c>
      <c r="P41" s="48">
        <v>6.8550766417207936E-3</v>
      </c>
      <c r="Q41" s="48">
        <v>6.7933809519453063E-3</v>
      </c>
      <c r="R41" s="48">
        <v>6.731561185282604E-3</v>
      </c>
      <c r="S41" s="48">
        <v>6.6689576662594761E-3</v>
      </c>
      <c r="T41" s="48">
        <v>6.6049356726633843E-3</v>
      </c>
      <c r="U41" s="49">
        <v>6.539546809504017E-3</v>
      </c>
      <c r="V41" s="49">
        <v>6.4741513414089766E-3</v>
      </c>
      <c r="W41" s="49">
        <v>6.4094098279948867E-3</v>
      </c>
      <c r="X41" s="49">
        <v>6.3453157297149376E-3</v>
      </c>
      <c r="Y41" s="49">
        <v>6.2818625724177886E-3</v>
      </c>
      <c r="Z41" s="49">
        <v>6.2190439466936103E-3</v>
      </c>
      <c r="AA41" s="49">
        <v>6.1568535072266742E-3</v>
      </c>
      <c r="AB41" s="49">
        <v>6.0952849721544076E-3</v>
      </c>
      <c r="AC41" s="49">
        <v>6.0343321224328632E-3</v>
      </c>
      <c r="AD41" s="49">
        <v>5.9739888012085348E-3</v>
      </c>
      <c r="AE41" s="49">
        <v>5.9142489131964494E-3</v>
      </c>
      <c r="AF41" s="49">
        <v>5.8551064240644846E-3</v>
      </c>
      <c r="AG41" s="49">
        <v>5.7965553598238401E-3</v>
      </c>
      <c r="AH41" s="49">
        <v>5.7385898062256016E-3</v>
      </c>
      <c r="AI41" s="49">
        <v>5.6812039081633459E-3</v>
      </c>
      <c r="AJ41" s="49">
        <v>5.6243918690817123E-3</v>
      </c>
      <c r="AK41" s="49">
        <v>5.5681479503908952E-3</v>
      </c>
      <c r="AL41" s="49">
        <v>5.5124664708869862E-3</v>
      </c>
      <c r="AM41" s="49">
        <v>5.4573418061781166E-3</v>
      </c>
      <c r="AN41" s="49">
        <v>5.4027683881163356E-3</v>
      </c>
      <c r="AO41" s="49">
        <v>5.3487407042351722E-3</v>
      </c>
      <c r="AP41" s="49">
        <v>5.2952532971928205E-3</v>
      </c>
      <c r="AQ41" s="49">
        <v>5.2423007642208924E-3</v>
      </c>
      <c r="AR41" s="49">
        <v>5.1898777565786832E-3</v>
      </c>
      <c r="AS41" s="49">
        <v>5.1379789790128964E-3</v>
      </c>
      <c r="AT41" s="49">
        <v>5.0865991892227675E-3</v>
      </c>
      <c r="AU41" s="49">
        <v>5.0357331973305396E-3</v>
      </c>
      <c r="AV41" s="49">
        <v>4.985375865357234E-3</v>
      </c>
      <c r="AW41" s="49">
        <v>4.9355221067036619E-3</v>
      </c>
      <c r="AX41" s="49">
        <v>4.8861668856366256E-3</v>
      </c>
      <c r="AY41" s="49">
        <v>4.8373052167802596E-3</v>
      </c>
      <c r="AZ41" s="49">
        <v>4.7889321646124566E-3</v>
      </c>
      <c r="BA41" s="49">
        <v>4.7410428429663322E-3</v>
      </c>
      <c r="BB41" s="49">
        <v>4.6936324145366685E-3</v>
      </c>
      <c r="BC41" s="49">
        <v>4.6466960903913017E-3</v>
      </c>
      <c r="BD41" s="49">
        <v>4.6002291294873886E-3</v>
      </c>
      <c r="BE41" s="49">
        <v>4.5542268381925143E-3</v>
      </c>
      <c r="BF41" s="49">
        <v>4.5086845698105891E-3</v>
      </c>
      <c r="BG41" s="49">
        <v>4.4635977241124832E-3</v>
      </c>
      <c r="BH41" s="49">
        <v>4.4189617468713581E-3</v>
      </c>
      <c r="BI41" s="49">
        <v>4.3747721294026447E-3</v>
      </c>
      <c r="BJ41" s="49">
        <v>4.3310244081086182E-3</v>
      </c>
      <c r="BK41" s="49">
        <v>4.2877141640275318E-3</v>
      </c>
      <c r="BL41" s="49">
        <v>4.2448370223872565E-3</v>
      </c>
      <c r="BM41" s="49">
        <v>4.2023886521633837E-3</v>
      </c>
      <c r="BN41" s="49">
        <v>4.1603647656417494E-3</v>
      </c>
      <c r="BO41" s="49">
        <v>4.1187611179853319E-3</v>
      </c>
      <c r="BP41" s="49">
        <v>4.0775735068054788E-3</v>
      </c>
      <c r="BQ41" s="49">
        <v>4.0367977717374239E-3</v>
      </c>
      <c r="BR41" s="49">
        <v>3.9964297940200495E-3</v>
      </c>
      <c r="BS41" s="49">
        <v>3.9564654960798492E-3</v>
      </c>
      <c r="BT41" s="49">
        <v>3.9169008411190503E-3</v>
      </c>
      <c r="BU41" s="49">
        <v>3.8777318327078598E-3</v>
      </c>
      <c r="BV41" s="49">
        <v>3.8389545143807813E-3</v>
      </c>
      <c r="BW41" s="49">
        <v>3.8005649692369734E-3</v>
      </c>
      <c r="BX41" s="49">
        <v>3.7625593195446038E-3</v>
      </c>
      <c r="BY41" s="49">
        <v>3.7249337263491576E-3</v>
      </c>
      <c r="BZ41" s="49">
        <v>3.6876843890856661E-3</v>
      </c>
      <c r="CA41" s="49">
        <v>3.6508075451948093E-3</v>
      </c>
      <c r="CB41" s="49">
        <v>3.614299469742861E-3</v>
      </c>
      <c r="CC41" s="49">
        <v>3.5781564750454325E-3</v>
      </c>
      <c r="CD41" s="49">
        <v>3.5423749102949783E-3</v>
      </c>
      <c r="CE41" s="49">
        <v>3.5069511611920284E-3</v>
      </c>
      <c r="CF41" s="49">
        <v>3.471881649580108E-3</v>
      </c>
      <c r="CG41" s="49">
        <v>3.437162833084307E-3</v>
      </c>
      <c r="CH41" s="49">
        <v>3.4027912047534638E-3</v>
      </c>
      <c r="CI41" s="49">
        <v>3.3687632927059293E-3</v>
      </c>
      <c r="CJ41" s="49">
        <v>3.3350756597788698E-3</v>
      </c>
      <c r="CK41" s="49">
        <v>3.3017249031810809E-3</v>
      </c>
      <c r="CL41" s="49">
        <v>3.2687076541492699E-3</v>
      </c>
      <c r="CM41" s="49">
        <v>3.2360205776077772E-3</v>
      </c>
      <c r="CN41" s="49">
        <v>3.2036603718316992E-3</v>
      </c>
      <c r="CO41" s="49">
        <v>3.1716237681133821E-3</v>
      </c>
      <c r="CP41" s="49">
        <v>3.1399075304322484E-3</v>
      </c>
      <c r="CQ41" s="49">
        <v>3.1085084551279261E-3</v>
      </c>
      <c r="CR41" s="49">
        <v>3.0774233705766468E-3</v>
      </c>
      <c r="CS41" s="49">
        <v>3.0466491368708803E-3</v>
      </c>
      <c r="CT41" s="49">
        <v>3.0161826455021713E-3</v>
      </c>
      <c r="CU41" s="49">
        <v>2.9860208190471494E-3</v>
      </c>
      <c r="CV41" s="49">
        <v>2.956160610856678E-3</v>
      </c>
      <c r="CW41" s="49">
        <v>2.926599004748111E-3</v>
      </c>
      <c r="CX41" s="48">
        <v>2.8973330147006298E-3</v>
      </c>
      <c r="CY41" s="28">
        <v>2.8683596845536234E-3</v>
      </c>
    </row>
    <row r="42" spans="1:103" ht="15.75">
      <c r="A42" s="50">
        <v>60</v>
      </c>
      <c r="B42" s="48">
        <v>7.7710000000000001E-3</v>
      </c>
      <c r="C42" s="48">
        <v>7.8323908999999997E-3</v>
      </c>
      <c r="D42" s="48">
        <v>7.8809517235800004E-3</v>
      </c>
      <c r="E42" s="48">
        <v>7.9124755304743211E-3</v>
      </c>
      <c r="F42" s="48">
        <v>7.9243442437700335E-3</v>
      </c>
      <c r="G42" s="48">
        <v>7.9164198995262634E-3</v>
      </c>
      <c r="H42" s="48">
        <v>7.8887124298779223E-3</v>
      </c>
      <c r="I42" s="48">
        <v>7.8429578977846307E-3</v>
      </c>
      <c r="J42" s="48">
        <v>7.7833514177614669E-3</v>
      </c>
      <c r="K42" s="48">
        <v>7.7140795901433894E-3</v>
      </c>
      <c r="L42" s="48">
        <v>7.6407958340370275E-3</v>
      </c>
      <c r="M42" s="48">
        <v>7.5666801144468679E-3</v>
      </c>
      <c r="N42" s="48">
        <v>7.4932833173367332E-3</v>
      </c>
      <c r="O42" s="48">
        <v>7.4213477974903004E-3</v>
      </c>
      <c r="P42" s="48">
        <v>7.3515871281938918E-3</v>
      </c>
      <c r="Q42" s="48">
        <v>7.2824822091888692E-3</v>
      </c>
      <c r="R42" s="48">
        <v>7.2140268764224937E-3</v>
      </c>
      <c r="S42" s="48">
        <v>7.14549362109648E-3</v>
      </c>
      <c r="T42" s="48">
        <v>7.076182332971844E-3</v>
      </c>
      <c r="U42" s="49">
        <v>7.0061281278754224E-3</v>
      </c>
      <c r="V42" s="49">
        <v>6.936066846596668E-3</v>
      </c>
      <c r="W42" s="49">
        <v>6.8667061781307014E-3</v>
      </c>
      <c r="X42" s="49">
        <v>6.7980391163493942E-3</v>
      </c>
      <c r="Y42" s="49">
        <v>6.7300587251858997E-3</v>
      </c>
      <c r="Z42" s="49">
        <v>6.6627581379340405E-3</v>
      </c>
      <c r="AA42" s="49">
        <v>6.5961305565547003E-3</v>
      </c>
      <c r="AB42" s="49">
        <v>6.5301692509891528E-3</v>
      </c>
      <c r="AC42" s="49">
        <v>6.4648675584792611E-3</v>
      </c>
      <c r="AD42" s="49">
        <v>6.4002188828944685E-3</v>
      </c>
      <c r="AE42" s="49">
        <v>6.3362166940655234E-3</v>
      </c>
      <c r="AF42" s="49">
        <v>6.2728545271248676E-3</v>
      </c>
      <c r="AG42" s="49">
        <v>6.2101259818536187E-3</v>
      </c>
      <c r="AH42" s="49">
        <v>6.1480247220350821E-3</v>
      </c>
      <c r="AI42" s="49">
        <v>6.0865444748147311E-3</v>
      </c>
      <c r="AJ42" s="49">
        <v>6.0256790300665837E-3</v>
      </c>
      <c r="AK42" s="49">
        <v>5.9654222397659178E-3</v>
      </c>
      <c r="AL42" s="49">
        <v>5.9057680173682583E-3</v>
      </c>
      <c r="AM42" s="49">
        <v>5.8467103371945758E-3</v>
      </c>
      <c r="AN42" s="49">
        <v>5.7882432338226299E-3</v>
      </c>
      <c r="AO42" s="49">
        <v>5.7303608014844035E-3</v>
      </c>
      <c r="AP42" s="49">
        <v>5.6730571934695594E-3</v>
      </c>
      <c r="AQ42" s="49">
        <v>5.616326621534864E-3</v>
      </c>
      <c r="AR42" s="49">
        <v>5.560163355319515E-3</v>
      </c>
      <c r="AS42" s="49">
        <v>5.5045617217663202E-3</v>
      </c>
      <c r="AT42" s="49">
        <v>5.4495161045486568E-3</v>
      </c>
      <c r="AU42" s="49">
        <v>5.3950209435031701E-3</v>
      </c>
      <c r="AV42" s="49">
        <v>5.3410707340681386E-3</v>
      </c>
      <c r="AW42" s="49">
        <v>5.2876600267274575E-3</v>
      </c>
      <c r="AX42" s="49">
        <v>5.2347834264601829E-3</v>
      </c>
      <c r="AY42" s="49">
        <v>5.1824355921955808E-3</v>
      </c>
      <c r="AZ42" s="49">
        <v>5.130611236273625E-3</v>
      </c>
      <c r="BA42" s="49">
        <v>5.0793051239108886E-3</v>
      </c>
      <c r="BB42" s="49">
        <v>5.0285120726717798E-3</v>
      </c>
      <c r="BC42" s="49">
        <v>4.9782269519450624E-3</v>
      </c>
      <c r="BD42" s="49">
        <v>4.9284446824256114E-3</v>
      </c>
      <c r="BE42" s="49">
        <v>4.8791602356013548E-3</v>
      </c>
      <c r="BF42" s="49">
        <v>4.8303686332453414E-3</v>
      </c>
      <c r="BG42" s="49">
        <v>4.7820649469128883E-3</v>
      </c>
      <c r="BH42" s="49">
        <v>4.7342442974437592E-3</v>
      </c>
      <c r="BI42" s="49">
        <v>4.6869018544693219E-3</v>
      </c>
      <c r="BJ42" s="49">
        <v>4.6400328359246287E-3</v>
      </c>
      <c r="BK42" s="49">
        <v>4.5936325075653824E-3</v>
      </c>
      <c r="BL42" s="49">
        <v>4.5476961824897286E-3</v>
      </c>
      <c r="BM42" s="49">
        <v>4.502219220664831E-3</v>
      </c>
      <c r="BN42" s="49">
        <v>4.4571970284581824E-3</v>
      </c>
      <c r="BO42" s="49">
        <v>4.4126250581736004E-3</v>
      </c>
      <c r="BP42" s="49">
        <v>4.3684988075918642E-3</v>
      </c>
      <c r="BQ42" s="49">
        <v>4.3248138195159458E-3</v>
      </c>
      <c r="BR42" s="49">
        <v>4.2815656813207864E-3</v>
      </c>
      <c r="BS42" s="49">
        <v>4.2387500245075786E-3</v>
      </c>
      <c r="BT42" s="49">
        <v>4.1963625242625027E-3</v>
      </c>
      <c r="BU42" s="49">
        <v>4.1543988990198778E-3</v>
      </c>
      <c r="BV42" s="49">
        <v>4.1128549100296792E-3</v>
      </c>
      <c r="BW42" s="49">
        <v>4.0717263609293822E-3</v>
      </c>
      <c r="BX42" s="49">
        <v>4.0310090973200881E-3</v>
      </c>
      <c r="BY42" s="49">
        <v>3.9906990063468869E-3</v>
      </c>
      <c r="BZ42" s="49">
        <v>3.950792016283418E-3</v>
      </c>
      <c r="CA42" s="49">
        <v>3.9112840961205838E-3</v>
      </c>
      <c r="CB42" s="49">
        <v>3.8721712551593778E-3</v>
      </c>
      <c r="CC42" s="49">
        <v>3.8334495426077838E-3</v>
      </c>
      <c r="CD42" s="49">
        <v>3.795115047181706E-3</v>
      </c>
      <c r="CE42" s="49">
        <v>3.7571638967098891E-3</v>
      </c>
      <c r="CF42" s="49">
        <v>3.7195922577427901E-3</v>
      </c>
      <c r="CG42" s="49">
        <v>3.6823963351653622E-3</v>
      </c>
      <c r="CH42" s="49">
        <v>3.6455723718137084E-3</v>
      </c>
      <c r="CI42" s="49">
        <v>3.6091166480955715E-3</v>
      </c>
      <c r="CJ42" s="49">
        <v>3.5730254816146159E-3</v>
      </c>
      <c r="CK42" s="49">
        <v>3.5372952267984695E-3</v>
      </c>
      <c r="CL42" s="49">
        <v>3.5019222745304849E-3</v>
      </c>
      <c r="CM42" s="49">
        <v>3.4669030517851802E-3</v>
      </c>
      <c r="CN42" s="49">
        <v>3.4322340212673283E-3</v>
      </c>
      <c r="CO42" s="49">
        <v>3.3979116810546549E-3</v>
      </c>
      <c r="CP42" s="49">
        <v>3.3639325642441085E-3</v>
      </c>
      <c r="CQ42" s="49">
        <v>3.3302932386016673E-3</v>
      </c>
      <c r="CR42" s="49">
        <v>3.2969903062156506E-3</v>
      </c>
      <c r="CS42" s="49">
        <v>3.264020403153494E-3</v>
      </c>
      <c r="CT42" s="49">
        <v>3.2313801991219588E-3</v>
      </c>
      <c r="CU42" s="49">
        <v>3.1990663971307393E-3</v>
      </c>
      <c r="CV42" s="49">
        <v>3.1670757331594317E-3</v>
      </c>
      <c r="CW42" s="49">
        <v>3.1354049758278374E-3</v>
      </c>
      <c r="CX42" s="48">
        <v>3.1040509260695588E-3</v>
      </c>
      <c r="CY42" s="28">
        <v>3.0730104168088632E-3</v>
      </c>
    </row>
    <row r="43" spans="1:103" ht="15.75">
      <c r="A43" s="50">
        <v>61</v>
      </c>
      <c r="B43" s="48">
        <v>8.2839999999999997E-3</v>
      </c>
      <c r="C43" s="48">
        <v>8.355242399999999E-3</v>
      </c>
      <c r="D43" s="48">
        <v>8.4154001452799998E-3</v>
      </c>
      <c r="E43" s="48">
        <v>8.4583186860209287E-3</v>
      </c>
      <c r="F43" s="48">
        <v>8.4803103146045833E-3</v>
      </c>
      <c r="G43" s="48">
        <v>8.4794622835731234E-3</v>
      </c>
      <c r="H43" s="48">
        <v>8.4565677354074761E-3</v>
      </c>
      <c r="I43" s="48">
        <v>8.4142848967304392E-3</v>
      </c>
      <c r="J43" s="48">
        <v>8.355384902453326E-3</v>
      </c>
      <c r="K43" s="48">
        <v>8.2843641307824723E-3</v>
      </c>
      <c r="L43" s="48">
        <v>8.2081479807792745E-3</v>
      </c>
      <c r="M43" s="48">
        <v>8.1293497601637923E-3</v>
      </c>
      <c r="N43" s="48">
        <v>8.0504950674902039E-3</v>
      </c>
      <c r="O43" s="48">
        <v>7.9724052653355488E-3</v>
      </c>
      <c r="P43" s="48">
        <v>7.8950729342617942E-3</v>
      </c>
      <c r="Q43" s="48">
        <v>7.8192802340928801E-3</v>
      </c>
      <c r="R43" s="48">
        <v>7.7442151438455878E-3</v>
      </c>
      <c r="S43" s="48">
        <v>7.6698706784646695E-3</v>
      </c>
      <c r="T43" s="48">
        <v>7.5947059458157159E-3</v>
      </c>
      <c r="U43" s="49">
        <v>7.5195183569521399E-3</v>
      </c>
      <c r="V43" s="49">
        <v>7.4443231733826182E-3</v>
      </c>
      <c r="W43" s="49">
        <v>7.3698799416487921E-3</v>
      </c>
      <c r="X43" s="49">
        <v>7.2961811422323037E-3</v>
      </c>
      <c r="Y43" s="49">
        <v>7.2232193308099804E-3</v>
      </c>
      <c r="Z43" s="49">
        <v>7.1509871375018807E-3</v>
      </c>
      <c r="AA43" s="49">
        <v>7.0794772661268617E-3</v>
      </c>
      <c r="AB43" s="49">
        <v>7.0086824934655926E-3</v>
      </c>
      <c r="AC43" s="49">
        <v>6.9385956685309369E-3</v>
      </c>
      <c r="AD43" s="49">
        <v>6.8692097118456278E-3</v>
      </c>
      <c r="AE43" s="49">
        <v>6.8005176147271718E-3</v>
      </c>
      <c r="AF43" s="49">
        <v>6.7325124385799002E-3</v>
      </c>
      <c r="AG43" s="49">
        <v>6.6651873141941008E-3</v>
      </c>
      <c r="AH43" s="49">
        <v>6.5985354410521601E-3</v>
      </c>
      <c r="AI43" s="49">
        <v>6.5325500866416381E-3</v>
      </c>
      <c r="AJ43" s="49">
        <v>6.4672245857752214E-3</v>
      </c>
      <c r="AK43" s="49">
        <v>6.4025523399174689E-3</v>
      </c>
      <c r="AL43" s="49">
        <v>6.3385268165182945E-3</v>
      </c>
      <c r="AM43" s="49">
        <v>6.2751415483531118E-3</v>
      </c>
      <c r="AN43" s="49">
        <v>6.2123901328695807E-3</v>
      </c>
      <c r="AO43" s="49">
        <v>6.1502662315408851E-3</v>
      </c>
      <c r="AP43" s="49">
        <v>6.0887635692254763E-3</v>
      </c>
      <c r="AQ43" s="49">
        <v>6.0278759335332215E-3</v>
      </c>
      <c r="AR43" s="49">
        <v>5.9675971741978895E-3</v>
      </c>
      <c r="AS43" s="49">
        <v>5.9079212024559105E-3</v>
      </c>
      <c r="AT43" s="49">
        <v>5.8488419904313511E-3</v>
      </c>
      <c r="AU43" s="49">
        <v>5.7903535705270378E-3</v>
      </c>
      <c r="AV43" s="49">
        <v>5.732450034821767E-3</v>
      </c>
      <c r="AW43" s="49">
        <v>5.6751255344735492E-3</v>
      </c>
      <c r="AX43" s="49">
        <v>5.6183742791288136E-3</v>
      </c>
      <c r="AY43" s="49">
        <v>5.5621905363375254E-3</v>
      </c>
      <c r="AZ43" s="49">
        <v>5.5065686309741504E-3</v>
      </c>
      <c r="BA43" s="49">
        <v>5.4515029446644088E-3</v>
      </c>
      <c r="BB43" s="49">
        <v>5.3969879152177642E-3</v>
      </c>
      <c r="BC43" s="49">
        <v>5.3430180360655869E-3</v>
      </c>
      <c r="BD43" s="49">
        <v>5.2895878557049306E-3</v>
      </c>
      <c r="BE43" s="49">
        <v>5.2366919771478816E-3</v>
      </c>
      <c r="BF43" s="49">
        <v>5.1843250573764032E-3</v>
      </c>
      <c r="BG43" s="49">
        <v>5.132481806802639E-3</v>
      </c>
      <c r="BH43" s="49">
        <v>5.0811569887346123E-3</v>
      </c>
      <c r="BI43" s="49">
        <v>5.0303454188472662E-3</v>
      </c>
      <c r="BJ43" s="49">
        <v>4.9800419646587931E-3</v>
      </c>
      <c r="BK43" s="49">
        <v>4.9302415450122048E-3</v>
      </c>
      <c r="BL43" s="49">
        <v>4.8809391295620824E-3</v>
      </c>
      <c r="BM43" s="49">
        <v>4.8321297382664611E-3</v>
      </c>
      <c r="BN43" s="49">
        <v>4.7838084408837961E-3</v>
      </c>
      <c r="BO43" s="49">
        <v>4.735970356474958E-3</v>
      </c>
      <c r="BP43" s="49">
        <v>4.6886106529102087E-3</v>
      </c>
      <c r="BQ43" s="49">
        <v>4.6417245463811069E-3</v>
      </c>
      <c r="BR43" s="49">
        <v>4.5953073009172962E-3</v>
      </c>
      <c r="BS43" s="49">
        <v>4.5493542279081232E-3</v>
      </c>
      <c r="BT43" s="49">
        <v>4.5038606856290415E-3</v>
      </c>
      <c r="BU43" s="49">
        <v>4.4588220787727508E-3</v>
      </c>
      <c r="BV43" s="49">
        <v>4.4142338579850234E-3</v>
      </c>
      <c r="BW43" s="49">
        <v>4.3700915194051729E-3</v>
      </c>
      <c r="BX43" s="49">
        <v>4.3263906042111215E-3</v>
      </c>
      <c r="BY43" s="49">
        <v>4.2831266981690104E-3</v>
      </c>
      <c r="BZ43" s="49">
        <v>4.2402954311873201E-3</v>
      </c>
      <c r="CA43" s="49">
        <v>4.1978924768754471E-3</v>
      </c>
      <c r="CB43" s="49">
        <v>4.1559135521066926E-3</v>
      </c>
      <c r="CC43" s="49">
        <v>4.114354416585626E-3</v>
      </c>
      <c r="CD43" s="49">
        <v>4.07321087241977E-3</v>
      </c>
      <c r="CE43" s="49">
        <v>4.032478763695572E-3</v>
      </c>
      <c r="CF43" s="49">
        <v>3.9921539760586159E-3</v>
      </c>
      <c r="CG43" s="49">
        <v>3.9522324362980298E-3</v>
      </c>
      <c r="CH43" s="49">
        <v>3.9127101119350496E-3</v>
      </c>
      <c r="CI43" s="49">
        <v>3.8735830108156989E-3</v>
      </c>
      <c r="CJ43" s="49">
        <v>3.834847180707542E-3</v>
      </c>
      <c r="CK43" s="49">
        <v>3.7964987089004667E-3</v>
      </c>
      <c r="CL43" s="49">
        <v>3.7585337218114618E-3</v>
      </c>
      <c r="CM43" s="49">
        <v>3.7209483845933472E-3</v>
      </c>
      <c r="CN43" s="49">
        <v>3.6837389007474135E-3</v>
      </c>
      <c r="CO43" s="49">
        <v>3.6469015117399392E-3</v>
      </c>
      <c r="CP43" s="49">
        <v>3.6104324966225398E-3</v>
      </c>
      <c r="CQ43" s="49">
        <v>3.5743281716563145E-3</v>
      </c>
      <c r="CR43" s="49">
        <v>3.5385848899397512E-3</v>
      </c>
      <c r="CS43" s="49">
        <v>3.5031990410403537E-3</v>
      </c>
      <c r="CT43" s="49">
        <v>3.4681670506299502E-3</v>
      </c>
      <c r="CU43" s="49">
        <v>3.4334853801236504E-3</v>
      </c>
      <c r="CV43" s="49">
        <v>3.3991505263224141E-3</v>
      </c>
      <c r="CW43" s="49">
        <v>3.3651590210591899E-3</v>
      </c>
      <c r="CX43" s="48">
        <v>3.3315074308485982E-3</v>
      </c>
      <c r="CY43" s="28">
        <v>3.2981923565401122E-3</v>
      </c>
    </row>
    <row r="44" spans="1:103" ht="15.75">
      <c r="A44" s="50">
        <v>62</v>
      </c>
      <c r="B44" s="48">
        <v>8.8540000000000008E-3</v>
      </c>
      <c r="C44" s="48">
        <v>8.9310298000000003E-3</v>
      </c>
      <c r="D44" s="48">
        <v>8.9989056264800013E-3</v>
      </c>
      <c r="E44" s="48">
        <v>9.050199388550938E-3</v>
      </c>
      <c r="F44" s="48">
        <v>9.0800650465331575E-3</v>
      </c>
      <c r="G44" s="48">
        <v>9.0864210920657308E-3</v>
      </c>
      <c r="H44" s="48">
        <v>9.069156891990806E-3</v>
      </c>
      <c r="I44" s="48">
        <v>9.0301595173552466E-3</v>
      </c>
      <c r="J44" s="48">
        <v>8.9723664964441729E-3</v>
      </c>
      <c r="K44" s="48">
        <v>8.9005875644726194E-3</v>
      </c>
      <c r="L44" s="48">
        <v>8.8213723351488124E-3</v>
      </c>
      <c r="M44" s="48">
        <v>8.7384514351984133E-3</v>
      </c>
      <c r="N44" s="48">
        <v>8.6545623014205077E-3</v>
      </c>
      <c r="O44" s="48">
        <v>8.5697475908665856E-3</v>
      </c>
      <c r="P44" s="48">
        <v>8.4857640644760927E-3</v>
      </c>
      <c r="Q44" s="48">
        <v>8.402603576644227E-3</v>
      </c>
      <c r="R44" s="48">
        <v>8.3210983219507775E-3</v>
      </c>
      <c r="S44" s="48">
        <v>8.2403836682278554E-3</v>
      </c>
      <c r="T44" s="48">
        <v>8.1596279082792218E-3</v>
      </c>
      <c r="U44" s="49">
        <v>8.0788475919872579E-3</v>
      </c>
      <c r="V44" s="49">
        <v>7.9980591160673849E-3</v>
      </c>
      <c r="W44" s="49">
        <v>7.9180785249067104E-3</v>
      </c>
      <c r="X44" s="49">
        <v>7.8388977396576433E-3</v>
      </c>
      <c r="Y44" s="49">
        <v>7.7605087622610669E-3</v>
      </c>
      <c r="Z44" s="49">
        <v>7.6829036746384558E-3</v>
      </c>
      <c r="AA44" s="49">
        <v>7.6060746378920716E-3</v>
      </c>
      <c r="AB44" s="49">
        <v>7.530013891513151E-3</v>
      </c>
      <c r="AC44" s="49">
        <v>7.4547137525980195E-3</v>
      </c>
      <c r="AD44" s="49">
        <v>7.3801666150720389E-3</v>
      </c>
      <c r="AE44" s="49">
        <v>7.3063649489213183E-3</v>
      </c>
      <c r="AF44" s="49">
        <v>7.2333012994321051E-3</v>
      </c>
      <c r="AG44" s="49">
        <v>7.1609682864377843E-3</v>
      </c>
      <c r="AH44" s="49">
        <v>7.0893586035734061E-3</v>
      </c>
      <c r="AI44" s="49">
        <v>7.0184650175376716E-3</v>
      </c>
      <c r="AJ44" s="49">
        <v>6.9482803673622945E-3</v>
      </c>
      <c r="AK44" s="49">
        <v>6.8787975636886711E-3</v>
      </c>
      <c r="AL44" s="49">
        <v>6.810009588051784E-3</v>
      </c>
      <c r="AM44" s="49">
        <v>6.7419094921712663E-3</v>
      </c>
      <c r="AN44" s="49">
        <v>6.6744903972495535E-3</v>
      </c>
      <c r="AO44" s="49">
        <v>6.607745493277058E-3</v>
      </c>
      <c r="AP44" s="49">
        <v>6.5416680383442874E-3</v>
      </c>
      <c r="AQ44" s="49">
        <v>6.4762513579608447E-3</v>
      </c>
      <c r="AR44" s="49">
        <v>6.4114888443812358E-3</v>
      </c>
      <c r="AS44" s="49">
        <v>6.3473739559374237E-3</v>
      </c>
      <c r="AT44" s="49">
        <v>6.2839002163780494E-3</v>
      </c>
      <c r="AU44" s="49">
        <v>6.2210612142142687E-3</v>
      </c>
      <c r="AV44" s="49">
        <v>6.1588506020721261E-3</v>
      </c>
      <c r="AW44" s="49">
        <v>6.0972620960514047E-3</v>
      </c>
      <c r="AX44" s="49">
        <v>6.0362894750908905E-3</v>
      </c>
      <c r="AY44" s="49">
        <v>5.9759265803399813E-3</v>
      </c>
      <c r="AZ44" s="49">
        <v>5.9161673145365816E-3</v>
      </c>
      <c r="BA44" s="49">
        <v>5.8570056413912155E-3</v>
      </c>
      <c r="BB44" s="49">
        <v>5.7984355849773029E-3</v>
      </c>
      <c r="BC44" s="49">
        <v>5.74045122912753E-3</v>
      </c>
      <c r="BD44" s="49">
        <v>5.683046716836255E-3</v>
      </c>
      <c r="BE44" s="49">
        <v>5.6262162496678921E-3</v>
      </c>
      <c r="BF44" s="49">
        <v>5.5699540871712132E-3</v>
      </c>
      <c r="BG44" s="49">
        <v>5.514254546299501E-3</v>
      </c>
      <c r="BH44" s="49">
        <v>5.4591120008365057E-3</v>
      </c>
      <c r="BI44" s="49">
        <v>5.4045208808281408E-3</v>
      </c>
      <c r="BJ44" s="49">
        <v>5.3504756720198594E-3</v>
      </c>
      <c r="BK44" s="49">
        <v>5.2969709152996605E-3</v>
      </c>
      <c r="BL44" s="49">
        <v>5.2440012061466638E-3</v>
      </c>
      <c r="BM44" s="49">
        <v>5.1915611940851975E-3</v>
      </c>
      <c r="BN44" s="49">
        <v>5.1396455821443457E-3</v>
      </c>
      <c r="BO44" s="49">
        <v>5.0882491263229022E-3</v>
      </c>
      <c r="BP44" s="49">
        <v>5.037366635059673E-3</v>
      </c>
      <c r="BQ44" s="49">
        <v>4.9869929687090765E-3</v>
      </c>
      <c r="BR44" s="49">
        <v>4.937123039021986E-3</v>
      </c>
      <c r="BS44" s="49">
        <v>4.8877518086317658E-3</v>
      </c>
      <c r="BT44" s="49">
        <v>4.8388742905454479E-3</v>
      </c>
      <c r="BU44" s="49">
        <v>4.790485547639993E-3</v>
      </c>
      <c r="BV44" s="49">
        <v>4.7425806921635926E-3</v>
      </c>
      <c r="BW44" s="49">
        <v>4.695154885241957E-3</v>
      </c>
      <c r="BX44" s="49">
        <v>4.6482033363895378E-3</v>
      </c>
      <c r="BY44" s="49">
        <v>4.6017213030256424E-3</v>
      </c>
      <c r="BZ44" s="49">
        <v>4.555704089995386E-3</v>
      </c>
      <c r="CA44" s="49">
        <v>4.5101470490954317E-3</v>
      </c>
      <c r="CB44" s="49">
        <v>4.4650455786044776E-3</v>
      </c>
      <c r="CC44" s="49">
        <v>4.4203951228184331E-3</v>
      </c>
      <c r="CD44" s="49">
        <v>4.3761911715902487E-3</v>
      </c>
      <c r="CE44" s="49">
        <v>4.3324292598743465E-3</v>
      </c>
      <c r="CF44" s="49">
        <v>4.2891049672756027E-3</v>
      </c>
      <c r="CG44" s="49">
        <v>4.2462139176028466E-3</v>
      </c>
      <c r="CH44" s="49">
        <v>4.2037517784268182E-3</v>
      </c>
      <c r="CI44" s="49">
        <v>4.1617142606425496E-3</v>
      </c>
      <c r="CJ44" s="49">
        <v>4.1200971180361239E-3</v>
      </c>
      <c r="CK44" s="49">
        <v>4.0788961468557631E-3</v>
      </c>
      <c r="CL44" s="49">
        <v>4.0381071853872056E-3</v>
      </c>
      <c r="CM44" s="49">
        <v>3.9977261135333338E-3</v>
      </c>
      <c r="CN44" s="49">
        <v>3.9577488523980008E-3</v>
      </c>
      <c r="CO44" s="49">
        <v>3.918171363874021E-3</v>
      </c>
      <c r="CP44" s="49">
        <v>3.8789896502352808E-3</v>
      </c>
      <c r="CQ44" s="49">
        <v>3.8401997537329279E-3</v>
      </c>
      <c r="CR44" s="49">
        <v>3.8017977561955987E-3</v>
      </c>
      <c r="CS44" s="49">
        <v>3.7637797786336429E-3</v>
      </c>
      <c r="CT44" s="49">
        <v>3.7261419808473062E-3</v>
      </c>
      <c r="CU44" s="49">
        <v>3.6888805610388333E-3</v>
      </c>
      <c r="CV44" s="49">
        <v>3.6519917554284449E-3</v>
      </c>
      <c r="CW44" s="49">
        <v>3.6154718378741606E-3</v>
      </c>
      <c r="CX44" s="48">
        <v>3.579317119495419E-3</v>
      </c>
      <c r="CY44" s="28">
        <v>3.5435239483004649E-3</v>
      </c>
    </row>
    <row r="45" spans="1:103" ht="15.75">
      <c r="A45" s="50">
        <v>63</v>
      </c>
      <c r="B45" s="48">
        <v>9.4920000000000004E-3</v>
      </c>
      <c r="C45" s="48">
        <v>9.5688852000000001E-3</v>
      </c>
      <c r="D45" s="48">
        <v>9.6387380619600005E-3</v>
      </c>
      <c r="E45" s="48">
        <v>9.6946427427193685E-3</v>
      </c>
      <c r="F45" s="48">
        <v>9.7305129208674311E-3</v>
      </c>
      <c r="G45" s="48">
        <v>9.743162587664559E-3</v>
      </c>
      <c r="H45" s="48">
        <v>9.7304964763005961E-3</v>
      </c>
      <c r="I45" s="48">
        <v>9.6944936393382839E-3</v>
      </c>
      <c r="J45" s="48">
        <v>9.6382655762301209E-3</v>
      </c>
      <c r="K45" s="48">
        <v>9.5669424109660183E-3</v>
      </c>
      <c r="L45" s="48">
        <v>9.485623400472808E-3</v>
      </c>
      <c r="M45" s="48">
        <v>9.3993042275285054E-3</v>
      </c>
      <c r="N45" s="48">
        <v>9.3100108373669853E-3</v>
      </c>
      <c r="O45" s="48">
        <v>9.2197037322445247E-3</v>
      </c>
      <c r="P45" s="48">
        <v>9.1293506356685278E-3</v>
      </c>
      <c r="Q45" s="48">
        <v>9.0389700643754099E-3</v>
      </c>
      <c r="R45" s="48">
        <v>8.9503881577445311E-3</v>
      </c>
      <c r="S45" s="48">
        <v>8.8626743537986337E-3</v>
      </c>
      <c r="T45" s="48">
        <v>8.7749338776960274E-3</v>
      </c>
      <c r="U45" s="49">
        <v>8.6871845389190662E-3</v>
      </c>
      <c r="V45" s="49">
        <v>8.6003126935298747E-3</v>
      </c>
      <c r="W45" s="49">
        <v>8.5143095665945762E-3</v>
      </c>
      <c r="X45" s="49">
        <v>8.4291664709286312E-3</v>
      </c>
      <c r="Y45" s="49">
        <v>8.3448748062193451E-3</v>
      </c>
      <c r="Z45" s="49">
        <v>8.2614260581571515E-3</v>
      </c>
      <c r="AA45" s="49">
        <v>8.1788117975755796E-3</v>
      </c>
      <c r="AB45" s="49">
        <v>8.0970236795998244E-3</v>
      </c>
      <c r="AC45" s="49">
        <v>8.0160534428038253E-3</v>
      </c>
      <c r="AD45" s="49">
        <v>7.9358929083757877E-3</v>
      </c>
      <c r="AE45" s="49">
        <v>7.85653397929203E-3</v>
      </c>
      <c r="AF45" s="49">
        <v>7.7779686394991096E-3</v>
      </c>
      <c r="AG45" s="49">
        <v>7.7001889531041184E-3</v>
      </c>
      <c r="AH45" s="49">
        <v>7.6231870635730774E-3</v>
      </c>
      <c r="AI45" s="49">
        <v>7.5469551929373468E-3</v>
      </c>
      <c r="AJ45" s="49">
        <v>7.4714856410079732E-3</v>
      </c>
      <c r="AK45" s="49">
        <v>7.3967707845978932E-3</v>
      </c>
      <c r="AL45" s="49">
        <v>7.322803076751914E-3</v>
      </c>
      <c r="AM45" s="49">
        <v>7.2495750459843945E-3</v>
      </c>
      <c r="AN45" s="49">
        <v>7.1770792955245504E-3</v>
      </c>
      <c r="AO45" s="49">
        <v>7.105308502569305E-3</v>
      </c>
      <c r="AP45" s="49">
        <v>7.0342554175436122E-3</v>
      </c>
      <c r="AQ45" s="49">
        <v>6.9639128633681756E-3</v>
      </c>
      <c r="AR45" s="49">
        <v>6.894273734734494E-3</v>
      </c>
      <c r="AS45" s="49">
        <v>6.8253309973871487E-3</v>
      </c>
      <c r="AT45" s="49">
        <v>6.7570776874132776E-3</v>
      </c>
      <c r="AU45" s="49">
        <v>6.6895069105391445E-3</v>
      </c>
      <c r="AV45" s="49">
        <v>6.622611841433753E-3</v>
      </c>
      <c r="AW45" s="49">
        <v>6.5563857230194157E-3</v>
      </c>
      <c r="AX45" s="49">
        <v>6.4908218657892215E-3</v>
      </c>
      <c r="AY45" s="49">
        <v>6.4259136471313295E-3</v>
      </c>
      <c r="AZ45" s="49">
        <v>6.3616545106600164E-3</v>
      </c>
      <c r="BA45" s="49">
        <v>6.2980379655534161E-3</v>
      </c>
      <c r="BB45" s="49">
        <v>6.2350575858978819E-3</v>
      </c>
      <c r="BC45" s="49">
        <v>6.1727070100389032E-3</v>
      </c>
      <c r="BD45" s="49">
        <v>6.1109799399385141E-3</v>
      </c>
      <c r="BE45" s="49">
        <v>6.0498701405391287E-3</v>
      </c>
      <c r="BF45" s="49">
        <v>5.9893714391337375E-3</v>
      </c>
      <c r="BG45" s="49">
        <v>5.9294777247423996E-3</v>
      </c>
      <c r="BH45" s="49">
        <v>5.8701829474949755E-3</v>
      </c>
      <c r="BI45" s="49">
        <v>5.8114811180200255E-3</v>
      </c>
      <c r="BJ45" s="49">
        <v>5.7533663068398255E-3</v>
      </c>
      <c r="BK45" s="49">
        <v>5.6958326437714273E-3</v>
      </c>
      <c r="BL45" s="49">
        <v>5.6388743173337126E-3</v>
      </c>
      <c r="BM45" s="49">
        <v>5.5824855741603754E-3</v>
      </c>
      <c r="BN45" s="49">
        <v>5.5266607184187716E-3</v>
      </c>
      <c r="BO45" s="49">
        <v>5.4713941112345841E-3</v>
      </c>
      <c r="BP45" s="49">
        <v>5.4166801701222385E-3</v>
      </c>
      <c r="BQ45" s="49">
        <v>5.3625133684210161E-3</v>
      </c>
      <c r="BR45" s="49">
        <v>5.3088882347368058E-3</v>
      </c>
      <c r="BS45" s="49">
        <v>5.2557993523894373E-3</v>
      </c>
      <c r="BT45" s="49">
        <v>5.2032413588655431E-3</v>
      </c>
      <c r="BU45" s="49">
        <v>5.151208945276888E-3</v>
      </c>
      <c r="BV45" s="49">
        <v>5.099696855824119E-3</v>
      </c>
      <c r="BW45" s="49">
        <v>5.0486998872658773E-3</v>
      </c>
      <c r="BX45" s="49">
        <v>4.9982128883932185E-3</v>
      </c>
      <c r="BY45" s="49">
        <v>4.9482307595092867E-3</v>
      </c>
      <c r="BZ45" s="49">
        <v>4.8987484519141941E-3</v>
      </c>
      <c r="CA45" s="49">
        <v>4.8497609673950519E-3</v>
      </c>
      <c r="CB45" s="49">
        <v>4.8012633577211011E-3</v>
      </c>
      <c r="CC45" s="49">
        <v>4.7532507241438903E-3</v>
      </c>
      <c r="CD45" s="49">
        <v>4.7057182169024511E-3</v>
      </c>
      <c r="CE45" s="49">
        <v>4.6586610347334268E-3</v>
      </c>
      <c r="CF45" s="49">
        <v>4.6120744243860921E-3</v>
      </c>
      <c r="CG45" s="49">
        <v>4.5659536801422309E-3</v>
      </c>
      <c r="CH45" s="49">
        <v>4.5202941433408082E-3</v>
      </c>
      <c r="CI45" s="49">
        <v>4.4750912019074001E-3</v>
      </c>
      <c r="CJ45" s="49">
        <v>4.4303402898883265E-3</v>
      </c>
      <c r="CK45" s="49">
        <v>4.3860368869894431E-3</v>
      </c>
      <c r="CL45" s="49">
        <v>4.3421765181195487E-3</v>
      </c>
      <c r="CM45" s="49">
        <v>4.2987547529383533E-3</v>
      </c>
      <c r="CN45" s="49">
        <v>4.2557672054089699E-3</v>
      </c>
      <c r="CO45" s="49">
        <v>4.2132095333548801E-3</v>
      </c>
      <c r="CP45" s="49">
        <v>4.1710774380213315E-3</v>
      </c>
      <c r="CQ45" s="49">
        <v>4.1293666636411184E-3</v>
      </c>
      <c r="CR45" s="49">
        <v>4.088072997004707E-3</v>
      </c>
      <c r="CS45" s="49">
        <v>4.0471922670346598E-3</v>
      </c>
      <c r="CT45" s="49">
        <v>4.0067203443643132E-3</v>
      </c>
      <c r="CU45" s="49">
        <v>3.9666531409206698E-3</v>
      </c>
      <c r="CV45" s="49">
        <v>3.9269866095114634E-3</v>
      </c>
      <c r="CW45" s="49">
        <v>3.8877167434163487E-3</v>
      </c>
      <c r="CX45" s="48">
        <v>3.8488395759821853E-3</v>
      </c>
      <c r="CY45" s="28">
        <v>3.8103511802223635E-3</v>
      </c>
    </row>
    <row r="46" spans="1:103" ht="15.75">
      <c r="A46" s="50">
        <v>64</v>
      </c>
      <c r="B46" s="48">
        <v>1.0208999999999999E-2</v>
      </c>
      <c r="C46" s="48">
        <v>1.0279442099999998E-2</v>
      </c>
      <c r="D46" s="48">
        <v>1.0346258473649996E-2</v>
      </c>
      <c r="E46" s="48">
        <v>1.0402128269407708E-2</v>
      </c>
      <c r="F46" s="48">
        <v>1.0440616144004516E-2</v>
      </c>
      <c r="G46" s="48">
        <v>1.0457321129834924E-2</v>
      </c>
      <c r="H46" s="48">
        <v>1.0448955272931056E-2</v>
      </c>
      <c r="I46" s="48">
        <v>1.0416563511584969E-2</v>
      </c>
      <c r="J46" s="48">
        <v>1.0362397381324728E-2</v>
      </c>
      <c r="K46" s="48">
        <v>1.0290896839393587E-2</v>
      </c>
      <c r="L46" s="48">
        <v>1.0208569664678438E-2</v>
      </c>
      <c r="M46" s="48">
        <v>1.0119755108595736E-2</v>
      </c>
      <c r="N46" s="48">
        <v>1.0026653361596655E-2</v>
      </c>
      <c r="O46" s="48">
        <v>9.9303974893253273E-3</v>
      </c>
      <c r="P46" s="48">
        <v>9.833079593929938E-3</v>
      </c>
      <c r="Q46" s="48">
        <v>9.7357321059500321E-3</v>
      </c>
      <c r="R46" s="48">
        <v>9.6393483581011258E-3</v>
      </c>
      <c r="S46" s="48">
        <v>9.5439188093559245E-3</v>
      </c>
      <c r="T46" s="48">
        <v>9.4494340131433003E-3</v>
      </c>
      <c r="U46" s="49">
        <v>9.3549396730118681E-3</v>
      </c>
      <c r="V46" s="49">
        <v>9.2613902762817488E-3</v>
      </c>
      <c r="W46" s="49">
        <v>9.1687763735189311E-3</v>
      </c>
      <c r="X46" s="49">
        <v>9.0770886097837414E-3</v>
      </c>
      <c r="Y46" s="49">
        <v>8.9863177236859035E-3</v>
      </c>
      <c r="Z46" s="49">
        <v>8.8964545464490438E-3</v>
      </c>
      <c r="AA46" s="49">
        <v>8.8074900009845539E-3</v>
      </c>
      <c r="AB46" s="49">
        <v>8.719415100974709E-3</v>
      </c>
      <c r="AC46" s="49">
        <v>8.6322209499649621E-3</v>
      </c>
      <c r="AD46" s="49">
        <v>8.545898740465312E-3</v>
      </c>
      <c r="AE46" s="49">
        <v>8.4604397530606591E-3</v>
      </c>
      <c r="AF46" s="49">
        <v>8.3758353555300532E-3</v>
      </c>
      <c r="AG46" s="49">
        <v>8.2920770019747521E-3</v>
      </c>
      <c r="AH46" s="49">
        <v>8.2091562319550043E-3</v>
      </c>
      <c r="AI46" s="49">
        <v>8.1270646696354545E-3</v>
      </c>
      <c r="AJ46" s="49">
        <v>8.0457940229391005E-3</v>
      </c>
      <c r="AK46" s="49">
        <v>7.9653360827097088E-3</v>
      </c>
      <c r="AL46" s="49">
        <v>7.8856827218826125E-3</v>
      </c>
      <c r="AM46" s="49">
        <v>7.8068258946637865E-3</v>
      </c>
      <c r="AN46" s="49">
        <v>7.7287576357171484E-3</v>
      </c>
      <c r="AO46" s="49">
        <v>7.6514700593599766E-3</v>
      </c>
      <c r="AP46" s="49">
        <v>7.5749553587663764E-3</v>
      </c>
      <c r="AQ46" s="49">
        <v>7.4992058051787129E-3</v>
      </c>
      <c r="AR46" s="49">
        <v>7.4242137471269253E-3</v>
      </c>
      <c r="AS46" s="49">
        <v>7.3499716096556561E-3</v>
      </c>
      <c r="AT46" s="49">
        <v>7.2764718935590996E-3</v>
      </c>
      <c r="AU46" s="49">
        <v>7.2037071746235085E-3</v>
      </c>
      <c r="AV46" s="49">
        <v>7.1316701028772732E-3</v>
      </c>
      <c r="AW46" s="49">
        <v>7.0603534018485008E-3</v>
      </c>
      <c r="AX46" s="49">
        <v>6.9897498678300153E-3</v>
      </c>
      <c r="AY46" s="49">
        <v>6.919852369151715E-3</v>
      </c>
      <c r="AZ46" s="49">
        <v>6.8506538454601975E-3</v>
      </c>
      <c r="BA46" s="49">
        <v>6.7821473070055951E-3</v>
      </c>
      <c r="BB46" s="49">
        <v>6.7143258339355388E-3</v>
      </c>
      <c r="BC46" s="49">
        <v>6.6471825755961833E-3</v>
      </c>
      <c r="BD46" s="49">
        <v>6.5807107498402212E-3</v>
      </c>
      <c r="BE46" s="49">
        <v>6.5149036423418193E-3</v>
      </c>
      <c r="BF46" s="49">
        <v>6.4497546059184008E-3</v>
      </c>
      <c r="BG46" s="49">
        <v>6.3852570598592166E-3</v>
      </c>
      <c r="BH46" s="49">
        <v>6.3214044892606243E-3</v>
      </c>
      <c r="BI46" s="49">
        <v>6.2581904443680184E-3</v>
      </c>
      <c r="BJ46" s="49">
        <v>6.1956085399243379E-3</v>
      </c>
      <c r="BK46" s="49">
        <v>6.1336524545250945E-3</v>
      </c>
      <c r="BL46" s="49">
        <v>6.0723159299798431E-3</v>
      </c>
      <c r="BM46" s="49">
        <v>6.0115927706800446E-3</v>
      </c>
      <c r="BN46" s="49">
        <v>5.951476842973244E-3</v>
      </c>
      <c r="BO46" s="49">
        <v>5.8919620745435117E-3</v>
      </c>
      <c r="BP46" s="49">
        <v>5.8330424537980765E-3</v>
      </c>
      <c r="BQ46" s="49">
        <v>5.7747120292600956E-3</v>
      </c>
      <c r="BR46" s="49">
        <v>5.7169649089674947E-3</v>
      </c>
      <c r="BS46" s="49">
        <v>5.6597952598778194E-3</v>
      </c>
      <c r="BT46" s="49">
        <v>5.6031973072790415E-3</v>
      </c>
      <c r="BU46" s="49">
        <v>5.547165334206251E-3</v>
      </c>
      <c r="BV46" s="49">
        <v>5.4916936808641886E-3</v>
      </c>
      <c r="BW46" s="49">
        <v>5.4367767440555463E-3</v>
      </c>
      <c r="BX46" s="49">
        <v>5.3824089766149911E-3</v>
      </c>
      <c r="BY46" s="49">
        <v>5.3285848868488408E-3</v>
      </c>
      <c r="BZ46" s="49">
        <v>5.2752990379803522E-3</v>
      </c>
      <c r="CA46" s="49">
        <v>5.2225460476005483E-3</v>
      </c>
      <c r="CB46" s="49">
        <v>5.1703205871245425E-3</v>
      </c>
      <c r="CC46" s="49">
        <v>5.1186173812532969E-3</v>
      </c>
      <c r="CD46" s="49">
        <v>5.0674312074407641E-3</v>
      </c>
      <c r="CE46" s="49">
        <v>5.0167568953663564E-3</v>
      </c>
      <c r="CF46" s="49">
        <v>4.9665893264126924E-3</v>
      </c>
      <c r="CG46" s="49">
        <v>4.9169234331485658E-3</v>
      </c>
      <c r="CH46" s="49">
        <v>4.8677541988170802E-3</v>
      </c>
      <c r="CI46" s="49">
        <v>4.8190766568289092E-3</v>
      </c>
      <c r="CJ46" s="49">
        <v>4.7708858902606203E-3</v>
      </c>
      <c r="CK46" s="49">
        <v>4.7231770313580137E-3</v>
      </c>
      <c r="CL46" s="49">
        <v>4.6759452610444334E-3</v>
      </c>
      <c r="CM46" s="49">
        <v>4.6291858084339891E-3</v>
      </c>
      <c r="CN46" s="49">
        <v>4.582893950349649E-3</v>
      </c>
      <c r="CO46" s="49">
        <v>4.5370650108461528E-3</v>
      </c>
      <c r="CP46" s="49">
        <v>4.4916943607376915E-3</v>
      </c>
      <c r="CQ46" s="49">
        <v>4.4467774171303145E-3</v>
      </c>
      <c r="CR46" s="49">
        <v>4.4023096429590116E-3</v>
      </c>
      <c r="CS46" s="49">
        <v>4.3582865465294218E-3</v>
      </c>
      <c r="CT46" s="49">
        <v>4.3147036810641274E-3</v>
      </c>
      <c r="CU46" s="49">
        <v>4.2715566442534858E-3</v>
      </c>
      <c r="CV46" s="49">
        <v>4.2288410778109509E-3</v>
      </c>
      <c r="CW46" s="49">
        <v>4.1865526670328418E-3</v>
      </c>
      <c r="CX46" s="48">
        <v>4.1446871403625135E-3</v>
      </c>
      <c r="CY46" s="28">
        <v>4.1032402689588883E-3</v>
      </c>
    </row>
    <row r="47" spans="1:103" ht="15.75">
      <c r="A47" s="50">
        <v>65</v>
      </c>
      <c r="B47" s="48">
        <v>1.1013E-2</v>
      </c>
      <c r="C47" s="48">
        <v>1.1070267600000001E-2</v>
      </c>
      <c r="D47" s="48">
        <v>1.1127832991520002E-2</v>
      </c>
      <c r="E47" s="48">
        <v>1.1177908239981842E-2</v>
      </c>
      <c r="F47" s="48">
        <v>1.1214795337173783E-2</v>
      </c>
      <c r="G47" s="48">
        <v>1.1231617530179545E-2</v>
      </c>
      <c r="H47" s="48">
        <v>1.1226001721414457E-2</v>
      </c>
      <c r="I47" s="48">
        <v>1.1196814116938779E-2</v>
      </c>
      <c r="J47" s="48">
        <v>1.114530877200086E-2</v>
      </c>
      <c r="K47" s="48">
        <v>1.1075093326737255E-2</v>
      </c>
      <c r="L47" s="48">
        <v>1.0992030126786725E-2</v>
      </c>
      <c r="M47" s="48">
        <v>1.0900796276734395E-2</v>
      </c>
      <c r="N47" s="48">
        <v>1.0803779189871458E-2</v>
      </c>
      <c r="O47" s="48">
        <v>1.0702223665486668E-2</v>
      </c>
      <c r="P47" s="48">
        <v>1.0598412095931447E-2</v>
      </c>
      <c r="Q47" s="48">
        <v>1.0494547657391318E-2</v>
      </c>
      <c r="R47" s="48">
        <v>1.0390651635583144E-2</v>
      </c>
      <c r="S47" s="48">
        <v>1.028778418439087E-2</v>
      </c>
      <c r="T47" s="48">
        <v>1.0184906342546962E-2</v>
      </c>
      <c r="U47" s="49">
        <v>1.0083057279121493E-2</v>
      </c>
      <c r="V47" s="49">
        <v>9.9822267063302775E-3</v>
      </c>
      <c r="W47" s="49">
        <v>9.8824044392669744E-3</v>
      </c>
      <c r="X47" s="49">
        <v>9.7835803948743052E-3</v>
      </c>
      <c r="Y47" s="49">
        <v>9.6857445909255616E-3</v>
      </c>
      <c r="Z47" s="49">
        <v>9.5888871450163053E-3</v>
      </c>
      <c r="AA47" s="49">
        <v>9.4929982735661427E-3</v>
      </c>
      <c r="AB47" s="49">
        <v>9.398068290830482E-3</v>
      </c>
      <c r="AC47" s="49">
        <v>9.304087607922177E-3</v>
      </c>
      <c r="AD47" s="49">
        <v>9.2110467318429548E-3</v>
      </c>
      <c r="AE47" s="49">
        <v>9.1189362645245249E-3</v>
      </c>
      <c r="AF47" s="49">
        <v>9.0277469018792793E-3</v>
      </c>
      <c r="AG47" s="49">
        <v>8.937469432860487E-3</v>
      </c>
      <c r="AH47" s="49">
        <v>8.8480947385318823E-3</v>
      </c>
      <c r="AI47" s="49">
        <v>8.7596137911465626E-3</v>
      </c>
      <c r="AJ47" s="49">
        <v>8.6720176532350968E-3</v>
      </c>
      <c r="AK47" s="49">
        <v>8.5852974767027454E-3</v>
      </c>
      <c r="AL47" s="49">
        <v>8.499444501935717E-3</v>
      </c>
      <c r="AM47" s="49">
        <v>8.4144500569163592E-3</v>
      </c>
      <c r="AN47" s="49">
        <v>8.3303055563471954E-3</v>
      </c>
      <c r="AO47" s="49">
        <v>8.2470025007837233E-3</v>
      </c>
      <c r="AP47" s="49">
        <v>8.1645324757758861E-3</v>
      </c>
      <c r="AQ47" s="49">
        <v>8.0828871510181272E-3</v>
      </c>
      <c r="AR47" s="49">
        <v>8.0020582795079457E-3</v>
      </c>
      <c r="AS47" s="49">
        <v>7.922037696712866E-3</v>
      </c>
      <c r="AT47" s="49">
        <v>7.842817319745737E-3</v>
      </c>
      <c r="AU47" s="49">
        <v>7.7643891465482796E-3</v>
      </c>
      <c r="AV47" s="49">
        <v>7.6867452550827969E-3</v>
      </c>
      <c r="AW47" s="49">
        <v>7.609877802531969E-3</v>
      </c>
      <c r="AX47" s="49">
        <v>7.5337790245066493E-3</v>
      </c>
      <c r="AY47" s="49">
        <v>7.4584412342615829E-3</v>
      </c>
      <c r="AZ47" s="49">
        <v>7.3838568219189672E-3</v>
      </c>
      <c r="BA47" s="49">
        <v>7.3100182536997771E-3</v>
      </c>
      <c r="BB47" s="49">
        <v>7.236918071162779E-3</v>
      </c>
      <c r="BC47" s="49">
        <v>7.1645488904511509E-3</v>
      </c>
      <c r="BD47" s="49">
        <v>7.0929034015466391E-3</v>
      </c>
      <c r="BE47" s="49">
        <v>7.0219743675311724E-3</v>
      </c>
      <c r="BF47" s="49">
        <v>6.9517546238558603E-3</v>
      </c>
      <c r="BG47" s="49">
        <v>6.8822370776173017E-3</v>
      </c>
      <c r="BH47" s="49">
        <v>6.8134147068411284E-3</v>
      </c>
      <c r="BI47" s="49">
        <v>6.7452805597727171E-3</v>
      </c>
      <c r="BJ47" s="49">
        <v>6.6778277541749897E-3</v>
      </c>
      <c r="BK47" s="49">
        <v>6.6110494766332397E-3</v>
      </c>
      <c r="BL47" s="49">
        <v>6.5449389818669074E-3</v>
      </c>
      <c r="BM47" s="49">
        <v>6.4794895920482383E-3</v>
      </c>
      <c r="BN47" s="49">
        <v>6.4146946961277556E-3</v>
      </c>
      <c r="BO47" s="49">
        <v>6.3505477491664778E-3</v>
      </c>
      <c r="BP47" s="49">
        <v>6.2870422716748134E-3</v>
      </c>
      <c r="BQ47" s="49">
        <v>6.224171848958065E-3</v>
      </c>
      <c r="BR47" s="49">
        <v>6.1619301304684845E-3</v>
      </c>
      <c r="BS47" s="49">
        <v>6.1003108291637995E-3</v>
      </c>
      <c r="BT47" s="49">
        <v>6.0393077208721613E-3</v>
      </c>
      <c r="BU47" s="49">
        <v>5.9789146436634395E-3</v>
      </c>
      <c r="BV47" s="49">
        <v>5.9191254972268048E-3</v>
      </c>
      <c r="BW47" s="49">
        <v>5.8599342422545365E-3</v>
      </c>
      <c r="BX47" s="49">
        <v>5.801334899831991E-3</v>
      </c>
      <c r="BY47" s="49">
        <v>5.7433215508336712E-3</v>
      </c>
      <c r="BZ47" s="49">
        <v>5.6858883353253344E-3</v>
      </c>
      <c r="CA47" s="49">
        <v>5.6290294519720811E-3</v>
      </c>
      <c r="CB47" s="49">
        <v>5.5727391574523603E-3</v>
      </c>
      <c r="CC47" s="49">
        <v>5.5170117658778365E-3</v>
      </c>
      <c r="CD47" s="49">
        <v>5.4618416482190577E-3</v>
      </c>
      <c r="CE47" s="49">
        <v>5.4072232317368667E-3</v>
      </c>
      <c r="CF47" s="49">
        <v>5.3531509994194978E-3</v>
      </c>
      <c r="CG47" s="49">
        <v>5.2996194894253026E-3</v>
      </c>
      <c r="CH47" s="49">
        <v>5.2466232945310495E-3</v>
      </c>
      <c r="CI47" s="49">
        <v>5.1941570615857387E-3</v>
      </c>
      <c r="CJ47" s="49">
        <v>5.1422154909698814E-3</v>
      </c>
      <c r="CK47" s="49">
        <v>5.0907933360601829E-3</v>
      </c>
      <c r="CL47" s="49">
        <v>5.0398854026995812E-3</v>
      </c>
      <c r="CM47" s="49">
        <v>4.9894865486725852E-3</v>
      </c>
      <c r="CN47" s="49">
        <v>4.9395916831858596E-3</v>
      </c>
      <c r="CO47" s="49">
        <v>4.8901957663540011E-3</v>
      </c>
      <c r="CP47" s="49">
        <v>4.8412938086904609E-3</v>
      </c>
      <c r="CQ47" s="49">
        <v>4.7928808706035565E-3</v>
      </c>
      <c r="CR47" s="49">
        <v>4.7449520618975212E-3</v>
      </c>
      <c r="CS47" s="49">
        <v>4.6975025412785455E-3</v>
      </c>
      <c r="CT47" s="49">
        <v>4.6505275158657596E-3</v>
      </c>
      <c r="CU47" s="49">
        <v>4.604022240707102E-3</v>
      </c>
      <c r="CV47" s="49">
        <v>4.5579820183000311E-3</v>
      </c>
      <c r="CW47" s="49">
        <v>4.512402198117031E-3</v>
      </c>
      <c r="CX47" s="48">
        <v>4.467278176135861E-3</v>
      </c>
      <c r="CY47" s="28">
        <v>4.4226053943745023E-3</v>
      </c>
    </row>
    <row r="48" spans="1:103" ht="15.75">
      <c r="A48" s="50">
        <v>66</v>
      </c>
      <c r="B48" s="48">
        <v>1.1916E-2</v>
      </c>
      <c r="C48" s="48">
        <v>1.1954131200000001E-2</v>
      </c>
      <c r="D48" s="48">
        <v>1.1995970659200002E-2</v>
      </c>
      <c r="E48" s="48">
        <v>1.2035557362375363E-2</v>
      </c>
      <c r="F48" s="48">
        <v>1.20656462557813E-2</v>
      </c>
      <c r="G48" s="48">
        <v>1.2080125031288238E-2</v>
      </c>
      <c r="H48" s="48">
        <v>1.2074084968772594E-2</v>
      </c>
      <c r="I48" s="48">
        <v>1.2046314573344418E-2</v>
      </c>
      <c r="J48" s="48">
        <v>1.1996924683593705E-2</v>
      </c>
      <c r="K48" s="48">
        <v>1.1928542212897221E-2</v>
      </c>
      <c r="L48" s="48">
        <v>1.184623527162823E-2</v>
      </c>
      <c r="M48" s="48">
        <v>1.175383463650953E-2</v>
      </c>
      <c r="N48" s="48">
        <v>1.1652751658635548E-2</v>
      </c>
      <c r="O48" s="48">
        <v>1.1546711618541965E-2</v>
      </c>
      <c r="P48" s="48">
        <v>1.1437017858165817E-2</v>
      </c>
      <c r="Q48" s="48">
        <v>1.1324935083155791E-2</v>
      </c>
      <c r="R48" s="48">
        <v>1.1212818225832548E-2</v>
      </c>
      <c r="S48" s="48">
        <v>1.1100690043574222E-2</v>
      </c>
      <c r="T48" s="48">
        <v>1.098968314313848E-2</v>
      </c>
      <c r="U48" s="49">
        <v>1.0879786311707095E-2</v>
      </c>
      <c r="V48" s="49">
        <v>1.0770988448590023E-2</v>
      </c>
      <c r="W48" s="49">
        <v>1.0663278564104123E-2</v>
      </c>
      <c r="X48" s="49">
        <v>1.0556645778463082E-2</v>
      </c>
      <c r="Y48" s="49">
        <v>1.0451079320678451E-2</v>
      </c>
      <c r="Z48" s="49">
        <v>1.0346568527471666E-2</v>
      </c>
      <c r="AA48" s="49">
        <v>1.024310284219695E-2</v>
      </c>
      <c r="AB48" s="49">
        <v>1.014067181377498E-2</v>
      </c>
      <c r="AC48" s="49">
        <v>1.0039265095637229E-2</v>
      </c>
      <c r="AD48" s="49">
        <v>9.9388724446808577E-3</v>
      </c>
      <c r="AE48" s="49">
        <v>9.839483720234049E-3</v>
      </c>
      <c r="AF48" s="49">
        <v>9.7410888830317087E-3</v>
      </c>
      <c r="AG48" s="49">
        <v>9.6436779942013912E-3</v>
      </c>
      <c r="AH48" s="49">
        <v>9.5472412142593773E-3</v>
      </c>
      <c r="AI48" s="49">
        <v>9.4517688021167837E-3</v>
      </c>
      <c r="AJ48" s="49">
        <v>9.3572511140956154E-3</v>
      </c>
      <c r="AK48" s="49">
        <v>9.2636786029546593E-3</v>
      </c>
      <c r="AL48" s="49">
        <v>9.1710418169251122E-3</v>
      </c>
      <c r="AM48" s="49">
        <v>9.0793313987558612E-3</v>
      </c>
      <c r="AN48" s="49">
        <v>8.9885380847683025E-3</v>
      </c>
      <c r="AO48" s="49">
        <v>8.8986527039206197E-3</v>
      </c>
      <c r="AP48" s="49">
        <v>8.809666176881413E-3</v>
      </c>
      <c r="AQ48" s="49">
        <v>8.7215695151125986E-3</v>
      </c>
      <c r="AR48" s="49">
        <v>8.6343538199614728E-3</v>
      </c>
      <c r="AS48" s="49">
        <v>8.5480102817618586E-3</v>
      </c>
      <c r="AT48" s="49">
        <v>8.4625301789442407E-3</v>
      </c>
      <c r="AU48" s="49">
        <v>8.3779048771547987E-3</v>
      </c>
      <c r="AV48" s="49">
        <v>8.2941258283832503E-3</v>
      </c>
      <c r="AW48" s="49">
        <v>8.2111845700994172E-3</v>
      </c>
      <c r="AX48" s="49">
        <v>8.1290727243984225E-3</v>
      </c>
      <c r="AY48" s="49">
        <v>8.0477819971544375E-3</v>
      </c>
      <c r="AZ48" s="49">
        <v>7.9673041771828931E-3</v>
      </c>
      <c r="BA48" s="49">
        <v>7.8876311354110634E-3</v>
      </c>
      <c r="BB48" s="49">
        <v>7.8087548240569531E-3</v>
      </c>
      <c r="BC48" s="49">
        <v>7.7306672758163837E-3</v>
      </c>
      <c r="BD48" s="49">
        <v>7.6533606030582202E-3</v>
      </c>
      <c r="BE48" s="49">
        <v>7.5768269970276376E-3</v>
      </c>
      <c r="BF48" s="49">
        <v>7.501058727057361E-3</v>
      </c>
      <c r="BG48" s="49">
        <v>7.4260481397867874E-3</v>
      </c>
      <c r="BH48" s="49">
        <v>7.3517876583889192E-3</v>
      </c>
      <c r="BI48" s="49">
        <v>7.27826978180503E-3</v>
      </c>
      <c r="BJ48" s="49">
        <v>7.2054870839869797E-3</v>
      </c>
      <c r="BK48" s="49">
        <v>7.1334322131471097E-3</v>
      </c>
      <c r="BL48" s="49">
        <v>7.0620978910156387E-3</v>
      </c>
      <c r="BM48" s="49">
        <v>6.9914769121054822E-3</v>
      </c>
      <c r="BN48" s="49">
        <v>6.9215621429844273E-3</v>
      </c>
      <c r="BO48" s="49">
        <v>6.852346521554583E-3</v>
      </c>
      <c r="BP48" s="49">
        <v>6.7838230563390372E-3</v>
      </c>
      <c r="BQ48" s="49">
        <v>6.715984825775647E-3</v>
      </c>
      <c r="BR48" s="49">
        <v>6.6488249775178906E-3</v>
      </c>
      <c r="BS48" s="49">
        <v>6.5823367277427118E-3</v>
      </c>
      <c r="BT48" s="49">
        <v>6.516513360465285E-3</v>
      </c>
      <c r="BU48" s="49">
        <v>6.4513482268606318E-3</v>
      </c>
      <c r="BV48" s="49">
        <v>6.3868347445920253E-3</v>
      </c>
      <c r="BW48" s="49">
        <v>6.3229663971461052E-3</v>
      </c>
      <c r="BX48" s="49">
        <v>6.2597367331746444E-3</v>
      </c>
      <c r="BY48" s="49">
        <v>6.1971393658428976E-3</v>
      </c>
      <c r="BZ48" s="49">
        <v>6.1351679721844687E-3</v>
      </c>
      <c r="CA48" s="49">
        <v>6.0738162924626237E-3</v>
      </c>
      <c r="CB48" s="49">
        <v>6.0130781295379973E-3</v>
      </c>
      <c r="CC48" s="49">
        <v>5.9529473482426171E-3</v>
      </c>
      <c r="CD48" s="49">
        <v>5.8934178747601911E-3</v>
      </c>
      <c r="CE48" s="49">
        <v>5.8344836960125893E-3</v>
      </c>
      <c r="CF48" s="49">
        <v>5.776138859052463E-3</v>
      </c>
      <c r="CG48" s="49">
        <v>5.7183774704619387E-3</v>
      </c>
      <c r="CH48" s="49">
        <v>5.6611936957573191E-3</v>
      </c>
      <c r="CI48" s="49">
        <v>5.6045817587997461E-3</v>
      </c>
      <c r="CJ48" s="49">
        <v>5.5485359412117486E-3</v>
      </c>
      <c r="CK48" s="49">
        <v>5.4930505817996312E-3</v>
      </c>
      <c r="CL48" s="49">
        <v>5.4381200759816345E-3</v>
      </c>
      <c r="CM48" s="49">
        <v>5.3837388752218177E-3</v>
      </c>
      <c r="CN48" s="49">
        <v>5.3299014864695996E-3</v>
      </c>
      <c r="CO48" s="49">
        <v>5.2766024716049036E-3</v>
      </c>
      <c r="CP48" s="49">
        <v>5.2238364468888548E-3</v>
      </c>
      <c r="CQ48" s="49">
        <v>5.1715980824199662E-3</v>
      </c>
      <c r="CR48" s="49">
        <v>5.1198821015957666E-3</v>
      </c>
      <c r="CS48" s="49">
        <v>5.0686832805798086E-3</v>
      </c>
      <c r="CT48" s="49">
        <v>5.0179964477740108E-3</v>
      </c>
      <c r="CU48" s="49">
        <v>4.967816483296271E-3</v>
      </c>
      <c r="CV48" s="49">
        <v>4.9181383184633085E-3</v>
      </c>
      <c r="CW48" s="49">
        <v>4.8689569352786755E-3</v>
      </c>
      <c r="CX48" s="48">
        <v>4.820267365925889E-3</v>
      </c>
      <c r="CY48" s="28">
        <v>4.7720646922666298E-3</v>
      </c>
    </row>
    <row r="49" spans="1:103" ht="15.75">
      <c r="A49" s="50">
        <v>67</v>
      </c>
      <c r="B49" s="48">
        <v>1.2930000000000001E-2</v>
      </c>
      <c r="C49" s="48">
        <v>1.2944223000000001E-2</v>
      </c>
      <c r="D49" s="48">
        <v>1.2964933756800003E-2</v>
      </c>
      <c r="E49" s="48">
        <v>1.2986974144186564E-2</v>
      </c>
      <c r="F49" s="48">
        <v>1.3003857210574007E-2</v>
      </c>
      <c r="G49" s="48">
        <v>1.3010359139179292E-2</v>
      </c>
      <c r="H49" s="48">
        <v>1.3001251887781866E-2</v>
      </c>
      <c r="I49" s="48">
        <v>1.2972649133628746E-2</v>
      </c>
      <c r="J49" s="48">
        <v>1.292465033183432E-2</v>
      </c>
      <c r="K49" s="48">
        <v>1.2857442150108781E-2</v>
      </c>
      <c r="L49" s="48">
        <v>1.2775154520348086E-2</v>
      </c>
      <c r="M49" s="48">
        <v>1.2680618376897511E-2</v>
      </c>
      <c r="N49" s="48">
        <v>1.2576637306206952E-2</v>
      </c>
      <c r="O49" s="48">
        <v>1.246470523418171E-2</v>
      </c>
      <c r="P49" s="48">
        <v>1.2348783475503821E-2</v>
      </c>
      <c r="Q49" s="48">
        <v>1.2229000275791433E-2</v>
      </c>
      <c r="R49" s="48">
        <v>1.2109156073088677E-2</v>
      </c>
      <c r="S49" s="48">
        <v>1.1989275427965098E-2</v>
      </c>
      <c r="T49" s="48">
        <v>1.1869382673685447E-2</v>
      </c>
      <c r="U49" s="49">
        <v>1.1750688846948593E-2</v>
      </c>
      <c r="V49" s="49">
        <v>1.1633181958479108E-2</v>
      </c>
      <c r="W49" s="49">
        <v>1.1516850138894317E-2</v>
      </c>
      <c r="X49" s="49">
        <v>1.1401681637505373E-2</v>
      </c>
      <c r="Y49" s="49">
        <v>1.1287664821130319E-2</v>
      </c>
      <c r="Z49" s="49">
        <v>1.1174788172919016E-2</v>
      </c>
      <c r="AA49" s="49">
        <v>1.1063040291189825E-2</v>
      </c>
      <c r="AB49" s="49">
        <v>1.0952409888277927E-2</v>
      </c>
      <c r="AC49" s="49">
        <v>1.0842885789395146E-2</v>
      </c>
      <c r="AD49" s="49">
        <v>1.0734456931501195E-2</v>
      </c>
      <c r="AE49" s="49">
        <v>1.0627112362186183E-2</v>
      </c>
      <c r="AF49" s="49">
        <v>1.0520841238564321E-2</v>
      </c>
      <c r="AG49" s="49">
        <v>1.0415632826178677E-2</v>
      </c>
      <c r="AH49" s="49">
        <v>1.031147649791689E-2</v>
      </c>
      <c r="AI49" s="49">
        <v>1.0208361732937722E-2</v>
      </c>
      <c r="AJ49" s="49">
        <v>1.0106278115608344E-2</v>
      </c>
      <c r="AK49" s="49">
        <v>1.0005215334452261E-2</v>
      </c>
      <c r="AL49" s="49">
        <v>9.905163181107738E-3</v>
      </c>
      <c r="AM49" s="49">
        <v>9.8061115492966613E-3</v>
      </c>
      <c r="AN49" s="49">
        <v>9.7080504338036954E-3</v>
      </c>
      <c r="AO49" s="49">
        <v>9.6109699294656577E-3</v>
      </c>
      <c r="AP49" s="49">
        <v>9.5148602301710003E-3</v>
      </c>
      <c r="AQ49" s="49">
        <v>9.4197116278692903E-3</v>
      </c>
      <c r="AR49" s="49">
        <v>9.325514511590598E-3</v>
      </c>
      <c r="AS49" s="49">
        <v>9.2322593664746922E-3</v>
      </c>
      <c r="AT49" s="49">
        <v>9.1399367728099458E-3</v>
      </c>
      <c r="AU49" s="49">
        <v>9.0485374050818454E-3</v>
      </c>
      <c r="AV49" s="49">
        <v>8.958052031031026E-3</v>
      </c>
      <c r="AW49" s="49">
        <v>8.868471510720715E-3</v>
      </c>
      <c r="AX49" s="49">
        <v>8.7797867956135086E-3</v>
      </c>
      <c r="AY49" s="49">
        <v>8.691988927657374E-3</v>
      </c>
      <c r="AZ49" s="49">
        <v>8.6050690383808002E-3</v>
      </c>
      <c r="BA49" s="49">
        <v>8.5190183479969921E-3</v>
      </c>
      <c r="BB49" s="49">
        <v>8.4338281645170224E-3</v>
      </c>
      <c r="BC49" s="49">
        <v>8.3494898828718519E-3</v>
      </c>
      <c r="BD49" s="49">
        <v>8.2659949840431339E-3</v>
      </c>
      <c r="BE49" s="49">
        <v>8.1833350342027031E-3</v>
      </c>
      <c r="BF49" s="49">
        <v>8.1015016838606752E-3</v>
      </c>
      <c r="BG49" s="49">
        <v>8.0204866670220681E-3</v>
      </c>
      <c r="BH49" s="49">
        <v>7.9402818003518477E-3</v>
      </c>
      <c r="BI49" s="49">
        <v>7.8608789823483294E-3</v>
      </c>
      <c r="BJ49" s="49">
        <v>7.7822701925248459E-3</v>
      </c>
      <c r="BK49" s="49">
        <v>7.7044474905995971E-3</v>
      </c>
      <c r="BL49" s="49">
        <v>7.6274030156936014E-3</v>
      </c>
      <c r="BM49" s="49">
        <v>7.5511289855366651E-3</v>
      </c>
      <c r="BN49" s="49">
        <v>7.4756176956812985E-3</v>
      </c>
      <c r="BO49" s="49">
        <v>7.4008615187244851E-3</v>
      </c>
      <c r="BP49" s="49">
        <v>7.3268529035372398E-3</v>
      </c>
      <c r="BQ49" s="49">
        <v>7.2535843745018674E-3</v>
      </c>
      <c r="BR49" s="49">
        <v>7.1810485307568488E-3</v>
      </c>
      <c r="BS49" s="49">
        <v>7.1092380454492801E-3</v>
      </c>
      <c r="BT49" s="49">
        <v>7.0381456649947875E-3</v>
      </c>
      <c r="BU49" s="49">
        <v>6.9677642083448392E-3</v>
      </c>
      <c r="BV49" s="49">
        <v>6.8980865662613905E-3</v>
      </c>
      <c r="BW49" s="49">
        <v>6.8291057005987763E-3</v>
      </c>
      <c r="BX49" s="49">
        <v>6.7608146435927888E-3</v>
      </c>
      <c r="BY49" s="49">
        <v>6.693206497156861E-3</v>
      </c>
      <c r="BZ49" s="49">
        <v>6.6262744321852925E-3</v>
      </c>
      <c r="CA49" s="49">
        <v>6.5600116878634391E-3</v>
      </c>
      <c r="CB49" s="49">
        <v>6.4944115709848049E-3</v>
      </c>
      <c r="CC49" s="49">
        <v>6.429467455274957E-3</v>
      </c>
      <c r="CD49" s="49">
        <v>6.365172780722207E-3</v>
      </c>
      <c r="CE49" s="49">
        <v>6.3015210529149849E-3</v>
      </c>
      <c r="CF49" s="49">
        <v>6.2385058423858348E-3</v>
      </c>
      <c r="CG49" s="49">
        <v>6.1761207839619763E-3</v>
      </c>
      <c r="CH49" s="49">
        <v>6.1143595761223562E-3</v>
      </c>
      <c r="CI49" s="49">
        <v>6.0532159803611324E-3</v>
      </c>
      <c r="CJ49" s="49">
        <v>5.9926838205575208E-3</v>
      </c>
      <c r="CK49" s="49">
        <v>5.9327569823519454E-3</v>
      </c>
      <c r="CL49" s="49">
        <v>5.8734294125284258E-3</v>
      </c>
      <c r="CM49" s="49">
        <v>5.8146951184031414E-3</v>
      </c>
      <c r="CN49" s="49">
        <v>5.7565481672191103E-3</v>
      </c>
      <c r="CO49" s="49">
        <v>5.6989826855469196E-3</v>
      </c>
      <c r="CP49" s="49">
        <v>5.6419928586914506E-3</v>
      </c>
      <c r="CQ49" s="49">
        <v>5.5855729301045364E-3</v>
      </c>
      <c r="CR49" s="49">
        <v>5.529717200803491E-3</v>
      </c>
      <c r="CS49" s="49">
        <v>5.4744200287954563E-3</v>
      </c>
      <c r="CT49" s="49">
        <v>5.4196758285075019E-3</v>
      </c>
      <c r="CU49" s="49">
        <v>5.3654790702224271E-3</v>
      </c>
      <c r="CV49" s="49">
        <v>5.3118242795202027E-3</v>
      </c>
      <c r="CW49" s="49">
        <v>5.2587060367250008E-3</v>
      </c>
      <c r="CX49" s="48">
        <v>5.2061189763577508E-3</v>
      </c>
      <c r="CY49" s="28">
        <v>5.1540577865941736E-3</v>
      </c>
    </row>
    <row r="50" spans="1:103" ht="15.75">
      <c r="A50" s="50">
        <v>68</v>
      </c>
      <c r="B50" s="48">
        <v>1.4067E-2</v>
      </c>
      <c r="C50" s="48">
        <v>1.4052933E-2</v>
      </c>
      <c r="D50" s="48">
        <v>1.4047311826800002E-2</v>
      </c>
      <c r="E50" s="48">
        <v>1.4047311826800002E-2</v>
      </c>
      <c r="F50" s="48">
        <v>1.4047311826800002E-2</v>
      </c>
      <c r="G50" s="48">
        <v>1.4041692902069282E-2</v>
      </c>
      <c r="H50" s="48">
        <v>1.40248428705868E-2</v>
      </c>
      <c r="I50" s="48">
        <v>1.3993988216271508E-2</v>
      </c>
      <c r="J50" s="48">
        <v>1.394500925751456E-2</v>
      </c>
      <c r="K50" s="48">
        <v>1.387807321307849E-2</v>
      </c>
      <c r="L50" s="48">
        <v>1.379480477380002E-2</v>
      </c>
      <c r="M50" s="48">
        <v>1.369824114038342E-2</v>
      </c>
      <c r="N50" s="48">
        <v>1.359139485948843E-2</v>
      </c>
      <c r="O50" s="48">
        <v>1.3474508863696829E-2</v>
      </c>
      <c r="P50" s="48">
        <v>1.3351890833037188E-2</v>
      </c>
      <c r="Q50" s="48">
        <v>1.3225047870123335E-2</v>
      </c>
      <c r="R50" s="48">
        <v>1.3095442400996126E-2</v>
      </c>
      <c r="S50" s="48">
        <v>1.2965797521226265E-2</v>
      </c>
      <c r="T50" s="48">
        <v>1.2836139546014001E-2</v>
      </c>
      <c r="U50" s="49">
        <v>1.270777815055386E-2</v>
      </c>
      <c r="V50" s="49">
        <v>1.2580700369048322E-2</v>
      </c>
      <c r="W50" s="49">
        <v>1.2454893365357838E-2</v>
      </c>
      <c r="X50" s="49">
        <v>1.2330344431704259E-2</v>
      </c>
      <c r="Y50" s="49">
        <v>1.2207040987387216E-2</v>
      </c>
      <c r="Z50" s="49">
        <v>1.2084970577513343E-2</v>
      </c>
      <c r="AA50" s="49">
        <v>1.1964120871738209E-2</v>
      </c>
      <c r="AB50" s="49">
        <v>1.1844479663020827E-2</v>
      </c>
      <c r="AC50" s="49">
        <v>1.1726034866390619E-2</v>
      </c>
      <c r="AD50" s="49">
        <v>1.1608774517726713E-2</v>
      </c>
      <c r="AE50" s="49">
        <v>1.1492686772549445E-2</v>
      </c>
      <c r="AF50" s="49">
        <v>1.137775990482395E-2</v>
      </c>
      <c r="AG50" s="49">
        <v>1.1263982305775711E-2</v>
      </c>
      <c r="AH50" s="49">
        <v>1.1151342482717954E-2</v>
      </c>
      <c r="AI50" s="49">
        <v>1.1039829057890775E-2</v>
      </c>
      <c r="AJ50" s="49">
        <v>1.0929430767311867E-2</v>
      </c>
      <c r="AK50" s="49">
        <v>1.0820136459638748E-2</v>
      </c>
      <c r="AL50" s="49">
        <v>1.071193509504236E-2</v>
      </c>
      <c r="AM50" s="49">
        <v>1.0604815744091936E-2</v>
      </c>
      <c r="AN50" s="49">
        <v>1.0498767586651017E-2</v>
      </c>
      <c r="AO50" s="49">
        <v>1.0393779910784507E-2</v>
      </c>
      <c r="AP50" s="49">
        <v>1.0289842111676661E-2</v>
      </c>
      <c r="AQ50" s="49">
        <v>1.0186943690559894E-2</v>
      </c>
      <c r="AR50" s="49">
        <v>1.0085074253654295E-2</v>
      </c>
      <c r="AS50" s="49">
        <v>9.9842235111177527E-3</v>
      </c>
      <c r="AT50" s="49">
        <v>9.8843812760065746E-3</v>
      </c>
      <c r="AU50" s="49">
        <v>9.7855374632465093E-3</v>
      </c>
      <c r="AV50" s="49">
        <v>9.6876820886140445E-3</v>
      </c>
      <c r="AW50" s="49">
        <v>9.5908052677279032E-3</v>
      </c>
      <c r="AX50" s="49">
        <v>9.4948972150506235E-3</v>
      </c>
      <c r="AY50" s="49">
        <v>9.3999482429001167E-3</v>
      </c>
      <c r="AZ50" s="49">
        <v>9.3059487604711163E-3</v>
      </c>
      <c r="BA50" s="49">
        <v>9.212889272866405E-3</v>
      </c>
      <c r="BB50" s="49">
        <v>9.1207603801377411E-3</v>
      </c>
      <c r="BC50" s="49">
        <v>9.029552776336363E-3</v>
      </c>
      <c r="BD50" s="49">
        <v>8.9392572485729998E-3</v>
      </c>
      <c r="BE50" s="49">
        <v>8.8498646760872702E-3</v>
      </c>
      <c r="BF50" s="49">
        <v>8.7613660293263968E-3</v>
      </c>
      <c r="BG50" s="49">
        <v>8.673752369033132E-3</v>
      </c>
      <c r="BH50" s="49">
        <v>8.5870148453428014E-3</v>
      </c>
      <c r="BI50" s="49">
        <v>8.501144696889373E-3</v>
      </c>
      <c r="BJ50" s="49">
        <v>8.4161332499204794E-3</v>
      </c>
      <c r="BK50" s="49">
        <v>8.3319719174212749E-3</v>
      </c>
      <c r="BL50" s="49">
        <v>8.2486521982470615E-3</v>
      </c>
      <c r="BM50" s="49">
        <v>8.1661656762645907E-3</v>
      </c>
      <c r="BN50" s="49">
        <v>8.0845040195019445E-3</v>
      </c>
      <c r="BO50" s="49">
        <v>8.0036589793069258E-3</v>
      </c>
      <c r="BP50" s="49">
        <v>7.9236223895138569E-3</v>
      </c>
      <c r="BQ50" s="49">
        <v>7.8443861656187185E-3</v>
      </c>
      <c r="BR50" s="49">
        <v>7.765942303962531E-3</v>
      </c>
      <c r="BS50" s="49">
        <v>7.6882828809229052E-3</v>
      </c>
      <c r="BT50" s="49">
        <v>7.6114000521136762E-3</v>
      </c>
      <c r="BU50" s="49">
        <v>7.5352860515925397E-3</v>
      </c>
      <c r="BV50" s="49">
        <v>7.4599331910766139E-3</v>
      </c>
      <c r="BW50" s="49">
        <v>7.3853338591658478E-3</v>
      </c>
      <c r="BX50" s="49">
        <v>7.3114805205741892E-3</v>
      </c>
      <c r="BY50" s="49">
        <v>7.2383657153684468E-3</v>
      </c>
      <c r="BZ50" s="49">
        <v>7.1659820582147624E-3</v>
      </c>
      <c r="CA50" s="49">
        <v>7.0943222376326151E-3</v>
      </c>
      <c r="CB50" s="49">
        <v>7.023379015256289E-3</v>
      </c>
      <c r="CC50" s="49">
        <v>6.9531452251037264E-3</v>
      </c>
      <c r="CD50" s="49">
        <v>6.8836137728526892E-3</v>
      </c>
      <c r="CE50" s="49">
        <v>6.8147776351241626E-3</v>
      </c>
      <c r="CF50" s="49">
        <v>6.7466298587729213E-3</v>
      </c>
      <c r="CG50" s="49">
        <v>6.6791635601851918E-3</v>
      </c>
      <c r="CH50" s="49">
        <v>6.6123719245833401E-3</v>
      </c>
      <c r="CI50" s="49">
        <v>6.5462482053375067E-3</v>
      </c>
      <c r="CJ50" s="49">
        <v>6.4807857232841316E-3</v>
      </c>
      <c r="CK50" s="49">
        <v>6.4159778660512904E-3</v>
      </c>
      <c r="CL50" s="49">
        <v>6.3518180873907773E-3</v>
      </c>
      <c r="CM50" s="49">
        <v>6.2882999065168692E-3</v>
      </c>
      <c r="CN50" s="49">
        <v>6.2254169074517007E-3</v>
      </c>
      <c r="CO50" s="49">
        <v>6.1631627383771839E-3</v>
      </c>
      <c r="CP50" s="49">
        <v>6.1015311109934118E-3</v>
      </c>
      <c r="CQ50" s="49">
        <v>6.0405157998834778E-3</v>
      </c>
      <c r="CR50" s="49">
        <v>5.9801106418846429E-3</v>
      </c>
      <c r="CS50" s="49">
        <v>5.9203095354657962E-3</v>
      </c>
      <c r="CT50" s="49">
        <v>5.8611064401111381E-3</v>
      </c>
      <c r="CU50" s="49">
        <v>5.8024953757100269E-3</v>
      </c>
      <c r="CV50" s="49">
        <v>5.7444704219529264E-3</v>
      </c>
      <c r="CW50" s="49">
        <v>5.6870257177333971E-3</v>
      </c>
      <c r="CX50" s="48">
        <v>5.6301554605560633E-3</v>
      </c>
      <c r="CY50" s="28">
        <v>5.5738539059505023E-3</v>
      </c>
    </row>
    <row r="51" spans="1:103" ht="15.75">
      <c r="A51" s="50">
        <v>69</v>
      </c>
      <c r="B51" s="48">
        <v>1.5342E-2</v>
      </c>
      <c r="C51" s="48">
        <v>1.5297508199999999E-2</v>
      </c>
      <c r="D51" s="48">
        <v>1.526385368196E-2</v>
      </c>
      <c r="E51" s="48">
        <v>1.5237905130700667E-2</v>
      </c>
      <c r="F51" s="48">
        <v>1.5215048273004617E-2</v>
      </c>
      <c r="G51" s="48">
        <v>1.5192225700595112E-2</v>
      </c>
      <c r="H51" s="48">
        <v>1.5163360471763981E-2</v>
      </c>
      <c r="I51" s="48">
        <v>1.5125452070584572E-2</v>
      </c>
      <c r="J51" s="48">
        <v>1.5072512988337528E-2</v>
      </c>
      <c r="K51" s="48">
        <v>1.500468667989001E-2</v>
      </c>
      <c r="L51" s="48">
        <v>1.4920660434482626E-2</v>
      </c>
      <c r="M51" s="48">
        <v>1.4822184075615039E-2</v>
      </c>
      <c r="N51" s="48">
        <v>1.4711017695047927E-2</v>
      </c>
      <c r="O51" s="48">
        <v>1.458891624817903E-2</v>
      </c>
      <c r="P51" s="48">
        <v>1.4459074893570236E-2</v>
      </c>
      <c r="Q51" s="48">
        <v>1.4323159589570676E-2</v>
      </c>
      <c r="R51" s="48">
        <v>1.4184224941551839E-2</v>
      </c>
      <c r="S51" s="48">
        <v>1.4043801114630475E-2</v>
      </c>
      <c r="T51" s="48">
        <v>1.3903363103484171E-2</v>
      </c>
      <c r="U51" s="49">
        <v>1.3764329472449328E-2</v>
      </c>
      <c r="V51" s="49">
        <v>1.3626686177724836E-2</v>
      </c>
      <c r="W51" s="49">
        <v>1.3490419315947588E-2</v>
      </c>
      <c r="X51" s="49">
        <v>1.3355515122788111E-2</v>
      </c>
      <c r="Y51" s="49">
        <v>1.322195997156023E-2</v>
      </c>
      <c r="Z51" s="49">
        <v>1.3089740371844627E-2</v>
      </c>
      <c r="AA51" s="49">
        <v>1.295884296812618E-2</v>
      </c>
      <c r="AB51" s="49">
        <v>1.2829254538444917E-2</v>
      </c>
      <c r="AC51" s="49">
        <v>1.2700961993060467E-2</v>
      </c>
      <c r="AD51" s="49">
        <v>1.2573952373129863E-2</v>
      </c>
      <c r="AE51" s="49">
        <v>1.2448212849398564E-2</v>
      </c>
      <c r="AF51" s="49">
        <v>1.2323730720904579E-2</v>
      </c>
      <c r="AG51" s="49">
        <v>1.2200493413695532E-2</v>
      </c>
      <c r="AH51" s="49">
        <v>1.2078488479558577E-2</v>
      </c>
      <c r="AI51" s="49">
        <v>1.1957703594762991E-2</v>
      </c>
      <c r="AJ51" s="49">
        <v>1.1838126558815361E-2</v>
      </c>
      <c r="AK51" s="49">
        <v>1.1719745293227208E-2</v>
      </c>
      <c r="AL51" s="49">
        <v>1.1602547840294936E-2</v>
      </c>
      <c r="AM51" s="49">
        <v>1.1486522361891986E-2</v>
      </c>
      <c r="AN51" s="49">
        <v>1.1371657138273065E-2</v>
      </c>
      <c r="AO51" s="49">
        <v>1.1257940566890334E-2</v>
      </c>
      <c r="AP51" s="49">
        <v>1.1145361161221432E-2</v>
      </c>
      <c r="AQ51" s="49">
        <v>1.1033907549609217E-2</v>
      </c>
      <c r="AR51" s="49">
        <v>1.0923568474113124E-2</v>
      </c>
      <c r="AS51" s="49">
        <v>1.0814332789371993E-2</v>
      </c>
      <c r="AT51" s="49">
        <v>1.0706189461478272E-2</v>
      </c>
      <c r="AU51" s="49">
        <v>1.0599127566863488E-2</v>
      </c>
      <c r="AV51" s="49">
        <v>1.0493136291194853E-2</v>
      </c>
      <c r="AW51" s="49">
        <v>1.0388204928282905E-2</v>
      </c>
      <c r="AX51" s="49">
        <v>1.0284322879000076E-2</v>
      </c>
      <c r="AY51" s="49">
        <v>1.0181479650210075E-2</v>
      </c>
      <c r="AZ51" s="49">
        <v>1.0079664853707974E-2</v>
      </c>
      <c r="BA51" s="49">
        <v>9.9788682051708943E-3</v>
      </c>
      <c r="BB51" s="49">
        <v>9.8790795231191858E-3</v>
      </c>
      <c r="BC51" s="49">
        <v>9.7802887278879945E-3</v>
      </c>
      <c r="BD51" s="49">
        <v>9.6824858406091147E-3</v>
      </c>
      <c r="BE51" s="49">
        <v>9.5856609822030231E-3</v>
      </c>
      <c r="BF51" s="49">
        <v>9.4898043723809933E-3</v>
      </c>
      <c r="BG51" s="49">
        <v>9.3949063286571828E-3</v>
      </c>
      <c r="BH51" s="49">
        <v>9.3009572653706112E-3</v>
      </c>
      <c r="BI51" s="49">
        <v>9.2079476927169057E-3</v>
      </c>
      <c r="BJ51" s="49">
        <v>9.115868215789736E-3</v>
      </c>
      <c r="BK51" s="49">
        <v>9.0247095336318389E-3</v>
      </c>
      <c r="BL51" s="49">
        <v>8.9344624382955203E-3</v>
      </c>
      <c r="BM51" s="49">
        <v>8.8451178139125654E-3</v>
      </c>
      <c r="BN51" s="49">
        <v>8.7566666357734389E-3</v>
      </c>
      <c r="BO51" s="49">
        <v>8.6690999694157053E-3</v>
      </c>
      <c r="BP51" s="49">
        <v>8.5824089697215476E-3</v>
      </c>
      <c r="BQ51" s="49">
        <v>8.4965848800243327E-3</v>
      </c>
      <c r="BR51" s="49">
        <v>8.4116190312240897E-3</v>
      </c>
      <c r="BS51" s="49">
        <v>8.3275028409118493E-3</v>
      </c>
      <c r="BT51" s="49">
        <v>8.2442278125027316E-3</v>
      </c>
      <c r="BU51" s="49">
        <v>8.1617855343777048E-3</v>
      </c>
      <c r="BV51" s="49">
        <v>8.0801676790339273E-3</v>
      </c>
      <c r="BW51" s="49">
        <v>7.9993660022435881E-3</v>
      </c>
      <c r="BX51" s="49">
        <v>7.9193723422211516E-3</v>
      </c>
      <c r="BY51" s="49">
        <v>7.8401786187989406E-3</v>
      </c>
      <c r="BZ51" s="49">
        <v>7.7617768326109513E-3</v>
      </c>
      <c r="CA51" s="49">
        <v>7.6841590642848416E-3</v>
      </c>
      <c r="CB51" s="49">
        <v>7.6073174736419934E-3</v>
      </c>
      <c r="CC51" s="49">
        <v>7.5312442989055733E-3</v>
      </c>
      <c r="CD51" s="49">
        <v>7.4559318559165172E-3</v>
      </c>
      <c r="CE51" s="49">
        <v>7.381372537357352E-3</v>
      </c>
      <c r="CF51" s="49">
        <v>7.3075588119837784E-3</v>
      </c>
      <c r="CG51" s="49">
        <v>7.2344832238639403E-3</v>
      </c>
      <c r="CH51" s="49">
        <v>7.1621383916253009E-3</v>
      </c>
      <c r="CI51" s="49">
        <v>7.090517007709048E-3</v>
      </c>
      <c r="CJ51" s="49">
        <v>7.0196118376319571E-3</v>
      </c>
      <c r="CK51" s="49">
        <v>6.9494157192556373E-3</v>
      </c>
      <c r="CL51" s="49">
        <v>6.8799215620630808E-3</v>
      </c>
      <c r="CM51" s="49">
        <v>6.8111223464424496E-3</v>
      </c>
      <c r="CN51" s="49">
        <v>6.7430111229780246E-3</v>
      </c>
      <c r="CO51" s="49">
        <v>6.6755810117482446E-3</v>
      </c>
      <c r="CP51" s="49">
        <v>6.608825201630762E-3</v>
      </c>
      <c r="CQ51" s="49">
        <v>6.5427369496144543E-3</v>
      </c>
      <c r="CR51" s="49">
        <v>6.4773095801183098E-3</v>
      </c>
      <c r="CS51" s="49">
        <v>6.4125364843171263E-3</v>
      </c>
      <c r="CT51" s="49">
        <v>6.348411119473955E-3</v>
      </c>
      <c r="CU51" s="49">
        <v>6.284927008279215E-3</v>
      </c>
      <c r="CV51" s="49">
        <v>6.2220777381964227E-3</v>
      </c>
      <c r="CW51" s="49">
        <v>6.1598569608144584E-3</v>
      </c>
      <c r="CX51" s="48">
        <v>6.0982583912063135E-3</v>
      </c>
      <c r="CY51" s="28">
        <v>6.0372758072942505E-3</v>
      </c>
    </row>
    <row r="52" spans="1:103" ht="15.75">
      <c r="A52" s="50">
        <v>70</v>
      </c>
      <c r="B52" s="48">
        <v>1.6768999999999999E-2</v>
      </c>
      <c r="C52" s="48">
        <v>1.66935395E-2</v>
      </c>
      <c r="D52" s="48">
        <v>1.662843469595E-2</v>
      </c>
      <c r="E52" s="48">
        <v>1.6573560861453365E-2</v>
      </c>
      <c r="F52" s="48">
        <v>1.652549753495515E-2</v>
      </c>
      <c r="G52" s="48">
        <v>1.648087869161077E-2</v>
      </c>
      <c r="H52" s="48">
        <v>1.643638031914342E-2</v>
      </c>
      <c r="I52" s="48">
        <v>1.638707117818599E-2</v>
      </c>
      <c r="J52" s="48">
        <v>1.6328077721944518E-2</v>
      </c>
      <c r="K52" s="48">
        <v>1.6256234179967962E-2</v>
      </c>
      <c r="L52" s="48">
        <v>1.6170076138814132E-2</v>
      </c>
      <c r="M52" s="48">
        <v>1.6069821666753484E-2</v>
      </c>
      <c r="N52" s="48">
        <v>1.5954118950752858E-2</v>
      </c>
      <c r="O52" s="48">
        <v>1.5826485999146836E-2</v>
      </c>
      <c r="P52" s="48">
        <v>1.5688795570954258E-2</v>
      </c>
      <c r="Q52" s="48">
        <v>1.554445865170148E-2</v>
      </c>
      <c r="R52" s="48">
        <v>1.5395231848645144E-2</v>
      </c>
      <c r="S52" s="48">
        <v>1.5244358576528422E-2</v>
      </c>
      <c r="T52" s="48">
        <v>1.5093439426620789E-2</v>
      </c>
      <c r="U52" s="49">
        <v>1.4942505032354581E-2</v>
      </c>
      <c r="V52" s="49">
        <v>1.4793079982031035E-2</v>
      </c>
      <c r="W52" s="49">
        <v>1.4645149182210725E-2</v>
      </c>
      <c r="X52" s="49">
        <v>1.4498697690388617E-2</v>
      </c>
      <c r="Y52" s="49">
        <v>1.4353710713484732E-2</v>
      </c>
      <c r="Z52" s="49">
        <v>1.4210173606349885E-2</v>
      </c>
      <c r="AA52" s="49">
        <v>1.4068071870286386E-2</v>
      </c>
      <c r="AB52" s="49">
        <v>1.3927391151583523E-2</v>
      </c>
      <c r="AC52" s="49">
        <v>1.3788117240067687E-2</v>
      </c>
      <c r="AD52" s="49">
        <v>1.3650236067667011E-2</v>
      </c>
      <c r="AE52" s="49">
        <v>1.351373370699034E-2</v>
      </c>
      <c r="AF52" s="49">
        <v>1.3378596369920436E-2</v>
      </c>
      <c r="AG52" s="49">
        <v>1.3244810406221231E-2</v>
      </c>
      <c r="AH52" s="49">
        <v>1.3112362302159019E-2</v>
      </c>
      <c r="AI52" s="49">
        <v>1.2981238679137429E-2</v>
      </c>
      <c r="AJ52" s="49">
        <v>1.2851426292346054E-2</v>
      </c>
      <c r="AK52" s="49">
        <v>1.2722912029422594E-2</v>
      </c>
      <c r="AL52" s="49">
        <v>1.2595682909128368E-2</v>
      </c>
      <c r="AM52" s="49">
        <v>1.2469726080037085E-2</v>
      </c>
      <c r="AN52" s="49">
        <v>1.2345028819236714E-2</v>
      </c>
      <c r="AO52" s="49">
        <v>1.2221578531044348E-2</v>
      </c>
      <c r="AP52" s="49">
        <v>1.2099362745733904E-2</v>
      </c>
      <c r="AQ52" s="49">
        <v>1.1978369118276565E-2</v>
      </c>
      <c r="AR52" s="49">
        <v>1.1858585427093799E-2</v>
      </c>
      <c r="AS52" s="49">
        <v>1.1739999572822861E-2</v>
      </c>
      <c r="AT52" s="49">
        <v>1.1622599577094633E-2</v>
      </c>
      <c r="AU52" s="49">
        <v>1.1506373581323687E-2</v>
      </c>
      <c r="AV52" s="49">
        <v>1.139130984551045E-2</v>
      </c>
      <c r="AW52" s="49">
        <v>1.1277396747055345E-2</v>
      </c>
      <c r="AX52" s="49">
        <v>1.1164622779584792E-2</v>
      </c>
      <c r="AY52" s="49">
        <v>1.1052976551788943E-2</v>
      </c>
      <c r="AZ52" s="49">
        <v>1.0942446786271053E-2</v>
      </c>
      <c r="BA52" s="49">
        <v>1.0833022318408343E-2</v>
      </c>
      <c r="BB52" s="49">
        <v>1.0724692095224258E-2</v>
      </c>
      <c r="BC52" s="49">
        <v>1.0617445174272015E-2</v>
      </c>
      <c r="BD52" s="49">
        <v>1.0511270722529295E-2</v>
      </c>
      <c r="BE52" s="49">
        <v>1.0406158015304002E-2</v>
      </c>
      <c r="BF52" s="49">
        <v>1.0302096435150961E-2</v>
      </c>
      <c r="BG52" s="49">
        <v>1.0199075470799452E-2</v>
      </c>
      <c r="BH52" s="49">
        <v>1.0097084716091456E-2</v>
      </c>
      <c r="BI52" s="49">
        <v>9.9961138689305413E-3</v>
      </c>
      <c r="BJ52" s="49">
        <v>9.8961527302412356E-3</v>
      </c>
      <c r="BK52" s="49">
        <v>9.797191202938824E-3</v>
      </c>
      <c r="BL52" s="49">
        <v>9.6992192909094357E-3</v>
      </c>
      <c r="BM52" s="49">
        <v>9.6022270980003419E-3</v>
      </c>
      <c r="BN52" s="49">
        <v>9.5062048270203384E-3</v>
      </c>
      <c r="BO52" s="49">
        <v>9.4111427787501346E-3</v>
      </c>
      <c r="BP52" s="49">
        <v>9.3170313509626339E-3</v>
      </c>
      <c r="BQ52" s="49">
        <v>9.2238610374530076E-3</v>
      </c>
      <c r="BR52" s="49">
        <v>9.1316224270784774E-3</v>
      </c>
      <c r="BS52" s="49">
        <v>9.0403062028076922E-3</v>
      </c>
      <c r="BT52" s="49">
        <v>8.9499031407796158E-3</v>
      </c>
      <c r="BU52" s="49">
        <v>8.8604041093718194E-3</v>
      </c>
      <c r="BV52" s="49">
        <v>8.7718000682781017E-3</v>
      </c>
      <c r="BW52" s="49">
        <v>8.6840820675953209E-3</v>
      </c>
      <c r="BX52" s="49">
        <v>8.5972412469193672E-3</v>
      </c>
      <c r="BY52" s="49">
        <v>8.5112688344501728E-3</v>
      </c>
      <c r="BZ52" s="49">
        <v>8.4261561461056716E-3</v>
      </c>
      <c r="CA52" s="49">
        <v>8.3418945846446147E-3</v>
      </c>
      <c r="CB52" s="49">
        <v>8.2584756387981684E-3</v>
      </c>
      <c r="CC52" s="49">
        <v>8.1758908824101865E-3</v>
      </c>
      <c r="CD52" s="49">
        <v>8.0941319735860842E-3</v>
      </c>
      <c r="CE52" s="49">
        <v>8.0131906538502239E-3</v>
      </c>
      <c r="CF52" s="49">
        <v>7.933058747311721E-3</v>
      </c>
      <c r="CG52" s="49">
        <v>7.8537281598386032E-3</v>
      </c>
      <c r="CH52" s="49">
        <v>7.7751908782402171E-3</v>
      </c>
      <c r="CI52" s="49">
        <v>7.6974389694578144E-3</v>
      </c>
      <c r="CJ52" s="49">
        <v>7.6204645797632361E-3</v>
      </c>
      <c r="CK52" s="49">
        <v>7.5442599339656038E-3</v>
      </c>
      <c r="CL52" s="49">
        <v>7.4688173346259476E-3</v>
      </c>
      <c r="CM52" s="49">
        <v>7.3941291612796877E-3</v>
      </c>
      <c r="CN52" s="49">
        <v>7.3201878696668912E-3</v>
      </c>
      <c r="CO52" s="49">
        <v>7.2469859909702226E-3</v>
      </c>
      <c r="CP52" s="49">
        <v>7.1745161310605206E-3</v>
      </c>
      <c r="CQ52" s="49">
        <v>7.1027709697499154E-3</v>
      </c>
      <c r="CR52" s="49">
        <v>7.0317432600524163E-3</v>
      </c>
      <c r="CS52" s="49">
        <v>6.961425827451892E-3</v>
      </c>
      <c r="CT52" s="49">
        <v>6.8918115691773731E-3</v>
      </c>
      <c r="CU52" s="49">
        <v>6.8228934534855989E-3</v>
      </c>
      <c r="CV52" s="49">
        <v>6.7546645189507431E-3</v>
      </c>
      <c r="CW52" s="49">
        <v>6.6871178737612355E-3</v>
      </c>
      <c r="CX52" s="48">
        <v>6.6202466950236235E-3</v>
      </c>
      <c r="CY52" s="28">
        <v>6.5540442280733876E-3</v>
      </c>
    </row>
    <row r="53" spans="1:103" ht="15.75">
      <c r="A53" s="50">
        <v>71</v>
      </c>
      <c r="B53" s="48">
        <v>1.8363000000000001E-2</v>
      </c>
      <c r="C53" s="48">
        <v>1.8256494599999999E-2</v>
      </c>
      <c r="D53" s="48">
        <v>1.8161560828080001E-2</v>
      </c>
      <c r="E53" s="48">
        <v>1.8076201492188023E-2</v>
      </c>
      <c r="F53" s="48">
        <v>1.8000281445920835E-2</v>
      </c>
      <c r="G53" s="48">
        <v>1.7930080348281745E-2</v>
      </c>
      <c r="H53" s="48">
        <v>1.7863739050993102E-2</v>
      </c>
      <c r="I53" s="48">
        <v>1.7797643216504427E-2</v>
      </c>
      <c r="J53" s="48">
        <v>1.772645264363841E-2</v>
      </c>
      <c r="K53" s="48">
        <v>1.7646683606742038E-2</v>
      </c>
      <c r="L53" s="48">
        <v>1.7554920851986979E-2</v>
      </c>
      <c r="M53" s="48">
        <v>1.7449591326875059E-2</v>
      </c>
      <c r="N53" s="48">
        <v>1.7329189146719621E-2</v>
      </c>
      <c r="O53" s="48">
        <v>1.7195754390289877E-2</v>
      </c>
      <c r="P53" s="48">
        <v>1.7049590477972415E-2</v>
      </c>
      <c r="Q53" s="48">
        <v>1.6896144163670662E-2</v>
      </c>
      <c r="R53" s="48">
        <v>1.6735630794115792E-2</v>
      </c>
      <c r="S53" s="48">
        <v>1.6571621612333456E-2</v>
      </c>
      <c r="T53" s="48">
        <v>1.6407562558371353E-2</v>
      </c>
      <c r="U53" s="49">
        <v>1.624348693278764E-2</v>
      </c>
      <c r="V53" s="49">
        <v>1.6081052063459764E-2</v>
      </c>
      <c r="W53" s="49">
        <v>1.5920241542825165E-2</v>
      </c>
      <c r="X53" s="49">
        <v>1.5761039127396913E-2</v>
      </c>
      <c r="Y53" s="49">
        <v>1.5603428736122945E-2</v>
      </c>
      <c r="Z53" s="49">
        <v>1.5447394448761715E-2</v>
      </c>
      <c r="AA53" s="49">
        <v>1.5292920504274098E-2</v>
      </c>
      <c r="AB53" s="49">
        <v>1.5139991299231357E-2</v>
      </c>
      <c r="AC53" s="49">
        <v>1.4988591386239043E-2</v>
      </c>
      <c r="AD53" s="49">
        <v>1.4838705472376652E-2</v>
      </c>
      <c r="AE53" s="49">
        <v>1.4690318417652885E-2</v>
      </c>
      <c r="AF53" s="49">
        <v>1.4543415233476357E-2</v>
      </c>
      <c r="AG53" s="49">
        <v>1.4397981081141592E-2</v>
      </c>
      <c r="AH53" s="49">
        <v>1.4254001270330177E-2</v>
      </c>
      <c r="AI53" s="49">
        <v>1.4111461257626875E-2</v>
      </c>
      <c r="AJ53" s="49">
        <v>1.3970346645050606E-2</v>
      </c>
      <c r="AK53" s="49">
        <v>1.38306431786001E-2</v>
      </c>
      <c r="AL53" s="49">
        <v>1.36923367468141E-2</v>
      </c>
      <c r="AM53" s="49">
        <v>1.3555413379345958E-2</v>
      </c>
      <c r="AN53" s="49">
        <v>1.3419859245552498E-2</v>
      </c>
      <c r="AO53" s="49">
        <v>1.3285660653096972E-2</v>
      </c>
      <c r="AP53" s="49">
        <v>1.3152804046566002E-2</v>
      </c>
      <c r="AQ53" s="49">
        <v>1.3021276006100341E-2</v>
      </c>
      <c r="AR53" s="49">
        <v>1.2891063246039338E-2</v>
      </c>
      <c r="AS53" s="49">
        <v>1.2762152613578943E-2</v>
      </c>
      <c r="AT53" s="49">
        <v>1.2634531087443154E-2</v>
      </c>
      <c r="AU53" s="49">
        <v>1.2508185776568722E-2</v>
      </c>
      <c r="AV53" s="49">
        <v>1.2383103918803035E-2</v>
      </c>
      <c r="AW53" s="49">
        <v>1.2259272879615004E-2</v>
      </c>
      <c r="AX53" s="49">
        <v>1.2136680150818854E-2</v>
      </c>
      <c r="AY53" s="49">
        <v>1.2015313349310665E-2</v>
      </c>
      <c r="AZ53" s="49">
        <v>1.1895160215817558E-2</v>
      </c>
      <c r="BA53" s="49">
        <v>1.1776208613659384E-2</v>
      </c>
      <c r="BB53" s="49">
        <v>1.1658446527522789E-2</v>
      </c>
      <c r="BC53" s="49">
        <v>1.1541862062247561E-2</v>
      </c>
      <c r="BD53" s="49">
        <v>1.1426443441625085E-2</v>
      </c>
      <c r="BE53" s="49">
        <v>1.1312179007208835E-2</v>
      </c>
      <c r="BF53" s="49">
        <v>1.1199057217136746E-2</v>
      </c>
      <c r="BG53" s="49">
        <v>1.1087066644965379E-2</v>
      </c>
      <c r="BH53" s="49">
        <v>1.0976195978515726E-2</v>
      </c>
      <c r="BI53" s="49">
        <v>1.0866434018730569E-2</v>
      </c>
      <c r="BJ53" s="49">
        <v>1.0757769678543264E-2</v>
      </c>
      <c r="BK53" s="49">
        <v>1.0650191981757831E-2</v>
      </c>
      <c r="BL53" s="49">
        <v>1.0543690061940253E-2</v>
      </c>
      <c r="BM53" s="49">
        <v>1.0438253161320851E-2</v>
      </c>
      <c r="BN53" s="49">
        <v>1.0333870629707642E-2</v>
      </c>
      <c r="BO53" s="49">
        <v>1.0230531923410566E-2</v>
      </c>
      <c r="BP53" s="49">
        <v>1.0128226604176459E-2</v>
      </c>
      <c r="BQ53" s="49">
        <v>1.0026944338134695E-2</v>
      </c>
      <c r="BR53" s="49">
        <v>9.9266748947533477E-3</v>
      </c>
      <c r="BS53" s="49">
        <v>9.8274081458058146E-3</v>
      </c>
      <c r="BT53" s="49">
        <v>9.7291340643477567E-3</v>
      </c>
      <c r="BU53" s="49">
        <v>9.6318427237042786E-3</v>
      </c>
      <c r="BV53" s="49">
        <v>9.5355242964672363E-3</v>
      </c>
      <c r="BW53" s="49">
        <v>9.4401690535025635E-3</v>
      </c>
      <c r="BX53" s="49">
        <v>9.3457673629675376E-3</v>
      </c>
      <c r="BY53" s="49">
        <v>9.2523096893378613E-3</v>
      </c>
      <c r="BZ53" s="49">
        <v>9.159786592444482E-3</v>
      </c>
      <c r="CA53" s="49">
        <v>9.0681887265200364E-3</v>
      </c>
      <c r="CB53" s="49">
        <v>8.9775068392548354E-3</v>
      </c>
      <c r="CC53" s="49">
        <v>8.8877317708622866E-3</v>
      </c>
      <c r="CD53" s="49">
        <v>8.7988544531536639E-3</v>
      </c>
      <c r="CE53" s="49">
        <v>8.7108659086221271E-3</v>
      </c>
      <c r="CF53" s="49">
        <v>8.6237572495359051E-3</v>
      </c>
      <c r="CG53" s="49">
        <v>8.5375196770405455E-3</v>
      </c>
      <c r="CH53" s="49">
        <v>8.4521444802701396E-3</v>
      </c>
      <c r="CI53" s="49">
        <v>8.3676230354674374E-3</v>
      </c>
      <c r="CJ53" s="49">
        <v>8.2839468051127633E-3</v>
      </c>
      <c r="CK53" s="49">
        <v>8.2011073370616364E-3</v>
      </c>
      <c r="CL53" s="49">
        <v>8.1190962636910197E-3</v>
      </c>
      <c r="CM53" s="49">
        <v>8.0379053010541102E-3</v>
      </c>
      <c r="CN53" s="49">
        <v>7.9575262480435695E-3</v>
      </c>
      <c r="CO53" s="49">
        <v>7.8779509855631345E-3</v>
      </c>
      <c r="CP53" s="49">
        <v>7.7991714757075026E-3</v>
      </c>
      <c r="CQ53" s="49">
        <v>7.7211797609504276E-3</v>
      </c>
      <c r="CR53" s="49">
        <v>7.6439679633409233E-3</v>
      </c>
      <c r="CS53" s="49">
        <v>7.5675282837075137E-3</v>
      </c>
      <c r="CT53" s="49">
        <v>7.4918530008704388E-3</v>
      </c>
      <c r="CU53" s="49">
        <v>7.4169344708617342E-3</v>
      </c>
      <c r="CV53" s="49">
        <v>7.3427651261531168E-3</v>
      </c>
      <c r="CW53" s="49">
        <v>7.269337474891586E-3</v>
      </c>
      <c r="CX53" s="48">
        <v>7.1966441001426696E-3</v>
      </c>
      <c r="CY53" s="28">
        <v>7.1246776591412427E-3</v>
      </c>
    </row>
    <row r="54" spans="1:103" ht="15.75">
      <c r="A54" s="50">
        <v>72</v>
      </c>
      <c r="B54" s="48">
        <v>2.0140999999999999E-2</v>
      </c>
      <c r="C54" s="48">
        <v>2.0006055299999999E-2</v>
      </c>
      <c r="D54" s="48">
        <v>1.9880017151609999E-2</v>
      </c>
      <c r="E54" s="48">
        <v>1.97627250504155E-2</v>
      </c>
      <c r="F54" s="48">
        <v>1.9656006335143257E-2</v>
      </c>
      <c r="G54" s="48">
        <v>1.955772630346754E-2</v>
      </c>
      <c r="H54" s="48">
        <v>1.946776076247159E-2</v>
      </c>
      <c r="I54" s="48">
        <v>1.9380155839040469E-2</v>
      </c>
      <c r="J54" s="48">
        <v>1.9292945137764788E-2</v>
      </c>
      <c r="K54" s="48">
        <v>1.9200339001103517E-2</v>
      </c>
      <c r="L54" s="48">
        <v>1.9098577204397667E-2</v>
      </c>
      <c r="M54" s="48">
        <v>1.898589559889172E-2</v>
      </c>
      <c r="N54" s="48">
        <v>1.8858690098379146E-2</v>
      </c>
      <c r="O54" s="48">
        <v>1.8717249922641302E-2</v>
      </c>
      <c r="P54" s="48">
        <v>1.8561896748283381E-2</v>
      </c>
      <c r="Q54" s="48">
        <v>1.8396695867223659E-2</v>
      </c>
      <c r="R54" s="48">
        <v>1.8223766926071756E-2</v>
      </c>
      <c r="S54" s="48">
        <v>1.804699638688886E-2</v>
      </c>
      <c r="T54" s="48">
        <v>1.7868331122658659E-2</v>
      </c>
      <c r="U54" s="49">
        <v>1.7689647811432074E-2</v>
      </c>
      <c r="V54" s="49">
        <v>1.7512751333317752E-2</v>
      </c>
      <c r="W54" s="49">
        <v>1.7337623819984573E-2</v>
      </c>
      <c r="X54" s="49">
        <v>1.7164247581784729E-2</v>
      </c>
      <c r="Y54" s="49">
        <v>1.6992605105966882E-2</v>
      </c>
      <c r="Z54" s="49">
        <v>1.6822679054907214E-2</v>
      </c>
      <c r="AA54" s="49">
        <v>1.6654452264358143E-2</v>
      </c>
      <c r="AB54" s="49">
        <v>1.6487907741714561E-2</v>
      </c>
      <c r="AC54" s="49">
        <v>1.6323028664297416E-2</v>
      </c>
      <c r="AD54" s="49">
        <v>1.6159798377654442E-2</v>
      </c>
      <c r="AE54" s="49">
        <v>1.5998200393877896E-2</v>
      </c>
      <c r="AF54" s="49">
        <v>1.5838218389939117E-2</v>
      </c>
      <c r="AG54" s="49">
        <v>1.5679836206039726E-2</v>
      </c>
      <c r="AH54" s="49">
        <v>1.5523037843979329E-2</v>
      </c>
      <c r="AI54" s="49">
        <v>1.5367807465539536E-2</v>
      </c>
      <c r="AJ54" s="49">
        <v>1.5214129390884141E-2</v>
      </c>
      <c r="AK54" s="49">
        <v>1.5061988096975299E-2</v>
      </c>
      <c r="AL54" s="49">
        <v>1.4911368216005546E-2</v>
      </c>
      <c r="AM54" s="49">
        <v>1.4762254533845491E-2</v>
      </c>
      <c r="AN54" s="49">
        <v>1.4614631988507036E-2</v>
      </c>
      <c r="AO54" s="49">
        <v>1.4468485668621965E-2</v>
      </c>
      <c r="AP54" s="49">
        <v>1.4323800811935745E-2</v>
      </c>
      <c r="AQ54" s="49">
        <v>1.4180562803816387E-2</v>
      </c>
      <c r="AR54" s="49">
        <v>1.4038757175778224E-2</v>
      </c>
      <c r="AS54" s="49">
        <v>1.3898369604020442E-2</v>
      </c>
      <c r="AT54" s="49">
        <v>1.3759385907980237E-2</v>
      </c>
      <c r="AU54" s="49">
        <v>1.3621792048900435E-2</v>
      </c>
      <c r="AV54" s="49">
        <v>1.3485574128411431E-2</v>
      </c>
      <c r="AW54" s="49">
        <v>1.3350718387127317E-2</v>
      </c>
      <c r="AX54" s="49">
        <v>1.3217211203256043E-2</v>
      </c>
      <c r="AY54" s="49">
        <v>1.3085039091223483E-2</v>
      </c>
      <c r="AZ54" s="49">
        <v>1.2954188700311248E-2</v>
      </c>
      <c r="BA54" s="49">
        <v>1.2824646813308136E-2</v>
      </c>
      <c r="BB54" s="49">
        <v>1.2696400345175055E-2</v>
      </c>
      <c r="BC54" s="49">
        <v>1.2569436341723304E-2</v>
      </c>
      <c r="BD54" s="49">
        <v>1.2443741978306071E-2</v>
      </c>
      <c r="BE54" s="49">
        <v>1.231930455852301E-2</v>
      </c>
      <c r="BF54" s="49">
        <v>1.219611151293778E-2</v>
      </c>
      <c r="BG54" s="49">
        <v>1.2074150397808401E-2</v>
      </c>
      <c r="BH54" s="49">
        <v>1.1953408893830317E-2</v>
      </c>
      <c r="BI54" s="49">
        <v>1.1833874804892014E-2</v>
      </c>
      <c r="BJ54" s="49">
        <v>1.1715536056843093E-2</v>
      </c>
      <c r="BK54" s="49">
        <v>1.1598380696274661E-2</v>
      </c>
      <c r="BL54" s="49">
        <v>1.1482396889311915E-2</v>
      </c>
      <c r="BM54" s="49">
        <v>1.1367572920418796E-2</v>
      </c>
      <c r="BN54" s="49">
        <v>1.1253897191214609E-2</v>
      </c>
      <c r="BO54" s="49">
        <v>1.1141358219302462E-2</v>
      </c>
      <c r="BP54" s="49">
        <v>1.1029944637109438E-2</v>
      </c>
      <c r="BQ54" s="49">
        <v>1.0919645190738344E-2</v>
      </c>
      <c r="BR54" s="49">
        <v>1.081044873883096E-2</v>
      </c>
      <c r="BS54" s="49">
        <v>1.070234425144265E-2</v>
      </c>
      <c r="BT54" s="49">
        <v>1.0595320808928223E-2</v>
      </c>
      <c r="BU54" s="49">
        <v>1.0489367600838941E-2</v>
      </c>
      <c r="BV54" s="49">
        <v>1.0384473924830551E-2</v>
      </c>
      <c r="BW54" s="49">
        <v>1.0280629185582245E-2</v>
      </c>
      <c r="BX54" s="49">
        <v>1.0177822893726422E-2</v>
      </c>
      <c r="BY54" s="49">
        <v>1.0076044664789159E-2</v>
      </c>
      <c r="BZ54" s="49">
        <v>9.9752842181412664E-3</v>
      </c>
      <c r="CA54" s="49">
        <v>9.8755313759598534E-3</v>
      </c>
      <c r="CB54" s="49">
        <v>9.7767760622002545E-3</v>
      </c>
      <c r="CC54" s="49">
        <v>9.6790083015782513E-3</v>
      </c>
      <c r="CD54" s="49">
        <v>9.5822182185624685E-3</v>
      </c>
      <c r="CE54" s="49">
        <v>9.4863960363768436E-3</v>
      </c>
      <c r="CF54" s="49">
        <v>9.3915320760130754E-3</v>
      </c>
      <c r="CG54" s="49">
        <v>9.2976167552529451E-3</v>
      </c>
      <c r="CH54" s="49">
        <v>9.2046405877004162E-3</v>
      </c>
      <c r="CI54" s="49">
        <v>9.1125941818234121E-3</v>
      </c>
      <c r="CJ54" s="49">
        <v>9.0214682400051784E-3</v>
      </c>
      <c r="CK54" s="49">
        <v>8.9312535576051271E-3</v>
      </c>
      <c r="CL54" s="49">
        <v>8.8419410220290755E-3</v>
      </c>
      <c r="CM54" s="49">
        <v>8.7535216118087844E-3</v>
      </c>
      <c r="CN54" s="49">
        <v>8.665986395690696E-3</v>
      </c>
      <c r="CO54" s="49">
        <v>8.5793265317337889E-3</v>
      </c>
      <c r="CP54" s="49">
        <v>8.4935332664164507E-3</v>
      </c>
      <c r="CQ54" s="49">
        <v>8.4085979337522859E-3</v>
      </c>
      <c r="CR54" s="49">
        <v>8.3245119544147622E-3</v>
      </c>
      <c r="CS54" s="49">
        <v>8.2412668348706142E-3</v>
      </c>
      <c r="CT54" s="49">
        <v>8.1588541665219075E-3</v>
      </c>
      <c r="CU54" s="49">
        <v>8.0772656248566891E-3</v>
      </c>
      <c r="CV54" s="49">
        <v>7.9964929686081217E-3</v>
      </c>
      <c r="CW54" s="49">
        <v>7.91652803892204E-3</v>
      </c>
      <c r="CX54" s="48">
        <v>7.8373627585328204E-3</v>
      </c>
      <c r="CY54" s="28">
        <v>7.7589891309474924E-3</v>
      </c>
    </row>
    <row r="55" spans="1:103" ht="15.75">
      <c r="A55" s="50">
        <v>73</v>
      </c>
      <c r="B55" s="48">
        <v>2.2127000000000001E-2</v>
      </c>
      <c r="C55" s="48">
        <v>2.1963260200000001E-2</v>
      </c>
      <c r="D55" s="48">
        <v>2.180732105258E-2</v>
      </c>
      <c r="E55" s="48">
        <v>2.1659031269422455E-2</v>
      </c>
      <c r="F55" s="48">
        <v>2.1520413469298151E-2</v>
      </c>
      <c r="G55" s="48">
        <v>2.139344302982929E-2</v>
      </c>
      <c r="H55" s="48">
        <v>2.1273639748862243E-2</v>
      </c>
      <c r="I55" s="48">
        <v>2.1160889458193274E-2</v>
      </c>
      <c r="J55" s="48">
        <v>2.1050852833010669E-2</v>
      </c>
      <c r="K55" s="48">
        <v>2.0939283312995712E-2</v>
      </c>
      <c r="L55" s="48">
        <v>2.0824117254774236E-2</v>
      </c>
      <c r="M55" s="48">
        <v>2.0699172551245589E-2</v>
      </c>
      <c r="N55" s="48">
        <v>2.0562558012407368E-2</v>
      </c>
      <c r="O55" s="48">
        <v>2.0410395083115554E-2</v>
      </c>
      <c r="P55" s="48">
        <v>2.0245070882942317E-2</v>
      </c>
      <c r="Q55" s="48">
        <v>2.006893876626072E-2</v>
      </c>
      <c r="R55" s="48">
        <v>1.9882297635734496E-2</v>
      </c>
      <c r="S55" s="48">
        <v>1.9691427578431443E-2</v>
      </c>
      <c r="T55" s="48">
        <v>1.9496482445404972E-2</v>
      </c>
      <c r="U55" s="49">
        <v>1.9301517620950923E-2</v>
      </c>
      <c r="V55" s="49">
        <v>1.9108502444741413E-2</v>
      </c>
      <c r="W55" s="49">
        <v>1.8917417420294E-2</v>
      </c>
      <c r="X55" s="49">
        <v>1.8728243246091059E-2</v>
      </c>
      <c r="Y55" s="49">
        <v>1.8540960813630148E-2</v>
      </c>
      <c r="Z55" s="49">
        <v>1.8355551205493845E-2</v>
      </c>
      <c r="AA55" s="49">
        <v>1.8171995693438907E-2</v>
      </c>
      <c r="AB55" s="49">
        <v>1.7990275736504517E-2</v>
      </c>
      <c r="AC55" s="49">
        <v>1.7810372979139472E-2</v>
      </c>
      <c r="AD55" s="49">
        <v>1.7632269249348076E-2</v>
      </c>
      <c r="AE55" s="49">
        <v>1.7455946556854594E-2</v>
      </c>
      <c r="AF55" s="49">
        <v>1.7281387091286047E-2</v>
      </c>
      <c r="AG55" s="49">
        <v>1.7108573220373187E-2</v>
      </c>
      <c r="AH55" s="49">
        <v>1.6937487488169454E-2</v>
      </c>
      <c r="AI55" s="49">
        <v>1.6768112613287759E-2</v>
      </c>
      <c r="AJ55" s="49">
        <v>1.6600431487154881E-2</v>
      </c>
      <c r="AK55" s="49">
        <v>1.6434427172283331E-2</v>
      </c>
      <c r="AL55" s="49">
        <v>1.6270082900560499E-2</v>
      </c>
      <c r="AM55" s="49">
        <v>1.6107382071554894E-2</v>
      </c>
      <c r="AN55" s="49">
        <v>1.5946308250839345E-2</v>
      </c>
      <c r="AO55" s="49">
        <v>1.5786845168330951E-2</v>
      </c>
      <c r="AP55" s="49">
        <v>1.562897671664764E-2</v>
      </c>
      <c r="AQ55" s="49">
        <v>1.5472686949481163E-2</v>
      </c>
      <c r="AR55" s="49">
        <v>1.5317960079986351E-2</v>
      </c>
      <c r="AS55" s="49">
        <v>1.5164780479186488E-2</v>
      </c>
      <c r="AT55" s="49">
        <v>1.5013132674394624E-2</v>
      </c>
      <c r="AU55" s="49">
        <v>1.4863001347650678E-2</v>
      </c>
      <c r="AV55" s="49">
        <v>1.4714371334174171E-2</v>
      </c>
      <c r="AW55" s="49">
        <v>1.4567227620832429E-2</v>
      </c>
      <c r="AX55" s="49">
        <v>1.4421555344624104E-2</v>
      </c>
      <c r="AY55" s="49">
        <v>1.4277339791177863E-2</v>
      </c>
      <c r="AZ55" s="49">
        <v>1.4134566393266084E-2</v>
      </c>
      <c r="BA55" s="49">
        <v>1.3993220729333422E-2</v>
      </c>
      <c r="BB55" s="49">
        <v>1.3853288522040088E-2</v>
      </c>
      <c r="BC55" s="49">
        <v>1.3714755636819688E-2</v>
      </c>
      <c r="BD55" s="49">
        <v>1.3577608080451491E-2</v>
      </c>
      <c r="BE55" s="49">
        <v>1.3441831999646976E-2</v>
      </c>
      <c r="BF55" s="49">
        <v>1.3307413679650507E-2</v>
      </c>
      <c r="BG55" s="49">
        <v>1.3174339542854002E-2</v>
      </c>
      <c r="BH55" s="49">
        <v>1.3042596147425461E-2</v>
      </c>
      <c r="BI55" s="49">
        <v>1.2912170185951206E-2</v>
      </c>
      <c r="BJ55" s="49">
        <v>1.2783048484091694E-2</v>
      </c>
      <c r="BK55" s="49">
        <v>1.2655217999250777E-2</v>
      </c>
      <c r="BL55" s="49">
        <v>1.252866581925827E-2</v>
      </c>
      <c r="BM55" s="49">
        <v>1.2403379161065688E-2</v>
      </c>
      <c r="BN55" s="49">
        <v>1.2279345369455031E-2</v>
      </c>
      <c r="BO55" s="49">
        <v>1.2156551915760481E-2</v>
      </c>
      <c r="BP55" s="49">
        <v>1.2034986396602877E-2</v>
      </c>
      <c r="BQ55" s="49">
        <v>1.1914636532636847E-2</v>
      </c>
      <c r="BR55" s="49">
        <v>1.1795490167310478E-2</v>
      </c>
      <c r="BS55" s="49">
        <v>1.1677535265637374E-2</v>
      </c>
      <c r="BT55" s="49">
        <v>1.1560759912981E-2</v>
      </c>
      <c r="BU55" s="49">
        <v>1.144515231385119E-2</v>
      </c>
      <c r="BV55" s="49">
        <v>1.1330700790712678E-2</v>
      </c>
      <c r="BW55" s="49">
        <v>1.1217393782805552E-2</v>
      </c>
      <c r="BX55" s="49">
        <v>1.1105219844977497E-2</v>
      </c>
      <c r="BY55" s="49">
        <v>1.0994167646527723E-2</v>
      </c>
      <c r="BZ55" s="49">
        <v>1.0884225970062446E-2</v>
      </c>
      <c r="CA55" s="49">
        <v>1.0775383710361821E-2</v>
      </c>
      <c r="CB55" s="49">
        <v>1.0667629873258203E-2</v>
      </c>
      <c r="CC55" s="49">
        <v>1.0560953574525621E-2</v>
      </c>
      <c r="CD55" s="49">
        <v>1.0455344038780364E-2</v>
      </c>
      <c r="CE55" s="49">
        <v>1.0350790598392562E-2</v>
      </c>
      <c r="CF55" s="49">
        <v>1.0247282692408636E-2</v>
      </c>
      <c r="CG55" s="49">
        <v>1.014480986548455E-2</v>
      </c>
      <c r="CH55" s="49">
        <v>1.0043361766829705E-2</v>
      </c>
      <c r="CI55" s="49">
        <v>9.9429281491614074E-3</v>
      </c>
      <c r="CJ55" s="49">
        <v>9.8434988676697928E-3</v>
      </c>
      <c r="CK55" s="49">
        <v>9.7450638789930953E-3</v>
      </c>
      <c r="CL55" s="49">
        <v>9.647613240203164E-3</v>
      </c>
      <c r="CM55" s="49">
        <v>9.5511371078011321E-3</v>
      </c>
      <c r="CN55" s="49">
        <v>9.4556257367231205E-3</v>
      </c>
      <c r="CO55" s="49">
        <v>9.3610694793558897E-3</v>
      </c>
      <c r="CP55" s="49">
        <v>9.267458784562331E-3</v>
      </c>
      <c r="CQ55" s="49">
        <v>9.1747841967167072E-3</v>
      </c>
      <c r="CR55" s="49">
        <v>9.0830363547495397E-3</v>
      </c>
      <c r="CS55" s="49">
        <v>8.9922059912020437E-3</v>
      </c>
      <c r="CT55" s="49">
        <v>8.9022839312900229E-3</v>
      </c>
      <c r="CU55" s="49">
        <v>8.8132610919771232E-3</v>
      </c>
      <c r="CV55" s="49">
        <v>8.7251284810573523E-3</v>
      </c>
      <c r="CW55" s="49">
        <v>8.6378771962467779E-3</v>
      </c>
      <c r="CX55" s="48">
        <v>8.5514984242843102E-3</v>
      </c>
      <c r="CY55" s="28">
        <v>8.4659834400414666E-3</v>
      </c>
    </row>
    <row r="56" spans="1:103" ht="15.75">
      <c r="A56" s="50">
        <v>74</v>
      </c>
      <c r="B56" s="48">
        <v>2.4344999999999999E-2</v>
      </c>
      <c r="C56" s="48">
        <v>2.4152674499999999E-2</v>
      </c>
      <c r="D56" s="48">
        <v>2.3966698906349997E-2</v>
      </c>
      <c r="E56" s="48">
        <v>2.3789345334443008E-2</v>
      </c>
      <c r="F56" s="48">
        <v>2.3620440982568464E-2</v>
      </c>
      <c r="G56" s="48">
        <v>2.3459821983886998E-2</v>
      </c>
      <c r="H56" s="48">
        <v>2.3309679123190121E-2</v>
      </c>
      <c r="I56" s="48">
        <v>2.3167490080538661E-2</v>
      </c>
      <c r="J56" s="48">
        <v>2.3030801889063483E-2</v>
      </c>
      <c r="K56" s="48">
        <v>2.2897223238106914E-2</v>
      </c>
      <c r="L56" s="48">
        <v>2.2762129621002082E-2</v>
      </c>
      <c r="M56" s="48">
        <v>2.2621004417351868E-2</v>
      </c>
      <c r="N56" s="48">
        <v>2.2469443687755612E-2</v>
      </c>
      <c r="O56" s="48">
        <v>2.2305416748834996E-2</v>
      </c>
      <c r="P56" s="48">
        <v>2.2126973414844316E-2</v>
      </c>
      <c r="Q56" s="48">
        <v>2.1936681443476654E-2</v>
      </c>
      <c r="R56" s="48">
        <v>2.1734863974196668E-2</v>
      </c>
      <c r="S56" s="48">
        <v>2.1526209280044378E-2</v>
      </c>
      <c r="T56" s="48">
        <v>2.1315252429099943E-2</v>
      </c>
      <c r="U56" s="49">
        <v>2.1102099904808942E-2</v>
      </c>
      <c r="V56" s="49">
        <v>2.0891078905760852E-2</v>
      </c>
      <c r="W56" s="49">
        <v>2.0682168116703245E-2</v>
      </c>
      <c r="X56" s="49">
        <v>2.0475346435536213E-2</v>
      </c>
      <c r="Y56" s="49">
        <v>2.0270592971180851E-2</v>
      </c>
      <c r="Z56" s="49">
        <v>2.0067887041469043E-2</v>
      </c>
      <c r="AA56" s="49">
        <v>1.9867208171054352E-2</v>
      </c>
      <c r="AB56" s="49">
        <v>1.9668536089343807E-2</v>
      </c>
      <c r="AC56" s="49">
        <v>1.9471850728450368E-2</v>
      </c>
      <c r="AD56" s="49">
        <v>1.9277132221165866E-2</v>
      </c>
      <c r="AE56" s="49">
        <v>1.9084360898954208E-2</v>
      </c>
      <c r="AF56" s="49">
        <v>1.8893517289964665E-2</v>
      </c>
      <c r="AG56" s="49">
        <v>1.8704582117065018E-2</v>
      </c>
      <c r="AH56" s="49">
        <v>1.8517536295894369E-2</v>
      </c>
      <c r="AI56" s="49">
        <v>1.8332360932935426E-2</v>
      </c>
      <c r="AJ56" s="49">
        <v>1.8149037323606072E-2</v>
      </c>
      <c r="AK56" s="49">
        <v>1.7967546950370013E-2</v>
      </c>
      <c r="AL56" s="49">
        <v>1.7787871480866312E-2</v>
      </c>
      <c r="AM56" s="49">
        <v>1.7609992766057649E-2</v>
      </c>
      <c r="AN56" s="49">
        <v>1.7433892838397073E-2</v>
      </c>
      <c r="AO56" s="49">
        <v>1.7259553910013103E-2</v>
      </c>
      <c r="AP56" s="49">
        <v>1.7086958370912973E-2</v>
      </c>
      <c r="AQ56" s="49">
        <v>1.6916088787203843E-2</v>
      </c>
      <c r="AR56" s="49">
        <v>1.6746927899331805E-2</v>
      </c>
      <c r="AS56" s="49">
        <v>1.6579458620338487E-2</v>
      </c>
      <c r="AT56" s="49">
        <v>1.6413664034135102E-2</v>
      </c>
      <c r="AU56" s="49">
        <v>1.6249527393793751E-2</v>
      </c>
      <c r="AV56" s="49">
        <v>1.6087032119855814E-2</v>
      </c>
      <c r="AW56" s="49">
        <v>1.5926161798657256E-2</v>
      </c>
      <c r="AX56" s="49">
        <v>1.5766900180670684E-2</v>
      </c>
      <c r="AY56" s="49">
        <v>1.5609231178863977E-2</v>
      </c>
      <c r="AZ56" s="49">
        <v>1.5453138867075337E-2</v>
      </c>
      <c r="BA56" s="49">
        <v>1.5298607478404584E-2</v>
      </c>
      <c r="BB56" s="49">
        <v>1.5145621403620538E-2</v>
      </c>
      <c r="BC56" s="49">
        <v>1.4994165189584333E-2</v>
      </c>
      <c r="BD56" s="49">
        <v>1.4844223537688489E-2</v>
      </c>
      <c r="BE56" s="49">
        <v>1.4695781302311604E-2</v>
      </c>
      <c r="BF56" s="49">
        <v>1.4548823489288489E-2</v>
      </c>
      <c r="BG56" s="49">
        <v>1.4403335254395603E-2</v>
      </c>
      <c r="BH56" s="49">
        <v>1.4259301901851647E-2</v>
      </c>
      <c r="BI56" s="49">
        <v>1.4116708882833132E-2</v>
      </c>
      <c r="BJ56" s="49">
        <v>1.39755417940048E-2</v>
      </c>
      <c r="BK56" s="49">
        <v>1.3835786376064751E-2</v>
      </c>
      <c r="BL56" s="49">
        <v>1.3697428512304103E-2</v>
      </c>
      <c r="BM56" s="49">
        <v>1.3560454227181062E-2</v>
      </c>
      <c r="BN56" s="49">
        <v>1.3424849684909252E-2</v>
      </c>
      <c r="BO56" s="49">
        <v>1.3290601188060159E-2</v>
      </c>
      <c r="BP56" s="49">
        <v>1.3157695176179558E-2</v>
      </c>
      <c r="BQ56" s="49">
        <v>1.3026118224417762E-2</v>
      </c>
      <c r="BR56" s="49">
        <v>1.2895857042173584E-2</v>
      </c>
      <c r="BS56" s="49">
        <v>1.2766898471751848E-2</v>
      </c>
      <c r="BT56" s="49">
        <v>1.263922948703433E-2</v>
      </c>
      <c r="BU56" s="49">
        <v>1.2512837192163987E-2</v>
      </c>
      <c r="BV56" s="49">
        <v>1.2387708820242347E-2</v>
      </c>
      <c r="BW56" s="49">
        <v>1.2263831732039923E-2</v>
      </c>
      <c r="BX56" s="49">
        <v>1.2141193414719524E-2</v>
      </c>
      <c r="BY56" s="49">
        <v>1.2019781480572329E-2</v>
      </c>
      <c r="BZ56" s="49">
        <v>1.1899583665766605E-2</v>
      </c>
      <c r="CA56" s="49">
        <v>1.1780587829108938E-2</v>
      </c>
      <c r="CB56" s="49">
        <v>1.1662781950817849E-2</v>
      </c>
      <c r="CC56" s="49">
        <v>1.1546154131309669E-2</v>
      </c>
      <c r="CD56" s="49">
        <v>1.1430692589996572E-2</v>
      </c>
      <c r="CE56" s="49">
        <v>1.1316385664096606E-2</v>
      </c>
      <c r="CF56" s="49">
        <v>1.120322180745564E-2</v>
      </c>
      <c r="CG56" s="49">
        <v>1.1091189589381083E-2</v>
      </c>
      <c r="CH56" s="49">
        <v>1.0980277693487273E-2</v>
      </c>
      <c r="CI56" s="49">
        <v>1.08704749165524E-2</v>
      </c>
      <c r="CJ56" s="49">
        <v>1.0761770167386876E-2</v>
      </c>
      <c r="CK56" s="49">
        <v>1.0654152465713006E-2</v>
      </c>
      <c r="CL56" s="49">
        <v>1.0547610941055876E-2</v>
      </c>
      <c r="CM56" s="49">
        <v>1.0442134831645317E-2</v>
      </c>
      <c r="CN56" s="49">
        <v>1.0337713483328865E-2</v>
      </c>
      <c r="CO56" s="49">
        <v>1.0234336348495576E-2</v>
      </c>
      <c r="CP56" s="49">
        <v>1.0131992985010621E-2</v>
      </c>
      <c r="CQ56" s="49">
        <v>1.0030673055160515E-2</v>
      </c>
      <c r="CR56" s="49">
        <v>9.9303663246089104E-3</v>
      </c>
      <c r="CS56" s="49">
        <v>9.8310626613628219E-3</v>
      </c>
      <c r="CT56" s="49">
        <v>9.7327520347491939E-3</v>
      </c>
      <c r="CU56" s="49">
        <v>9.6354245144017019E-3</v>
      </c>
      <c r="CV56" s="49">
        <v>9.539070269257684E-3</v>
      </c>
      <c r="CW56" s="49">
        <v>9.4436795665651073E-3</v>
      </c>
      <c r="CX56" s="48">
        <v>9.349242770899456E-3</v>
      </c>
      <c r="CY56" s="28">
        <v>9.2557503431904622E-3</v>
      </c>
    </row>
    <row r="57" spans="1:103" ht="15.75">
      <c r="A57" s="50">
        <v>75</v>
      </c>
      <c r="B57" s="48">
        <v>2.6825999999999999E-2</v>
      </c>
      <c r="C57" s="48">
        <v>2.66087094E-2</v>
      </c>
      <c r="D57" s="48">
        <v>2.6395839724799999E-2</v>
      </c>
      <c r="E57" s="48">
        <v>2.6187312590974079E-2</v>
      </c>
      <c r="F57" s="48">
        <v>2.5985670284023578E-2</v>
      </c>
      <c r="G57" s="48">
        <v>2.5793376323921806E-2</v>
      </c>
      <c r="H57" s="48">
        <v>2.5610243352021961E-2</v>
      </c>
      <c r="I57" s="48">
        <v>2.5436093697228213E-2</v>
      </c>
      <c r="J57" s="48">
        <v>2.5268215478826506E-2</v>
      </c>
      <c r="K57" s="48">
        <v>2.5106498899762016E-2</v>
      </c>
      <c r="L57" s="48">
        <v>2.494581730680354E-2</v>
      </c>
      <c r="M57" s="48">
        <v>2.4783669494309317E-2</v>
      </c>
      <c r="N57" s="48">
        <v>2.4615140541748012E-2</v>
      </c>
      <c r="O57" s="48">
        <v>2.4435450015793253E-2</v>
      </c>
      <c r="P57" s="48">
        <v>2.4242409960668485E-2</v>
      </c>
      <c r="Q57" s="48">
        <v>2.4036349476002805E-2</v>
      </c>
      <c r="R57" s="48">
        <v>2.3817618695771179E-2</v>
      </c>
      <c r="S57" s="48">
        <v>2.3591351318161355E-2</v>
      </c>
      <c r="T57" s="48">
        <v>2.3360156075243374E-2</v>
      </c>
      <c r="U57" s="49">
        <v>2.312655451449094E-2</v>
      </c>
      <c r="V57" s="49">
        <v>2.289528896934603E-2</v>
      </c>
      <c r="W57" s="49">
        <v>2.2666336079652571E-2</v>
      </c>
      <c r="X57" s="49">
        <v>2.2439672718856045E-2</v>
      </c>
      <c r="Y57" s="49">
        <v>2.2215275991667484E-2</v>
      </c>
      <c r="Z57" s="49">
        <v>2.1993123231750809E-2</v>
      </c>
      <c r="AA57" s="49">
        <v>2.1773191999433301E-2</v>
      </c>
      <c r="AB57" s="49">
        <v>2.1555460079438968E-2</v>
      </c>
      <c r="AC57" s="49">
        <v>2.1339905478644578E-2</v>
      </c>
      <c r="AD57" s="49">
        <v>2.1126506423858132E-2</v>
      </c>
      <c r="AE57" s="49">
        <v>2.091524135961955E-2</v>
      </c>
      <c r="AF57" s="49">
        <v>2.0706088946023354E-2</v>
      </c>
      <c r="AG57" s="49">
        <v>2.0499028056563121E-2</v>
      </c>
      <c r="AH57" s="49">
        <v>2.0294037775997489E-2</v>
      </c>
      <c r="AI57" s="49">
        <v>2.0091097398237515E-2</v>
      </c>
      <c r="AJ57" s="49">
        <v>1.9890186424255139E-2</v>
      </c>
      <c r="AK57" s="49">
        <v>1.9691284560012588E-2</v>
      </c>
      <c r="AL57" s="49">
        <v>1.9494371714412463E-2</v>
      </c>
      <c r="AM57" s="49">
        <v>1.9299427997268338E-2</v>
      </c>
      <c r="AN57" s="49">
        <v>1.9106433717295656E-2</v>
      </c>
      <c r="AO57" s="49">
        <v>1.8915369380122699E-2</v>
      </c>
      <c r="AP57" s="49">
        <v>1.8726215686321473E-2</v>
      </c>
      <c r="AQ57" s="49">
        <v>1.8538953529458259E-2</v>
      </c>
      <c r="AR57" s="49">
        <v>1.8353563994163675E-2</v>
      </c>
      <c r="AS57" s="49">
        <v>1.8170028354222038E-2</v>
      </c>
      <c r="AT57" s="49">
        <v>1.7988328070679818E-2</v>
      </c>
      <c r="AU57" s="49">
        <v>1.7808444789973021E-2</v>
      </c>
      <c r="AV57" s="49">
        <v>1.7630360342073291E-2</v>
      </c>
      <c r="AW57" s="49">
        <v>1.7454056738652558E-2</v>
      </c>
      <c r="AX57" s="49">
        <v>1.7279516171266031E-2</v>
      </c>
      <c r="AY57" s="49">
        <v>1.710672100955337E-2</v>
      </c>
      <c r="AZ57" s="49">
        <v>1.6935653799457835E-2</v>
      </c>
      <c r="BA57" s="49">
        <v>1.6766297261463257E-2</v>
      </c>
      <c r="BB57" s="49">
        <v>1.6598634288848623E-2</v>
      </c>
      <c r="BC57" s="49">
        <v>1.6432647945960138E-2</v>
      </c>
      <c r="BD57" s="49">
        <v>1.6268321466500538E-2</v>
      </c>
      <c r="BE57" s="49">
        <v>1.6105638251835534E-2</v>
      </c>
      <c r="BF57" s="49">
        <v>1.5944581869317177E-2</v>
      </c>
      <c r="BG57" s="49">
        <v>1.5785136050624003E-2</v>
      </c>
      <c r="BH57" s="49">
        <v>1.5627284690117763E-2</v>
      </c>
      <c r="BI57" s="49">
        <v>1.5471011843216585E-2</v>
      </c>
      <c r="BJ57" s="49">
        <v>1.5316301724784419E-2</v>
      </c>
      <c r="BK57" s="49">
        <v>1.5163138707536574E-2</v>
      </c>
      <c r="BL57" s="49">
        <v>1.5011507320461208E-2</v>
      </c>
      <c r="BM57" s="49">
        <v>1.4861392247256596E-2</v>
      </c>
      <c r="BN57" s="49">
        <v>1.4712778324784031E-2</v>
      </c>
      <c r="BO57" s="49">
        <v>1.456565054153619E-2</v>
      </c>
      <c r="BP57" s="49">
        <v>1.4419994036120829E-2</v>
      </c>
      <c r="BQ57" s="49">
        <v>1.427579409575962E-2</v>
      </c>
      <c r="BR57" s="49">
        <v>1.4133036154802023E-2</v>
      </c>
      <c r="BS57" s="49">
        <v>1.3991705793254003E-2</v>
      </c>
      <c r="BT57" s="49">
        <v>1.3851788735321462E-2</v>
      </c>
      <c r="BU57" s="49">
        <v>1.3713270847968247E-2</v>
      </c>
      <c r="BV57" s="49">
        <v>1.3576138139488565E-2</v>
      </c>
      <c r="BW57" s="49">
        <v>1.3440376758093679E-2</v>
      </c>
      <c r="BX57" s="49">
        <v>1.3305972990512742E-2</v>
      </c>
      <c r="BY57" s="49">
        <v>1.3172913260607615E-2</v>
      </c>
      <c r="BZ57" s="49">
        <v>1.3041184128001539E-2</v>
      </c>
      <c r="CA57" s="49">
        <v>1.2910772286721524E-2</v>
      </c>
      <c r="CB57" s="49">
        <v>1.2781664563854309E-2</v>
      </c>
      <c r="CC57" s="49">
        <v>1.2653847918215765E-2</v>
      </c>
      <c r="CD57" s="49">
        <v>1.2527309439033607E-2</v>
      </c>
      <c r="CE57" s="49">
        <v>1.240203634464327E-2</v>
      </c>
      <c r="CF57" s="49">
        <v>1.2278015981196837E-2</v>
      </c>
      <c r="CG57" s="49">
        <v>1.2155235821384868E-2</v>
      </c>
      <c r="CH57" s="49">
        <v>1.2033683463171021E-2</v>
      </c>
      <c r="CI57" s="49">
        <v>1.1913346628539311E-2</v>
      </c>
      <c r="CJ57" s="49">
        <v>1.1794213162253918E-2</v>
      </c>
      <c r="CK57" s="49">
        <v>1.167627103063138E-2</v>
      </c>
      <c r="CL57" s="49">
        <v>1.1559508320325066E-2</v>
      </c>
      <c r="CM57" s="49">
        <v>1.1443913237121815E-2</v>
      </c>
      <c r="CN57" s="49">
        <v>1.1329474104750596E-2</v>
      </c>
      <c r="CO57" s="49">
        <v>1.121617936370309E-2</v>
      </c>
      <c r="CP57" s="49">
        <v>1.1104017570066059E-2</v>
      </c>
      <c r="CQ57" s="49">
        <v>1.0992977394365399E-2</v>
      </c>
      <c r="CR57" s="49">
        <v>1.0883047620421745E-2</v>
      </c>
      <c r="CS57" s="49">
        <v>1.0774217144217528E-2</v>
      </c>
      <c r="CT57" s="49">
        <v>1.0666474972775352E-2</v>
      </c>
      <c r="CU57" s="49">
        <v>1.0559810223047599E-2</v>
      </c>
      <c r="CV57" s="49">
        <v>1.0454212120817123E-2</v>
      </c>
      <c r="CW57" s="49">
        <v>1.0349669999608952E-2</v>
      </c>
      <c r="CX57" s="48">
        <v>1.0246173299612861E-2</v>
      </c>
      <c r="CY57" s="28">
        <v>1.0143711566616732E-2</v>
      </c>
    </row>
    <row r="58" spans="1:103" ht="15.75">
      <c r="A58" s="50">
        <v>76</v>
      </c>
      <c r="B58" s="48">
        <v>2.9607999999999999E-2</v>
      </c>
      <c r="C58" s="48">
        <v>2.9365214399999999E-2</v>
      </c>
      <c r="D58" s="48">
        <v>2.9124419641919998E-2</v>
      </c>
      <c r="E58" s="48">
        <v>2.8885599400856256E-2</v>
      </c>
      <c r="F58" s="48">
        <v>2.8651626045709321E-2</v>
      </c>
      <c r="G58" s="48">
        <v>2.8425278199948216E-2</v>
      </c>
      <c r="H58" s="48">
        <v>2.8206403557808613E-2</v>
      </c>
      <c r="I58" s="48">
        <v>2.7997676171480832E-2</v>
      </c>
      <c r="J58" s="48">
        <v>2.7796092903046171E-2</v>
      </c>
      <c r="K58" s="48">
        <v>2.7601520252724845E-2</v>
      </c>
      <c r="L58" s="48">
        <v>2.7411069762981043E-2</v>
      </c>
      <c r="M58" s="48">
        <v>2.7221933381616471E-2</v>
      </c>
      <c r="N58" s="48">
        <v>2.7028657654606995E-2</v>
      </c>
      <c r="O58" s="48">
        <v>2.6825942722197443E-2</v>
      </c>
      <c r="P58" s="48">
        <v>2.6611335180419863E-2</v>
      </c>
      <c r="Q58" s="48">
        <v>2.6385138831386296E-2</v>
      </c>
      <c r="R58" s="48">
        <v>2.6147672581903817E-2</v>
      </c>
      <c r="S58" s="48">
        <v>2.5899269692375732E-2</v>
      </c>
      <c r="T58" s="48">
        <v>2.5645456849390451E-2</v>
      </c>
      <c r="U58" s="49">
        <v>2.5391566826581485E-2</v>
      </c>
      <c r="V58" s="49">
        <v>2.513765115831567E-2</v>
      </c>
      <c r="W58" s="49">
        <v>2.4886274646732515E-2</v>
      </c>
      <c r="X58" s="49">
        <v>2.463741190026519E-2</v>
      </c>
      <c r="Y58" s="49">
        <v>2.4391037781262538E-2</v>
      </c>
      <c r="Z58" s="49">
        <v>2.4147127403449913E-2</v>
      </c>
      <c r="AA58" s="49">
        <v>2.3905656129415413E-2</v>
      </c>
      <c r="AB58" s="49">
        <v>2.3666599568121258E-2</v>
      </c>
      <c r="AC58" s="49">
        <v>2.3429933572440047E-2</v>
      </c>
      <c r="AD58" s="49">
        <v>2.3195634236715647E-2</v>
      </c>
      <c r="AE58" s="49">
        <v>2.2963677894348489E-2</v>
      </c>
      <c r="AF58" s="49">
        <v>2.2734041115405005E-2</v>
      </c>
      <c r="AG58" s="49">
        <v>2.2506700704250954E-2</v>
      </c>
      <c r="AH58" s="49">
        <v>2.2281633697208442E-2</v>
      </c>
      <c r="AI58" s="49">
        <v>2.2058817360236356E-2</v>
      </c>
      <c r="AJ58" s="49">
        <v>2.1838229186633994E-2</v>
      </c>
      <c r="AK58" s="49">
        <v>2.1619846894767654E-2</v>
      </c>
      <c r="AL58" s="49">
        <v>2.1403648425819977E-2</v>
      </c>
      <c r="AM58" s="49">
        <v>2.1189611941561777E-2</v>
      </c>
      <c r="AN58" s="49">
        <v>2.0977715822146158E-2</v>
      </c>
      <c r="AO58" s="49">
        <v>2.0767938663924696E-2</v>
      </c>
      <c r="AP58" s="49">
        <v>2.0560259277285449E-2</v>
      </c>
      <c r="AQ58" s="49">
        <v>2.0354656684512595E-2</v>
      </c>
      <c r="AR58" s="49">
        <v>2.0151110117667469E-2</v>
      </c>
      <c r="AS58" s="49">
        <v>1.9949599016490793E-2</v>
      </c>
      <c r="AT58" s="49">
        <v>1.9750103026325884E-2</v>
      </c>
      <c r="AU58" s="49">
        <v>1.9552601996062624E-2</v>
      </c>
      <c r="AV58" s="49">
        <v>1.9357075976101999E-2</v>
      </c>
      <c r="AW58" s="49">
        <v>1.9163505216340981E-2</v>
      </c>
      <c r="AX58" s="49">
        <v>1.8971870164177569E-2</v>
      </c>
      <c r="AY58" s="49">
        <v>1.8782151462535795E-2</v>
      </c>
      <c r="AZ58" s="49">
        <v>1.8594329947910437E-2</v>
      </c>
      <c r="BA58" s="49">
        <v>1.8408386648431332E-2</v>
      </c>
      <c r="BB58" s="49">
        <v>1.8224302781947019E-2</v>
      </c>
      <c r="BC58" s="49">
        <v>1.8042059754127548E-2</v>
      </c>
      <c r="BD58" s="49">
        <v>1.7861639156586274E-2</v>
      </c>
      <c r="BE58" s="49">
        <v>1.7683022765020411E-2</v>
      </c>
      <c r="BF58" s="49">
        <v>1.7506192537370208E-2</v>
      </c>
      <c r="BG58" s="49">
        <v>1.7331130611996506E-2</v>
      </c>
      <c r="BH58" s="49">
        <v>1.7157819305876541E-2</v>
      </c>
      <c r="BI58" s="49">
        <v>1.6986241112817775E-2</v>
      </c>
      <c r="BJ58" s="49">
        <v>1.6816378701689599E-2</v>
      </c>
      <c r="BK58" s="49">
        <v>1.6648214914672704E-2</v>
      </c>
      <c r="BL58" s="49">
        <v>1.6481732765525975E-2</v>
      </c>
      <c r="BM58" s="49">
        <v>1.6316915437870717E-2</v>
      </c>
      <c r="BN58" s="49">
        <v>1.6153746283492008E-2</v>
      </c>
      <c r="BO58" s="49">
        <v>1.5992208820657088E-2</v>
      </c>
      <c r="BP58" s="49">
        <v>1.5832286732450518E-2</v>
      </c>
      <c r="BQ58" s="49">
        <v>1.5673963865126012E-2</v>
      </c>
      <c r="BR58" s="49">
        <v>1.5517224226474752E-2</v>
      </c>
      <c r="BS58" s="49">
        <v>1.5362051984210003E-2</v>
      </c>
      <c r="BT58" s="49">
        <v>1.5208431464367903E-2</v>
      </c>
      <c r="BU58" s="49">
        <v>1.5056347149724224E-2</v>
      </c>
      <c r="BV58" s="49">
        <v>1.4905783678226982E-2</v>
      </c>
      <c r="BW58" s="49">
        <v>1.4756725841444713E-2</v>
      </c>
      <c r="BX58" s="49">
        <v>1.4609158583030265E-2</v>
      </c>
      <c r="BY58" s="49">
        <v>1.4463066997199962E-2</v>
      </c>
      <c r="BZ58" s="49">
        <v>1.4318436327227962E-2</v>
      </c>
      <c r="CA58" s="49">
        <v>1.4175251963955682E-2</v>
      </c>
      <c r="CB58" s="49">
        <v>1.4033499444316125E-2</v>
      </c>
      <c r="CC58" s="49">
        <v>1.3893164449872963E-2</v>
      </c>
      <c r="CD58" s="49">
        <v>1.3754232805374232E-2</v>
      </c>
      <c r="CE58" s="49">
        <v>1.3616690477320489E-2</v>
      </c>
      <c r="CF58" s="49">
        <v>1.3480523572547285E-2</v>
      </c>
      <c r="CG58" s="49">
        <v>1.3345718336821813E-2</v>
      </c>
      <c r="CH58" s="49">
        <v>1.3212261153453595E-2</v>
      </c>
      <c r="CI58" s="49">
        <v>1.3080138541919058E-2</v>
      </c>
      <c r="CJ58" s="49">
        <v>1.2949337156499867E-2</v>
      </c>
      <c r="CK58" s="49">
        <v>1.2819843784934868E-2</v>
      </c>
      <c r="CL58" s="49">
        <v>1.269164534708552E-2</v>
      </c>
      <c r="CM58" s="49">
        <v>1.2564728893614664E-2</v>
      </c>
      <c r="CN58" s="49">
        <v>1.2439081604678517E-2</v>
      </c>
      <c r="CO58" s="49">
        <v>1.2314690788631731E-2</v>
      </c>
      <c r="CP58" s="49">
        <v>1.2191543880745413E-2</v>
      </c>
      <c r="CQ58" s="49">
        <v>1.2069628441937959E-2</v>
      </c>
      <c r="CR58" s="49">
        <v>1.1948932157518579E-2</v>
      </c>
      <c r="CS58" s="49">
        <v>1.1829442835943393E-2</v>
      </c>
      <c r="CT58" s="49">
        <v>1.1711148407583959E-2</v>
      </c>
      <c r="CU58" s="49">
        <v>1.1594036923508119E-2</v>
      </c>
      <c r="CV58" s="49">
        <v>1.1478096554273037E-2</v>
      </c>
      <c r="CW58" s="49">
        <v>1.1363315588730306E-2</v>
      </c>
      <c r="CX58" s="48">
        <v>1.1249682432843003E-2</v>
      </c>
      <c r="CY58" s="28">
        <v>1.1137185608514573E-2</v>
      </c>
    </row>
    <row r="59" spans="1:103" ht="15.75">
      <c r="A59" s="50">
        <v>77</v>
      </c>
      <c r="B59" s="48">
        <v>3.2735E-2</v>
      </c>
      <c r="C59" s="48">
        <v>3.2466572999999999E-2</v>
      </c>
      <c r="D59" s="48">
        <v>3.2197100444099999E-2</v>
      </c>
      <c r="E59" s="48">
        <v>3.192986451041397E-2</v>
      </c>
      <c r="F59" s="48">
        <v>3.1664846634977532E-2</v>
      </c>
      <c r="G59" s="48">
        <v>3.1405194892570716E-2</v>
      </c>
      <c r="H59" s="48">
        <v>3.1150812813940894E-2</v>
      </c>
      <c r="I59" s="48">
        <v>3.0904721392710759E-2</v>
      </c>
      <c r="J59" s="48">
        <v>3.0666755037986885E-2</v>
      </c>
      <c r="K59" s="48">
        <v>3.0436754375201984E-2</v>
      </c>
      <c r="L59" s="48">
        <v>3.0211522392825492E-2</v>
      </c>
      <c r="M59" s="48">
        <v>2.9990978279357868E-2</v>
      </c>
      <c r="N59" s="48">
        <v>2.9766045942262686E-2</v>
      </c>
      <c r="O59" s="48">
        <v>2.9536847388507263E-2</v>
      </c>
      <c r="P59" s="48">
        <v>2.9297598924660353E-2</v>
      </c>
      <c r="Q59" s="48">
        <v>2.904856933380074E-2</v>
      </c>
      <c r="R59" s="48">
        <v>2.8787132209796534E-2</v>
      </c>
      <c r="S59" s="48">
        <v>2.8516533167024447E-2</v>
      </c>
      <c r="T59" s="48">
        <v>2.8237071141987605E-2</v>
      </c>
      <c r="U59" s="49">
        <v>2.7957524137681926E-2</v>
      </c>
      <c r="V59" s="49">
        <v>2.7677948896305107E-2</v>
      </c>
      <c r="W59" s="49">
        <v>2.7401169407342055E-2</v>
      </c>
      <c r="X59" s="49">
        <v>2.7127157713268634E-2</v>
      </c>
      <c r="Y59" s="49">
        <v>2.6855886136135949E-2</v>
      </c>
      <c r="Z59" s="49">
        <v>2.6587327274774589E-2</v>
      </c>
      <c r="AA59" s="49">
        <v>2.6321454002026842E-2</v>
      </c>
      <c r="AB59" s="49">
        <v>2.6058239462006572E-2</v>
      </c>
      <c r="AC59" s="49">
        <v>2.5797657067386508E-2</v>
      </c>
      <c r="AD59" s="49">
        <v>2.5539680496712642E-2</v>
      </c>
      <c r="AE59" s="49">
        <v>2.5284283691745516E-2</v>
      </c>
      <c r="AF59" s="49">
        <v>2.5031440854828061E-2</v>
      </c>
      <c r="AG59" s="49">
        <v>2.4781126446279781E-2</v>
      </c>
      <c r="AH59" s="49">
        <v>2.4533315181816982E-2</v>
      </c>
      <c r="AI59" s="49">
        <v>2.4287982029998812E-2</v>
      </c>
      <c r="AJ59" s="49">
        <v>2.4045102209698823E-2</v>
      </c>
      <c r="AK59" s="49">
        <v>2.3804651187601833E-2</v>
      </c>
      <c r="AL59" s="49">
        <v>2.3566604675725814E-2</v>
      </c>
      <c r="AM59" s="49">
        <v>2.3330938628968557E-2</v>
      </c>
      <c r="AN59" s="49">
        <v>2.3097629242678872E-2</v>
      </c>
      <c r="AO59" s="49">
        <v>2.2866652950252083E-2</v>
      </c>
      <c r="AP59" s="49">
        <v>2.2637986420749562E-2</v>
      </c>
      <c r="AQ59" s="49">
        <v>2.2411606556542066E-2</v>
      </c>
      <c r="AR59" s="49">
        <v>2.2187490490976645E-2</v>
      </c>
      <c r="AS59" s="49">
        <v>2.196561558606688E-2</v>
      </c>
      <c r="AT59" s="49">
        <v>2.174595943020621E-2</v>
      </c>
      <c r="AU59" s="49">
        <v>2.1528499835904148E-2</v>
      </c>
      <c r="AV59" s="49">
        <v>2.1313214837545107E-2</v>
      </c>
      <c r="AW59" s="49">
        <v>2.1100082689169655E-2</v>
      </c>
      <c r="AX59" s="49">
        <v>2.0889081862277958E-2</v>
      </c>
      <c r="AY59" s="49">
        <v>2.0680191043655177E-2</v>
      </c>
      <c r="AZ59" s="49">
        <v>2.0473389133218625E-2</v>
      </c>
      <c r="BA59" s="49">
        <v>2.0268655241886438E-2</v>
      </c>
      <c r="BB59" s="49">
        <v>2.0065968689467573E-2</v>
      </c>
      <c r="BC59" s="49">
        <v>1.9865309002572898E-2</v>
      </c>
      <c r="BD59" s="49">
        <v>1.9666655912547168E-2</v>
      </c>
      <c r="BE59" s="49">
        <v>1.9469989353421695E-2</v>
      </c>
      <c r="BF59" s="49">
        <v>1.9275289459887476E-2</v>
      </c>
      <c r="BG59" s="49">
        <v>1.9082536565288601E-2</v>
      </c>
      <c r="BH59" s="49">
        <v>1.8891711199635716E-2</v>
      </c>
      <c r="BI59" s="49">
        <v>1.8702794087639359E-2</v>
      </c>
      <c r="BJ59" s="49">
        <v>1.8515766146762966E-2</v>
      </c>
      <c r="BK59" s="49">
        <v>1.8330608485295337E-2</v>
      </c>
      <c r="BL59" s="49">
        <v>1.8147302400442385E-2</v>
      </c>
      <c r="BM59" s="49">
        <v>1.796582937643796E-2</v>
      </c>
      <c r="BN59" s="49">
        <v>1.778617108267358E-2</v>
      </c>
      <c r="BO59" s="49">
        <v>1.7608309371846844E-2</v>
      </c>
      <c r="BP59" s="49">
        <v>1.7432226278128377E-2</v>
      </c>
      <c r="BQ59" s="49">
        <v>1.7257904015347093E-2</v>
      </c>
      <c r="BR59" s="49">
        <v>1.7085324975193623E-2</v>
      </c>
      <c r="BS59" s="49">
        <v>1.6914471725441686E-2</v>
      </c>
      <c r="BT59" s="49">
        <v>1.6745327008187268E-2</v>
      </c>
      <c r="BU59" s="49">
        <v>1.6577873738105396E-2</v>
      </c>
      <c r="BV59" s="49">
        <v>1.6412095000724342E-2</v>
      </c>
      <c r="BW59" s="49">
        <v>1.6247974050717099E-2</v>
      </c>
      <c r="BX59" s="49">
        <v>1.6085494310209929E-2</v>
      </c>
      <c r="BY59" s="49">
        <v>1.5924639367107831E-2</v>
      </c>
      <c r="BZ59" s="49">
        <v>1.5765392973436751E-2</v>
      </c>
      <c r="CA59" s="49">
        <v>1.5607739043702383E-2</v>
      </c>
      <c r="CB59" s="49">
        <v>1.5451661653265359E-2</v>
      </c>
      <c r="CC59" s="49">
        <v>1.5297145036732705E-2</v>
      </c>
      <c r="CD59" s="49">
        <v>1.5144173586365378E-2</v>
      </c>
      <c r="CE59" s="49">
        <v>1.4992731850501725E-2</v>
      </c>
      <c r="CF59" s="49">
        <v>1.4842804531996708E-2</v>
      </c>
      <c r="CG59" s="49">
        <v>1.4694376486676741E-2</v>
      </c>
      <c r="CH59" s="49">
        <v>1.4547432721809974E-2</v>
      </c>
      <c r="CI59" s="49">
        <v>1.4401958394591874E-2</v>
      </c>
      <c r="CJ59" s="49">
        <v>1.4257938810645956E-2</v>
      </c>
      <c r="CK59" s="49">
        <v>1.4115359422539496E-2</v>
      </c>
      <c r="CL59" s="49">
        <v>1.3974205828314101E-2</v>
      </c>
      <c r="CM59" s="49">
        <v>1.3834463770030961E-2</v>
      </c>
      <c r="CN59" s="49">
        <v>1.3696119132330651E-2</v>
      </c>
      <c r="CO59" s="49">
        <v>1.3559157941007345E-2</v>
      </c>
      <c r="CP59" s="49">
        <v>1.3423566361597273E-2</v>
      </c>
      <c r="CQ59" s="49">
        <v>1.32893306979813E-2</v>
      </c>
      <c r="CR59" s="49">
        <v>1.3156437391001486E-2</v>
      </c>
      <c r="CS59" s="49">
        <v>1.3024873017091472E-2</v>
      </c>
      <c r="CT59" s="49">
        <v>1.2894624286920557E-2</v>
      </c>
      <c r="CU59" s="49">
        <v>1.2765678044051352E-2</v>
      </c>
      <c r="CV59" s="49">
        <v>1.2638021263610839E-2</v>
      </c>
      <c r="CW59" s="49">
        <v>1.251164105097473E-2</v>
      </c>
      <c r="CX59" s="48">
        <v>1.2386524640464983E-2</v>
      </c>
      <c r="CY59" s="28">
        <v>1.2262659394060333E-2</v>
      </c>
    </row>
    <row r="60" spans="1:103" ht="15.75">
      <c r="A60" s="50">
        <v>78</v>
      </c>
      <c r="B60" s="48">
        <v>3.6257999999999999E-2</v>
      </c>
      <c r="C60" s="48">
        <v>3.5960684399999998E-2</v>
      </c>
      <c r="D60" s="48">
        <v>3.5665806787920001E-2</v>
      </c>
      <c r="E60" s="48">
        <v>3.5369780591580267E-2</v>
      </c>
      <c r="F60" s="48">
        <v>3.5072674434610991E-2</v>
      </c>
      <c r="G60" s="48">
        <v>3.4778063969360257E-2</v>
      </c>
      <c r="H60" s="48">
        <v>3.4485928232017633E-2</v>
      </c>
      <c r="I60" s="48">
        <v>3.4199695027691886E-2</v>
      </c>
      <c r="J60" s="48">
        <v>3.3919257528464815E-2</v>
      </c>
      <c r="K60" s="48">
        <v>3.3647903468237095E-2</v>
      </c>
      <c r="L60" s="48">
        <v>3.3382085030838018E-2</v>
      </c>
      <c r="M60" s="48">
        <v>3.312170476759748E-2</v>
      </c>
      <c r="N60" s="48">
        <v>3.2863355470410222E-2</v>
      </c>
      <c r="O60" s="48">
        <v>3.260044862664694E-2</v>
      </c>
      <c r="P60" s="48">
        <v>3.2333124947908437E-2</v>
      </c>
      <c r="Q60" s="48">
        <v>3.2055060073356421E-2</v>
      </c>
      <c r="R60" s="48">
        <v>3.1766564532696211E-2</v>
      </c>
      <c r="S60" s="48">
        <v>3.1467958826088868E-2</v>
      </c>
      <c r="T60" s="48">
        <v>3.1162719625475805E-2</v>
      </c>
      <c r="U60" s="49">
        <v>3.0854208701183595E-2</v>
      </c>
      <c r="V60" s="49">
        <v>3.0545666614171758E-2</v>
      </c>
      <c r="W60" s="49">
        <v>3.024020994803004E-2</v>
      </c>
      <c r="X60" s="49">
        <v>2.9937807848549741E-2</v>
      </c>
      <c r="Y60" s="49">
        <v>2.9638429770064242E-2</v>
      </c>
      <c r="Z60" s="49">
        <v>2.93420454723636E-2</v>
      </c>
      <c r="AA60" s="49">
        <v>2.9048625017639964E-2</v>
      </c>
      <c r="AB60" s="49">
        <v>2.8758138767463564E-2</v>
      </c>
      <c r="AC60" s="49">
        <v>2.8470557379788927E-2</v>
      </c>
      <c r="AD60" s="49">
        <v>2.8185851805991036E-2</v>
      </c>
      <c r="AE60" s="49">
        <v>2.7903993287931125E-2</v>
      </c>
      <c r="AF60" s="49">
        <v>2.7624953355051815E-2</v>
      </c>
      <c r="AG60" s="49">
        <v>2.7348703821501296E-2</v>
      </c>
      <c r="AH60" s="49">
        <v>2.7075216783286282E-2</v>
      </c>
      <c r="AI60" s="49">
        <v>2.6804464615453417E-2</v>
      </c>
      <c r="AJ60" s="49">
        <v>2.6536419969298883E-2</v>
      </c>
      <c r="AK60" s="49">
        <v>2.6271055769605894E-2</v>
      </c>
      <c r="AL60" s="49">
        <v>2.6008345211909836E-2</v>
      </c>
      <c r="AM60" s="49">
        <v>2.5748261759790739E-2</v>
      </c>
      <c r="AN60" s="49">
        <v>2.5490779142192832E-2</v>
      </c>
      <c r="AO60" s="49">
        <v>2.5235871350770902E-2</v>
      </c>
      <c r="AP60" s="49">
        <v>2.4983512637263193E-2</v>
      </c>
      <c r="AQ60" s="49">
        <v>2.4733677510890562E-2</v>
      </c>
      <c r="AR60" s="49">
        <v>2.4486340735781657E-2</v>
      </c>
      <c r="AS60" s="49">
        <v>2.4241477328423841E-2</v>
      </c>
      <c r="AT60" s="49">
        <v>2.3999062555139603E-2</v>
      </c>
      <c r="AU60" s="49">
        <v>2.3759071929588205E-2</v>
      </c>
      <c r="AV60" s="49">
        <v>2.3521481210292322E-2</v>
      </c>
      <c r="AW60" s="49">
        <v>2.3286266398189398E-2</v>
      </c>
      <c r="AX60" s="49">
        <v>2.3053403734207504E-2</v>
      </c>
      <c r="AY60" s="49">
        <v>2.2822869696865429E-2</v>
      </c>
      <c r="AZ60" s="49">
        <v>2.2594640999896776E-2</v>
      </c>
      <c r="BA60" s="49">
        <v>2.2368694589897809E-2</v>
      </c>
      <c r="BB60" s="49">
        <v>2.2145007643998831E-2</v>
      </c>
      <c r="BC60" s="49">
        <v>2.1923557567558843E-2</v>
      </c>
      <c r="BD60" s="49">
        <v>2.1704321991883255E-2</v>
      </c>
      <c r="BE60" s="49">
        <v>2.1487278771964421E-2</v>
      </c>
      <c r="BF60" s="49">
        <v>2.1272405984244777E-2</v>
      </c>
      <c r="BG60" s="49">
        <v>2.1059681924402329E-2</v>
      </c>
      <c r="BH60" s="49">
        <v>2.0849085105158306E-2</v>
      </c>
      <c r="BI60" s="49">
        <v>2.0640594254106723E-2</v>
      </c>
      <c r="BJ60" s="49">
        <v>2.0434188311565658E-2</v>
      </c>
      <c r="BK60" s="49">
        <v>2.022984642845E-2</v>
      </c>
      <c r="BL60" s="49">
        <v>2.0027547964165501E-2</v>
      </c>
      <c r="BM60" s="49">
        <v>1.9827272484523845E-2</v>
      </c>
      <c r="BN60" s="49">
        <v>1.9628999759678606E-2</v>
      </c>
      <c r="BO60" s="49">
        <v>1.9432709762081821E-2</v>
      </c>
      <c r="BP60" s="49">
        <v>1.9238382664461002E-2</v>
      </c>
      <c r="BQ60" s="49">
        <v>1.9045998837816391E-2</v>
      </c>
      <c r="BR60" s="49">
        <v>1.8855538849438226E-2</v>
      </c>
      <c r="BS60" s="49">
        <v>1.8666983460943844E-2</v>
      </c>
      <c r="BT60" s="49">
        <v>1.8480313626334406E-2</v>
      </c>
      <c r="BU60" s="49">
        <v>1.8295510490071061E-2</v>
      </c>
      <c r="BV60" s="49">
        <v>1.8112555385170349E-2</v>
      </c>
      <c r="BW60" s="49">
        <v>1.7931429831318645E-2</v>
      </c>
      <c r="BX60" s="49">
        <v>1.7752115533005458E-2</v>
      </c>
      <c r="BY60" s="49">
        <v>1.7574594377675404E-2</v>
      </c>
      <c r="BZ60" s="49">
        <v>1.7398848433898651E-2</v>
      </c>
      <c r="CA60" s="49">
        <v>1.7224859949559666E-2</v>
      </c>
      <c r="CB60" s="49">
        <v>1.705261135006407E-2</v>
      </c>
      <c r="CC60" s="49">
        <v>1.688208523656343E-2</v>
      </c>
      <c r="CD60" s="49">
        <v>1.6713264384197797E-2</v>
      </c>
      <c r="CE60" s="49">
        <v>1.654613174035582E-2</v>
      </c>
      <c r="CF60" s="49">
        <v>1.6380670422952263E-2</v>
      </c>
      <c r="CG60" s="49">
        <v>1.6216863718722739E-2</v>
      </c>
      <c r="CH60" s="49">
        <v>1.6054695081535512E-2</v>
      </c>
      <c r="CI60" s="49">
        <v>1.5894148130720157E-2</v>
      </c>
      <c r="CJ60" s="49">
        <v>1.5735206649412956E-2</v>
      </c>
      <c r="CK60" s="49">
        <v>1.5577854582918826E-2</v>
      </c>
      <c r="CL60" s="49">
        <v>1.5422076037089638E-2</v>
      </c>
      <c r="CM60" s="49">
        <v>1.5267855276718742E-2</v>
      </c>
      <c r="CN60" s="49">
        <v>1.5115176723951554E-2</v>
      </c>
      <c r="CO60" s="49">
        <v>1.4964024956712039E-2</v>
      </c>
      <c r="CP60" s="49">
        <v>1.4814384707144919E-2</v>
      </c>
      <c r="CQ60" s="49">
        <v>1.466624086007347E-2</v>
      </c>
      <c r="CR60" s="49">
        <v>1.4519578451472734E-2</v>
      </c>
      <c r="CS60" s="49">
        <v>1.4374382666958006E-2</v>
      </c>
      <c r="CT60" s="49">
        <v>1.4230638840288426E-2</v>
      </c>
      <c r="CU60" s="49">
        <v>1.4088332451885541E-2</v>
      </c>
      <c r="CV60" s="49">
        <v>1.3947449127366686E-2</v>
      </c>
      <c r="CW60" s="49">
        <v>1.3807974636093019E-2</v>
      </c>
      <c r="CX60" s="48">
        <v>1.3669894889732088E-2</v>
      </c>
      <c r="CY60" s="28">
        <v>1.3533195940834767E-2</v>
      </c>
    </row>
    <row r="61" spans="1:103" ht="15.75">
      <c r="A61" s="50">
        <v>79</v>
      </c>
      <c r="B61" s="48">
        <v>4.0231999999999997E-2</v>
      </c>
      <c r="C61" s="48">
        <v>3.9910143999999995E-2</v>
      </c>
      <c r="D61" s="48">
        <v>3.9582880819199993E-2</v>
      </c>
      <c r="E61" s="48">
        <v>3.9254342908400637E-2</v>
      </c>
      <c r="F61" s="48">
        <v>3.8924606427970077E-2</v>
      </c>
      <c r="G61" s="48">
        <v>3.8593747273332334E-2</v>
      </c>
      <c r="H61" s="48">
        <v>3.8261841046781674E-2</v>
      </c>
      <c r="I61" s="48">
        <v>3.793278921377935E-2</v>
      </c>
      <c r="J61" s="48">
        <v>3.761036050546223E-2</v>
      </c>
      <c r="K61" s="48">
        <v>3.7294433477216352E-2</v>
      </c>
      <c r="L61" s="48">
        <v>3.6984889679355454E-2</v>
      </c>
      <c r="M61" s="48">
        <v>3.6685312072952676E-2</v>
      </c>
      <c r="N61" s="48">
        <v>3.6388161045161758E-2</v>
      </c>
      <c r="O61" s="48">
        <v>3.608977812459143E-2</v>
      </c>
      <c r="P61" s="48">
        <v>3.5786623988344861E-2</v>
      </c>
      <c r="Q61" s="48">
        <v>3.5475280359646262E-2</v>
      </c>
      <c r="R61" s="48">
        <v>3.5152455308373479E-2</v>
      </c>
      <c r="S61" s="48">
        <v>3.4822022228474768E-2</v>
      </c>
      <c r="T61" s="48">
        <v>3.4484248612858565E-2</v>
      </c>
      <c r="U61" s="49">
        <v>3.4142854551591266E-2</v>
      </c>
      <c r="V61" s="49">
        <v>3.3801426006075351E-2</v>
      </c>
      <c r="W61" s="49">
        <v>3.3463411746014596E-2</v>
      </c>
      <c r="X61" s="49">
        <v>3.312877762855445E-2</v>
      </c>
      <c r="Y61" s="49">
        <v>3.2797489852268907E-2</v>
      </c>
      <c r="Z61" s="49">
        <v>3.2469514953746219E-2</v>
      </c>
      <c r="AA61" s="49">
        <v>3.2144819804208753E-2</v>
      </c>
      <c r="AB61" s="49">
        <v>3.1823371606166669E-2</v>
      </c>
      <c r="AC61" s="49">
        <v>3.1505137890104999E-2</v>
      </c>
      <c r="AD61" s="49">
        <v>3.119008651120395E-2</v>
      </c>
      <c r="AE61" s="49">
        <v>3.0878185646091908E-2</v>
      </c>
      <c r="AF61" s="49">
        <v>3.0569403789630988E-2</v>
      </c>
      <c r="AG61" s="49">
        <v>3.0263709751734678E-2</v>
      </c>
      <c r="AH61" s="49">
        <v>2.9961072654217331E-2</v>
      </c>
      <c r="AI61" s="49">
        <v>2.9661461927675159E-2</v>
      </c>
      <c r="AJ61" s="49">
        <v>2.9364847308398407E-2</v>
      </c>
      <c r="AK61" s="49">
        <v>2.9071198835314421E-2</v>
      </c>
      <c r="AL61" s="49">
        <v>2.8780486846961276E-2</v>
      </c>
      <c r="AM61" s="49">
        <v>2.8492681978491665E-2</v>
      </c>
      <c r="AN61" s="49">
        <v>2.8207755158706747E-2</v>
      </c>
      <c r="AO61" s="49">
        <v>2.792567760711968E-2</v>
      </c>
      <c r="AP61" s="49">
        <v>2.7646420831048485E-2</v>
      </c>
      <c r="AQ61" s="49">
        <v>2.7369956622738001E-2</v>
      </c>
      <c r="AR61" s="49">
        <v>2.7096257056510621E-2</v>
      </c>
      <c r="AS61" s="49">
        <v>2.6825294485945516E-2</v>
      </c>
      <c r="AT61" s="49">
        <v>2.6557041541086061E-2</v>
      </c>
      <c r="AU61" s="49">
        <v>2.62914711256752E-2</v>
      </c>
      <c r="AV61" s="49">
        <v>2.6028556414418449E-2</v>
      </c>
      <c r="AW61" s="49">
        <v>2.5768270850274264E-2</v>
      </c>
      <c r="AX61" s="49">
        <v>2.5510588141771522E-2</v>
      </c>
      <c r="AY61" s="49">
        <v>2.5255482260353807E-2</v>
      </c>
      <c r="AZ61" s="49">
        <v>2.5002927437750268E-2</v>
      </c>
      <c r="BA61" s="49">
        <v>2.4752898163372766E-2</v>
      </c>
      <c r="BB61" s="49">
        <v>2.4505369181739036E-2</v>
      </c>
      <c r="BC61" s="49">
        <v>2.4260315489921646E-2</v>
      </c>
      <c r="BD61" s="49">
        <v>2.401771233502243E-2</v>
      </c>
      <c r="BE61" s="49">
        <v>2.3777535211672206E-2</v>
      </c>
      <c r="BF61" s="49">
        <v>2.3539759859555483E-2</v>
      </c>
      <c r="BG61" s="49">
        <v>2.3304362260959929E-2</v>
      </c>
      <c r="BH61" s="49">
        <v>2.3071318638350331E-2</v>
      </c>
      <c r="BI61" s="49">
        <v>2.2840605451966828E-2</v>
      </c>
      <c r="BJ61" s="49">
        <v>2.2612199397447161E-2</v>
      </c>
      <c r="BK61" s="49">
        <v>2.238607740347269E-2</v>
      </c>
      <c r="BL61" s="49">
        <v>2.2162216629437962E-2</v>
      </c>
      <c r="BM61" s="49">
        <v>2.1940594463143583E-2</v>
      </c>
      <c r="BN61" s="49">
        <v>2.1721188518512149E-2</v>
      </c>
      <c r="BO61" s="49">
        <v>2.1503976633327027E-2</v>
      </c>
      <c r="BP61" s="49">
        <v>2.1288936866993756E-2</v>
      </c>
      <c r="BQ61" s="49">
        <v>2.1076047498323817E-2</v>
      </c>
      <c r="BR61" s="49">
        <v>2.0865287023340579E-2</v>
      </c>
      <c r="BS61" s="49">
        <v>2.0656634153107173E-2</v>
      </c>
      <c r="BT61" s="49">
        <v>2.04500678115761E-2</v>
      </c>
      <c r="BU61" s="49">
        <v>2.0245567133460339E-2</v>
      </c>
      <c r="BV61" s="49">
        <v>2.0043111462125736E-2</v>
      </c>
      <c r="BW61" s="49">
        <v>1.9842680347504478E-2</v>
      </c>
      <c r="BX61" s="49">
        <v>1.9644253544029433E-2</v>
      </c>
      <c r="BY61" s="49">
        <v>1.9447811008589139E-2</v>
      </c>
      <c r="BZ61" s="49">
        <v>1.9253332898503246E-2</v>
      </c>
      <c r="CA61" s="49">
        <v>1.9060799569518214E-2</v>
      </c>
      <c r="CB61" s="49">
        <v>1.8870191573823032E-2</v>
      </c>
      <c r="CC61" s="49">
        <v>1.8681489658084801E-2</v>
      </c>
      <c r="CD61" s="49">
        <v>1.8494674761503953E-2</v>
      </c>
      <c r="CE61" s="49">
        <v>1.8309728013888912E-2</v>
      </c>
      <c r="CF61" s="49">
        <v>1.8126630733750024E-2</v>
      </c>
      <c r="CG61" s="49">
        <v>1.7945364426412522E-2</v>
      </c>
      <c r="CH61" s="49">
        <v>1.7765910782148397E-2</v>
      </c>
      <c r="CI61" s="49">
        <v>1.7588251674326913E-2</v>
      </c>
      <c r="CJ61" s="49">
        <v>1.7412369157583645E-2</v>
      </c>
      <c r="CK61" s="49">
        <v>1.7238245466007808E-2</v>
      </c>
      <c r="CL61" s="49">
        <v>1.7065863011347729E-2</v>
      </c>
      <c r="CM61" s="49">
        <v>1.6895204381234253E-2</v>
      </c>
      <c r="CN61" s="49">
        <v>1.672625233742191E-2</v>
      </c>
      <c r="CO61" s="49">
        <v>1.655898981404769E-2</v>
      </c>
      <c r="CP61" s="49">
        <v>1.6393399915907214E-2</v>
      </c>
      <c r="CQ61" s="49">
        <v>1.6229465916748141E-2</v>
      </c>
      <c r="CR61" s="49">
        <v>1.606717125758066E-2</v>
      </c>
      <c r="CS61" s="49">
        <v>1.5906499545004855E-2</v>
      </c>
      <c r="CT61" s="49">
        <v>1.5747434549554806E-2</v>
      </c>
      <c r="CU61" s="49">
        <v>1.5589960204059257E-2</v>
      </c>
      <c r="CV61" s="49">
        <v>1.5434060602018665E-2</v>
      </c>
      <c r="CW61" s="49">
        <v>1.5279719995998479E-2</v>
      </c>
      <c r="CX61" s="48">
        <v>1.5126922796038493E-2</v>
      </c>
      <c r="CY61" s="28">
        <v>1.4975653568078107E-2</v>
      </c>
    </row>
    <row r="62" spans="1:103" ht="15.75">
      <c r="A62" s="50">
        <v>80</v>
      </c>
      <c r="B62" s="48">
        <v>4.4721999999999998E-2</v>
      </c>
      <c r="C62" s="48">
        <v>4.4368696199999995E-2</v>
      </c>
      <c r="D62" s="48">
        <v>4.4013746630399996E-2</v>
      </c>
      <c r="E62" s="48">
        <v>4.3652833908030715E-2</v>
      </c>
      <c r="F62" s="48">
        <v>4.3286150103203261E-2</v>
      </c>
      <c r="G62" s="48">
        <v>4.291388921231571E-2</v>
      </c>
      <c r="H62" s="48">
        <v>4.2540538376168564E-2</v>
      </c>
      <c r="I62" s="48">
        <v>4.2166181638458276E-2</v>
      </c>
      <c r="J62" s="48">
        <v>4.1795119240039841E-2</v>
      </c>
      <c r="K62" s="48">
        <v>4.1431501702651495E-2</v>
      </c>
      <c r="L62" s="48">
        <v>4.1075190788008691E-2</v>
      </c>
      <c r="M62" s="48">
        <v>4.0726051666310617E-2</v>
      </c>
      <c r="N62" s="48">
        <v>4.0383952832313608E-2</v>
      </c>
      <c r="O62" s="48">
        <v>4.0040689233238946E-2</v>
      </c>
      <c r="P62" s="48">
        <v>3.9696339305833092E-2</v>
      </c>
      <c r="Q62" s="48">
        <v>3.9343041886011176E-2</v>
      </c>
      <c r="R62" s="48">
        <v>3.8985020204848474E-2</v>
      </c>
      <c r="S62" s="48">
        <v>3.8614662512902416E-2</v>
      </c>
      <c r="T62" s="48">
        <v>3.8240100286527259E-2</v>
      </c>
      <c r="U62" s="49">
        <v>3.7861523293690635E-2</v>
      </c>
      <c r="V62" s="49">
        <v>3.7482908060753731E-2</v>
      </c>
      <c r="W62" s="49">
        <v>3.7108078980146196E-2</v>
      </c>
      <c r="X62" s="49">
        <v>3.6736998190344733E-2</v>
      </c>
      <c r="Y62" s="49">
        <v>3.6369628208441286E-2</v>
      </c>
      <c r="Z62" s="49">
        <v>3.6005931926356871E-2</v>
      </c>
      <c r="AA62" s="49">
        <v>3.5645872607093301E-2</v>
      </c>
      <c r="AB62" s="49">
        <v>3.5289413881022365E-2</v>
      </c>
      <c r="AC62" s="49">
        <v>3.4936519742212138E-2</v>
      </c>
      <c r="AD62" s="49">
        <v>3.4587154544790014E-2</v>
      </c>
      <c r="AE62" s="49">
        <v>3.4241282999342114E-2</v>
      </c>
      <c r="AF62" s="49">
        <v>3.3898870169348692E-2</v>
      </c>
      <c r="AG62" s="49">
        <v>3.3559881467655206E-2</v>
      </c>
      <c r="AH62" s="49">
        <v>3.3224282652978651E-2</v>
      </c>
      <c r="AI62" s="49">
        <v>3.2892039826448866E-2</v>
      </c>
      <c r="AJ62" s="49">
        <v>3.2563119428184378E-2</v>
      </c>
      <c r="AK62" s="49">
        <v>3.2237488233902531E-2</v>
      </c>
      <c r="AL62" s="49">
        <v>3.1915113351563502E-2</v>
      </c>
      <c r="AM62" s="49">
        <v>3.159596221804787E-2</v>
      </c>
      <c r="AN62" s="49">
        <v>3.1280002595867391E-2</v>
      </c>
      <c r="AO62" s="49">
        <v>3.0967202569908717E-2</v>
      </c>
      <c r="AP62" s="49">
        <v>3.0657530544209628E-2</v>
      </c>
      <c r="AQ62" s="49">
        <v>3.0350955238767532E-2</v>
      </c>
      <c r="AR62" s="49">
        <v>3.0047445686379858E-2</v>
      </c>
      <c r="AS62" s="49">
        <v>2.9746971229516059E-2</v>
      </c>
      <c r="AT62" s="49">
        <v>2.9449501517220898E-2</v>
      </c>
      <c r="AU62" s="49">
        <v>2.9155006502048688E-2</v>
      </c>
      <c r="AV62" s="49">
        <v>2.8863456437028201E-2</v>
      </c>
      <c r="AW62" s="49">
        <v>2.8574821872657918E-2</v>
      </c>
      <c r="AX62" s="49">
        <v>2.8289073653931338E-2</v>
      </c>
      <c r="AY62" s="49">
        <v>2.8006182917392024E-2</v>
      </c>
      <c r="AZ62" s="49">
        <v>2.7726121088218102E-2</v>
      </c>
      <c r="BA62" s="49">
        <v>2.7448859877335922E-2</v>
      </c>
      <c r="BB62" s="49">
        <v>2.7174371278562561E-2</v>
      </c>
      <c r="BC62" s="49">
        <v>2.6902627565776934E-2</v>
      </c>
      <c r="BD62" s="49">
        <v>2.6633601290119165E-2</v>
      </c>
      <c r="BE62" s="49">
        <v>2.6367265277217972E-2</v>
      </c>
      <c r="BF62" s="49">
        <v>2.6103592624445792E-2</v>
      </c>
      <c r="BG62" s="49">
        <v>2.5842556698201333E-2</v>
      </c>
      <c r="BH62" s="49">
        <v>2.558413113121932E-2</v>
      </c>
      <c r="BI62" s="49">
        <v>2.5328289819907125E-2</v>
      </c>
      <c r="BJ62" s="49">
        <v>2.5075006921708054E-2</v>
      </c>
      <c r="BK62" s="49">
        <v>2.4824256852490973E-2</v>
      </c>
      <c r="BL62" s="49">
        <v>2.4576014283966063E-2</v>
      </c>
      <c r="BM62" s="49">
        <v>2.4330254141126401E-2</v>
      </c>
      <c r="BN62" s="49">
        <v>2.4086951599715137E-2</v>
      </c>
      <c r="BO62" s="49">
        <v>2.3846082083717985E-2</v>
      </c>
      <c r="BP62" s="49">
        <v>2.3607621262880806E-2</v>
      </c>
      <c r="BQ62" s="49">
        <v>2.3371545050251998E-2</v>
      </c>
      <c r="BR62" s="49">
        <v>2.3137829599749478E-2</v>
      </c>
      <c r="BS62" s="49">
        <v>2.2906451303751983E-2</v>
      </c>
      <c r="BT62" s="49">
        <v>2.2677386790714463E-2</v>
      </c>
      <c r="BU62" s="49">
        <v>2.2450612922807318E-2</v>
      </c>
      <c r="BV62" s="49">
        <v>2.2226106793579246E-2</v>
      </c>
      <c r="BW62" s="49">
        <v>2.2003845725643453E-2</v>
      </c>
      <c r="BX62" s="49">
        <v>2.1783807268387016E-2</v>
      </c>
      <c r="BY62" s="49">
        <v>2.1565969195703145E-2</v>
      </c>
      <c r="BZ62" s="49">
        <v>2.1350309503746112E-2</v>
      </c>
      <c r="CA62" s="49">
        <v>2.1136806408708651E-2</v>
      </c>
      <c r="CB62" s="49">
        <v>2.0925438344621565E-2</v>
      </c>
      <c r="CC62" s="49">
        <v>2.071618396117535E-2</v>
      </c>
      <c r="CD62" s="49">
        <v>2.0509022121563598E-2</v>
      </c>
      <c r="CE62" s="49">
        <v>2.030393190034796E-2</v>
      </c>
      <c r="CF62" s="49">
        <v>2.0100892581344482E-2</v>
      </c>
      <c r="CG62" s="49">
        <v>1.9899883655531036E-2</v>
      </c>
      <c r="CH62" s="49">
        <v>1.9700884818975726E-2</v>
      </c>
      <c r="CI62" s="49">
        <v>1.9503875970785969E-2</v>
      </c>
      <c r="CJ62" s="49">
        <v>1.9308837211078109E-2</v>
      </c>
      <c r="CK62" s="49">
        <v>1.9115748838967328E-2</v>
      </c>
      <c r="CL62" s="49">
        <v>1.8924591350577655E-2</v>
      </c>
      <c r="CM62" s="49">
        <v>1.8735345437071879E-2</v>
      </c>
      <c r="CN62" s="49">
        <v>1.854799198270116E-2</v>
      </c>
      <c r="CO62" s="49">
        <v>1.8362512062874148E-2</v>
      </c>
      <c r="CP62" s="49">
        <v>1.8178886942245405E-2</v>
      </c>
      <c r="CQ62" s="49">
        <v>1.7997098072822952E-2</v>
      </c>
      <c r="CR62" s="49">
        <v>1.7817127092094723E-2</v>
      </c>
      <c r="CS62" s="49">
        <v>1.7638955821173776E-2</v>
      </c>
      <c r="CT62" s="49">
        <v>1.746256626296204E-2</v>
      </c>
      <c r="CU62" s="49">
        <v>1.7287940600332421E-2</v>
      </c>
      <c r="CV62" s="49">
        <v>1.7115061194329095E-2</v>
      </c>
      <c r="CW62" s="49">
        <v>1.6943910582385806E-2</v>
      </c>
      <c r="CX62" s="48">
        <v>1.6774471476561949E-2</v>
      </c>
      <c r="CY62" s="28">
        <v>1.660672676179633E-2</v>
      </c>
    </row>
    <row r="63" spans="1:103" ht="15.75">
      <c r="A63" s="50">
        <v>81</v>
      </c>
      <c r="B63" s="48">
        <v>4.9794999999999999E-2</v>
      </c>
      <c r="C63" s="48">
        <v>4.9411578499999997E-2</v>
      </c>
      <c r="D63" s="48">
        <v>4.9021227029849998E-2</v>
      </c>
      <c r="E63" s="48">
        <v>4.8624155090908214E-2</v>
      </c>
      <c r="F63" s="48">
        <v>4.8220574603653678E-2</v>
      </c>
      <c r="G63" s="48">
        <v>4.7810699719522627E-2</v>
      </c>
      <c r="H63" s="48">
        <v>4.7394746631962775E-2</v>
      </c>
      <c r="I63" s="48">
        <v>4.6977672861601504E-2</v>
      </c>
      <c r="J63" s="48">
        <v>4.655957157313325E-2</v>
      </c>
      <c r="K63" s="48">
        <v>4.6145191386132364E-2</v>
      </c>
      <c r="L63" s="48">
        <v>4.5739113701934397E-2</v>
      </c>
      <c r="M63" s="48">
        <v>4.5341183412727568E-2</v>
      </c>
      <c r="N63" s="48">
        <v>4.4946715117036837E-2</v>
      </c>
      <c r="O63" s="48">
        <v>4.4555678695518616E-2</v>
      </c>
      <c r="P63" s="48">
        <v>4.4163588722998054E-2</v>
      </c>
      <c r="Q63" s="48">
        <v>4.3766116424491068E-2</v>
      </c>
      <c r="R63" s="48">
        <v>4.3363468153385751E-2</v>
      </c>
      <c r="S63" s="48">
        <v>4.2951515205928589E-2</v>
      </c>
      <c r="T63" s="48">
        <v>4.2534885508431083E-2</v>
      </c>
      <c r="U63" s="49">
        <v>4.2113790141897617E-2</v>
      </c>
      <c r="V63" s="49">
        <v>4.1692652240478641E-2</v>
      </c>
      <c r="W63" s="49">
        <v>4.1275725718073857E-2</v>
      </c>
      <c r="X63" s="49">
        <v>4.0862968460893115E-2</v>
      </c>
      <c r="Y63" s="49">
        <v>4.0454338776284182E-2</v>
      </c>
      <c r="Z63" s="49">
        <v>4.0049795388521339E-2</v>
      </c>
      <c r="AA63" s="49">
        <v>3.9649297434636126E-2</v>
      </c>
      <c r="AB63" s="49">
        <v>3.9252804460289767E-2</v>
      </c>
      <c r="AC63" s="49">
        <v>3.8860276415686866E-2</v>
      </c>
      <c r="AD63" s="49">
        <v>3.8471673651529995E-2</v>
      </c>
      <c r="AE63" s="49">
        <v>3.8086956915014694E-2</v>
      </c>
      <c r="AF63" s="49">
        <v>3.7706087345864545E-2</v>
      </c>
      <c r="AG63" s="49">
        <v>3.73290264724059E-2</v>
      </c>
      <c r="AH63" s="49">
        <v>3.695573620768184E-2</v>
      </c>
      <c r="AI63" s="49">
        <v>3.658617884560502E-2</v>
      </c>
      <c r="AJ63" s="49">
        <v>3.6220317057148968E-2</v>
      </c>
      <c r="AK63" s="49">
        <v>3.5858113886577475E-2</v>
      </c>
      <c r="AL63" s="49">
        <v>3.5499532747711698E-2</v>
      </c>
      <c r="AM63" s="49">
        <v>3.514453742023458E-2</v>
      </c>
      <c r="AN63" s="49">
        <v>3.4793092046032231E-2</v>
      </c>
      <c r="AO63" s="49">
        <v>3.4445161125571909E-2</v>
      </c>
      <c r="AP63" s="49">
        <v>3.4100709514316187E-2</v>
      </c>
      <c r="AQ63" s="49">
        <v>3.3759702419173025E-2</v>
      </c>
      <c r="AR63" s="49">
        <v>3.3422105394981291E-2</v>
      </c>
      <c r="AS63" s="49">
        <v>3.3087884341031479E-2</v>
      </c>
      <c r="AT63" s="49">
        <v>3.2757005497621165E-2</v>
      </c>
      <c r="AU63" s="49">
        <v>3.2429435442644955E-2</v>
      </c>
      <c r="AV63" s="49">
        <v>3.2105141088218506E-2</v>
      </c>
      <c r="AW63" s="49">
        <v>3.178408967733632E-2</v>
      </c>
      <c r="AX63" s="49">
        <v>3.1466248780562957E-2</v>
      </c>
      <c r="AY63" s="49">
        <v>3.1151586292757327E-2</v>
      </c>
      <c r="AZ63" s="49">
        <v>3.0840070429829752E-2</v>
      </c>
      <c r="BA63" s="49">
        <v>3.0531669725531455E-2</v>
      </c>
      <c r="BB63" s="49">
        <v>3.0226353028276139E-2</v>
      </c>
      <c r="BC63" s="49">
        <v>2.9924089497993377E-2</v>
      </c>
      <c r="BD63" s="49">
        <v>2.9624848603013443E-2</v>
      </c>
      <c r="BE63" s="49">
        <v>2.9328600116983308E-2</v>
      </c>
      <c r="BF63" s="49">
        <v>2.9035314115813476E-2</v>
      </c>
      <c r="BG63" s="49">
        <v>2.8744960974655343E-2</v>
      </c>
      <c r="BH63" s="49">
        <v>2.8457511364908789E-2</v>
      </c>
      <c r="BI63" s="49">
        <v>2.81729362512597E-2</v>
      </c>
      <c r="BJ63" s="49">
        <v>2.7891206888747102E-2</v>
      </c>
      <c r="BK63" s="49">
        <v>2.7612294819859631E-2</v>
      </c>
      <c r="BL63" s="49">
        <v>2.7336171871661034E-2</v>
      </c>
      <c r="BM63" s="49">
        <v>2.7062810152944424E-2</v>
      </c>
      <c r="BN63" s="49">
        <v>2.6792182051414981E-2</v>
      </c>
      <c r="BO63" s="49">
        <v>2.6524260230900831E-2</v>
      </c>
      <c r="BP63" s="49">
        <v>2.6259017628591824E-2</v>
      </c>
      <c r="BQ63" s="49">
        <v>2.5996427452305904E-2</v>
      </c>
      <c r="BR63" s="49">
        <v>2.5736463177782845E-2</v>
      </c>
      <c r="BS63" s="49">
        <v>2.5479098546005018E-2</v>
      </c>
      <c r="BT63" s="49">
        <v>2.5224307560544966E-2</v>
      </c>
      <c r="BU63" s="49">
        <v>2.4972064484939518E-2</v>
      </c>
      <c r="BV63" s="49">
        <v>2.4722343840090123E-2</v>
      </c>
      <c r="BW63" s="49">
        <v>2.4475120401689223E-2</v>
      </c>
      <c r="BX63" s="49">
        <v>2.4230369197672331E-2</v>
      </c>
      <c r="BY63" s="49">
        <v>2.3988065505695606E-2</v>
      </c>
      <c r="BZ63" s="49">
        <v>2.3748184850638648E-2</v>
      </c>
      <c r="CA63" s="49">
        <v>2.351070300213226E-2</v>
      </c>
      <c r="CB63" s="49">
        <v>2.3275595972110937E-2</v>
      </c>
      <c r="CC63" s="49">
        <v>2.3042840012389827E-2</v>
      </c>
      <c r="CD63" s="49">
        <v>2.281241161226593E-2</v>
      </c>
      <c r="CE63" s="49">
        <v>2.258428749614327E-2</v>
      </c>
      <c r="CF63" s="49">
        <v>2.2358444621181837E-2</v>
      </c>
      <c r="CG63" s="49">
        <v>2.2134860174970017E-2</v>
      </c>
      <c r="CH63" s="49">
        <v>2.1913511573220315E-2</v>
      </c>
      <c r="CI63" s="49">
        <v>2.1694376457488111E-2</v>
      </c>
      <c r="CJ63" s="49">
        <v>2.1477432692913231E-2</v>
      </c>
      <c r="CK63" s="49">
        <v>2.1262658365984097E-2</v>
      </c>
      <c r="CL63" s="49">
        <v>2.1050031782324258E-2</v>
      </c>
      <c r="CM63" s="49">
        <v>2.0839531464501015E-2</v>
      </c>
      <c r="CN63" s="49">
        <v>2.0631136149856004E-2</v>
      </c>
      <c r="CO63" s="49">
        <v>2.0424824788357443E-2</v>
      </c>
      <c r="CP63" s="49">
        <v>2.0220576540473868E-2</v>
      </c>
      <c r="CQ63" s="49">
        <v>2.0018370775069128E-2</v>
      </c>
      <c r="CR63" s="49">
        <v>1.9818187067318437E-2</v>
      </c>
      <c r="CS63" s="49">
        <v>1.9620005196645252E-2</v>
      </c>
      <c r="CT63" s="49">
        <v>1.9423805144678799E-2</v>
      </c>
      <c r="CU63" s="49">
        <v>1.9229567093232012E-2</v>
      </c>
      <c r="CV63" s="49">
        <v>1.9037271422299693E-2</v>
      </c>
      <c r="CW63" s="49">
        <v>1.8846898708076695E-2</v>
      </c>
      <c r="CX63" s="48">
        <v>1.8658429720995927E-2</v>
      </c>
      <c r="CY63" s="28">
        <v>1.8471845423785969E-2</v>
      </c>
    </row>
    <row r="64" spans="1:103" ht="15.75">
      <c r="A64" s="50">
        <v>82</v>
      </c>
      <c r="B64" s="48">
        <v>5.5525999999999999E-2</v>
      </c>
      <c r="C64" s="48">
        <v>5.5109555000000005E-2</v>
      </c>
      <c r="D64" s="48">
        <v>5.4685211426499999E-2</v>
      </c>
      <c r="E64" s="48">
        <v>5.425319825623065E-2</v>
      </c>
      <c r="F64" s="48">
        <v>5.3808322030529557E-2</v>
      </c>
      <c r="G64" s="48">
        <v>5.335633212547311E-2</v>
      </c>
      <c r="H64" s="48">
        <v>5.2897467669194037E-2</v>
      </c>
      <c r="I64" s="48">
        <v>5.2426680206938206E-2</v>
      </c>
      <c r="J64" s="48">
        <v>5.1954840085075761E-2</v>
      </c>
      <c r="K64" s="48">
        <v>5.1487246524310082E-2</v>
      </c>
      <c r="L64" s="48">
        <v>5.1023861305591292E-2</v>
      </c>
      <c r="M64" s="48">
        <v>5.0569748939971529E-2</v>
      </c>
      <c r="N64" s="48">
        <v>5.0119678174405782E-2</v>
      </c>
      <c r="O64" s="48">
        <v>4.9673613038653572E-2</v>
      </c>
      <c r="P64" s="48">
        <v>4.9231517882609557E-2</v>
      </c>
      <c r="Q64" s="48">
        <v>4.8783511069877813E-2</v>
      </c>
      <c r="R64" s="48">
        <v>4.8329824416927951E-2</v>
      </c>
      <c r="S64" s="48">
        <v>4.7865858102525437E-2</v>
      </c>
      <c r="T64" s="48">
        <v>4.7396772693120683E-2</v>
      </c>
      <c r="U64" s="49">
        <v>4.6927544643458788E-2</v>
      </c>
      <c r="V64" s="49">
        <v>4.6458269197024199E-2</v>
      </c>
      <c r="W64" s="49">
        <v>4.5993686505053956E-2</v>
      </c>
      <c r="X64" s="49">
        <v>4.5533749640003417E-2</v>
      </c>
      <c r="Y64" s="49">
        <v>4.5078412143603384E-2</v>
      </c>
      <c r="Z64" s="49">
        <v>4.4627628022167347E-2</v>
      </c>
      <c r="AA64" s="49">
        <v>4.4181351741945672E-2</v>
      </c>
      <c r="AB64" s="49">
        <v>4.3739538224526218E-2</v>
      </c>
      <c r="AC64" s="49">
        <v>4.3302142842280955E-2</v>
      </c>
      <c r="AD64" s="49">
        <v>4.2869121413858145E-2</v>
      </c>
      <c r="AE64" s="49">
        <v>4.2440430199719562E-2</v>
      </c>
      <c r="AF64" s="49">
        <v>4.2016025897722367E-2</v>
      </c>
      <c r="AG64" s="49">
        <v>4.1595865638745143E-2</v>
      </c>
      <c r="AH64" s="49">
        <v>4.117990698235769E-2</v>
      </c>
      <c r="AI64" s="49">
        <v>4.0768107912534116E-2</v>
      </c>
      <c r="AJ64" s="49">
        <v>4.0360426833408777E-2</v>
      </c>
      <c r="AK64" s="49">
        <v>3.9956822565074691E-2</v>
      </c>
      <c r="AL64" s="49">
        <v>3.9557254339423947E-2</v>
      </c>
      <c r="AM64" s="49">
        <v>3.9161681796029704E-2</v>
      </c>
      <c r="AN64" s="49">
        <v>3.877006497806941E-2</v>
      </c>
      <c r="AO64" s="49">
        <v>3.8382364328288718E-2</v>
      </c>
      <c r="AP64" s="49">
        <v>3.7998540685005827E-2</v>
      </c>
      <c r="AQ64" s="49">
        <v>3.7618555278155767E-2</v>
      </c>
      <c r="AR64" s="49">
        <v>3.7242369725374209E-2</v>
      </c>
      <c r="AS64" s="49">
        <v>3.6869946028120465E-2</v>
      </c>
      <c r="AT64" s="49">
        <v>3.6501246567839263E-2</v>
      </c>
      <c r="AU64" s="49">
        <v>3.6136234102160873E-2</v>
      </c>
      <c r="AV64" s="49">
        <v>3.5774871761139262E-2</v>
      </c>
      <c r="AW64" s="49">
        <v>3.5417123043527871E-2</v>
      </c>
      <c r="AX64" s="49">
        <v>3.5062951813092588E-2</v>
      </c>
      <c r="AY64" s="49">
        <v>3.4712322294961663E-2</v>
      </c>
      <c r="AZ64" s="49">
        <v>3.4365199072012048E-2</v>
      </c>
      <c r="BA64" s="49">
        <v>3.4021547081291931E-2</v>
      </c>
      <c r="BB64" s="49">
        <v>3.3681331610479009E-2</v>
      </c>
      <c r="BC64" s="49">
        <v>3.3344518294374216E-2</v>
      </c>
      <c r="BD64" s="49">
        <v>3.3011073111430471E-2</v>
      </c>
      <c r="BE64" s="49">
        <v>3.2680962380316168E-2</v>
      </c>
      <c r="BF64" s="49">
        <v>3.2354152756513009E-2</v>
      </c>
      <c r="BG64" s="49">
        <v>3.2030611228947882E-2</v>
      </c>
      <c r="BH64" s="49">
        <v>3.1710305116658406E-2</v>
      </c>
      <c r="BI64" s="49">
        <v>3.1393202065491822E-2</v>
      </c>
      <c r="BJ64" s="49">
        <v>3.1079270044836904E-2</v>
      </c>
      <c r="BK64" s="49">
        <v>3.0768477344388534E-2</v>
      </c>
      <c r="BL64" s="49">
        <v>3.046079257094465E-2</v>
      </c>
      <c r="BM64" s="49">
        <v>3.0156184645235201E-2</v>
      </c>
      <c r="BN64" s="49">
        <v>2.985462279878285E-2</v>
      </c>
      <c r="BO64" s="49">
        <v>2.9556076570795019E-2</v>
      </c>
      <c r="BP64" s="49">
        <v>2.9260515805087067E-2</v>
      </c>
      <c r="BQ64" s="49">
        <v>2.8967910647036195E-2</v>
      </c>
      <c r="BR64" s="49">
        <v>2.8678231540565834E-2</v>
      </c>
      <c r="BS64" s="49">
        <v>2.8391449225160174E-2</v>
      </c>
      <c r="BT64" s="49">
        <v>2.8107534732908574E-2</v>
      </c>
      <c r="BU64" s="49">
        <v>2.782645938557949E-2</v>
      </c>
      <c r="BV64" s="49">
        <v>2.7548194791723695E-2</v>
      </c>
      <c r="BW64" s="49">
        <v>2.7272712843806456E-2</v>
      </c>
      <c r="BX64" s="49">
        <v>2.699998571536839E-2</v>
      </c>
      <c r="BY64" s="49">
        <v>2.6729985858214705E-2</v>
      </c>
      <c r="BZ64" s="49">
        <v>2.6462685999632557E-2</v>
      </c>
      <c r="CA64" s="49">
        <v>2.6198059139636232E-2</v>
      </c>
      <c r="CB64" s="49">
        <v>2.5936078548239871E-2</v>
      </c>
      <c r="CC64" s="49">
        <v>2.5676717762757473E-2</v>
      </c>
      <c r="CD64" s="49">
        <v>2.54199505851299E-2</v>
      </c>
      <c r="CE64" s="49">
        <v>2.5165751079278601E-2</v>
      </c>
      <c r="CF64" s="49">
        <v>2.4914093568485816E-2</v>
      </c>
      <c r="CG64" s="49">
        <v>2.4664952632800958E-2</v>
      </c>
      <c r="CH64" s="49">
        <v>2.4418303106472947E-2</v>
      </c>
      <c r="CI64" s="49">
        <v>2.4174120075408218E-2</v>
      </c>
      <c r="CJ64" s="49">
        <v>2.3932378874654135E-2</v>
      </c>
      <c r="CK64" s="49">
        <v>2.3693055085907595E-2</v>
      </c>
      <c r="CL64" s="49">
        <v>2.3456124535048518E-2</v>
      </c>
      <c r="CM64" s="49">
        <v>2.3221563289698034E-2</v>
      </c>
      <c r="CN64" s="49">
        <v>2.2989347656801051E-2</v>
      </c>
      <c r="CO64" s="49">
        <v>2.2759454180233042E-2</v>
      </c>
      <c r="CP64" s="49">
        <v>2.2531859638430712E-2</v>
      </c>
      <c r="CQ64" s="49">
        <v>2.2306541042046404E-2</v>
      </c>
      <c r="CR64" s="49">
        <v>2.2083475631625941E-2</v>
      </c>
      <c r="CS64" s="49">
        <v>2.1862640875309682E-2</v>
      </c>
      <c r="CT64" s="49">
        <v>2.1644014466556585E-2</v>
      </c>
      <c r="CU64" s="49">
        <v>2.1427574321891019E-2</v>
      </c>
      <c r="CV64" s="49">
        <v>2.1213298578672109E-2</v>
      </c>
      <c r="CW64" s="49">
        <v>2.1001165592885389E-2</v>
      </c>
      <c r="CX64" s="48">
        <v>2.0791153936956536E-2</v>
      </c>
      <c r="CY64" s="28">
        <v>2.0583242397586972E-2</v>
      </c>
    </row>
    <row r="65" spans="1:103" ht="15.75">
      <c r="A65" s="50">
        <v>83</v>
      </c>
      <c r="B65" s="48">
        <v>6.1996000000000002E-2</v>
      </c>
      <c r="C65" s="48">
        <v>6.1543429200000006E-2</v>
      </c>
      <c r="D65" s="48">
        <v>6.1081853481000009E-2</v>
      </c>
      <c r="E65" s="48">
        <v>6.0611523209196307E-2</v>
      </c>
      <c r="F65" s="48">
        <v>6.0126631023522739E-2</v>
      </c>
      <c r="G65" s="48">
        <v>5.9627579986027503E-2</v>
      </c>
      <c r="H65" s="48">
        <v>5.912074555614627E-2</v>
      </c>
      <c r="I65" s="48">
        <v>5.8600482995252182E-2</v>
      </c>
      <c r="J65" s="48">
        <v>5.8073078648294911E-2</v>
      </c>
      <c r="K65" s="48">
        <v>5.7544613632595429E-2</v>
      </c>
      <c r="L65" s="48">
        <v>5.702095764853881E-2</v>
      </c>
      <c r="M65" s="48">
        <v>5.6502066933937105E-2</v>
      </c>
      <c r="N65" s="48">
        <v>5.5993548331531667E-2</v>
      </c>
      <c r="O65" s="48">
        <v>5.5489606396547882E-2</v>
      </c>
      <c r="P65" s="48">
        <v>5.4984650978339294E-2</v>
      </c>
      <c r="Q65" s="48">
        <v>5.4478792189338571E-2</v>
      </c>
      <c r="R65" s="48">
        <v>5.3972139421977726E-2</v>
      </c>
      <c r="S65" s="48">
        <v>5.3454006883526736E-2</v>
      </c>
      <c r="T65" s="48">
        <v>5.2930157616068174E-2</v>
      </c>
      <c r="U65" s="49">
        <v>5.24061490556691E-2</v>
      </c>
      <c r="V65" s="49">
        <v>5.1882087565112409E-2</v>
      </c>
      <c r="W65" s="49">
        <v>5.1363266689461284E-2</v>
      </c>
      <c r="X65" s="49">
        <v>5.0849634022566668E-2</v>
      </c>
      <c r="Y65" s="49">
        <v>5.0341137682341004E-2</v>
      </c>
      <c r="Z65" s="49">
        <v>4.9837726305517596E-2</v>
      </c>
      <c r="AA65" s="49">
        <v>4.933934904246242E-2</v>
      </c>
      <c r="AB65" s="49">
        <v>4.8845955552037794E-2</v>
      </c>
      <c r="AC65" s="49">
        <v>4.8357495996517418E-2</v>
      </c>
      <c r="AD65" s="49">
        <v>4.787392103655224E-2</v>
      </c>
      <c r="AE65" s="49">
        <v>4.7395181826186718E-2</v>
      </c>
      <c r="AF65" s="49">
        <v>4.692123000792485E-2</v>
      </c>
      <c r="AG65" s="49">
        <v>4.64520177078456E-2</v>
      </c>
      <c r="AH65" s="49">
        <v>4.5987497530767141E-2</v>
      </c>
      <c r="AI65" s="49">
        <v>4.5527622555459467E-2</v>
      </c>
      <c r="AJ65" s="49">
        <v>4.5072346329904873E-2</v>
      </c>
      <c r="AK65" s="49">
        <v>4.4621622866605822E-2</v>
      </c>
      <c r="AL65" s="49">
        <v>4.4175406637939764E-2</v>
      </c>
      <c r="AM65" s="49">
        <v>4.3733652571560366E-2</v>
      </c>
      <c r="AN65" s="49">
        <v>4.329631604584476E-2</v>
      </c>
      <c r="AO65" s="49">
        <v>4.2863352885386313E-2</v>
      </c>
      <c r="AP65" s="49">
        <v>4.2434719356532452E-2</v>
      </c>
      <c r="AQ65" s="49">
        <v>4.201037216296713E-2</v>
      </c>
      <c r="AR65" s="49">
        <v>4.1590268441337459E-2</v>
      </c>
      <c r="AS65" s="49">
        <v>4.1174365756924083E-2</v>
      </c>
      <c r="AT65" s="49">
        <v>4.0762622099354842E-2</v>
      </c>
      <c r="AU65" s="49">
        <v>4.0354995878361291E-2</v>
      </c>
      <c r="AV65" s="49">
        <v>3.995144591957768E-2</v>
      </c>
      <c r="AW65" s="49">
        <v>3.9551931460381905E-2</v>
      </c>
      <c r="AX65" s="49">
        <v>3.9156412145778086E-2</v>
      </c>
      <c r="AY65" s="49">
        <v>3.8764848024320307E-2</v>
      </c>
      <c r="AZ65" s="49">
        <v>3.8377199544077104E-2</v>
      </c>
      <c r="BA65" s="49">
        <v>3.7993427548636334E-2</v>
      </c>
      <c r="BB65" s="49">
        <v>3.7613493273149973E-2</v>
      </c>
      <c r="BC65" s="49">
        <v>3.7237358340418469E-2</v>
      </c>
      <c r="BD65" s="49">
        <v>3.6864984757014281E-2</v>
      </c>
      <c r="BE65" s="49">
        <v>3.6496334909444136E-2</v>
      </c>
      <c r="BF65" s="49">
        <v>3.6131371560349693E-2</v>
      </c>
      <c r="BG65" s="49">
        <v>3.5770057844746198E-2</v>
      </c>
      <c r="BH65" s="49">
        <v>3.5412357266298738E-2</v>
      </c>
      <c r="BI65" s="49">
        <v>3.5058233693635754E-2</v>
      </c>
      <c r="BJ65" s="49">
        <v>3.4707651356699398E-2</v>
      </c>
      <c r="BK65" s="49">
        <v>3.4360574843132402E-2</v>
      </c>
      <c r="BL65" s="49">
        <v>3.4016969094701074E-2</v>
      </c>
      <c r="BM65" s="49">
        <v>3.3676799403754065E-2</v>
      </c>
      <c r="BN65" s="49">
        <v>3.3340031409716524E-2</v>
      </c>
      <c r="BO65" s="49">
        <v>3.3006631095619361E-2</v>
      </c>
      <c r="BP65" s="49">
        <v>3.2676564784663166E-2</v>
      </c>
      <c r="BQ65" s="49">
        <v>3.2349799136816536E-2</v>
      </c>
      <c r="BR65" s="49">
        <v>3.2026301145448369E-2</v>
      </c>
      <c r="BS65" s="49">
        <v>3.1706038133993884E-2</v>
      </c>
      <c r="BT65" s="49">
        <v>3.1388977752653945E-2</v>
      </c>
      <c r="BU65" s="49">
        <v>3.1075087975127404E-2</v>
      </c>
      <c r="BV65" s="49">
        <v>3.076433709537613E-2</v>
      </c>
      <c r="BW65" s="49">
        <v>3.0456693724422369E-2</v>
      </c>
      <c r="BX65" s="49">
        <v>3.0152126787178147E-2</v>
      </c>
      <c r="BY65" s="49">
        <v>2.9850605519306364E-2</v>
      </c>
      <c r="BZ65" s="49">
        <v>2.9552099464113302E-2</v>
      </c>
      <c r="CA65" s="49">
        <v>2.9256578469472168E-2</v>
      </c>
      <c r="CB65" s="49">
        <v>2.8964012684777447E-2</v>
      </c>
      <c r="CC65" s="49">
        <v>2.8674372557929671E-2</v>
      </c>
      <c r="CD65" s="49">
        <v>2.8387628832350374E-2</v>
      </c>
      <c r="CE65" s="49">
        <v>2.8103752544026871E-2</v>
      </c>
      <c r="CF65" s="49">
        <v>2.7822715018586602E-2</v>
      </c>
      <c r="CG65" s="49">
        <v>2.7544487868400736E-2</v>
      </c>
      <c r="CH65" s="49">
        <v>2.7269042989716729E-2</v>
      </c>
      <c r="CI65" s="49">
        <v>2.699635255981956E-2</v>
      </c>
      <c r="CJ65" s="49">
        <v>2.6726389034221365E-2</v>
      </c>
      <c r="CK65" s="49">
        <v>2.6459125143879152E-2</v>
      </c>
      <c r="CL65" s="49">
        <v>2.619453389244036E-2</v>
      </c>
      <c r="CM65" s="49">
        <v>2.5932588553515955E-2</v>
      </c>
      <c r="CN65" s="49">
        <v>2.5673262667980794E-2</v>
      </c>
      <c r="CO65" s="49">
        <v>2.5416530041300987E-2</v>
      </c>
      <c r="CP65" s="49">
        <v>2.5162364740887976E-2</v>
      </c>
      <c r="CQ65" s="49">
        <v>2.4910741093479096E-2</v>
      </c>
      <c r="CR65" s="49">
        <v>2.4661633682544305E-2</v>
      </c>
      <c r="CS65" s="49">
        <v>2.441501734571886E-2</v>
      </c>
      <c r="CT65" s="49">
        <v>2.4170867172261672E-2</v>
      </c>
      <c r="CU65" s="49">
        <v>2.3929158500539057E-2</v>
      </c>
      <c r="CV65" s="49">
        <v>2.3689866915533667E-2</v>
      </c>
      <c r="CW65" s="49">
        <v>2.3452968246378329E-2</v>
      </c>
      <c r="CX65" s="48">
        <v>2.3218438563914544E-2</v>
      </c>
      <c r="CY65" s="28">
        <v>2.2986254178275399E-2</v>
      </c>
    </row>
    <row r="66" spans="1:103" ht="15.75">
      <c r="A66" s="50">
        <v>84</v>
      </c>
      <c r="B66" s="48">
        <v>6.9290000000000004E-2</v>
      </c>
      <c r="C66" s="48">
        <v>6.8798041000000004E-2</v>
      </c>
      <c r="D66" s="48">
        <v>6.8295815300700002E-2</v>
      </c>
      <c r="E66" s="48">
        <v>6.7776767104414673E-2</v>
      </c>
      <c r="F66" s="48">
        <v>6.7248108321000241E-2</v>
      </c>
      <c r="G66" s="48">
        <v>6.6703398643600142E-2</v>
      </c>
      <c r="H66" s="48">
        <v>6.6143090094993903E-2</v>
      </c>
      <c r="I66" s="48">
        <v>6.5567645211167452E-2</v>
      </c>
      <c r="J66" s="48">
        <v>6.498409316878806E-2</v>
      </c>
      <c r="K66" s="48">
        <v>6.4392737920952084E-2</v>
      </c>
      <c r="L66" s="48">
        <v>6.3800324732079319E-2</v>
      </c>
      <c r="M66" s="48">
        <v>6.3213361744544186E-2</v>
      </c>
      <c r="N66" s="48">
        <v>6.2638120152668827E-2</v>
      </c>
      <c r="O66" s="48">
        <v>6.2068113259279543E-2</v>
      </c>
      <c r="P66" s="48">
        <v>6.1497086617294174E-2</v>
      </c>
      <c r="Q66" s="48">
        <v>6.0925163711753341E-2</v>
      </c>
      <c r="R66" s="48">
        <v>6.0352467172862863E-2</v>
      </c>
      <c r="S66" s="48">
        <v>5.9773083488003378E-2</v>
      </c>
      <c r="T66" s="48">
        <v>5.9187307269820945E-2</v>
      </c>
      <c r="U66" s="49">
        <v>5.8601352927849716E-2</v>
      </c>
      <c r="V66" s="49">
        <v>5.8015339398571217E-2</v>
      </c>
      <c r="W66" s="49">
        <v>5.7435186004585505E-2</v>
      </c>
      <c r="X66" s="49">
        <v>5.686083414453965E-2</v>
      </c>
      <c r="Y66" s="49">
        <v>5.6292225803094252E-2</v>
      </c>
      <c r="Z66" s="49">
        <v>5.5729303545063308E-2</v>
      </c>
      <c r="AA66" s="49">
        <v>5.5172010509612672E-2</v>
      </c>
      <c r="AB66" s="49">
        <v>5.4620290404516547E-2</v>
      </c>
      <c r="AC66" s="49">
        <v>5.4074087500471379E-2</v>
      </c>
      <c r="AD66" s="49">
        <v>5.3533346625466667E-2</v>
      </c>
      <c r="AE66" s="49">
        <v>5.2998013159212001E-2</v>
      </c>
      <c r="AF66" s="49">
        <v>5.2468033027619883E-2</v>
      </c>
      <c r="AG66" s="49">
        <v>5.1943352697343681E-2</v>
      </c>
      <c r="AH66" s="49">
        <v>5.1423919170370244E-2</v>
      </c>
      <c r="AI66" s="49">
        <v>5.0909679978666543E-2</v>
      </c>
      <c r="AJ66" s="49">
        <v>5.0400583178879875E-2</v>
      </c>
      <c r="AK66" s="49">
        <v>4.9896577347091076E-2</v>
      </c>
      <c r="AL66" s="49">
        <v>4.9397611573620166E-2</v>
      </c>
      <c r="AM66" s="49">
        <v>4.8903635457883961E-2</v>
      </c>
      <c r="AN66" s="49">
        <v>4.8414599103305124E-2</v>
      </c>
      <c r="AO66" s="49">
        <v>4.7930453112272071E-2</v>
      </c>
      <c r="AP66" s="49">
        <v>4.7451148581149349E-2</v>
      </c>
      <c r="AQ66" s="49">
        <v>4.6976637095337857E-2</v>
      </c>
      <c r="AR66" s="49">
        <v>4.6506870724384482E-2</v>
      </c>
      <c r="AS66" s="49">
        <v>4.6041802017140636E-2</v>
      </c>
      <c r="AT66" s="49">
        <v>4.5581383996969232E-2</v>
      </c>
      <c r="AU66" s="49">
        <v>4.5125570156999542E-2</v>
      </c>
      <c r="AV66" s="49">
        <v>4.4674314455429548E-2</v>
      </c>
      <c r="AW66" s="49">
        <v>4.4227571310875249E-2</v>
      </c>
      <c r="AX66" s="49">
        <v>4.3785295597766498E-2</v>
      </c>
      <c r="AY66" s="49">
        <v>4.334744264178883E-2</v>
      </c>
      <c r="AZ66" s="49">
        <v>4.291396821537094E-2</v>
      </c>
      <c r="BA66" s="49">
        <v>4.248482853321723E-2</v>
      </c>
      <c r="BB66" s="49">
        <v>4.2059980247885057E-2</v>
      </c>
      <c r="BC66" s="49">
        <v>4.1639380445406209E-2</v>
      </c>
      <c r="BD66" s="49">
        <v>4.1222986640952149E-2</v>
      </c>
      <c r="BE66" s="49">
        <v>4.0810756774542628E-2</v>
      </c>
      <c r="BF66" s="49">
        <v>4.0402649206797203E-2</v>
      </c>
      <c r="BG66" s="49">
        <v>3.9998622714729232E-2</v>
      </c>
      <c r="BH66" s="49">
        <v>3.959863648758194E-2</v>
      </c>
      <c r="BI66" s="49">
        <v>3.9202650122706122E-2</v>
      </c>
      <c r="BJ66" s="49">
        <v>3.8810623621479058E-2</v>
      </c>
      <c r="BK66" s="49">
        <v>3.8422517385264268E-2</v>
      </c>
      <c r="BL66" s="49">
        <v>3.8038292211411626E-2</v>
      </c>
      <c r="BM66" s="49">
        <v>3.7657909289297506E-2</v>
      </c>
      <c r="BN66" s="49">
        <v>3.7281330196404533E-2</v>
      </c>
      <c r="BO66" s="49">
        <v>3.6908516894440489E-2</v>
      </c>
      <c r="BP66" s="49">
        <v>3.6539431725496084E-2</v>
      </c>
      <c r="BQ66" s="49">
        <v>3.6174037408241121E-2</v>
      </c>
      <c r="BR66" s="49">
        <v>3.581229703415871E-2</v>
      </c>
      <c r="BS66" s="49">
        <v>3.5454174063817123E-2</v>
      </c>
      <c r="BT66" s="49">
        <v>3.5099632323178954E-2</v>
      </c>
      <c r="BU66" s="49">
        <v>3.4748635999947167E-2</v>
      </c>
      <c r="BV66" s="49">
        <v>3.4401149639947698E-2</v>
      </c>
      <c r="BW66" s="49">
        <v>3.4057138143548223E-2</v>
      </c>
      <c r="BX66" s="49">
        <v>3.3716566762112737E-2</v>
      </c>
      <c r="BY66" s="49">
        <v>3.3379401094491612E-2</v>
      </c>
      <c r="BZ66" s="49">
        <v>3.3045607083546695E-2</v>
      </c>
      <c r="CA66" s="49">
        <v>3.2715151012711226E-2</v>
      </c>
      <c r="CB66" s="49">
        <v>3.2387999502584114E-2</v>
      </c>
      <c r="CC66" s="49">
        <v>3.2064119507558275E-2</v>
      </c>
      <c r="CD66" s="49">
        <v>3.1743478312482691E-2</v>
      </c>
      <c r="CE66" s="49">
        <v>3.1426043529357864E-2</v>
      </c>
      <c r="CF66" s="49">
        <v>3.1111783094064285E-2</v>
      </c>
      <c r="CG66" s="49">
        <v>3.0800665263123642E-2</v>
      </c>
      <c r="CH66" s="49">
        <v>3.0492658610492406E-2</v>
      </c>
      <c r="CI66" s="49">
        <v>3.018773202438748E-2</v>
      </c>
      <c r="CJ66" s="49">
        <v>2.9885854704143604E-2</v>
      </c>
      <c r="CK66" s="49">
        <v>2.9586996157102169E-2</v>
      </c>
      <c r="CL66" s="49">
        <v>2.9291126195531147E-2</v>
      </c>
      <c r="CM66" s="49">
        <v>2.8998214933575836E-2</v>
      </c>
      <c r="CN66" s="49">
        <v>2.8708232784240076E-2</v>
      </c>
      <c r="CO66" s="49">
        <v>2.8421150456397676E-2</v>
      </c>
      <c r="CP66" s="49">
        <v>2.8136938951833699E-2</v>
      </c>
      <c r="CQ66" s="49">
        <v>2.7855569562315361E-2</v>
      </c>
      <c r="CR66" s="49">
        <v>2.7577013866692208E-2</v>
      </c>
      <c r="CS66" s="49">
        <v>2.7301243728025285E-2</v>
      </c>
      <c r="CT66" s="49">
        <v>2.7028231290745032E-2</v>
      </c>
      <c r="CU66" s="49">
        <v>2.6757948977837582E-2</v>
      </c>
      <c r="CV66" s="49">
        <v>2.6490369488059207E-2</v>
      </c>
      <c r="CW66" s="49">
        <v>2.6225465793178616E-2</v>
      </c>
      <c r="CX66" s="48">
        <v>2.5963211135246831E-2</v>
      </c>
      <c r="CY66" s="28">
        <v>2.5703579023894363E-2</v>
      </c>
    </row>
    <row r="67" spans="1:103" ht="15.75">
      <c r="A67" s="50">
        <v>85</v>
      </c>
      <c r="B67" s="48">
        <v>7.7496999999999996E-2</v>
      </c>
      <c r="C67" s="48">
        <v>7.6962270700000002E-2</v>
      </c>
      <c r="D67" s="48">
        <v>7.6415838578029999E-2</v>
      </c>
      <c r="E67" s="48">
        <v>7.5850361372552577E-2</v>
      </c>
      <c r="F67" s="48">
        <v>7.5266313589983924E-2</v>
      </c>
      <c r="G67" s="48">
        <v>7.4664183081264046E-2</v>
      </c>
      <c r="H67" s="48">
        <v>7.4044470361689554E-2</v>
      </c>
      <c r="I67" s="48">
        <v>7.340768791657902E-2</v>
      </c>
      <c r="J67" s="48">
        <v>7.276170026291312E-2</v>
      </c>
      <c r="K67" s="48">
        <v>7.2106844960546895E-2</v>
      </c>
      <c r="L67" s="48">
        <v>7.1443461986909859E-2</v>
      </c>
      <c r="M67" s="48">
        <v>7.0786182136630293E-2</v>
      </c>
      <c r="N67" s="48">
        <v>7.0134949260973301E-2</v>
      </c>
      <c r="O67" s="48">
        <v>6.9489707727772354E-2</v>
      </c>
      <c r="P67" s="48">
        <v>6.8850402416676851E-2</v>
      </c>
      <c r="Q67" s="48">
        <v>6.8210093674201763E-2</v>
      </c>
      <c r="R67" s="48">
        <v>6.7568918793664265E-2</v>
      </c>
      <c r="S67" s="48">
        <v>6.6927014065124454E-2</v>
      </c>
      <c r="T67" s="48">
        <v>6.6277822028692743E-2</v>
      </c>
      <c r="U67" s="49">
        <v>6.5621671590608679E-2</v>
      </c>
      <c r="V67" s="49">
        <v>6.4965454874702594E-2</v>
      </c>
      <c r="W67" s="49">
        <v>6.4315800325955561E-2</v>
      </c>
      <c r="X67" s="49">
        <v>6.367264232269601E-2</v>
      </c>
      <c r="Y67" s="49">
        <v>6.3035915899469053E-2</v>
      </c>
      <c r="Z67" s="49">
        <v>6.2405556740474363E-2</v>
      </c>
      <c r="AA67" s="49">
        <v>6.1781501173069617E-2</v>
      </c>
      <c r="AB67" s="49">
        <v>6.1163686161338923E-2</v>
      </c>
      <c r="AC67" s="49">
        <v>6.0552049299725533E-2</v>
      </c>
      <c r="AD67" s="49">
        <v>5.994652880672828E-2</v>
      </c>
      <c r="AE67" s="49">
        <v>5.9347063518660995E-2</v>
      </c>
      <c r="AF67" s="49">
        <v>5.8753592883474384E-2</v>
      </c>
      <c r="AG67" s="49">
        <v>5.8166056954639639E-2</v>
      </c>
      <c r="AH67" s="49">
        <v>5.7584396385093245E-2</v>
      </c>
      <c r="AI67" s="49">
        <v>5.7008552421242309E-2</v>
      </c>
      <c r="AJ67" s="49">
        <v>5.6438466897029888E-2</v>
      </c>
      <c r="AK67" s="49">
        <v>5.5874082228059591E-2</v>
      </c>
      <c r="AL67" s="49">
        <v>5.5315341405778991E-2</v>
      </c>
      <c r="AM67" s="49">
        <v>5.4762187991721202E-2</v>
      </c>
      <c r="AN67" s="49">
        <v>5.4214566111803988E-2</v>
      </c>
      <c r="AO67" s="49">
        <v>5.3672420450685945E-2</v>
      </c>
      <c r="AP67" s="49">
        <v>5.3135696246179087E-2</v>
      </c>
      <c r="AQ67" s="49">
        <v>5.2604339283717293E-2</v>
      </c>
      <c r="AR67" s="49">
        <v>5.2078295890880116E-2</v>
      </c>
      <c r="AS67" s="49">
        <v>5.1557512931971312E-2</v>
      </c>
      <c r="AT67" s="49">
        <v>5.10419378026516E-2</v>
      </c>
      <c r="AU67" s="49">
        <v>5.0531518424625083E-2</v>
      </c>
      <c r="AV67" s="49">
        <v>5.0026203240378833E-2</v>
      </c>
      <c r="AW67" s="49">
        <v>4.9525941207975044E-2</v>
      </c>
      <c r="AX67" s="49">
        <v>4.9030681795895294E-2</v>
      </c>
      <c r="AY67" s="49">
        <v>4.854037497793634E-2</v>
      </c>
      <c r="AZ67" s="49">
        <v>4.8054971228156974E-2</v>
      </c>
      <c r="BA67" s="49">
        <v>4.7574421515875404E-2</v>
      </c>
      <c r="BB67" s="49">
        <v>4.7098677300716651E-2</v>
      </c>
      <c r="BC67" s="49">
        <v>4.6627690527709487E-2</v>
      </c>
      <c r="BD67" s="49">
        <v>4.6161413622432389E-2</v>
      </c>
      <c r="BE67" s="49">
        <v>4.5699799486208066E-2</v>
      </c>
      <c r="BF67" s="49">
        <v>4.5242801491345984E-2</v>
      </c>
      <c r="BG67" s="49">
        <v>4.4790373476432527E-2</v>
      </c>
      <c r="BH67" s="49">
        <v>4.4342469741668201E-2</v>
      </c>
      <c r="BI67" s="49">
        <v>4.3899045044251517E-2</v>
      </c>
      <c r="BJ67" s="49">
        <v>4.3460054593809E-2</v>
      </c>
      <c r="BK67" s="49">
        <v>4.3025454047870906E-2</v>
      </c>
      <c r="BL67" s="49">
        <v>4.2595199507392198E-2</v>
      </c>
      <c r="BM67" s="49">
        <v>4.2169247512318278E-2</v>
      </c>
      <c r="BN67" s="49">
        <v>4.1747555037195093E-2</v>
      </c>
      <c r="BO67" s="49">
        <v>4.1330079486823143E-2</v>
      </c>
      <c r="BP67" s="49">
        <v>4.0916778691954911E-2</v>
      </c>
      <c r="BQ67" s="49">
        <v>4.0507610905035359E-2</v>
      </c>
      <c r="BR67" s="49">
        <v>4.0102534795985002E-2</v>
      </c>
      <c r="BS67" s="49">
        <v>3.9701509448025155E-2</v>
      </c>
      <c r="BT67" s="49">
        <v>3.9304494353544904E-2</v>
      </c>
      <c r="BU67" s="49">
        <v>3.8911449410009458E-2</v>
      </c>
      <c r="BV67" s="49">
        <v>3.8522334915909361E-2</v>
      </c>
      <c r="BW67" s="49">
        <v>3.8137111566750266E-2</v>
      </c>
      <c r="BX67" s="49">
        <v>3.7755740451082764E-2</v>
      </c>
      <c r="BY67" s="49">
        <v>3.7378183046571936E-2</v>
      </c>
      <c r="BZ67" s="49">
        <v>3.7004401216106216E-2</v>
      </c>
      <c r="CA67" s="49">
        <v>3.6634357203945152E-2</v>
      </c>
      <c r="CB67" s="49">
        <v>3.6268013631905703E-2</v>
      </c>
      <c r="CC67" s="49">
        <v>3.5905333495586646E-2</v>
      </c>
      <c r="CD67" s="49">
        <v>3.5546280160630779E-2</v>
      </c>
      <c r="CE67" s="49">
        <v>3.5190817359024469E-2</v>
      </c>
      <c r="CF67" s="49">
        <v>3.4838909185434225E-2</v>
      </c>
      <c r="CG67" s="49">
        <v>3.4490520093579884E-2</v>
      </c>
      <c r="CH67" s="49">
        <v>3.4145614892644081E-2</v>
      </c>
      <c r="CI67" s="49">
        <v>3.3804158743717637E-2</v>
      </c>
      <c r="CJ67" s="49">
        <v>3.3466117156280457E-2</v>
      </c>
      <c r="CK67" s="49">
        <v>3.3131455984717652E-2</v>
      </c>
      <c r="CL67" s="49">
        <v>3.2800141424870477E-2</v>
      </c>
      <c r="CM67" s="49">
        <v>3.2472140010621771E-2</v>
      </c>
      <c r="CN67" s="49">
        <v>3.2147418610515552E-2</v>
      </c>
      <c r="CO67" s="49">
        <v>3.1825944424410398E-2</v>
      </c>
      <c r="CP67" s="49">
        <v>3.1507684980166296E-2</v>
      </c>
      <c r="CQ67" s="49">
        <v>3.1192608130364632E-2</v>
      </c>
      <c r="CR67" s="49">
        <v>3.0880682049060987E-2</v>
      </c>
      <c r="CS67" s="49">
        <v>3.0571875228570376E-2</v>
      </c>
      <c r="CT67" s="49">
        <v>3.0266156476284674E-2</v>
      </c>
      <c r="CU67" s="49">
        <v>2.9963494911521827E-2</v>
      </c>
      <c r="CV67" s="49">
        <v>2.966385996240661E-2</v>
      </c>
      <c r="CW67" s="49">
        <v>2.9367221362782542E-2</v>
      </c>
      <c r="CX67" s="48">
        <v>2.9073549149154717E-2</v>
      </c>
      <c r="CY67" s="28">
        <v>2.8782813657663168E-2</v>
      </c>
    </row>
    <row r="68" spans="1:103" ht="15.75">
      <c r="A68" s="50">
        <v>86</v>
      </c>
      <c r="B68" s="48">
        <v>8.6711999999999997E-2</v>
      </c>
      <c r="C68" s="48">
        <v>8.6139700799999996E-2</v>
      </c>
      <c r="D68" s="48">
        <v>8.5545336864480001E-2</v>
      </c>
      <c r="E68" s="48">
        <v>8.4937964972742197E-2</v>
      </c>
      <c r="F68" s="48">
        <v>8.4309424031943914E-2</v>
      </c>
      <c r="G68" s="48">
        <v>8.3651810524494746E-2</v>
      </c>
      <c r="H68" s="48">
        <v>8.2974230859246337E-2</v>
      </c>
      <c r="I68" s="48">
        <v>8.2277247320028668E-2</v>
      </c>
      <c r="J68" s="48">
        <v>8.1569662993076414E-2</v>
      </c>
      <c r="K68" s="48">
        <v>8.0843692992438029E-2</v>
      </c>
      <c r="L68" s="48">
        <v>8.0116099755506084E-2</v>
      </c>
      <c r="M68" s="48">
        <v>7.9387043247730979E-2</v>
      </c>
      <c r="N68" s="48">
        <v>7.8664621154176634E-2</v>
      </c>
      <c r="O68" s="48">
        <v>7.7940906639558216E-2</v>
      </c>
      <c r="P68" s="48">
        <v>7.7223850298474284E-2</v>
      </c>
      <c r="Q68" s="48">
        <v>7.6505668490698481E-2</v>
      </c>
      <c r="R68" s="48">
        <v>7.5794165773734989E-2</v>
      </c>
      <c r="S68" s="48">
        <v>7.5074121198884514E-2</v>
      </c>
      <c r="T68" s="48">
        <v>7.435340963537522E-2</v>
      </c>
      <c r="U68" s="49">
        <v>7.3632181561912077E-2</v>
      </c>
      <c r="V68" s="49">
        <v>7.2903222964449149E-2</v>
      </c>
      <c r="W68" s="49">
        <v>7.2181481057101107E-2</v>
      </c>
      <c r="X68" s="49">
        <v>7.1466884394635805E-2</v>
      </c>
      <c r="Y68" s="49">
        <v>7.0759362239128903E-2</v>
      </c>
      <c r="Z68" s="49">
        <v>7.0058844552961533E-2</v>
      </c>
      <c r="AA68" s="49">
        <v>6.9365261991887209E-2</v>
      </c>
      <c r="AB68" s="49">
        <v>6.867854589816752E-2</v>
      </c>
      <c r="AC68" s="49">
        <v>6.7998628293775662E-2</v>
      </c>
      <c r="AD68" s="49">
        <v>6.7325441873667277E-2</v>
      </c>
      <c r="AE68" s="49">
        <v>6.6658919999117966E-2</v>
      </c>
      <c r="AF68" s="49">
        <v>6.5998996691126702E-2</v>
      </c>
      <c r="AG68" s="49">
        <v>6.5345606623884542E-2</v>
      </c>
      <c r="AH68" s="49">
        <v>6.4698685118308077E-2</v>
      </c>
      <c r="AI68" s="49">
        <v>6.405816813563682E-2</v>
      </c>
      <c r="AJ68" s="49">
        <v>6.3423992271094021E-2</v>
      </c>
      <c r="AK68" s="49">
        <v>6.2796094747610193E-2</v>
      </c>
      <c r="AL68" s="49">
        <v>6.2174413409608852E-2</v>
      </c>
      <c r="AM68" s="49">
        <v>6.1558886716853722E-2</v>
      </c>
      <c r="AN68" s="49">
        <v>6.0949453738356869E-2</v>
      </c>
      <c r="AO68" s="49">
        <v>6.0346054146347132E-2</v>
      </c>
      <c r="AP68" s="49">
        <v>5.9748628210298291E-2</v>
      </c>
      <c r="AQ68" s="49">
        <v>5.9157116791016338E-2</v>
      </c>
      <c r="AR68" s="49">
        <v>5.8571461334785274E-2</v>
      </c>
      <c r="AS68" s="49">
        <v>5.79916038675709E-2</v>
      </c>
      <c r="AT68" s="49">
        <v>5.7417486989281945E-2</v>
      </c>
      <c r="AU68" s="49">
        <v>5.6849053868088049E-2</v>
      </c>
      <c r="AV68" s="49">
        <v>5.628624823479398E-2</v>
      </c>
      <c r="AW68" s="49">
        <v>5.5729014377269522E-2</v>
      </c>
      <c r="AX68" s="49">
        <v>5.517729713493455E-2</v>
      </c>
      <c r="AY68" s="49">
        <v>5.4631041893298697E-2</v>
      </c>
      <c r="AZ68" s="49">
        <v>5.4090194578555038E-2</v>
      </c>
      <c r="BA68" s="49">
        <v>5.3554701652227345E-2</v>
      </c>
      <c r="BB68" s="49">
        <v>5.3024510105870296E-2</v>
      </c>
      <c r="BC68" s="49">
        <v>5.2499567455822176E-2</v>
      </c>
      <c r="BD68" s="49">
        <v>5.1979821738009538E-2</v>
      </c>
      <c r="BE68" s="49">
        <v>5.1465221502803242E-2</v>
      </c>
      <c r="BF68" s="49">
        <v>5.0955715809925486E-2</v>
      </c>
      <c r="BG68" s="49">
        <v>5.0451254223407224E-2</v>
      </c>
      <c r="BH68" s="49">
        <v>4.995178680659549E-2</v>
      </c>
      <c r="BI68" s="49">
        <v>4.9457264117210194E-2</v>
      </c>
      <c r="BJ68" s="49">
        <v>4.8967637202449815E-2</v>
      </c>
      <c r="BK68" s="49">
        <v>4.8482857594145563E-2</v>
      </c>
      <c r="BL68" s="49">
        <v>4.800287730396352E-2</v>
      </c>
      <c r="BM68" s="49">
        <v>4.7527648818654282E-2</v>
      </c>
      <c r="BN68" s="49">
        <v>4.7057125095349601E-2</v>
      </c>
      <c r="BO68" s="49">
        <v>4.6591259556905643E-2</v>
      </c>
      <c r="BP68" s="49">
        <v>4.6130006087292279E-2</v>
      </c>
      <c r="BQ68" s="49">
        <v>4.5673319027028085E-2</v>
      </c>
      <c r="BR68" s="49">
        <v>4.5221153168660509E-2</v>
      </c>
      <c r="BS68" s="49">
        <v>4.4773463752290771E-2</v>
      </c>
      <c r="BT68" s="49">
        <v>4.4330206461143093E-2</v>
      </c>
      <c r="BU68" s="49">
        <v>4.3891337417177774E-2</v>
      </c>
      <c r="BV68" s="49">
        <v>4.3456813176747711E-2</v>
      </c>
      <c r="BW68" s="49">
        <v>4.3026590726297907E-2</v>
      </c>
      <c r="BX68" s="49">
        <v>4.2600627478107556E-2</v>
      </c>
      <c r="BY68" s="49">
        <v>4.2178881266074289E-2</v>
      </c>
      <c r="BZ68" s="49">
        <v>4.1761310341540153E-2</v>
      </c>
      <c r="CA68" s="49">
        <v>4.1347873369158905E-2</v>
      </c>
      <c r="CB68" s="49">
        <v>4.093852942280423E-2</v>
      </c>
      <c r="CC68" s="49">
        <v>4.053323798151847E-2</v>
      </c>
      <c r="CD68" s="49">
        <v>4.0131958925501435E-2</v>
      </c>
      <c r="CE68" s="49">
        <v>3.9734652532138967E-2</v>
      </c>
      <c r="CF68" s="49">
        <v>3.9341279472070792E-2</v>
      </c>
      <c r="CG68" s="49">
        <v>3.8951800805297289E-2</v>
      </c>
      <c r="CH68" s="49">
        <v>3.8566177977324846E-2</v>
      </c>
      <c r="CI68" s="49">
        <v>3.8184372815349331E-2</v>
      </c>
      <c r="CJ68" s="49">
        <v>3.7806347524477368E-2</v>
      </c>
      <c r="CK68" s="49">
        <v>3.7432064683985043E-2</v>
      </c>
      <c r="CL68" s="49">
        <v>3.7061487243613592E-2</v>
      </c>
      <c r="CM68" s="49">
        <v>3.6694578519901815E-2</v>
      </c>
      <c r="CN68" s="49">
        <v>3.6331302192554787E-2</v>
      </c>
      <c r="CO68" s="49">
        <v>3.5971622300848494E-2</v>
      </c>
      <c r="CP68" s="49">
        <v>3.5615503240070095E-2</v>
      </c>
      <c r="CQ68" s="49">
        <v>3.5262909757993399E-2</v>
      </c>
      <c r="CR68" s="49">
        <v>3.4913806951389265E-2</v>
      </c>
      <c r="CS68" s="49">
        <v>3.4568160262570508E-2</v>
      </c>
      <c r="CT68" s="49">
        <v>3.422593547597106E-2</v>
      </c>
      <c r="CU68" s="49">
        <v>3.3887098714758944E-2</v>
      </c>
      <c r="CV68" s="49">
        <v>3.3551616437482827E-2</v>
      </c>
      <c r="CW68" s="49">
        <v>3.3219455434751743E-2</v>
      </c>
      <c r="CX68" s="48">
        <v>3.2890582825947701E-2</v>
      </c>
      <c r="CY68" s="28">
        <v>3.2564966055970819E-2</v>
      </c>
    </row>
    <row r="69" spans="1:103" ht="15.75">
      <c r="A69" s="50">
        <v>87</v>
      </c>
      <c r="B69" s="48">
        <v>9.7037999999999999E-2</v>
      </c>
      <c r="C69" s="48">
        <v>9.6416956800000009E-2</v>
      </c>
      <c r="D69" s="48">
        <v>9.5770963189440006E-2</v>
      </c>
      <c r="E69" s="48">
        <v>9.5110143543432862E-2</v>
      </c>
      <c r="F69" s="48">
        <v>9.4425350509920153E-2</v>
      </c>
      <c r="G69" s="48">
        <v>9.3707717846044758E-2</v>
      </c>
      <c r="H69" s="48">
        <v>9.2967426875061002E-2</v>
      </c>
      <c r="I69" s="48">
        <v>9.2205093974685501E-2</v>
      </c>
      <c r="J69" s="48">
        <v>9.143057118529814E-2</v>
      </c>
      <c r="K69" s="48">
        <v>9.0635125215986045E-2</v>
      </c>
      <c r="L69" s="48">
        <v>8.9837536114085362E-2</v>
      </c>
      <c r="M69" s="48">
        <v>8.9037982042669994E-2</v>
      </c>
      <c r="N69" s="48">
        <v>8.8236640204285968E-2</v>
      </c>
      <c r="O69" s="48">
        <v>8.7433686778426972E-2</v>
      </c>
      <c r="P69" s="48">
        <v>8.6638040228743288E-2</v>
      </c>
      <c r="Q69" s="48">
        <v>8.5840970258638849E-2</v>
      </c>
      <c r="R69" s="48">
        <v>8.5042649235233511E-2</v>
      </c>
      <c r="S69" s="48">
        <v>8.4251752597345839E-2</v>
      </c>
      <c r="T69" s="48">
        <v>8.3451360947671055E-2</v>
      </c>
      <c r="U69" s="49">
        <v>8.265022788257341E-2</v>
      </c>
      <c r="V69" s="49">
        <v>8.1848520672112443E-2</v>
      </c>
      <c r="W69" s="49">
        <v>8.1054590021592945E-2</v>
      </c>
      <c r="X69" s="49">
        <v>8.0268360498383484E-2</v>
      </c>
      <c r="Y69" s="49">
        <v>7.9489757401549163E-2</v>
      </c>
      <c r="Z69" s="49">
        <v>7.8718706754754134E-2</v>
      </c>
      <c r="AA69" s="49">
        <v>7.7955135299233022E-2</v>
      </c>
      <c r="AB69" s="49">
        <v>7.7198970486830457E-2</v>
      </c>
      <c r="AC69" s="49">
        <v>7.6450140473108191E-2</v>
      </c>
      <c r="AD69" s="49">
        <v>7.5708574110519039E-2</v>
      </c>
      <c r="AE69" s="49">
        <v>7.4974200941647001E-2</v>
      </c>
      <c r="AF69" s="49">
        <v>7.4246951192513025E-2</v>
      </c>
      <c r="AG69" s="49">
        <v>7.3526755765945639E-2</v>
      </c>
      <c r="AH69" s="49">
        <v>7.2813546235015958E-2</v>
      </c>
      <c r="AI69" s="49">
        <v>7.2107254836536294E-2</v>
      </c>
      <c r="AJ69" s="49">
        <v>7.1407814464621883E-2</v>
      </c>
      <c r="AK69" s="49">
        <v>7.0715158664315048E-2</v>
      </c>
      <c r="AL69" s="49">
        <v>7.0029221625271185E-2</v>
      </c>
      <c r="AM69" s="49">
        <v>6.9349938175506054E-2</v>
      </c>
      <c r="AN69" s="49">
        <v>6.8677243775203636E-2</v>
      </c>
      <c r="AO69" s="49">
        <v>6.8011074510584163E-2</v>
      </c>
      <c r="AP69" s="49">
        <v>6.7351367087831487E-2</v>
      </c>
      <c r="AQ69" s="49">
        <v>6.669805882707952E-2</v>
      </c>
      <c r="AR69" s="49">
        <v>6.6051087656456842E-2</v>
      </c>
      <c r="AS69" s="49">
        <v>6.5410392106189208E-2</v>
      </c>
      <c r="AT69" s="49">
        <v>6.477591130275917E-2</v>
      </c>
      <c r="AU69" s="49">
        <v>6.4147584963122409E-2</v>
      </c>
      <c r="AV69" s="49">
        <v>6.3525353388980119E-2</v>
      </c>
      <c r="AW69" s="49">
        <v>6.2909157461107007E-2</v>
      </c>
      <c r="AX69" s="49">
        <v>6.2298938633734265E-2</v>
      </c>
      <c r="AY69" s="49">
        <v>6.1694638928987036E-2</v>
      </c>
      <c r="AZ69" s="49">
        <v>6.1096200931375862E-2</v>
      </c>
      <c r="BA69" s="49">
        <v>6.0503567782341512E-2</v>
      </c>
      <c r="BB69" s="49">
        <v>5.9916683174852797E-2</v>
      </c>
      <c r="BC69" s="49">
        <v>5.9335491348056719E-2</v>
      </c>
      <c r="BD69" s="49">
        <v>5.8759937081980566E-2</v>
      </c>
      <c r="BE69" s="49">
        <v>5.818996569228535E-2</v>
      </c>
      <c r="BF69" s="49">
        <v>5.762552302507018E-2</v>
      </c>
      <c r="BG69" s="49">
        <v>5.7066555451726994E-2</v>
      </c>
      <c r="BH69" s="49">
        <v>5.6513009863845241E-2</v>
      </c>
      <c r="BI69" s="49">
        <v>5.5964833668165938E-2</v>
      </c>
      <c r="BJ69" s="49">
        <v>5.5421974781584726E-2</v>
      </c>
      <c r="BK69" s="49">
        <v>5.4884381626203349E-2</v>
      </c>
      <c r="BL69" s="49">
        <v>5.4352003124429171E-2</v>
      </c>
      <c r="BM69" s="49">
        <v>5.3824788694122203E-2</v>
      </c>
      <c r="BN69" s="49">
        <v>5.3302688243789212E-2</v>
      </c>
      <c r="BO69" s="49">
        <v>5.2785652167824451E-2</v>
      </c>
      <c r="BP69" s="49">
        <v>5.227363134179655E-2</v>
      </c>
      <c r="BQ69" s="49">
        <v>5.1766577117781119E-2</v>
      </c>
      <c r="BR69" s="49">
        <v>5.1264441319738639E-2</v>
      </c>
      <c r="BS69" s="49">
        <v>5.0767176238937173E-2</v>
      </c>
      <c r="BT69" s="49">
        <v>5.0274734629419483E-2</v>
      </c>
      <c r="BU69" s="49">
        <v>4.9787069703514111E-2</v>
      </c>
      <c r="BV69" s="49">
        <v>4.9304135127390021E-2</v>
      </c>
      <c r="BW69" s="49">
        <v>4.8825885016654337E-2</v>
      </c>
      <c r="BX69" s="49">
        <v>4.835227393199279E-2</v>
      </c>
      <c r="BY69" s="49">
        <v>4.788325687485246E-2</v>
      </c>
      <c r="BZ69" s="49">
        <v>4.7418789283166389E-2</v>
      </c>
      <c r="CA69" s="49">
        <v>4.6958827027119676E-2</v>
      </c>
      <c r="CB69" s="49">
        <v>4.6503326404956614E-2</v>
      </c>
      <c r="CC69" s="49">
        <v>4.6052244138828531E-2</v>
      </c>
      <c r="CD69" s="49">
        <v>4.560553737068189E-2</v>
      </c>
      <c r="CE69" s="49">
        <v>4.5163163658186276E-2</v>
      </c>
      <c r="CF69" s="49">
        <v>4.4725080970701867E-2</v>
      </c>
      <c r="CG69" s="49">
        <v>4.4291247685286056E-2</v>
      </c>
      <c r="CH69" s="49">
        <v>4.3861622582738777E-2</v>
      </c>
      <c r="CI69" s="49">
        <v>4.3436164843686211E-2</v>
      </c>
      <c r="CJ69" s="49">
        <v>4.3014834044702452E-2</v>
      </c>
      <c r="CK69" s="49">
        <v>4.2597590154468838E-2</v>
      </c>
      <c r="CL69" s="49">
        <v>4.2184393529970492E-2</v>
      </c>
      <c r="CM69" s="49">
        <v>4.1775204912729777E-2</v>
      </c>
      <c r="CN69" s="49">
        <v>4.1369985425076299E-2</v>
      </c>
      <c r="CO69" s="49">
        <v>4.0968696566453057E-2</v>
      </c>
      <c r="CP69" s="49">
        <v>4.0571300209758458E-2</v>
      </c>
      <c r="CQ69" s="49">
        <v>4.0177758597723802E-2</v>
      </c>
      <c r="CR69" s="49">
        <v>3.978803433932588E-2</v>
      </c>
      <c r="CS69" s="49">
        <v>3.9402090406234415E-2</v>
      </c>
      <c r="CT69" s="49">
        <v>3.9019890129293938E-2</v>
      </c>
      <c r="CU69" s="49">
        <v>3.8641397195039784E-2</v>
      </c>
      <c r="CV69" s="49">
        <v>3.8266575642247898E-2</v>
      </c>
      <c r="CW69" s="49">
        <v>3.7895389858518091E-2</v>
      </c>
      <c r="CX69" s="48">
        <v>3.7527804576890464E-2</v>
      </c>
      <c r="CY69" s="28">
        <v>3.7163784872494623E-2</v>
      </c>
    </row>
    <row r="70" spans="1:103" ht="15.75">
      <c r="A70" s="50">
        <v>88</v>
      </c>
      <c r="B70" s="48">
        <v>0.10859099999999999</v>
      </c>
      <c r="C70" s="48">
        <v>0.1079068767</v>
      </c>
      <c r="D70" s="48">
        <v>0.10720548200145001</v>
      </c>
      <c r="E70" s="48">
        <v>0.10648720527204029</v>
      </c>
      <c r="F70" s="48">
        <v>0.10574179483513602</v>
      </c>
      <c r="G70" s="48">
        <v>0.10495930555335602</v>
      </c>
      <c r="H70" s="48">
        <v>0.10415111890059517</v>
      </c>
      <c r="I70" s="48">
        <v>0.10331790994939041</v>
      </c>
      <c r="J70" s="48">
        <v>0.10247070308780541</v>
      </c>
      <c r="K70" s="48">
        <v>0.10159970211155907</v>
      </c>
      <c r="L70" s="48">
        <v>0.10072594467339965</v>
      </c>
      <c r="M70" s="48">
        <v>9.9849628954741074E-2</v>
      </c>
      <c r="N70" s="48">
        <v>9.8970952219939345E-2</v>
      </c>
      <c r="O70" s="48">
        <v>9.8080213649959891E-2</v>
      </c>
      <c r="P70" s="48">
        <v>9.7197491727110258E-2</v>
      </c>
      <c r="Q70" s="48">
        <v>9.631299455239356E-2</v>
      </c>
      <c r="R70" s="48">
        <v>9.5426915002511548E-2</v>
      </c>
      <c r="S70" s="48">
        <v>9.4548987384488442E-2</v>
      </c>
      <c r="T70" s="48">
        <v>9.3669681801812704E-2</v>
      </c>
      <c r="U70" s="49">
        <v>9.2779819824695492E-2</v>
      </c>
      <c r="V70" s="49">
        <v>9.1889133554378416E-2</v>
      </c>
      <c r="W70" s="49">
        <v>9.1006997872256384E-2</v>
      </c>
      <c r="X70" s="49">
        <v>9.0133330692682714E-2</v>
      </c>
      <c r="Y70" s="49">
        <v>8.9268050718032954E-2</v>
      </c>
      <c r="Z70" s="49">
        <v>8.8411077431139837E-2</v>
      </c>
      <c r="AA70" s="49">
        <v>8.7562331087800885E-2</v>
      </c>
      <c r="AB70" s="49">
        <v>8.6721732709357985E-2</v>
      </c>
      <c r="AC70" s="49">
        <v>8.5889204075348141E-2</v>
      </c>
      <c r="AD70" s="49">
        <v>8.5064667716224798E-2</v>
      </c>
      <c r="AE70" s="49">
        <v>8.4248046906149038E-2</v>
      </c>
      <c r="AF70" s="49">
        <v>8.3439265655849998E-2</v>
      </c>
      <c r="AG70" s="49">
        <v>8.2638248705553835E-2</v>
      </c>
      <c r="AH70" s="49">
        <v>8.1844921517980521E-2</v>
      </c>
      <c r="AI70" s="49">
        <v>8.1059210271407903E-2</v>
      </c>
      <c r="AJ70" s="49">
        <v>8.0281041852802382E-2</v>
      </c>
      <c r="AK70" s="49">
        <v>7.9510343851015478E-2</v>
      </c>
      <c r="AL70" s="49">
        <v>7.8747044550045719E-2</v>
      </c>
      <c r="AM70" s="49">
        <v>7.7991072922365276E-2</v>
      </c>
      <c r="AN70" s="49">
        <v>7.7242358622310561E-2</v>
      </c>
      <c r="AO70" s="49">
        <v>7.6500831979536374E-2</v>
      </c>
      <c r="AP70" s="49">
        <v>7.5766423992532819E-2</v>
      </c>
      <c r="AQ70" s="49">
        <v>7.5039066322204501E-2</v>
      </c>
      <c r="AR70" s="49">
        <v>7.4318691285511329E-2</v>
      </c>
      <c r="AS70" s="49">
        <v>7.3605231849170422E-2</v>
      </c>
      <c r="AT70" s="49">
        <v>7.2898621623418383E-2</v>
      </c>
      <c r="AU70" s="49">
        <v>7.2198794855833567E-2</v>
      </c>
      <c r="AV70" s="49">
        <v>7.1505686425217554E-2</v>
      </c>
      <c r="AW70" s="49">
        <v>7.0819231835535457E-2</v>
      </c>
      <c r="AX70" s="49">
        <v>7.0139367209914316E-2</v>
      </c>
      <c r="AY70" s="49">
        <v>6.9466029284699138E-2</v>
      </c>
      <c r="AZ70" s="49">
        <v>6.8799155403566029E-2</v>
      </c>
      <c r="BA70" s="49">
        <v>6.8138683511691792E-2</v>
      </c>
      <c r="BB70" s="49">
        <v>6.7484552149979546E-2</v>
      </c>
      <c r="BC70" s="49">
        <v>6.6836700449339745E-2</v>
      </c>
      <c r="BD70" s="49">
        <v>6.6195068125026083E-2</v>
      </c>
      <c r="BE70" s="49">
        <v>6.5559595471025828E-2</v>
      </c>
      <c r="BF70" s="49">
        <v>6.4930223354503977E-2</v>
      </c>
      <c r="BG70" s="49">
        <v>6.4306893210300739E-2</v>
      </c>
      <c r="BH70" s="49">
        <v>6.3689547035481853E-2</v>
      </c>
      <c r="BI70" s="49">
        <v>6.3078127383941224E-2</v>
      </c>
      <c r="BJ70" s="49">
        <v>6.2472577361055381E-2</v>
      </c>
      <c r="BK70" s="49">
        <v>6.1872840618389248E-2</v>
      </c>
      <c r="BL70" s="49">
        <v>6.1278861348452708E-2</v>
      </c>
      <c r="BM70" s="49">
        <v>6.0690584279507562E-2</v>
      </c>
      <c r="BN70" s="49">
        <v>6.0107954670424284E-2</v>
      </c>
      <c r="BO70" s="49">
        <v>5.953091830558821E-2</v>
      </c>
      <c r="BP70" s="49">
        <v>5.8959421489854558E-2</v>
      </c>
      <c r="BQ70" s="49">
        <v>5.8393411043551953E-2</v>
      </c>
      <c r="BR70" s="49">
        <v>5.7832834297533851E-2</v>
      </c>
      <c r="BS70" s="49">
        <v>5.7277639088277522E-2</v>
      </c>
      <c r="BT70" s="49">
        <v>5.6727773753030057E-2</v>
      </c>
      <c r="BU70" s="49">
        <v>5.6183187125000963E-2</v>
      </c>
      <c r="BV70" s="49">
        <v>5.5643828528600954E-2</v>
      </c>
      <c r="BW70" s="49">
        <v>5.5109647774726385E-2</v>
      </c>
      <c r="BX70" s="49">
        <v>5.4580595156089005E-2</v>
      </c>
      <c r="BY70" s="49">
        <v>5.4056621442590547E-2</v>
      </c>
      <c r="BZ70" s="49">
        <v>5.3537677876741671E-2</v>
      </c>
      <c r="CA70" s="49">
        <v>5.3023716169124949E-2</v>
      </c>
      <c r="CB70" s="49">
        <v>5.2514688493901347E-2</v>
      </c>
      <c r="CC70" s="49">
        <v>5.201054748435989E-2</v>
      </c>
      <c r="CD70" s="49">
        <v>5.1511246228510034E-2</v>
      </c>
      <c r="CE70" s="49">
        <v>5.1016738264716338E-2</v>
      </c>
      <c r="CF70" s="49">
        <v>5.0526977577375058E-2</v>
      </c>
      <c r="CG70" s="49">
        <v>5.0041918592632254E-2</v>
      </c>
      <c r="CH70" s="49">
        <v>4.9561516174142985E-2</v>
      </c>
      <c r="CI70" s="49">
        <v>4.9085725618871208E-2</v>
      </c>
      <c r="CJ70" s="49">
        <v>4.861450265293004E-2</v>
      </c>
      <c r="CK70" s="49">
        <v>4.8147803427461909E-2</v>
      </c>
      <c r="CL70" s="49">
        <v>4.7685584514558274E-2</v>
      </c>
      <c r="CM70" s="49">
        <v>4.7227802903218513E-2</v>
      </c>
      <c r="CN70" s="49">
        <v>4.677441599534761E-2</v>
      </c>
      <c r="CO70" s="49">
        <v>4.6325381601792268E-2</v>
      </c>
      <c r="CP70" s="49">
        <v>4.5880657938415059E-2</v>
      </c>
      <c r="CQ70" s="49">
        <v>4.5440203622206271E-2</v>
      </c>
      <c r="CR70" s="49">
        <v>4.5003977667433089E-2</v>
      </c>
      <c r="CS70" s="49">
        <v>4.457193948182573E-2</v>
      </c>
      <c r="CT70" s="49">
        <v>4.4144048862800198E-2</v>
      </c>
      <c r="CU70" s="49">
        <v>4.3720265993717311E-2</v>
      </c>
      <c r="CV70" s="49">
        <v>4.3300551440177623E-2</v>
      </c>
      <c r="CW70" s="49">
        <v>4.2884866146351917E-2</v>
      </c>
      <c r="CX70" s="48">
        <v>4.2473171431346934E-2</v>
      </c>
      <c r="CY70" s="28">
        <v>4.2065428985606002E-2</v>
      </c>
    </row>
    <row r="71" spans="1:103" ht="15.75">
      <c r="A71" s="50">
        <v>89</v>
      </c>
      <c r="B71" s="48">
        <v>0.121499</v>
      </c>
      <c r="C71" s="48">
        <v>0.1207457062</v>
      </c>
      <c r="D71" s="48">
        <v>0.11998500825094</v>
      </c>
      <c r="E71" s="48">
        <v>0.11919310719648378</v>
      </c>
      <c r="F71" s="48">
        <v>0.11837067475682804</v>
      </c>
      <c r="G71" s="48">
        <v>0.11751840589857888</v>
      </c>
      <c r="H71" s="48">
        <v>0.11663701785433955</v>
      </c>
      <c r="I71" s="48">
        <v>0.1157272491150757</v>
      </c>
      <c r="J71" s="48">
        <v>0.1148014311221551</v>
      </c>
      <c r="K71" s="48">
        <v>0.11386005938695343</v>
      </c>
      <c r="L71" s="48">
        <v>0.11290363488810302</v>
      </c>
      <c r="M71" s="48">
        <v>0.11194395399155416</v>
      </c>
      <c r="N71" s="48">
        <v>0.11098123598722678</v>
      </c>
      <c r="O71" s="48">
        <v>0.11000460111053918</v>
      </c>
      <c r="P71" s="48">
        <v>0.10902556016065539</v>
      </c>
      <c r="Q71" s="48">
        <v>0.10804433011920948</v>
      </c>
      <c r="R71" s="48">
        <v>0.1070719311481366</v>
      </c>
      <c r="S71" s="48">
        <v>0.10609757657468856</v>
      </c>
      <c r="T71" s="48">
        <v>0.10512147887020143</v>
      </c>
      <c r="U71" s="49">
        <v>0.10414384911670856</v>
      </c>
      <c r="V71" s="49">
        <v>0.1031648969350115</v>
      </c>
      <c r="W71" s="49">
        <v>0.10219514690382241</v>
      </c>
      <c r="X71" s="49">
        <v>0.10123451252292648</v>
      </c>
      <c r="Y71" s="49">
        <v>0.10028290810521097</v>
      </c>
      <c r="Z71" s="49">
        <v>9.9340248769021991E-2</v>
      </c>
      <c r="AA71" s="49">
        <v>9.8406450430593193E-2</v>
      </c>
      <c r="AB71" s="49">
        <v>9.7481429796545616E-2</v>
      </c>
      <c r="AC71" s="49">
        <v>9.6565104356458084E-2</v>
      </c>
      <c r="AD71" s="49">
        <v>9.5657392375507383E-2</v>
      </c>
      <c r="AE71" s="49">
        <v>9.4758212887177617E-2</v>
      </c>
      <c r="AF71" s="49">
        <v>9.3867485686038157E-2</v>
      </c>
      <c r="AG71" s="49">
        <v>9.2985131320589401E-2</v>
      </c>
      <c r="AH71" s="49">
        <v>9.2111071086175861E-2</v>
      </c>
      <c r="AI71" s="49">
        <v>9.1245227017965808E-2</v>
      </c>
      <c r="AJ71" s="49">
        <v>9.038752188399693E-2</v>
      </c>
      <c r="AK71" s="49">
        <v>8.9537879178287358E-2</v>
      </c>
      <c r="AL71" s="49">
        <v>8.8696223114011458E-2</v>
      </c>
      <c r="AM71" s="49">
        <v>8.786247861673975E-2</v>
      </c>
      <c r="AN71" s="49">
        <v>8.7036571317742395E-2</v>
      </c>
      <c r="AO71" s="49">
        <v>8.6218427547355619E-2</v>
      </c>
      <c r="AP71" s="49">
        <v>8.5407974328410477E-2</v>
      </c>
      <c r="AQ71" s="49">
        <v>8.4605139369723428E-2</v>
      </c>
      <c r="AR71" s="49">
        <v>8.3809851059648027E-2</v>
      </c>
      <c r="AS71" s="49">
        <v>8.3022038459687336E-2</v>
      </c>
      <c r="AT71" s="49">
        <v>8.2241631298166279E-2</v>
      </c>
      <c r="AU71" s="49">
        <v>8.1468559963963516E-2</v>
      </c>
      <c r="AV71" s="49">
        <v>8.0702755500302259E-2</v>
      </c>
      <c r="AW71" s="49">
        <v>7.9944149598599426E-2</v>
      </c>
      <c r="AX71" s="49">
        <v>7.91926745923726E-2</v>
      </c>
      <c r="AY71" s="49">
        <v>7.84482634512043E-2</v>
      </c>
      <c r="AZ71" s="49">
        <v>7.7710849774762988E-2</v>
      </c>
      <c r="BA71" s="49">
        <v>7.6980367786880222E-2</v>
      </c>
      <c r="BB71" s="49">
        <v>7.6256752329683555E-2</v>
      </c>
      <c r="BC71" s="49">
        <v>7.5539938857784539E-2</v>
      </c>
      <c r="BD71" s="49">
        <v>7.4829863432521362E-2</v>
      </c>
      <c r="BE71" s="49">
        <v>7.412646271625567E-2</v>
      </c>
      <c r="BF71" s="49">
        <v>7.3429673966722869E-2</v>
      </c>
      <c r="BG71" s="49">
        <v>7.2739435031435679E-2</v>
      </c>
      <c r="BH71" s="49">
        <v>7.2055684342140186E-2</v>
      </c>
      <c r="BI71" s="49">
        <v>7.1378360909324076E-2</v>
      </c>
      <c r="BJ71" s="49">
        <v>7.0707404316776426E-2</v>
      </c>
      <c r="BK71" s="49">
        <v>7.0042754716198724E-2</v>
      </c>
      <c r="BL71" s="49">
        <v>6.938435282186646E-2</v>
      </c>
      <c r="BM71" s="49">
        <v>6.8732139905340911E-2</v>
      </c>
      <c r="BN71" s="49">
        <v>6.8086057790230706E-2</v>
      </c>
      <c r="BO71" s="49">
        <v>6.7446048847002546E-2</v>
      </c>
      <c r="BP71" s="49">
        <v>6.6812055987840721E-2</v>
      </c>
      <c r="BQ71" s="49">
        <v>6.6184022661555014E-2</v>
      </c>
      <c r="BR71" s="49">
        <v>6.5561892848536404E-2</v>
      </c>
      <c r="BS71" s="49">
        <v>6.4945611055760161E-2</v>
      </c>
      <c r="BT71" s="49">
        <v>6.4335122311836024E-2</v>
      </c>
      <c r="BU71" s="49">
        <v>6.3730372162104768E-2</v>
      </c>
      <c r="BV71" s="49">
        <v>6.3131306663780987E-2</v>
      </c>
      <c r="BW71" s="49">
        <v>6.2537872381141446E-2</v>
      </c>
      <c r="BX71" s="49">
        <v>6.195001638075872E-2</v>
      </c>
      <c r="BY71" s="49">
        <v>6.1367686226779593E-2</v>
      </c>
      <c r="BZ71" s="49">
        <v>6.0790829976247865E-2</v>
      </c>
      <c r="CA71" s="49">
        <v>6.021939617447114E-2</v>
      </c>
      <c r="CB71" s="49">
        <v>5.9653333850431117E-2</v>
      </c>
      <c r="CC71" s="49">
        <v>5.9092592512237065E-2</v>
      </c>
      <c r="CD71" s="49">
        <v>5.8537122142622036E-2</v>
      </c>
      <c r="CE71" s="49">
        <v>5.7986873194481391E-2</v>
      </c>
      <c r="CF71" s="49">
        <v>5.7441796586453264E-2</v>
      </c>
      <c r="CG71" s="49">
        <v>5.6901843698540608E-2</v>
      </c>
      <c r="CH71" s="49">
        <v>5.6366966367774329E-2</v>
      </c>
      <c r="CI71" s="49">
        <v>5.5837116883917251E-2</v>
      </c>
      <c r="CJ71" s="49">
        <v>5.5312247985208431E-2</v>
      </c>
      <c r="CK71" s="49">
        <v>5.4792312854147471E-2</v>
      </c>
      <c r="CL71" s="49">
        <v>5.4277265113318485E-2</v>
      </c>
      <c r="CM71" s="49">
        <v>5.3767058821253294E-2</v>
      </c>
      <c r="CN71" s="49">
        <v>5.3261648468333513E-2</v>
      </c>
      <c r="CO71" s="49">
        <v>5.2760988972731182E-2</v>
      </c>
      <c r="CP71" s="49">
        <v>5.226503567638751E-2</v>
      </c>
      <c r="CQ71" s="49">
        <v>5.1773744341029472E-2</v>
      </c>
      <c r="CR71" s="49">
        <v>5.1287071144223796E-2</v>
      </c>
      <c r="CS71" s="49">
        <v>5.0804972675468095E-2</v>
      </c>
      <c r="CT71" s="49">
        <v>5.03274059323187E-2</v>
      </c>
      <c r="CU71" s="49">
        <v>4.9854328316554904E-2</v>
      </c>
      <c r="CV71" s="49">
        <v>4.938569763037929E-2</v>
      </c>
      <c r="CW71" s="49">
        <v>4.8921472072653724E-2</v>
      </c>
      <c r="CX71" s="48">
        <v>4.8461610235170781E-2</v>
      </c>
      <c r="CY71" s="28">
        <v>4.8006071098960178E-2</v>
      </c>
    </row>
    <row r="72" spans="1:103" ht="15.75">
      <c r="A72" s="50">
        <v>90</v>
      </c>
      <c r="B72" s="48">
        <v>0.135908</v>
      </c>
      <c r="C72" s="48">
        <v>0.1350653704</v>
      </c>
      <c r="D72" s="48">
        <v>0.13421445856648001</v>
      </c>
      <c r="E72" s="48">
        <v>0.13334206458579789</v>
      </c>
      <c r="F72" s="48">
        <v>0.13244867275307304</v>
      </c>
      <c r="G72" s="48">
        <v>0.13152153204380151</v>
      </c>
      <c r="H72" s="48">
        <v>0.13056142485988176</v>
      </c>
      <c r="I72" s="48">
        <v>0.12956915803094665</v>
      </c>
      <c r="J72" s="48">
        <v>0.12855851859830528</v>
      </c>
      <c r="K72" s="48">
        <v>0.12753005044951884</v>
      </c>
      <c r="L72" s="48">
        <v>0.1264843040358328</v>
      </c>
      <c r="M72" s="48">
        <v>0.12543448431233539</v>
      </c>
      <c r="N72" s="48">
        <v>0.12438083464411177</v>
      </c>
      <c r="O72" s="48">
        <v>0.12332359754963683</v>
      </c>
      <c r="P72" s="48">
        <v>0.12225068225095498</v>
      </c>
      <c r="Q72" s="48">
        <v>0.12117487624714657</v>
      </c>
      <c r="R72" s="48">
        <v>0.12009641984854696</v>
      </c>
      <c r="S72" s="48">
        <v>0.11901555206991005</v>
      </c>
      <c r="T72" s="48">
        <v>0.11793251054607387</v>
      </c>
      <c r="U72" s="49">
        <v>0.11684753144905</v>
      </c>
      <c r="V72" s="49">
        <v>0.11576084940657383</v>
      </c>
      <c r="W72" s="49">
        <v>0.11468427350709269</v>
      </c>
      <c r="X72" s="49">
        <v>0.11361770976347674</v>
      </c>
      <c r="Y72" s="49">
        <v>0.11256106506267641</v>
      </c>
      <c r="Z72" s="49">
        <v>0.11151424715759352</v>
      </c>
      <c r="AA72" s="49">
        <v>0.1104771646590279</v>
      </c>
      <c r="AB72" s="49">
        <v>0.10944972702769895</v>
      </c>
      <c r="AC72" s="49">
        <v>0.10843184456634135</v>
      </c>
      <c r="AD72" s="49">
        <v>0.10742342841187438</v>
      </c>
      <c r="AE72" s="49">
        <v>0.10642439052764395</v>
      </c>
      <c r="AF72" s="49">
        <v>0.10543464369573687</v>
      </c>
      <c r="AG72" s="49">
        <v>0.10445410150936651</v>
      </c>
      <c r="AH72" s="49">
        <v>0.10348267836532941</v>
      </c>
      <c r="AI72" s="49">
        <v>0.10252028945653185</v>
      </c>
      <c r="AJ72" s="49">
        <v>0.10156685076458612</v>
      </c>
      <c r="AK72" s="49">
        <v>0.10062227905247546</v>
      </c>
      <c r="AL72" s="49">
        <v>9.9686491857287438E-2</v>
      </c>
      <c r="AM72" s="49">
        <v>9.8759407483014663E-2</v>
      </c>
      <c r="AN72" s="49">
        <v>9.7840944993422635E-2</v>
      </c>
      <c r="AO72" s="49">
        <v>9.6931024204983812E-2</v>
      </c>
      <c r="AP72" s="49">
        <v>9.6029565679877471E-2</v>
      </c>
      <c r="AQ72" s="49">
        <v>9.5136490719054612E-2</v>
      </c>
      <c r="AR72" s="49">
        <v>9.4251721355367413E-2</v>
      </c>
      <c r="AS72" s="49">
        <v>9.3375180346762496E-2</v>
      </c>
      <c r="AT72" s="49">
        <v>9.2506791169537611E-2</v>
      </c>
      <c r="AU72" s="49">
        <v>9.1646478011660912E-2</v>
      </c>
      <c r="AV72" s="49">
        <v>9.0794165766152471E-2</v>
      </c>
      <c r="AW72" s="49">
        <v>8.9949780024527248E-2</v>
      </c>
      <c r="AX72" s="49">
        <v>8.9113247070299148E-2</v>
      </c>
      <c r="AY72" s="49">
        <v>8.8284493872545375E-2</v>
      </c>
      <c r="AZ72" s="49">
        <v>8.7463448079530701E-2</v>
      </c>
      <c r="BA72" s="49">
        <v>8.6650038012391073E-2</v>
      </c>
      <c r="BB72" s="49">
        <v>8.5844192658875842E-2</v>
      </c>
      <c r="BC72" s="49">
        <v>8.5045841667148306E-2</v>
      </c>
      <c r="BD72" s="49">
        <v>8.4254915339643827E-2</v>
      </c>
      <c r="BE72" s="49">
        <v>8.3471344626985147E-2</v>
      </c>
      <c r="BF72" s="49">
        <v>8.2695061121954183E-2</v>
      </c>
      <c r="BG72" s="49">
        <v>8.1925997053520008E-2</v>
      </c>
      <c r="BH72" s="49">
        <v>8.1164085280922268E-2</v>
      </c>
      <c r="BI72" s="49">
        <v>8.040925928780969E-2</v>
      </c>
      <c r="BJ72" s="49">
        <v>7.9661453176433056E-2</v>
      </c>
      <c r="BK72" s="49">
        <v>7.8920601661892228E-2</v>
      </c>
      <c r="BL72" s="49">
        <v>7.8186640066436636E-2</v>
      </c>
      <c r="BM72" s="49">
        <v>7.7459504313818775E-2</v>
      </c>
      <c r="BN72" s="49">
        <v>7.6739130923700258E-2</v>
      </c>
      <c r="BO72" s="49">
        <v>7.6025457006109853E-2</v>
      </c>
      <c r="BP72" s="49">
        <v>7.5318420255953034E-2</v>
      </c>
      <c r="BQ72" s="49">
        <v>7.4617958947572671E-2</v>
      </c>
      <c r="BR72" s="49">
        <v>7.3924011929360253E-2</v>
      </c>
      <c r="BS72" s="49">
        <v>7.3236518618417207E-2</v>
      </c>
      <c r="BT72" s="49">
        <v>7.2555418995265922E-2</v>
      </c>
      <c r="BU72" s="49">
        <v>7.1880653598609956E-2</v>
      </c>
      <c r="BV72" s="49">
        <v>7.1212163520142882E-2</v>
      </c>
      <c r="BW72" s="49">
        <v>7.0549890399405554E-2</v>
      </c>
      <c r="BX72" s="49">
        <v>6.9893776418691086E-2</v>
      </c>
      <c r="BY72" s="49">
        <v>6.9243764297997265E-2</v>
      </c>
      <c r="BZ72" s="49">
        <v>6.8599797290025896E-2</v>
      </c>
      <c r="CA72" s="49">
        <v>6.7961819175228658E-2</v>
      </c>
      <c r="CB72" s="49">
        <v>6.7329774256899039E-2</v>
      </c>
      <c r="CC72" s="49">
        <v>6.6703607356309882E-2</v>
      </c>
      <c r="CD72" s="49">
        <v>6.6083263807896198E-2</v>
      </c>
      <c r="CE72" s="49">
        <v>6.5468689454482767E-2</v>
      </c>
      <c r="CF72" s="49">
        <v>6.4859830642556085E-2</v>
      </c>
      <c r="CG72" s="49">
        <v>6.4256634217580322E-2</v>
      </c>
      <c r="CH72" s="49">
        <v>6.3659047519356832E-2</v>
      </c>
      <c r="CI72" s="49">
        <v>6.3067018377426814E-2</v>
      </c>
      <c r="CJ72" s="49">
        <v>6.2480495106516744E-2</v>
      </c>
      <c r="CK72" s="49">
        <v>6.1899426502026136E-2</v>
      </c>
      <c r="CL72" s="49">
        <v>6.1323761835557294E-2</v>
      </c>
      <c r="CM72" s="49">
        <v>6.0753450850486612E-2</v>
      </c>
      <c r="CN72" s="49">
        <v>6.0188443757577086E-2</v>
      </c>
      <c r="CO72" s="49">
        <v>5.9628691230631622E-2</v>
      </c>
      <c r="CP72" s="49">
        <v>5.9074144402186751E-2</v>
      </c>
      <c r="CQ72" s="49">
        <v>5.8524754859246415E-2</v>
      </c>
      <c r="CR72" s="49">
        <v>5.7980474639055424E-2</v>
      </c>
      <c r="CS72" s="49">
        <v>5.744125622491221E-2</v>
      </c>
      <c r="CT72" s="49">
        <v>5.6907052542020525E-2</v>
      </c>
      <c r="CU72" s="49">
        <v>5.6377816953379734E-2</v>
      </c>
      <c r="CV72" s="49">
        <v>5.5853503255713303E-2</v>
      </c>
      <c r="CW72" s="49">
        <v>5.5334065675435168E-2</v>
      </c>
      <c r="CX72" s="48">
        <v>5.4819458864653621E-2</v>
      </c>
      <c r="CY72" s="28">
        <v>5.4309637897212347E-2</v>
      </c>
    </row>
    <row r="73" spans="1:103" ht="15.75">
      <c r="A73" s="50">
        <v>91</v>
      </c>
      <c r="B73" s="48">
        <v>0.15132200000000001</v>
      </c>
      <c r="C73" s="48">
        <v>0.1503838036</v>
      </c>
      <c r="D73" s="48">
        <v>0.14943638563732001</v>
      </c>
      <c r="E73" s="48">
        <v>0.14847999276924118</v>
      </c>
      <c r="F73" s="48">
        <v>0.14750002481696417</v>
      </c>
      <c r="G73" s="48">
        <v>0.14648227464572711</v>
      </c>
      <c r="H73" s="48">
        <v>0.14544225049574244</v>
      </c>
      <c r="I73" s="48">
        <v>0.14436597784207394</v>
      </c>
      <c r="J73" s="48">
        <v>0.14326879641047419</v>
      </c>
      <c r="K73" s="48">
        <v>0.14215129979847249</v>
      </c>
      <c r="L73" s="48">
        <v>0.14102830453006457</v>
      </c>
      <c r="M73" s="48">
        <v>0.13990007809382404</v>
      </c>
      <c r="N73" s="48">
        <v>0.13875289745345468</v>
      </c>
      <c r="O73" s="48">
        <v>0.13760124840459101</v>
      </c>
      <c r="P73" s="48">
        <v>0.13644539791799246</v>
      </c>
      <c r="Q73" s="48">
        <v>0.1352719674958977</v>
      </c>
      <c r="R73" s="48">
        <v>0.13408157418193381</v>
      </c>
      <c r="S73" s="48">
        <v>0.1328882481717146</v>
      </c>
      <c r="T73" s="48">
        <v>0.13170554276298635</v>
      </c>
      <c r="U73" s="49">
        <v>0.13052019287811947</v>
      </c>
      <c r="V73" s="49">
        <v>0.12933245912292859</v>
      </c>
      <c r="W73" s="49">
        <v>0.12815553374490996</v>
      </c>
      <c r="X73" s="49">
        <v>0.12698931838783128</v>
      </c>
      <c r="Y73" s="49">
        <v>0.12583371559050202</v>
      </c>
      <c r="Z73" s="49">
        <v>0.12468862877862845</v>
      </c>
      <c r="AA73" s="49">
        <v>0.12355396225674294</v>
      </c>
      <c r="AB73" s="49">
        <v>0.12242962120020658</v>
      </c>
      <c r="AC73" s="49">
        <v>0.1213155116472847</v>
      </c>
      <c r="AD73" s="49">
        <v>0.12021154049129441</v>
      </c>
      <c r="AE73" s="49">
        <v>0.11911761547282364</v>
      </c>
      <c r="AF73" s="49">
        <v>0.11803364517202095</v>
      </c>
      <c r="AG73" s="49">
        <v>0.11695953900095556</v>
      </c>
      <c r="AH73" s="49">
        <v>0.11589520719604686</v>
      </c>
      <c r="AI73" s="49">
        <v>0.11484056081056283</v>
      </c>
      <c r="AJ73" s="49">
        <v>0.11379551170718671</v>
      </c>
      <c r="AK73" s="49">
        <v>0.11275997255065132</v>
      </c>
      <c r="AL73" s="49">
        <v>0.11173385680044039</v>
      </c>
      <c r="AM73" s="49">
        <v>0.11071707870355638</v>
      </c>
      <c r="AN73" s="49">
        <v>0.10970955328735402</v>
      </c>
      <c r="AO73" s="49">
        <v>0.1087111963524391</v>
      </c>
      <c r="AP73" s="49">
        <v>0.1077219244656319</v>
      </c>
      <c r="AQ73" s="49">
        <v>0.10674165495299466</v>
      </c>
      <c r="AR73" s="49">
        <v>0.10577030589292241</v>
      </c>
      <c r="AS73" s="49">
        <v>0.10480779610929682</v>
      </c>
      <c r="AT73" s="49">
        <v>0.10385404516470222</v>
      </c>
      <c r="AU73" s="49">
        <v>0.10290897335370343</v>
      </c>
      <c r="AV73" s="49">
        <v>0.10197250169618473</v>
      </c>
      <c r="AW73" s="49">
        <v>0.10104455193074945</v>
      </c>
      <c r="AX73" s="49">
        <v>0.10012504650817963</v>
      </c>
      <c r="AY73" s="49">
        <v>9.9213908584955199E-2</v>
      </c>
      <c r="AZ73" s="49">
        <v>9.831106201683211E-2</v>
      </c>
      <c r="BA73" s="49">
        <v>9.7416431352478933E-2</v>
      </c>
      <c r="BB73" s="49">
        <v>9.6529941827171381E-2</v>
      </c>
      <c r="BC73" s="49">
        <v>9.5651519356544118E-2</v>
      </c>
      <c r="BD73" s="49">
        <v>9.478109053039957E-2</v>
      </c>
      <c r="BE73" s="49">
        <v>9.3918582606572931E-2</v>
      </c>
      <c r="BF73" s="49">
        <v>9.3063923504853124E-2</v>
      </c>
      <c r="BG73" s="49">
        <v>9.2217041800958965E-2</v>
      </c>
      <c r="BH73" s="49">
        <v>9.1377866720570244E-2</v>
      </c>
      <c r="BI73" s="49">
        <v>9.0546328133413054E-2</v>
      </c>
      <c r="BJ73" s="49">
        <v>8.972235654739899E-2</v>
      </c>
      <c r="BK73" s="49">
        <v>8.8905883102817662E-2</v>
      </c>
      <c r="BL73" s="49">
        <v>8.8096839566582028E-2</v>
      </c>
      <c r="BM73" s="49">
        <v>8.7295158326526137E-2</v>
      </c>
      <c r="BN73" s="49">
        <v>8.6500772385754751E-2</v>
      </c>
      <c r="BO73" s="49">
        <v>8.5713615357044387E-2</v>
      </c>
      <c r="BP73" s="49">
        <v>8.4933621457295286E-2</v>
      </c>
      <c r="BQ73" s="49">
        <v>8.4160725502033892E-2</v>
      </c>
      <c r="BR73" s="49">
        <v>8.339486289996538E-2</v>
      </c>
      <c r="BS73" s="49">
        <v>8.2635969647575691E-2</v>
      </c>
      <c r="BT73" s="49">
        <v>8.1883982323782759E-2</v>
      </c>
      <c r="BU73" s="49">
        <v>8.1138838084636331E-2</v>
      </c>
      <c r="BV73" s="49">
        <v>8.0400474658066143E-2</v>
      </c>
      <c r="BW73" s="49">
        <v>7.9668830338677735E-2</v>
      </c>
      <c r="BX73" s="49">
        <v>7.8943843982595768E-2</v>
      </c>
      <c r="BY73" s="49">
        <v>7.8225455002354144E-2</v>
      </c>
      <c r="BZ73" s="49">
        <v>7.7513603361832717E-2</v>
      </c>
      <c r="CA73" s="49">
        <v>7.6808229571240033E-2</v>
      </c>
      <c r="CB73" s="49">
        <v>7.610927468214175E-2</v>
      </c>
      <c r="CC73" s="49">
        <v>7.541668028253426E-2</v>
      </c>
      <c r="CD73" s="49">
        <v>7.4730388491963201E-2</v>
      </c>
      <c r="CE73" s="49">
        <v>7.4050341956686333E-2</v>
      </c>
      <c r="CF73" s="49">
        <v>7.3376483844880491E-2</v>
      </c>
      <c r="CG73" s="49">
        <v>7.2708757841892083E-2</v>
      </c>
      <c r="CH73" s="49">
        <v>7.2047108145530864E-2</v>
      </c>
      <c r="CI73" s="49">
        <v>7.1391479461406532E-2</v>
      </c>
      <c r="CJ73" s="49">
        <v>7.0741816998307727E-2</v>
      </c>
      <c r="CK73" s="49">
        <v>7.0098066463623127E-2</v>
      </c>
      <c r="CL73" s="49">
        <v>6.9460174058804156E-2</v>
      </c>
      <c r="CM73" s="49">
        <v>6.8828086474869044E-2</v>
      </c>
      <c r="CN73" s="49">
        <v>6.8201750887947735E-2</v>
      </c>
      <c r="CO73" s="49">
        <v>6.7581114954867405E-2</v>
      </c>
      <c r="CP73" s="49">
        <v>6.6966126808778115E-2</v>
      </c>
      <c r="CQ73" s="49">
        <v>6.6356735054818233E-2</v>
      </c>
      <c r="CR73" s="49">
        <v>6.5752888765819389E-2</v>
      </c>
      <c r="CS73" s="49">
        <v>6.5154537478050431E-2</v>
      </c>
      <c r="CT73" s="49">
        <v>6.4561631187000174E-2</v>
      </c>
      <c r="CU73" s="49">
        <v>6.3974120343198479E-2</v>
      </c>
      <c r="CV73" s="49">
        <v>6.3391955848075374E-2</v>
      </c>
      <c r="CW73" s="49">
        <v>6.2815089049857886E-2</v>
      </c>
      <c r="CX73" s="48">
        <v>6.2243471739504182E-2</v>
      </c>
      <c r="CY73" s="28">
        <v>6.1677056146674694E-2</v>
      </c>
    </row>
    <row r="74" spans="1:103" ht="15.75">
      <c r="A74" s="50">
        <v>92</v>
      </c>
      <c r="B74" s="48">
        <v>0.16742199999999999</v>
      </c>
      <c r="C74" s="48">
        <v>0.1663504992</v>
      </c>
      <c r="D74" s="48">
        <v>0.16528585600512</v>
      </c>
      <c r="E74" s="48">
        <v>0.16421149794108672</v>
      </c>
      <c r="F74" s="48">
        <v>0.16312770205467553</v>
      </c>
      <c r="G74" s="48">
        <v>0.16201843368070373</v>
      </c>
      <c r="H74" s="48">
        <v>0.1608843046449388</v>
      </c>
      <c r="I74" s="48">
        <v>0.15972593765149526</v>
      </c>
      <c r="J74" s="48">
        <v>0.15854396571287421</v>
      </c>
      <c r="K74" s="48">
        <v>0.15733903157345636</v>
      </c>
      <c r="L74" s="48">
        <v>0.15612752103034075</v>
      </c>
      <c r="M74" s="48">
        <v>0.1549097263663041</v>
      </c>
      <c r="N74" s="48">
        <v>0.1536859395280103</v>
      </c>
      <c r="O74" s="48">
        <v>0.1524564520117862</v>
      </c>
      <c r="P74" s="48">
        <v>0.15120630910528957</v>
      </c>
      <c r="Q74" s="48">
        <v>0.14995129673971566</v>
      </c>
      <c r="R74" s="48">
        <v>0.14867671071742808</v>
      </c>
      <c r="S74" s="48">
        <v>0.14738322333418644</v>
      </c>
      <c r="T74" s="48">
        <v>0.14608625096884559</v>
      </c>
      <c r="U74" s="49">
        <v>0.14478608333522286</v>
      </c>
      <c r="V74" s="49">
        <v>0.14348300858520585</v>
      </c>
      <c r="W74" s="49">
        <v>0.14219166150793899</v>
      </c>
      <c r="X74" s="49">
        <v>0.14091193655436754</v>
      </c>
      <c r="Y74" s="49">
        <v>0.13964372912537823</v>
      </c>
      <c r="Z74" s="49">
        <v>0.13838693556324982</v>
      </c>
      <c r="AA74" s="49">
        <v>0.13714145314318058</v>
      </c>
      <c r="AB74" s="49">
        <v>0.13590718006489194</v>
      </c>
      <c r="AC74" s="49">
        <v>0.13468401544430791</v>
      </c>
      <c r="AD74" s="49">
        <v>0.13347185930530914</v>
      </c>
      <c r="AE74" s="49">
        <v>0.13227061257156136</v>
      </c>
      <c r="AF74" s="49">
        <v>0.13108017705841732</v>
      </c>
      <c r="AG74" s="49">
        <v>0.12990045546489157</v>
      </c>
      <c r="AH74" s="49">
        <v>0.12873135136570754</v>
      </c>
      <c r="AI74" s="49">
        <v>0.12757276920341618</v>
      </c>
      <c r="AJ74" s="49">
        <v>0.12642461428058543</v>
      </c>
      <c r="AK74" s="49">
        <v>0.12528679275206017</v>
      </c>
      <c r="AL74" s="49">
        <v>0.12415921161729163</v>
      </c>
      <c r="AM74" s="49">
        <v>0.123041778712736</v>
      </c>
      <c r="AN74" s="49">
        <v>0.12193440270432138</v>
      </c>
      <c r="AO74" s="49">
        <v>0.12083699307998248</v>
      </c>
      <c r="AP74" s="49">
        <v>0.11974946014226263</v>
      </c>
      <c r="AQ74" s="49">
        <v>0.11867171500098227</v>
      </c>
      <c r="AR74" s="49">
        <v>0.11760366956597343</v>
      </c>
      <c r="AS74" s="49">
        <v>0.11654523653987967</v>
      </c>
      <c r="AT74" s="49">
        <v>0.11549632941102075</v>
      </c>
      <c r="AU74" s="49">
        <v>0.11445686244632157</v>
      </c>
      <c r="AV74" s="49">
        <v>0.11342675068430468</v>
      </c>
      <c r="AW74" s="49">
        <v>0.11240590992814593</v>
      </c>
      <c r="AX74" s="49">
        <v>0.11139425673879262</v>
      </c>
      <c r="AY74" s="49">
        <v>0.11039170842814348</v>
      </c>
      <c r="AZ74" s="49">
        <v>0.1093981830522902</v>
      </c>
      <c r="BA74" s="49">
        <v>0.10841359940481958</v>
      </c>
      <c r="BB74" s="49">
        <v>0.10743787701017621</v>
      </c>
      <c r="BC74" s="49">
        <v>0.10647093611708462</v>
      </c>
      <c r="BD74" s="49">
        <v>0.10551269769203087</v>
      </c>
      <c r="BE74" s="49">
        <v>0.10456308341280258</v>
      </c>
      <c r="BF74" s="49">
        <v>0.10362201566208736</v>
      </c>
      <c r="BG74" s="49">
        <v>0.10268941752112856</v>
      </c>
      <c r="BH74" s="49">
        <v>0.1017652127634384</v>
      </c>
      <c r="BI74" s="49">
        <v>0.10084932584856746</v>
      </c>
      <c r="BJ74" s="49">
        <v>9.994168191593035E-2</v>
      </c>
      <c r="BK74" s="49">
        <v>9.904220677868697E-2</v>
      </c>
      <c r="BL74" s="49">
        <v>9.8150826917678791E-2</v>
      </c>
      <c r="BM74" s="49">
        <v>9.7267469475419685E-2</v>
      </c>
      <c r="BN74" s="49">
        <v>9.6392062250140909E-2</v>
      </c>
      <c r="BO74" s="49">
        <v>9.552453368988964E-2</v>
      </c>
      <c r="BP74" s="49">
        <v>9.4664812886680633E-2</v>
      </c>
      <c r="BQ74" s="49">
        <v>9.3812829570700501E-2</v>
      </c>
      <c r="BR74" s="49">
        <v>9.2968514104564193E-2</v>
      </c>
      <c r="BS74" s="49">
        <v>9.2131797477623109E-2</v>
      </c>
      <c r="BT74" s="49">
        <v>9.1302611300324507E-2</v>
      </c>
      <c r="BU74" s="49">
        <v>9.0480887798621581E-2</v>
      </c>
      <c r="BV74" s="49">
        <v>8.9666559808433993E-2</v>
      </c>
      <c r="BW74" s="49">
        <v>8.885956077015808E-2</v>
      </c>
      <c r="BX74" s="49">
        <v>8.8059824723226654E-2</v>
      </c>
      <c r="BY74" s="49">
        <v>8.7267286300717617E-2</v>
      </c>
      <c r="BZ74" s="49">
        <v>8.6481880724011154E-2</v>
      </c>
      <c r="CA74" s="49">
        <v>8.5703543797495049E-2</v>
      </c>
      <c r="CB74" s="49">
        <v>8.4932211903317595E-2</v>
      </c>
      <c r="CC74" s="49">
        <v>8.4167821996187733E-2</v>
      </c>
      <c r="CD74" s="49">
        <v>8.3410311598222042E-2</v>
      </c>
      <c r="CE74" s="49">
        <v>8.2659618793838041E-2</v>
      </c>
      <c r="CF74" s="49">
        <v>8.1915682224693503E-2</v>
      </c>
      <c r="CG74" s="49">
        <v>8.117844108467126E-2</v>
      </c>
      <c r="CH74" s="49">
        <v>8.0447835114909216E-2</v>
      </c>
      <c r="CI74" s="49">
        <v>7.9723804598875028E-2</v>
      </c>
      <c r="CJ74" s="49">
        <v>7.9006290357485146E-2</v>
      </c>
      <c r="CK74" s="49">
        <v>7.8295233744267778E-2</v>
      </c>
      <c r="CL74" s="49">
        <v>7.759057664056937E-2</v>
      </c>
      <c r="CM74" s="49">
        <v>7.6892261450804245E-2</v>
      </c>
      <c r="CN74" s="49">
        <v>7.6200231097747012E-2</v>
      </c>
      <c r="CO74" s="49">
        <v>7.5514429017867285E-2</v>
      </c>
      <c r="CP74" s="49">
        <v>7.4834799156706475E-2</v>
      </c>
      <c r="CQ74" s="49">
        <v>7.4161285964296123E-2</v>
      </c>
      <c r="CR74" s="49">
        <v>7.3493834390617463E-2</v>
      </c>
      <c r="CS74" s="49">
        <v>7.2832389881101911E-2</v>
      </c>
      <c r="CT74" s="49">
        <v>7.2176898372171991E-2</v>
      </c>
      <c r="CU74" s="49">
        <v>7.152730628682244E-2</v>
      </c>
      <c r="CV74" s="49">
        <v>7.0883560530241044E-2</v>
      </c>
      <c r="CW74" s="49">
        <v>7.0245608485468874E-2</v>
      </c>
      <c r="CX74" s="48">
        <v>6.9613398009099658E-2</v>
      </c>
      <c r="CY74" s="28">
        <v>6.8986877427017756E-2</v>
      </c>
    </row>
    <row r="75" spans="1:103" ht="15.75">
      <c r="A75" s="50">
        <v>93</v>
      </c>
      <c r="B75" s="48">
        <v>0.18403</v>
      </c>
      <c r="C75" s="48">
        <v>0.18279699899999999</v>
      </c>
      <c r="D75" s="48">
        <v>0.18159053880659998</v>
      </c>
      <c r="E75" s="48">
        <v>0.18039204125047642</v>
      </c>
      <c r="F75" s="48">
        <v>0.17918341457409823</v>
      </c>
      <c r="G75" s="48">
        <v>0.17796496735499434</v>
      </c>
      <c r="H75" s="48">
        <v>0.17673700908024487</v>
      </c>
      <c r="I75" s="48">
        <v>0.17548217631577512</v>
      </c>
      <c r="J75" s="48">
        <v>0.17421870464630154</v>
      </c>
      <c r="K75" s="48">
        <v>0.17292948623191892</v>
      </c>
      <c r="L75" s="48">
        <v>0.17163251508517954</v>
      </c>
      <c r="M75" s="48">
        <v>0.17032810797053216</v>
      </c>
      <c r="N75" s="48">
        <v>0.16901658153915905</v>
      </c>
      <c r="O75" s="48">
        <v>0.1676982522031536</v>
      </c>
      <c r="P75" s="48">
        <v>0.16637343601074869</v>
      </c>
      <c r="Q75" s="48">
        <v>0.16502581117906162</v>
      </c>
      <c r="R75" s="48">
        <v>0.16365609694627542</v>
      </c>
      <c r="S75" s="48">
        <v>0.16228138573192671</v>
      </c>
      <c r="T75" s="48">
        <v>0.16088576581463213</v>
      </c>
      <c r="U75" s="49">
        <v>0.15948605965204482</v>
      </c>
      <c r="V75" s="49">
        <v>0.15808258232710681</v>
      </c>
      <c r="W75" s="49">
        <v>0.15669145560262826</v>
      </c>
      <c r="X75" s="49">
        <v>0.15531257079332514</v>
      </c>
      <c r="Y75" s="49">
        <v>0.15394582017034386</v>
      </c>
      <c r="Z75" s="49">
        <v>0.15259109695284484</v>
      </c>
      <c r="AA75" s="49">
        <v>0.1512482952996598</v>
      </c>
      <c r="AB75" s="49">
        <v>0.14991731030102279</v>
      </c>
      <c r="AC75" s="49">
        <v>0.14859803797037377</v>
      </c>
      <c r="AD75" s="49">
        <v>0.14729037523623448</v>
      </c>
      <c r="AE75" s="49">
        <v>0.14599421993415562</v>
      </c>
      <c r="AF75" s="49">
        <v>0.14470947079873506</v>
      </c>
      <c r="AG75" s="49">
        <v>0.14343602745570619</v>
      </c>
      <c r="AH75" s="49">
        <v>0.14217379041409597</v>
      </c>
      <c r="AI75" s="49">
        <v>0.14092266105845191</v>
      </c>
      <c r="AJ75" s="49">
        <v>0.13968254164113753</v>
      </c>
      <c r="AK75" s="49">
        <v>0.1384533352746955</v>
      </c>
      <c r="AL75" s="49">
        <v>0.13723494592427818</v>
      </c>
      <c r="AM75" s="49">
        <v>0.13602727840014453</v>
      </c>
      <c r="AN75" s="49">
        <v>0.13483023835022326</v>
      </c>
      <c r="AO75" s="49">
        <v>0.13364373225274129</v>
      </c>
      <c r="AP75" s="49">
        <v>0.13246766740891716</v>
      </c>
      <c r="AQ75" s="49">
        <v>0.1313019519357187</v>
      </c>
      <c r="AR75" s="49">
        <v>0.13014649475868437</v>
      </c>
      <c r="AS75" s="49">
        <v>0.12900120560480793</v>
      </c>
      <c r="AT75" s="49">
        <v>0.12786599499548562</v>
      </c>
      <c r="AU75" s="49">
        <v>0.12674077423952534</v>
      </c>
      <c r="AV75" s="49">
        <v>0.12562545542621753</v>
      </c>
      <c r="AW75" s="49">
        <v>0.12451995141846681</v>
      </c>
      <c r="AX75" s="49">
        <v>0.12342417584598429</v>
      </c>
      <c r="AY75" s="49">
        <v>0.12233804309853963</v>
      </c>
      <c r="AZ75" s="49">
        <v>0.12126146831927248</v>
      </c>
      <c r="BA75" s="49">
        <v>0.12019436739806288</v>
      </c>
      <c r="BB75" s="49">
        <v>0.11913665696495992</v>
      </c>
      <c r="BC75" s="49">
        <v>0.11808825438366827</v>
      </c>
      <c r="BD75" s="49">
        <v>0.11704907774509199</v>
      </c>
      <c r="BE75" s="49">
        <v>0.11601904586093517</v>
      </c>
      <c r="BF75" s="49">
        <v>0.11499807825735894</v>
      </c>
      <c r="BG75" s="49">
        <v>0.11398609516869418</v>
      </c>
      <c r="BH75" s="49">
        <v>0.11298301753120966</v>
      </c>
      <c r="BI75" s="49">
        <v>0.11198876697693502</v>
      </c>
      <c r="BJ75" s="49">
        <v>0.11100326582753799</v>
      </c>
      <c r="BK75" s="49">
        <v>0.11002643708825564</v>
      </c>
      <c r="BL75" s="49">
        <v>0.109058204441879</v>
      </c>
      <c r="BM75" s="49">
        <v>0.10809849224279046</v>
      </c>
      <c r="BN75" s="49">
        <v>0.10714722551105391</v>
      </c>
      <c r="BO75" s="49">
        <v>0.10620432992655662</v>
      </c>
      <c r="BP75" s="49">
        <v>0.10526973182320293</v>
      </c>
      <c r="BQ75" s="49">
        <v>0.10434335818315874</v>
      </c>
      <c r="BR75" s="49">
        <v>0.10342513663114694</v>
      </c>
      <c r="BS75" s="49">
        <v>0.10251499542879285</v>
      </c>
      <c r="BT75" s="49">
        <v>0.10161286346901946</v>
      </c>
      <c r="BU75" s="49">
        <v>0.10071867027049208</v>
      </c>
      <c r="BV75" s="49">
        <v>9.9832345972111755E-2</v>
      </c>
      <c r="BW75" s="49">
        <v>9.8953821327557173E-2</v>
      </c>
      <c r="BX75" s="49">
        <v>9.8083027699874661E-2</v>
      </c>
      <c r="BY75" s="49">
        <v>9.7219897056115764E-2</v>
      </c>
      <c r="BZ75" s="49">
        <v>9.6364361962021944E-2</v>
      </c>
      <c r="CA75" s="49">
        <v>9.5516355576756154E-2</v>
      </c>
      <c r="CB75" s="49">
        <v>9.4675811647680699E-2</v>
      </c>
      <c r="CC75" s="49">
        <v>9.3842664505181111E-2</v>
      </c>
      <c r="CD75" s="49">
        <v>9.3016849057535517E-2</v>
      </c>
      <c r="CE75" s="49">
        <v>9.2198300785829204E-2</v>
      </c>
      <c r="CF75" s="49">
        <v>9.1386955738913908E-2</v>
      </c>
      <c r="CG75" s="49">
        <v>9.0582750528411457E-2</v>
      </c>
      <c r="CH75" s="49">
        <v>8.978562232376143E-2</v>
      </c>
      <c r="CI75" s="49">
        <v>8.8995508847312332E-2</v>
      </c>
      <c r="CJ75" s="49">
        <v>8.8212348369455976E-2</v>
      </c>
      <c r="CK75" s="49">
        <v>8.7436079703804764E-2</v>
      </c>
      <c r="CL75" s="49">
        <v>8.6666642202411284E-2</v>
      </c>
      <c r="CM75" s="49">
        <v>8.5903975751030065E-2</v>
      </c>
      <c r="CN75" s="49">
        <v>8.5148020764421004E-2</v>
      </c>
      <c r="CO75" s="49">
        <v>8.4398718181694102E-2</v>
      </c>
      <c r="CP75" s="49">
        <v>8.3656009461695185E-2</v>
      </c>
      <c r="CQ75" s="49">
        <v>8.2919836578432271E-2</v>
      </c>
      <c r="CR75" s="49">
        <v>8.2190142016542067E-2</v>
      </c>
      <c r="CS75" s="49">
        <v>8.1466868766796499E-2</v>
      </c>
      <c r="CT75" s="49">
        <v>8.0749960321648689E-2</v>
      </c>
      <c r="CU75" s="49">
        <v>8.0039360670818183E-2</v>
      </c>
      <c r="CV75" s="49">
        <v>7.9335014296914974E-2</v>
      </c>
      <c r="CW75" s="49">
        <v>7.8636866171102118E-2</v>
      </c>
      <c r="CX75" s="48">
        <v>7.7944861748796418E-2</v>
      </c>
      <c r="CY75" s="28">
        <v>7.7258946965407013E-2</v>
      </c>
    </row>
    <row r="76" spans="1:103" ht="15.75">
      <c r="A76" s="50">
        <v>94</v>
      </c>
      <c r="B76" s="48">
        <v>0.201074</v>
      </c>
      <c r="C76" s="48">
        <v>0.19962626720000001</v>
      </c>
      <c r="D76" s="48">
        <v>0.19822888332960001</v>
      </c>
      <c r="E76" s="48">
        <v>0.19688092692295872</v>
      </c>
      <c r="F76" s="48">
        <v>0.19554213661988259</v>
      </c>
      <c r="G76" s="48">
        <v>0.19421245009086738</v>
      </c>
      <c r="H76" s="48">
        <v>0.19287238418524039</v>
      </c>
      <c r="I76" s="48">
        <v>0.19154156473436224</v>
      </c>
      <c r="J76" s="48">
        <v>0.19020077378122169</v>
      </c>
      <c r="K76" s="48">
        <v>0.18885034828737501</v>
      </c>
      <c r="L76" s="48">
        <v>0.18749062577970591</v>
      </c>
      <c r="M76" s="48">
        <v>0.18612194421151407</v>
      </c>
      <c r="N76" s="48">
        <v>0.18474464182434888</v>
      </c>
      <c r="O76" s="48">
        <v>0.18335905701066627</v>
      </c>
      <c r="P76" s="48">
        <v>0.18194719227168413</v>
      </c>
      <c r="Q76" s="48">
        <v>0.18052800417196499</v>
      </c>
      <c r="R76" s="48">
        <v>0.17908378013858928</v>
      </c>
      <c r="S76" s="48">
        <v>0.17761529314145286</v>
      </c>
      <c r="T76" s="48">
        <v>0.17612332467906466</v>
      </c>
      <c r="U76" s="49">
        <v>0.17460866408682471</v>
      </c>
      <c r="V76" s="49">
        <v>0.17308956870926934</v>
      </c>
      <c r="W76" s="49">
        <v>0.17158368946149868</v>
      </c>
      <c r="X76" s="49">
        <v>0.17009091136318363</v>
      </c>
      <c r="Y76" s="49">
        <v>0.16861112043432394</v>
      </c>
      <c r="Z76" s="49">
        <v>0.16714420368654531</v>
      </c>
      <c r="AA76" s="49">
        <v>0.16569004911447235</v>
      </c>
      <c r="AB76" s="49">
        <v>0.16424854568717645</v>
      </c>
      <c r="AC76" s="49">
        <v>0.16281958333969801</v>
      </c>
      <c r="AD76" s="49">
        <v>0.16140305296464263</v>
      </c>
      <c r="AE76" s="49">
        <v>0.15999884640385023</v>
      </c>
      <c r="AF76" s="49">
        <v>0.15860685644013672</v>
      </c>
      <c r="AG76" s="49">
        <v>0.15722697678910752</v>
      </c>
      <c r="AH76" s="49">
        <v>0.15585910209104228</v>
      </c>
      <c r="AI76" s="49">
        <v>0.1545031279028502</v>
      </c>
      <c r="AJ76" s="49">
        <v>0.15315895069009539</v>
      </c>
      <c r="AK76" s="49">
        <v>0.15182646781909154</v>
      </c>
      <c r="AL76" s="49">
        <v>0.15050557754906543</v>
      </c>
      <c r="AM76" s="49">
        <v>0.14919617902438856</v>
      </c>
      <c r="AN76" s="49">
        <v>0.14789817226687638</v>
      </c>
      <c r="AO76" s="49">
        <v>0.14661145816815455</v>
      </c>
      <c r="AP76" s="49">
        <v>0.14533593848209159</v>
      </c>
      <c r="AQ76" s="49">
        <v>0.14407151581729738</v>
      </c>
      <c r="AR76" s="49">
        <v>0.14281809362968689</v>
      </c>
      <c r="AS76" s="49">
        <v>0.14157557621510861</v>
      </c>
      <c r="AT76" s="49">
        <v>0.14034386870203716</v>
      </c>
      <c r="AU76" s="49">
        <v>0.13912287704432943</v>
      </c>
      <c r="AV76" s="49">
        <v>0.13791250801404376</v>
      </c>
      <c r="AW76" s="49">
        <v>0.13671266919432157</v>
      </c>
      <c r="AX76" s="49">
        <v>0.13552326897233097</v>
      </c>
      <c r="AY76" s="49">
        <v>0.13434421653227169</v>
      </c>
      <c r="AZ76" s="49">
        <v>0.13317542184844092</v>
      </c>
      <c r="BA76" s="49">
        <v>0.13201679567835947</v>
      </c>
      <c r="BB76" s="49">
        <v>0.13086824955595774</v>
      </c>
      <c r="BC76" s="49">
        <v>0.12972969578482091</v>
      </c>
      <c r="BD76" s="49">
        <v>0.12860104743149295</v>
      </c>
      <c r="BE76" s="49">
        <v>0.12748221831883896</v>
      </c>
      <c r="BF76" s="49">
        <v>0.12637312301946507</v>
      </c>
      <c r="BG76" s="49">
        <v>0.12527367684919571</v>
      </c>
      <c r="BH76" s="49">
        <v>0.12418379586060771</v>
      </c>
      <c r="BI76" s="49">
        <v>0.12310339683662042</v>
      </c>
      <c r="BJ76" s="49">
        <v>0.12203239728414181</v>
      </c>
      <c r="BK76" s="49">
        <v>0.12097071542776977</v>
      </c>
      <c r="BL76" s="49">
        <v>0.11991827020354817</v>
      </c>
      <c r="BM76" s="49">
        <v>0.1188749812527773</v>
      </c>
      <c r="BN76" s="49">
        <v>0.11784076891587814</v>
      </c>
      <c r="BO76" s="49">
        <v>0.11681555422630999</v>
      </c>
      <c r="BP76" s="49">
        <v>0.11579925890454108</v>
      </c>
      <c r="BQ76" s="49">
        <v>0.11479180535207158</v>
      </c>
      <c r="BR76" s="49">
        <v>0.11379311664550855</v>
      </c>
      <c r="BS76" s="49">
        <v>0.11280311653069262</v>
      </c>
      <c r="BT76" s="49">
        <v>0.1118217294168756</v>
      </c>
      <c r="BU76" s="49">
        <v>0.11084888037094878</v>
      </c>
      <c r="BV76" s="49">
        <v>0.10988449511172152</v>
      </c>
      <c r="BW76" s="49">
        <v>0.10892850000424954</v>
      </c>
      <c r="BX76" s="49">
        <v>0.10798082205421257</v>
      </c>
      <c r="BY76" s="49">
        <v>0.10704138890234091</v>
      </c>
      <c r="BZ76" s="49">
        <v>0.10611012881889054</v>
      </c>
      <c r="CA76" s="49">
        <v>0.10518697069816618</v>
      </c>
      <c r="CB76" s="49">
        <v>0.10427184405309213</v>
      </c>
      <c r="CC76" s="49">
        <v>0.10336467900983022</v>
      </c>
      <c r="CD76" s="49">
        <v>0.10246540630244469</v>
      </c>
      <c r="CE76" s="49">
        <v>0.10157395726761341</v>
      </c>
      <c r="CF76" s="49">
        <v>0.10069026383938517</v>
      </c>
      <c r="CG76" s="49">
        <v>9.9814258543982515E-2</v>
      </c>
      <c r="CH76" s="49">
        <v>9.8945874494649866E-2</v>
      </c>
      <c r="CI76" s="49">
        <v>9.8085045386546402E-2</v>
      </c>
      <c r="CJ76" s="49">
        <v>9.7231705491683446E-2</v>
      </c>
      <c r="CK76" s="49">
        <v>9.638578965390579E-2</v>
      </c>
      <c r="CL76" s="49">
        <v>9.5547233283916802E-2</v>
      </c>
      <c r="CM76" s="49">
        <v>9.4715972354346728E-2</v>
      </c>
      <c r="CN76" s="49">
        <v>9.3891943394863911E-2</v>
      </c>
      <c r="CO76" s="49">
        <v>9.3075083487328597E-2</v>
      </c>
      <c r="CP76" s="49">
        <v>9.2265330260988834E-2</v>
      </c>
      <c r="CQ76" s="49">
        <v>9.1462621887718226E-2</v>
      </c>
      <c r="CR76" s="49">
        <v>9.0666897077295069E-2</v>
      </c>
      <c r="CS76" s="49">
        <v>8.9878095072722597E-2</v>
      </c>
      <c r="CT76" s="49">
        <v>8.9096155645589911E-2</v>
      </c>
      <c r="CU76" s="49">
        <v>8.8321019091473274E-2</v>
      </c>
      <c r="CV76" s="49">
        <v>8.7552626225377447E-2</v>
      </c>
      <c r="CW76" s="49">
        <v>8.6790918377216655E-2</v>
      </c>
      <c r="CX76" s="48">
        <v>8.6035837387334863E-2</v>
      </c>
      <c r="CY76" s="28">
        <v>8.5287325602065048E-2</v>
      </c>
    </row>
    <row r="77" spans="1:103" ht="15.75">
      <c r="A77" s="50">
        <v>95</v>
      </c>
      <c r="B77" s="48">
        <v>0.218559</v>
      </c>
      <c r="C77" s="48">
        <v>0.21687609569999999</v>
      </c>
      <c r="D77" s="48">
        <v>0.21527121259182</v>
      </c>
      <c r="E77" s="48">
        <v>0.21372125986115889</v>
      </c>
      <c r="F77" s="48">
        <v>0.21222521104213077</v>
      </c>
      <c r="G77" s="48">
        <v>0.21076085708594006</v>
      </c>
      <c r="H77" s="48">
        <v>0.20932768325775566</v>
      </c>
      <c r="I77" s="48">
        <v>0.20790425501160292</v>
      </c>
      <c r="J77" s="48">
        <v>0.20646971565202285</v>
      </c>
      <c r="K77" s="48">
        <v>0.20504507461402388</v>
      </c>
      <c r="L77" s="48">
        <v>0.20360975909172571</v>
      </c>
      <c r="M77" s="48">
        <v>0.20216412980217446</v>
      </c>
      <c r="N77" s="48">
        <v>0.2007085480675988</v>
      </c>
      <c r="O77" s="48">
        <v>0.19924337566670533</v>
      </c>
      <c r="P77" s="48">
        <v>0.19776897468677171</v>
      </c>
      <c r="Q77" s="48">
        <v>0.19628570737662093</v>
      </c>
      <c r="R77" s="48">
        <v>0.19477430742982094</v>
      </c>
      <c r="S77" s="48">
        <v>0.19323559040112534</v>
      </c>
      <c r="T77" s="48">
        <v>0.19167038211887621</v>
      </c>
      <c r="U77" s="49">
        <v>0.19007951794728956</v>
      </c>
      <c r="V77" s="49">
        <v>0.1884638420447376</v>
      </c>
      <c r="W77" s="49">
        <v>0.18686189938735734</v>
      </c>
      <c r="X77" s="49">
        <v>0.1852735732425648</v>
      </c>
      <c r="Y77" s="49">
        <v>0.18369874787000301</v>
      </c>
      <c r="Z77" s="49">
        <v>0.182137308513108</v>
      </c>
      <c r="AA77" s="49">
        <v>0.18058914139074658</v>
      </c>
      <c r="AB77" s="49">
        <v>0.17905413368892525</v>
      </c>
      <c r="AC77" s="49">
        <v>0.17753217355256939</v>
      </c>
      <c r="AD77" s="49">
        <v>0.17602315007737257</v>
      </c>
      <c r="AE77" s="49">
        <v>0.17452695330171492</v>
      </c>
      <c r="AF77" s="49">
        <v>0.17304347419865035</v>
      </c>
      <c r="AG77" s="49">
        <v>0.17157260466796184</v>
      </c>
      <c r="AH77" s="49">
        <v>0.17011423752828417</v>
      </c>
      <c r="AI77" s="49">
        <v>0.16866826650929376</v>
      </c>
      <c r="AJ77" s="49">
        <v>0.16723458624396476</v>
      </c>
      <c r="AK77" s="49">
        <v>0.16581309226089105</v>
      </c>
      <c r="AL77" s="49">
        <v>0.16440368097667349</v>
      </c>
      <c r="AM77" s="49">
        <v>0.16300624968837177</v>
      </c>
      <c r="AN77" s="49">
        <v>0.16162069656602063</v>
      </c>
      <c r="AO77" s="49">
        <v>0.16024692064520946</v>
      </c>
      <c r="AP77" s="49">
        <v>0.15888482181972519</v>
      </c>
      <c r="AQ77" s="49">
        <v>0.15753430083425754</v>
      </c>
      <c r="AR77" s="49">
        <v>0.15619525927716635</v>
      </c>
      <c r="AS77" s="49">
        <v>0.15486759957331045</v>
      </c>
      <c r="AT77" s="49">
        <v>0.15355122497693732</v>
      </c>
      <c r="AU77" s="49">
        <v>0.15224603956463337</v>
      </c>
      <c r="AV77" s="49">
        <v>0.15095194822833399</v>
      </c>
      <c r="AW77" s="49">
        <v>0.14966885666839316</v>
      </c>
      <c r="AX77" s="49">
        <v>0.14839667138671184</v>
      </c>
      <c r="AY77" s="49">
        <v>0.14713529967992478</v>
      </c>
      <c r="AZ77" s="49">
        <v>0.14588464963264541</v>
      </c>
      <c r="BA77" s="49">
        <v>0.14464463011076795</v>
      </c>
      <c r="BB77" s="49">
        <v>0.14341515075482641</v>
      </c>
      <c r="BC77" s="49">
        <v>0.14219612197341039</v>
      </c>
      <c r="BD77" s="49">
        <v>0.14098745493663642</v>
      </c>
      <c r="BE77" s="49">
        <v>0.13978906156967502</v>
      </c>
      <c r="BF77" s="49">
        <v>0.13860085454633278</v>
      </c>
      <c r="BG77" s="49">
        <v>0.13742274728268897</v>
      </c>
      <c r="BH77" s="49">
        <v>0.13625465393078612</v>
      </c>
      <c r="BI77" s="49">
        <v>0.13509648937237445</v>
      </c>
      <c r="BJ77" s="49">
        <v>0.13394816921270927</v>
      </c>
      <c r="BK77" s="49">
        <v>0.13280960977440126</v>
      </c>
      <c r="BL77" s="49">
        <v>0.13168072809131887</v>
      </c>
      <c r="BM77" s="49">
        <v>0.13056144190254265</v>
      </c>
      <c r="BN77" s="49">
        <v>0.12945166964637106</v>
      </c>
      <c r="BO77" s="49">
        <v>0.12835133045437691</v>
      </c>
      <c r="BP77" s="49">
        <v>0.12726034414551471</v>
      </c>
      <c r="BQ77" s="49">
        <v>0.12617863122027784</v>
      </c>
      <c r="BR77" s="49">
        <v>0.12510611285490547</v>
      </c>
      <c r="BS77" s="49">
        <v>0.12404271089563879</v>
      </c>
      <c r="BT77" s="49">
        <v>0.12298834785302586</v>
      </c>
      <c r="BU77" s="49">
        <v>0.12194294689627515</v>
      </c>
      <c r="BV77" s="49">
        <v>0.12090643184765681</v>
      </c>
      <c r="BW77" s="49">
        <v>0.11987872717695174</v>
      </c>
      <c r="BX77" s="49">
        <v>0.11885975799594765</v>
      </c>
      <c r="BY77" s="49">
        <v>0.1178494500529821</v>
      </c>
      <c r="BZ77" s="49">
        <v>0.11684772972753175</v>
      </c>
      <c r="CA77" s="49">
        <v>0.11585452402484774</v>
      </c>
      <c r="CB77" s="49">
        <v>0.11486976057063654</v>
      </c>
      <c r="CC77" s="49">
        <v>0.11389336760578614</v>
      </c>
      <c r="CD77" s="49">
        <v>0.11292527398113696</v>
      </c>
      <c r="CE77" s="49">
        <v>0.1119654091522973</v>
      </c>
      <c r="CF77" s="49">
        <v>0.11101370317450278</v>
      </c>
      <c r="CG77" s="49">
        <v>0.11007008669751951</v>
      </c>
      <c r="CH77" s="49">
        <v>0.10913449096059061</v>
      </c>
      <c r="CI77" s="49">
        <v>0.10820684778742559</v>
      </c>
      <c r="CJ77" s="49">
        <v>0.10728708958123248</v>
      </c>
      <c r="CK77" s="49">
        <v>0.10637514931979201</v>
      </c>
      <c r="CL77" s="49">
        <v>0.10547096055057378</v>
      </c>
      <c r="CM77" s="49">
        <v>0.10457445738589391</v>
      </c>
      <c r="CN77" s="49">
        <v>0.10368557449811382</v>
      </c>
      <c r="CO77" s="49">
        <v>0.10280424711487986</v>
      </c>
      <c r="CP77" s="49">
        <v>0.10193041101440338</v>
      </c>
      <c r="CQ77" s="49">
        <v>0.10106400252078096</v>
      </c>
      <c r="CR77" s="49">
        <v>0.10020495849935433</v>
      </c>
      <c r="CS77" s="49">
        <v>9.9353216352109822E-2</v>
      </c>
      <c r="CT77" s="49">
        <v>9.8508714013116894E-2</v>
      </c>
      <c r="CU77" s="49">
        <v>9.7671389944005399E-2</v>
      </c>
      <c r="CV77" s="49">
        <v>9.6841183129481354E-2</v>
      </c>
      <c r="CW77" s="49">
        <v>9.6018033072880773E-2</v>
      </c>
      <c r="CX77" s="48">
        <v>9.5201879791761285E-2</v>
      </c>
      <c r="CY77" s="28">
        <v>9.4392663813531313E-2</v>
      </c>
    </row>
    <row r="78" spans="1:103" ht="15.75">
      <c r="A78" s="50">
        <v>96</v>
      </c>
      <c r="B78" s="48">
        <v>0.236535</v>
      </c>
      <c r="C78" s="48">
        <v>0.23480829450000001</v>
      </c>
      <c r="D78" s="48">
        <v>0.23314115560905002</v>
      </c>
      <c r="E78" s="48">
        <v>0.23155579575090848</v>
      </c>
      <c r="F78" s="48">
        <v>0.23000437191937739</v>
      </c>
      <c r="G78" s="48">
        <v>0.2284863430647095</v>
      </c>
      <c r="H78" s="48">
        <v>0.2270011818347889</v>
      </c>
      <c r="I78" s="48">
        <v>0.22552567415286279</v>
      </c>
      <c r="J78" s="48">
        <v>0.22405975727086919</v>
      </c>
      <c r="K78" s="48">
        <v>0.22258096287288143</v>
      </c>
      <c r="L78" s="48">
        <v>0.22111192851792039</v>
      </c>
      <c r="M78" s="48">
        <v>0.21963047859685031</v>
      </c>
      <c r="N78" s="48">
        <v>0.21813699134239173</v>
      </c>
      <c r="O78" s="48">
        <v>0.21663184610212921</v>
      </c>
      <c r="P78" s="48">
        <v>0.21511542317941432</v>
      </c>
      <c r="Q78" s="48">
        <v>0.21356659213252255</v>
      </c>
      <c r="R78" s="48">
        <v>0.21200755600995513</v>
      </c>
      <c r="S78" s="48">
        <v>0.21041749933988049</v>
      </c>
      <c r="T78" s="48">
        <v>0.20879728459496341</v>
      </c>
      <c r="U78" s="49">
        <v>0.2071477860466632</v>
      </c>
      <c r="V78" s="49">
        <v>0.20546988897968524</v>
      </c>
      <c r="W78" s="49">
        <v>0.20380558287894979</v>
      </c>
      <c r="X78" s="49">
        <v>0.2021547576576303</v>
      </c>
      <c r="Y78" s="49">
        <v>0.20051730412060351</v>
      </c>
      <c r="Z78" s="49">
        <v>0.19889311395722661</v>
      </c>
      <c r="AA78" s="49">
        <v>0.19728207973417308</v>
      </c>
      <c r="AB78" s="49">
        <v>0.19568409488832628</v>
      </c>
      <c r="AC78" s="49">
        <v>0.19409905371973082</v>
      </c>
      <c r="AD78" s="49">
        <v>0.19252685138460102</v>
      </c>
      <c r="AE78" s="49">
        <v>0.19096738388838574</v>
      </c>
      <c r="AF78" s="49">
        <v>0.18942054807888983</v>
      </c>
      <c r="AG78" s="49">
        <v>0.18788624163945084</v>
      </c>
      <c r="AH78" s="49">
        <v>0.18636436308217127</v>
      </c>
      <c r="AI78" s="49">
        <v>0.18485481174120569</v>
      </c>
      <c r="AJ78" s="49">
        <v>0.18335748776610192</v>
      </c>
      <c r="AK78" s="49">
        <v>0.18187229211519648</v>
      </c>
      <c r="AL78" s="49">
        <v>0.1803991265490634</v>
      </c>
      <c r="AM78" s="49">
        <v>0.17893789362401599</v>
      </c>
      <c r="AN78" s="49">
        <v>0.17748849668566147</v>
      </c>
      <c r="AO78" s="49">
        <v>0.17605083986250761</v>
      </c>
      <c r="AP78" s="49">
        <v>0.17462482805962129</v>
      </c>
      <c r="AQ78" s="49">
        <v>0.17321036695233835</v>
      </c>
      <c r="AR78" s="49">
        <v>0.17180736298002441</v>
      </c>
      <c r="AS78" s="49">
        <v>0.17041572333988622</v>
      </c>
      <c r="AT78" s="49">
        <v>0.16903535598083314</v>
      </c>
      <c r="AU78" s="49">
        <v>0.16766616959738839</v>
      </c>
      <c r="AV78" s="49">
        <v>0.16630807362364955</v>
      </c>
      <c r="AW78" s="49">
        <v>0.16496097822729799</v>
      </c>
      <c r="AX78" s="49">
        <v>0.16362479430365687</v>
      </c>
      <c r="AY78" s="49">
        <v>0.16229943346979725</v>
      </c>
      <c r="AZ78" s="49">
        <v>0.16098480805869189</v>
      </c>
      <c r="BA78" s="49">
        <v>0.15968083111341649</v>
      </c>
      <c r="BB78" s="49">
        <v>0.15838741638139783</v>
      </c>
      <c r="BC78" s="49">
        <v>0.15710447830870852</v>
      </c>
      <c r="BD78" s="49">
        <v>0.15583193203440798</v>
      </c>
      <c r="BE78" s="49">
        <v>0.15456969338492929</v>
      </c>
      <c r="BF78" s="49">
        <v>0.15331767886851136</v>
      </c>
      <c r="BG78" s="49">
        <v>0.15207580566967641</v>
      </c>
      <c r="BH78" s="49">
        <v>0.15084399164375203</v>
      </c>
      <c r="BI78" s="49">
        <v>0.14962215531143763</v>
      </c>
      <c r="BJ78" s="49">
        <v>0.14841021585341499</v>
      </c>
      <c r="BK78" s="49">
        <v>0.14720809310500232</v>
      </c>
      <c r="BL78" s="49">
        <v>0.1460157075508518</v>
      </c>
      <c r="BM78" s="49">
        <v>0.14483298031968991</v>
      </c>
      <c r="BN78" s="49">
        <v>0.14365983317910042</v>
      </c>
      <c r="BO78" s="49">
        <v>0.1424961885303497</v>
      </c>
      <c r="BP78" s="49">
        <v>0.14134196940325386</v>
      </c>
      <c r="BQ78" s="49">
        <v>0.14019709945108749</v>
      </c>
      <c r="BR78" s="49">
        <v>0.13906150294553368</v>
      </c>
      <c r="BS78" s="49">
        <v>0.13793510477167487</v>
      </c>
      <c r="BT78" s="49">
        <v>0.13681783042302431</v>
      </c>
      <c r="BU78" s="49">
        <v>0.13570960599659782</v>
      </c>
      <c r="BV78" s="49">
        <v>0.13461035818802539</v>
      </c>
      <c r="BW78" s="49">
        <v>0.13352001428670238</v>
      </c>
      <c r="BX78" s="49">
        <v>0.13243850217098008</v>
      </c>
      <c r="BY78" s="49">
        <v>0.13136575030339515</v>
      </c>
      <c r="BZ78" s="49">
        <v>0.13030168772593764</v>
      </c>
      <c r="CA78" s="49">
        <v>0.12924624405535756</v>
      </c>
      <c r="CB78" s="49">
        <v>0.12819934947850917</v>
      </c>
      <c r="CC78" s="49">
        <v>0.12716093474773324</v>
      </c>
      <c r="CD78" s="49">
        <v>0.12613093117627661</v>
      </c>
      <c r="CE78" s="49">
        <v>0.12510927063374877</v>
      </c>
      <c r="CF78" s="49">
        <v>0.12409588554161541</v>
      </c>
      <c r="CG78" s="49">
        <v>0.12309070886872832</v>
      </c>
      <c r="CH78" s="49">
        <v>0.12209367412689162</v>
      </c>
      <c r="CI78" s="49">
        <v>0.12110471536646381</v>
      </c>
      <c r="CJ78" s="49">
        <v>0.12012376717199545</v>
      </c>
      <c r="CK78" s="49">
        <v>0.11915076465790229</v>
      </c>
      <c r="CL78" s="49">
        <v>0.11818564346417329</v>
      </c>
      <c r="CM78" s="49">
        <v>0.11722833975211348</v>
      </c>
      <c r="CN78" s="49">
        <v>0.11627879020012137</v>
      </c>
      <c r="CO78" s="49">
        <v>0.11533693199950039</v>
      </c>
      <c r="CP78" s="49">
        <v>0.11440270285030443</v>
      </c>
      <c r="CQ78" s="49">
        <v>0.11347604095721697</v>
      </c>
      <c r="CR78" s="49">
        <v>0.11255688502546352</v>
      </c>
      <c r="CS78" s="49">
        <v>0.11164517425675727</v>
      </c>
      <c r="CT78" s="49">
        <v>0.11074084834527753</v>
      </c>
      <c r="CU78" s="49">
        <v>0.10984384747368078</v>
      </c>
      <c r="CV78" s="49">
        <v>0.10895411230914397</v>
      </c>
      <c r="CW78" s="49">
        <v>0.1080715839994399</v>
      </c>
      <c r="CX78" s="48">
        <v>0.10719620416904445</v>
      </c>
      <c r="CY78" s="28">
        <v>0.10632791491527518</v>
      </c>
    </row>
    <row r="79" spans="1:103" ht="15.75">
      <c r="A79" s="50">
        <v>97</v>
      </c>
      <c r="B79" s="48">
        <v>0.25505899999999998</v>
      </c>
      <c r="C79" s="48">
        <v>0.25327358699999997</v>
      </c>
      <c r="D79" s="48">
        <v>0.25157665396709994</v>
      </c>
      <c r="E79" s="48">
        <v>0.24994140571631379</v>
      </c>
      <c r="F79" s="48">
        <v>0.24836677486030101</v>
      </c>
      <c r="G79" s="48">
        <v>0.24682690085616715</v>
      </c>
      <c r="H79" s="48">
        <v>0.24529657407085892</v>
      </c>
      <c r="I79" s="48">
        <v>0.24377573531161958</v>
      </c>
      <c r="J79" s="48">
        <v>0.24226432575268755</v>
      </c>
      <c r="K79" s="48">
        <v>0.2407622869330209</v>
      </c>
      <c r="L79" s="48">
        <v>0.23924548452534289</v>
      </c>
      <c r="M79" s="48">
        <v>0.23771431342438071</v>
      </c>
      <c r="N79" s="48">
        <v>0.23619294181846467</v>
      </c>
      <c r="O79" s="48">
        <v>0.23465768769664466</v>
      </c>
      <c r="P79" s="48">
        <v>0.23308548118907713</v>
      </c>
      <c r="Q79" s="48">
        <v>0.2315004999169914</v>
      </c>
      <c r="R79" s="48">
        <v>0.22990314646756416</v>
      </c>
      <c r="S79" s="48">
        <v>0.22827083412764446</v>
      </c>
      <c r="T79" s="48">
        <v>0.22660445703851265</v>
      </c>
      <c r="U79" s="49">
        <v>0.22490492361072381</v>
      </c>
      <c r="V79" s="49">
        <v>0.22317315569892124</v>
      </c>
      <c r="W79" s="49">
        <v>0.22145472240003952</v>
      </c>
      <c r="X79" s="49">
        <v>0.21974952103755921</v>
      </c>
      <c r="Y79" s="49">
        <v>0.21805744972557001</v>
      </c>
      <c r="Z79" s="49">
        <v>0.2163784073626831</v>
      </c>
      <c r="AA79" s="49">
        <v>0.21471229362599042</v>
      </c>
      <c r="AB79" s="49">
        <v>0.2130590089650703</v>
      </c>
      <c r="AC79" s="49">
        <v>0.21141845459603925</v>
      </c>
      <c r="AD79" s="49">
        <v>0.20979053249564975</v>
      </c>
      <c r="AE79" s="49">
        <v>0.20817514539543325</v>
      </c>
      <c r="AF79" s="49">
        <v>0.20657219677588839</v>
      </c>
      <c r="AG79" s="49">
        <v>0.20498159086071405</v>
      </c>
      <c r="AH79" s="49">
        <v>0.20340323261108653</v>
      </c>
      <c r="AI79" s="49">
        <v>0.20183702771998116</v>
      </c>
      <c r="AJ79" s="49">
        <v>0.20028288260653729</v>
      </c>
      <c r="AK79" s="49">
        <v>0.19874070441046696</v>
      </c>
      <c r="AL79" s="49">
        <v>0.19721040098650636</v>
      </c>
      <c r="AM79" s="49">
        <v>0.19569188089891024</v>
      </c>
      <c r="AN79" s="49">
        <v>0.19418505341598863</v>
      </c>
      <c r="AO79" s="49">
        <v>0.1926898285046855</v>
      </c>
      <c r="AP79" s="49">
        <v>0.19120611682519942</v>
      </c>
      <c r="AQ79" s="49">
        <v>0.18973382972564537</v>
      </c>
      <c r="AR79" s="49">
        <v>0.1882728792367579</v>
      </c>
      <c r="AS79" s="49">
        <v>0.18682317806663484</v>
      </c>
      <c r="AT79" s="49">
        <v>0.18538463959552176</v>
      </c>
      <c r="AU79" s="49">
        <v>0.18395717787063623</v>
      </c>
      <c r="AV79" s="49">
        <v>0.18254070760103233</v>
      </c>
      <c r="AW79" s="49">
        <v>0.18113514415250437</v>
      </c>
      <c r="AX79" s="49">
        <v>0.17974040354253007</v>
      </c>
      <c r="AY79" s="49">
        <v>0.17835640243525258</v>
      </c>
      <c r="AZ79" s="49">
        <v>0.17698305813650114</v>
      </c>
      <c r="BA79" s="49">
        <v>0.17562028858885007</v>
      </c>
      <c r="BB79" s="49">
        <v>0.17426801236671591</v>
      </c>
      <c r="BC79" s="49">
        <v>0.1729261486714922</v>
      </c>
      <c r="BD79" s="49">
        <v>0.17159461732672171</v>
      </c>
      <c r="BE79" s="49">
        <v>0.17027333877330594</v>
      </c>
      <c r="BF79" s="49">
        <v>0.16896223406475147</v>
      </c>
      <c r="BG79" s="49">
        <v>0.16766122486245288</v>
      </c>
      <c r="BH79" s="49">
        <v>0.16637023343101198</v>
      </c>
      <c r="BI79" s="49">
        <v>0.16508918263359318</v>
      </c>
      <c r="BJ79" s="49">
        <v>0.1638179959273145</v>
      </c>
      <c r="BK79" s="49">
        <v>0.16255659735867417</v>
      </c>
      <c r="BL79" s="49">
        <v>0.16130491155901236</v>
      </c>
      <c r="BM79" s="49">
        <v>0.16006286374000797</v>
      </c>
      <c r="BN79" s="49">
        <v>0.15883037968920991</v>
      </c>
      <c r="BO79" s="49">
        <v>0.15760738576560299</v>
      </c>
      <c r="BP79" s="49">
        <v>0.15639380889520785</v>
      </c>
      <c r="BQ79" s="49">
        <v>0.15518957656671475</v>
      </c>
      <c r="BR79" s="49">
        <v>0.15399461682715104</v>
      </c>
      <c r="BS79" s="49">
        <v>0.15280885827758198</v>
      </c>
      <c r="BT79" s="49">
        <v>0.1516322300688446</v>
      </c>
      <c r="BU79" s="49">
        <v>0.1504646618973145</v>
      </c>
      <c r="BV79" s="49">
        <v>0.14930608400070516</v>
      </c>
      <c r="BW79" s="49">
        <v>0.14815642715389973</v>
      </c>
      <c r="BX79" s="49">
        <v>0.14701562266481469</v>
      </c>
      <c r="BY79" s="49">
        <v>0.1458836023702956</v>
      </c>
      <c r="BZ79" s="49">
        <v>0.14476029863204432</v>
      </c>
      <c r="CA79" s="49">
        <v>0.14364564433257757</v>
      </c>
      <c r="CB79" s="49">
        <v>0.14253957287121671</v>
      </c>
      <c r="CC79" s="49">
        <v>0.14144201816010835</v>
      </c>
      <c r="CD79" s="49">
        <v>0.14035291462027549</v>
      </c>
      <c r="CE79" s="49">
        <v>0.13927219717769937</v>
      </c>
      <c r="CF79" s="49">
        <v>0.13819980125943107</v>
      </c>
      <c r="CG79" s="49">
        <v>0.13713566278973344</v>
      </c>
      <c r="CH79" s="49">
        <v>0.13607971818625247</v>
      </c>
      <c r="CI79" s="49">
        <v>0.13503190435621831</v>
      </c>
      <c r="CJ79" s="49">
        <v>0.13399215869267542</v>
      </c>
      <c r="CK79" s="49">
        <v>0.1329604190707418</v>
      </c>
      <c r="CL79" s="49">
        <v>0.13193662384389709</v>
      </c>
      <c r="CM79" s="49">
        <v>0.13092071184029908</v>
      </c>
      <c r="CN79" s="49">
        <v>0.12991262235912876</v>
      </c>
      <c r="CO79" s="49">
        <v>0.12891229516696345</v>
      </c>
      <c r="CP79" s="49">
        <v>0.12791967049417782</v>
      </c>
      <c r="CQ79" s="49">
        <v>0.12693468903137264</v>
      </c>
      <c r="CR79" s="49">
        <v>0.12595729192583108</v>
      </c>
      <c r="CS79" s="49">
        <v>0.12498742077800218</v>
      </c>
      <c r="CT79" s="49">
        <v>0.12402501763801156</v>
      </c>
      <c r="CU79" s="49">
        <v>0.12307002500219887</v>
      </c>
      <c r="CV79" s="49">
        <v>0.12212238580968193</v>
      </c>
      <c r="CW79" s="49">
        <v>0.12118204343894738</v>
      </c>
      <c r="CX79" s="48">
        <v>0.12024894170446748</v>
      </c>
      <c r="CY79" s="28">
        <v>0.11932302485334308</v>
      </c>
    </row>
    <row r="80" spans="1:103" ht="15.75">
      <c r="A80" s="50">
        <v>98</v>
      </c>
      <c r="B80" s="48">
        <v>0.27417000000000002</v>
      </c>
      <c r="C80" s="48">
        <v>0.27236047800000002</v>
      </c>
      <c r="D80" s="48">
        <v>0.27064460698860004</v>
      </c>
      <c r="E80" s="48">
        <v>0.26899367488596959</v>
      </c>
      <c r="F80" s="48">
        <v>0.26737971283665379</v>
      </c>
      <c r="G80" s="48">
        <v>0.26580217253091754</v>
      </c>
      <c r="H80" s="48">
        <v>0.26426051993023819</v>
      </c>
      <c r="I80" s="48">
        <v>0.26272780891464281</v>
      </c>
      <c r="J80" s="48">
        <v>0.26120398762293789</v>
      </c>
      <c r="K80" s="48">
        <v>0.25966288409596255</v>
      </c>
      <c r="L80" s="48">
        <v>0.25813087307979637</v>
      </c>
      <c r="M80" s="48">
        <v>0.25658208784131759</v>
      </c>
      <c r="N80" s="48">
        <v>0.25501693710548556</v>
      </c>
      <c r="O80" s="48">
        <v>0.25343583209543158</v>
      </c>
      <c r="P80" s="48">
        <v>0.25183918635323038</v>
      </c>
      <c r="Q80" s="48">
        <v>0.25022741556056971</v>
      </c>
      <c r="R80" s="48">
        <v>0.24857591461786993</v>
      </c>
      <c r="S80" s="48">
        <v>0.24691045598993019</v>
      </c>
      <c r="T80" s="48">
        <v>0.24520677384359968</v>
      </c>
      <c r="U80" s="49">
        <v>0.24349032642669449</v>
      </c>
      <c r="V80" s="49">
        <v>0.2417371960764223</v>
      </c>
      <c r="W80" s="49">
        <v>0.23999668826467208</v>
      </c>
      <c r="X80" s="49">
        <v>0.23826871210916645</v>
      </c>
      <c r="Y80" s="49">
        <v>0.23655317738198045</v>
      </c>
      <c r="Z80" s="49">
        <v>0.23484999450483018</v>
      </c>
      <c r="AA80" s="49">
        <v>0.23315907454439541</v>
      </c>
      <c r="AB80" s="49">
        <v>0.23148032920767578</v>
      </c>
      <c r="AC80" s="49">
        <v>0.22981367083738052</v>
      </c>
      <c r="AD80" s="49">
        <v>0.2281590124073514</v>
      </c>
      <c r="AE80" s="49">
        <v>0.22651626751801848</v>
      </c>
      <c r="AF80" s="49">
        <v>0.22488535039188876</v>
      </c>
      <c r="AG80" s="49">
        <v>0.22326617586906716</v>
      </c>
      <c r="AH80" s="49">
        <v>0.22165865940280988</v>
      </c>
      <c r="AI80" s="49">
        <v>0.22006271705510966</v>
      </c>
      <c r="AJ80" s="49">
        <v>0.21847826549231286</v>
      </c>
      <c r="AK80" s="49">
        <v>0.21690522198076823</v>
      </c>
      <c r="AL80" s="49">
        <v>0.21534350438250668</v>
      </c>
      <c r="AM80" s="49">
        <v>0.21379303115095263</v>
      </c>
      <c r="AN80" s="49">
        <v>0.21225372132666578</v>
      </c>
      <c r="AO80" s="49">
        <v>0.21072549453311379</v>
      </c>
      <c r="AP80" s="49">
        <v>0.20920827097247538</v>
      </c>
      <c r="AQ80" s="49">
        <v>0.20770197142147356</v>
      </c>
      <c r="AR80" s="49">
        <v>0.20620651722723896</v>
      </c>
      <c r="AS80" s="49">
        <v>0.20472183030320285</v>
      </c>
      <c r="AT80" s="49">
        <v>0.20324783312501979</v>
      </c>
      <c r="AU80" s="49">
        <v>0.20178444872651966</v>
      </c>
      <c r="AV80" s="49">
        <v>0.20033160069568873</v>
      </c>
      <c r="AW80" s="49">
        <v>0.19888921317067979</v>
      </c>
      <c r="AX80" s="49">
        <v>0.19745721083585088</v>
      </c>
      <c r="AY80" s="49">
        <v>0.19603551891783275</v>
      </c>
      <c r="AZ80" s="49">
        <v>0.19462406318162434</v>
      </c>
      <c r="BA80" s="49">
        <v>0.19322276992671664</v>
      </c>
      <c r="BB80" s="49">
        <v>0.19183156598324427</v>
      </c>
      <c r="BC80" s="49">
        <v>0.19045037870816492</v>
      </c>
      <c r="BD80" s="49">
        <v>0.18907913598146614</v>
      </c>
      <c r="BE80" s="49">
        <v>0.18771776620239958</v>
      </c>
      <c r="BF80" s="49">
        <v>0.1863661982857423</v>
      </c>
      <c r="BG80" s="49">
        <v>0.18502436165808497</v>
      </c>
      <c r="BH80" s="49">
        <v>0.18369218625414677</v>
      </c>
      <c r="BI80" s="49">
        <v>0.1823696025131169</v>
      </c>
      <c r="BJ80" s="49">
        <v>0.18105654137502247</v>
      </c>
      <c r="BK80" s="49">
        <v>0.1797529342771223</v>
      </c>
      <c r="BL80" s="49">
        <v>0.17845871315032702</v>
      </c>
      <c r="BM80" s="49">
        <v>0.17717381041564467</v>
      </c>
      <c r="BN80" s="49">
        <v>0.17589815898065203</v>
      </c>
      <c r="BO80" s="49">
        <v>0.17463169223599134</v>
      </c>
      <c r="BP80" s="49">
        <v>0.1733743440518922</v>
      </c>
      <c r="BQ80" s="49">
        <v>0.17212604877471857</v>
      </c>
      <c r="BR80" s="49">
        <v>0.17088674122354061</v>
      </c>
      <c r="BS80" s="49">
        <v>0.16965635668673112</v>
      </c>
      <c r="BT80" s="49">
        <v>0.16843483091858666</v>
      </c>
      <c r="BU80" s="49">
        <v>0.16722210013597283</v>
      </c>
      <c r="BV80" s="49">
        <v>0.16601810101499384</v>
      </c>
      <c r="BW80" s="49">
        <v>0.16482277068768589</v>
      </c>
      <c r="BX80" s="49">
        <v>0.16363604673873455</v>
      </c>
      <c r="BY80" s="49">
        <v>0.16245786720221567</v>
      </c>
      <c r="BZ80" s="49">
        <v>0.16128817055835973</v>
      </c>
      <c r="CA80" s="49">
        <v>0.16012689573033953</v>
      </c>
      <c r="CB80" s="49">
        <v>0.1589739820810811</v>
      </c>
      <c r="CC80" s="49">
        <v>0.15782936941009731</v>
      </c>
      <c r="CD80" s="49">
        <v>0.15669299795034461</v>
      </c>
      <c r="CE80" s="49">
        <v>0.15556480836510214</v>
      </c>
      <c r="CF80" s="49">
        <v>0.15444474174487341</v>
      </c>
      <c r="CG80" s="49">
        <v>0.15333273960431032</v>
      </c>
      <c r="CH80" s="49">
        <v>0.1522287438791593</v>
      </c>
      <c r="CI80" s="49">
        <v>0.15113269692322936</v>
      </c>
      <c r="CJ80" s="49">
        <v>0.15004454150538213</v>
      </c>
      <c r="CK80" s="49">
        <v>0.14896422080654337</v>
      </c>
      <c r="CL80" s="49">
        <v>0.14789167841673626</v>
      </c>
      <c r="CM80" s="49">
        <v>0.14682685833213577</v>
      </c>
      <c r="CN80" s="49">
        <v>0.14576970495214439</v>
      </c>
      <c r="CO80" s="49">
        <v>0.14472016307648897</v>
      </c>
      <c r="CP80" s="49">
        <v>0.14367817790233825</v>
      </c>
      <c r="CQ80" s="49">
        <v>0.14264369502144142</v>
      </c>
      <c r="CR80" s="49">
        <v>0.14161666041728704</v>
      </c>
      <c r="CS80" s="49">
        <v>0.14059702046228259</v>
      </c>
      <c r="CT80" s="49">
        <v>0.13958472191495416</v>
      </c>
      <c r="CU80" s="49">
        <v>0.1385797119171665</v>
      </c>
      <c r="CV80" s="49">
        <v>0.1375819379913629</v>
      </c>
      <c r="CW80" s="49">
        <v>0.13659134803782508</v>
      </c>
      <c r="CX80" s="48">
        <v>0.13560789033195275</v>
      </c>
      <c r="CY80" s="28">
        <v>0.13463151352156269</v>
      </c>
    </row>
    <row r="81" spans="1:103" ht="15.75">
      <c r="A81" s="50">
        <v>99</v>
      </c>
      <c r="B81" s="48">
        <v>0.293848</v>
      </c>
      <c r="C81" s="48">
        <v>0.29202614240000002</v>
      </c>
      <c r="D81" s="48">
        <v>0.29030318815984002</v>
      </c>
      <c r="E81" s="48">
        <v>0.28861942966851295</v>
      </c>
      <c r="F81" s="48">
        <v>0.28700316086236927</v>
      </c>
      <c r="G81" s="48">
        <v>0.28542464347762625</v>
      </c>
      <c r="H81" s="48">
        <v>0.28385480793849932</v>
      </c>
      <c r="I81" s="48">
        <v>0.28229360649483759</v>
      </c>
      <c r="J81" s="48">
        <v>0.28074099165911598</v>
      </c>
      <c r="K81" s="48">
        <v>0.27919691620499087</v>
      </c>
      <c r="L81" s="48">
        <v>0.27763341347424292</v>
      </c>
      <c r="M81" s="48">
        <v>0.27605090301743973</v>
      </c>
      <c r="N81" s="48">
        <v>0.2744774128702403</v>
      </c>
      <c r="O81" s="48">
        <v>0.27288544387559288</v>
      </c>
      <c r="P81" s="48">
        <v>0.27127541975672687</v>
      </c>
      <c r="Q81" s="48">
        <v>0.26964776723818651</v>
      </c>
      <c r="R81" s="48">
        <v>0.26797595108130978</v>
      </c>
      <c r="S81" s="48">
        <v>0.26628770258949752</v>
      </c>
      <c r="T81" s="48">
        <v>0.26455683252266582</v>
      </c>
      <c r="U81" s="49">
        <v>0.26281075742801618</v>
      </c>
      <c r="V81" s="49">
        <v>0.26102364427750568</v>
      </c>
      <c r="W81" s="49">
        <v>0.25924868349641866</v>
      </c>
      <c r="X81" s="49">
        <v>0.257485792448643</v>
      </c>
      <c r="Y81" s="49">
        <v>0.2557348890599922</v>
      </c>
      <c r="Z81" s="49">
        <v>0.25399589181438426</v>
      </c>
      <c r="AA81" s="49">
        <v>0.25226871975004644</v>
      </c>
      <c r="AB81" s="49">
        <v>0.25055329245574615</v>
      </c>
      <c r="AC81" s="49">
        <v>0.24884953006704708</v>
      </c>
      <c r="AD81" s="49">
        <v>0.24715735326259114</v>
      </c>
      <c r="AE81" s="49">
        <v>0.2454766832604055</v>
      </c>
      <c r="AF81" s="49">
        <v>0.24380744181423475</v>
      </c>
      <c r="AG81" s="49">
        <v>0.24214955120989795</v>
      </c>
      <c r="AH81" s="49">
        <v>0.24050293426167063</v>
      </c>
      <c r="AI81" s="49">
        <v>0.23886751430869127</v>
      </c>
      <c r="AJ81" s="49">
        <v>0.23724321521139216</v>
      </c>
      <c r="AK81" s="49">
        <v>0.23562996134795469</v>
      </c>
      <c r="AL81" s="49">
        <v>0.2340276776107886</v>
      </c>
      <c r="AM81" s="49">
        <v>0.23243628940303523</v>
      </c>
      <c r="AN81" s="49">
        <v>0.2308557226350946</v>
      </c>
      <c r="AO81" s="49">
        <v>0.22928590372117594</v>
      </c>
      <c r="AP81" s="49">
        <v>0.22772675957587193</v>
      </c>
      <c r="AQ81" s="49">
        <v>0.22617821761075599</v>
      </c>
      <c r="AR81" s="49">
        <v>0.22464020573100285</v>
      </c>
      <c r="AS81" s="49">
        <v>0.22311265233203204</v>
      </c>
      <c r="AT81" s="49">
        <v>0.2215954862961742</v>
      </c>
      <c r="AU81" s="49">
        <v>0.22008863698936021</v>
      </c>
      <c r="AV81" s="49">
        <v>0.21859203425783255</v>
      </c>
      <c r="AW81" s="49">
        <v>0.21710560842487928</v>
      </c>
      <c r="AX81" s="49">
        <v>0.21562929028759009</v>
      </c>
      <c r="AY81" s="49">
        <v>0.21416301111363448</v>
      </c>
      <c r="AZ81" s="49">
        <v>0.21270670263806177</v>
      </c>
      <c r="BA81" s="49">
        <v>0.21126029706012295</v>
      </c>
      <c r="BB81" s="49">
        <v>0.20982372704011409</v>
      </c>
      <c r="BC81" s="49">
        <v>0.20839692569624133</v>
      </c>
      <c r="BD81" s="49">
        <v>0.20697982660150688</v>
      </c>
      <c r="BE81" s="49">
        <v>0.20557236378061663</v>
      </c>
      <c r="BF81" s="49">
        <v>0.20417447170690844</v>
      </c>
      <c r="BG81" s="49">
        <v>0.20278608529930145</v>
      </c>
      <c r="BH81" s="49">
        <v>0.2014071399192662</v>
      </c>
      <c r="BI81" s="49">
        <v>0.20003757136781519</v>
      </c>
      <c r="BJ81" s="49">
        <v>0.19867731588251406</v>
      </c>
      <c r="BK81" s="49">
        <v>0.19732631013451296</v>
      </c>
      <c r="BL81" s="49">
        <v>0.19598449122559827</v>
      </c>
      <c r="BM81" s="49">
        <v>0.19465179668526419</v>
      </c>
      <c r="BN81" s="49">
        <v>0.1933281644678044</v>
      </c>
      <c r="BO81" s="49">
        <v>0.19201353294942333</v>
      </c>
      <c r="BP81" s="49">
        <v>0.19070784092536724</v>
      </c>
      <c r="BQ81" s="49">
        <v>0.18941102760707473</v>
      </c>
      <c r="BR81" s="49">
        <v>0.18812303261934663</v>
      </c>
      <c r="BS81" s="49">
        <v>0.18684379599753506</v>
      </c>
      <c r="BT81" s="49">
        <v>0.18557325818475182</v>
      </c>
      <c r="BU81" s="49">
        <v>0.18431136002909551</v>
      </c>
      <c r="BV81" s="49">
        <v>0.18305804278089766</v>
      </c>
      <c r="BW81" s="49">
        <v>0.18181324808998756</v>
      </c>
      <c r="BX81" s="49">
        <v>0.18057691800297562</v>
      </c>
      <c r="BY81" s="49">
        <v>0.1793489949605554</v>
      </c>
      <c r="BZ81" s="49">
        <v>0.17812942179482361</v>
      </c>
      <c r="CA81" s="49">
        <v>0.17691814172661879</v>
      </c>
      <c r="CB81" s="49">
        <v>0.17571509836287777</v>
      </c>
      <c r="CC81" s="49">
        <v>0.17452023569401021</v>
      </c>
      <c r="CD81" s="49">
        <v>0.17333349809129092</v>
      </c>
      <c r="CE81" s="49">
        <v>0.17215483030427015</v>
      </c>
      <c r="CF81" s="49">
        <v>0.1709841774582011</v>
      </c>
      <c r="CG81" s="49">
        <v>0.16982148505148534</v>
      </c>
      <c r="CH81" s="49">
        <v>0.16866669895313524</v>
      </c>
      <c r="CI81" s="49">
        <v>0.16751976540025393</v>
      </c>
      <c r="CJ81" s="49">
        <v>0.16638063099553219</v>
      </c>
      <c r="CK81" s="49">
        <v>0.16524924270476257</v>
      </c>
      <c r="CL81" s="49">
        <v>0.16412554785437017</v>
      </c>
      <c r="CM81" s="49">
        <v>0.16300949412896046</v>
      </c>
      <c r="CN81" s="49">
        <v>0.16190102956888353</v>
      </c>
      <c r="CO81" s="49">
        <v>0.1608001025678151</v>
      </c>
      <c r="CP81" s="49">
        <v>0.15970666187035396</v>
      </c>
      <c r="CQ81" s="49">
        <v>0.15862065656963553</v>
      </c>
      <c r="CR81" s="49">
        <v>0.15754203610496201</v>
      </c>
      <c r="CS81" s="49">
        <v>0.15647075025944826</v>
      </c>
      <c r="CT81" s="49">
        <v>0.15540674915768402</v>
      </c>
      <c r="CU81" s="49">
        <v>0.15434998326341176</v>
      </c>
      <c r="CV81" s="49">
        <v>0.15330040337722056</v>
      </c>
      <c r="CW81" s="49">
        <v>0.15225796063425545</v>
      </c>
      <c r="CX81" s="48">
        <v>0.1512226065019425</v>
      </c>
      <c r="CY81" s="28">
        <v>0.15019429277772928</v>
      </c>
    </row>
    <row r="82" spans="1:103" ht="15.75">
      <c r="A82" s="50">
        <v>100</v>
      </c>
      <c r="B82" s="48">
        <v>0.31398799999999999</v>
      </c>
      <c r="C82" s="48">
        <v>0.31216686960000001</v>
      </c>
      <c r="D82" s="48">
        <v>0.31041873513023999</v>
      </c>
      <c r="E82" s="48">
        <v>0.30874247396053672</v>
      </c>
      <c r="F82" s="48">
        <v>0.30710613884854587</v>
      </c>
      <c r="G82" s="48">
        <v>0.30550918692653345</v>
      </c>
      <c r="H82" s="48">
        <v>0.30395109007320814</v>
      </c>
      <c r="I82" s="48">
        <v>0.30240093951383479</v>
      </c>
      <c r="J82" s="48">
        <v>0.30082845462836283</v>
      </c>
      <c r="K82" s="48">
        <v>0.29926414666429535</v>
      </c>
      <c r="L82" s="48">
        <v>0.29770797310164104</v>
      </c>
      <c r="M82" s="48">
        <v>0.29613012084420237</v>
      </c>
      <c r="N82" s="48">
        <v>0.29453101819164368</v>
      </c>
      <c r="O82" s="48">
        <v>0.29291109759158968</v>
      </c>
      <c r="P82" s="48">
        <v>0.29127079544507678</v>
      </c>
      <c r="Q82" s="48">
        <v>0.28961055191103985</v>
      </c>
      <c r="R82" s="48">
        <v>0.2879308107099558</v>
      </c>
      <c r="S82" s="48">
        <v>0.28623201892676703</v>
      </c>
      <c r="T82" s="48">
        <v>0.28448600361131376</v>
      </c>
      <c r="U82" s="49">
        <v>0.2827221903889236</v>
      </c>
      <c r="V82" s="49">
        <v>0.2809127683704345</v>
      </c>
      <c r="W82" s="49">
        <v>0.27911492665286375</v>
      </c>
      <c r="X82" s="49">
        <v>0.27732859112228542</v>
      </c>
      <c r="Y82" s="49">
        <v>0.2755536881391028</v>
      </c>
      <c r="Z82" s="49">
        <v>0.27379014453501255</v>
      </c>
      <c r="AA82" s="49">
        <v>0.27203788760998848</v>
      </c>
      <c r="AB82" s="49">
        <v>0.27029684512928459</v>
      </c>
      <c r="AC82" s="49">
        <v>0.26856694532045716</v>
      </c>
      <c r="AD82" s="49">
        <v>0.26684811687040627</v>
      </c>
      <c r="AE82" s="49">
        <v>0.26514028892243569</v>
      </c>
      <c r="AF82" s="49">
        <v>0.26344339107333209</v>
      </c>
      <c r="AG82" s="49">
        <v>0.2617573533704628</v>
      </c>
      <c r="AH82" s="49">
        <v>0.26008210630889184</v>
      </c>
      <c r="AI82" s="49">
        <v>0.25841758082851496</v>
      </c>
      <c r="AJ82" s="49">
        <v>0.25676370831121248</v>
      </c>
      <c r="AK82" s="49">
        <v>0.25512042057802076</v>
      </c>
      <c r="AL82" s="49">
        <v>0.25348764988632144</v>
      </c>
      <c r="AM82" s="49">
        <v>0.25186532892704899</v>
      </c>
      <c r="AN82" s="49">
        <v>0.25025339082191589</v>
      </c>
      <c r="AO82" s="49">
        <v>0.24865176912065565</v>
      </c>
      <c r="AP82" s="49">
        <v>0.24706039779828345</v>
      </c>
      <c r="AQ82" s="49">
        <v>0.24547921125237446</v>
      </c>
      <c r="AR82" s="49">
        <v>0.24390814430035926</v>
      </c>
      <c r="AS82" s="49">
        <v>0.24234713217683698</v>
      </c>
      <c r="AT82" s="49">
        <v>0.24079611053090524</v>
      </c>
      <c r="AU82" s="49">
        <v>0.23925501542350747</v>
      </c>
      <c r="AV82" s="49">
        <v>0.23772378332479702</v>
      </c>
      <c r="AW82" s="49">
        <v>0.23620235111151833</v>
      </c>
      <c r="AX82" s="49">
        <v>0.23469065606440462</v>
      </c>
      <c r="AY82" s="49">
        <v>0.23318863586559244</v>
      </c>
      <c r="AZ82" s="49">
        <v>0.23169622859605266</v>
      </c>
      <c r="BA82" s="49">
        <v>0.23021337273303794</v>
      </c>
      <c r="BB82" s="49">
        <v>0.2287400071475465</v>
      </c>
      <c r="BC82" s="49">
        <v>0.2272760711018022</v>
      </c>
      <c r="BD82" s="49">
        <v>0.22582150424675068</v>
      </c>
      <c r="BE82" s="49">
        <v>0.22437624661957148</v>
      </c>
      <c r="BF82" s="49">
        <v>0.22294023864120624</v>
      </c>
      <c r="BG82" s="49">
        <v>0.22151342111390254</v>
      </c>
      <c r="BH82" s="49">
        <v>0.22009573521877357</v>
      </c>
      <c r="BI82" s="49">
        <v>0.21868712251337344</v>
      </c>
      <c r="BJ82" s="49">
        <v>0.21728752492928785</v>
      </c>
      <c r="BK82" s="49">
        <v>0.21589688476974042</v>
      </c>
      <c r="BL82" s="49">
        <v>0.21451514470721408</v>
      </c>
      <c r="BM82" s="49">
        <v>0.21314224778108792</v>
      </c>
      <c r="BN82" s="49">
        <v>0.21177813739528897</v>
      </c>
      <c r="BO82" s="49">
        <v>0.21042275731595914</v>
      </c>
      <c r="BP82" s="49">
        <v>0.20907605166913701</v>
      </c>
      <c r="BQ82" s="49">
        <v>0.20773796493845453</v>
      </c>
      <c r="BR82" s="49">
        <v>0.20640844196284844</v>
      </c>
      <c r="BS82" s="49">
        <v>0.20508742793428622</v>
      </c>
      <c r="BT82" s="49">
        <v>0.20377486839550679</v>
      </c>
      <c r="BU82" s="49">
        <v>0.20247070923777555</v>
      </c>
      <c r="BV82" s="49">
        <v>0.20117489669865379</v>
      </c>
      <c r="BW82" s="49">
        <v>0.1998873773597824</v>
      </c>
      <c r="BX82" s="49">
        <v>0.19860809814467981</v>
      </c>
      <c r="BY82" s="49">
        <v>0.19733700631655388</v>
      </c>
      <c r="BZ82" s="49">
        <v>0.19607404947612794</v>
      </c>
      <c r="CA82" s="49">
        <v>0.19481917555948072</v>
      </c>
      <c r="CB82" s="49">
        <v>0.19357233283590006</v>
      </c>
      <c r="CC82" s="49">
        <v>0.19233346990575031</v>
      </c>
      <c r="CD82" s="49">
        <v>0.19110253569835353</v>
      </c>
      <c r="CE82" s="49">
        <v>0.18987947946988407</v>
      </c>
      <c r="CF82" s="49">
        <v>0.18866425080127683</v>
      </c>
      <c r="CG82" s="49">
        <v>0.18745679959614867</v>
      </c>
      <c r="CH82" s="49">
        <v>0.18625707607873332</v>
      </c>
      <c r="CI82" s="49">
        <v>0.18506503079182943</v>
      </c>
      <c r="CJ82" s="49">
        <v>0.18388061459476174</v>
      </c>
      <c r="CK82" s="49">
        <v>0.18270377866135526</v>
      </c>
      <c r="CL82" s="49">
        <v>0.18153447447792259</v>
      </c>
      <c r="CM82" s="49">
        <v>0.18037265384126389</v>
      </c>
      <c r="CN82" s="49">
        <v>0.1792182688566798</v>
      </c>
      <c r="CO82" s="49">
        <v>0.17807127193599706</v>
      </c>
      <c r="CP82" s="49">
        <v>0.17693161579560668</v>
      </c>
      <c r="CQ82" s="49">
        <v>0.1757992534545148</v>
      </c>
      <c r="CR82" s="49">
        <v>0.17467413823240591</v>
      </c>
      <c r="CS82" s="49">
        <v>0.17355622374771851</v>
      </c>
      <c r="CT82" s="49">
        <v>0.17244546391573312</v>
      </c>
      <c r="CU82" s="49">
        <v>0.17134181294667244</v>
      </c>
      <c r="CV82" s="49">
        <v>0.17024522534381376</v>
      </c>
      <c r="CW82" s="49">
        <v>0.16915565590161336</v>
      </c>
      <c r="CX82" s="48">
        <v>0.16807305970384304</v>
      </c>
      <c r="CY82" s="28">
        <v>0.16699739212173845</v>
      </c>
    </row>
    <row r="83" spans="1:103" ht="15.75">
      <c r="A83" s="50">
        <v>101</v>
      </c>
      <c r="B83" s="48">
        <v>0.33436500000000002</v>
      </c>
      <c r="C83" s="48">
        <v>0.33255942900000002</v>
      </c>
      <c r="D83" s="48">
        <v>0.33083011996920003</v>
      </c>
      <c r="E83" s="48">
        <v>0.329175969369354</v>
      </c>
      <c r="F83" s="48">
        <v>0.32756300711944414</v>
      </c>
      <c r="G83" s="48">
        <v>0.3259907046852708</v>
      </c>
      <c r="H83" s="48">
        <v>0.32442594930278151</v>
      </c>
      <c r="I83" s="48">
        <v>0.32286870474612817</v>
      </c>
      <c r="J83" s="48">
        <v>0.32131893496334674</v>
      </c>
      <c r="K83" s="48">
        <v>0.31977660407552266</v>
      </c>
      <c r="L83" s="48">
        <v>0.3182096987155526</v>
      </c>
      <c r="M83" s="48">
        <v>0.31665047119184642</v>
      </c>
      <c r="N83" s="48">
        <v>0.31506721883588718</v>
      </c>
      <c r="O83" s="48">
        <v>0.31346037601982413</v>
      </c>
      <c r="P83" s="48">
        <v>0.31183038206452107</v>
      </c>
      <c r="Q83" s="48">
        <v>0.3101776810395791</v>
      </c>
      <c r="R83" s="48">
        <v>0.3085027215619654</v>
      </c>
      <c r="S83" s="48">
        <v>0.30680595659337462</v>
      </c>
      <c r="T83" s="48">
        <v>0.30505716264079236</v>
      </c>
      <c r="U83" s="49">
        <v>0.30328783109747576</v>
      </c>
      <c r="V83" s="49">
        <v>0.30146810411089092</v>
      </c>
      <c r="W83" s="49">
        <v>0.29965929548622555</v>
      </c>
      <c r="X83" s="49">
        <v>0.29786133971330819</v>
      </c>
      <c r="Y83" s="49">
        <v>0.29607417167502836</v>
      </c>
      <c r="Z83" s="49">
        <v>0.29429772664497822</v>
      </c>
      <c r="AA83" s="49">
        <v>0.29253194028510837</v>
      </c>
      <c r="AB83" s="49">
        <v>0.2907767486433977</v>
      </c>
      <c r="AC83" s="49">
        <v>0.2890320881515373</v>
      </c>
      <c r="AD83" s="49">
        <v>0.28729789562262809</v>
      </c>
      <c r="AE83" s="49">
        <v>0.28557410824889229</v>
      </c>
      <c r="AF83" s="49">
        <v>0.28386066359939893</v>
      </c>
      <c r="AG83" s="49">
        <v>0.28215749961780251</v>
      </c>
      <c r="AH83" s="49">
        <v>0.28046455462009567</v>
      </c>
      <c r="AI83" s="49">
        <v>0.27878176729237508</v>
      </c>
      <c r="AJ83" s="49">
        <v>0.27710907668862084</v>
      </c>
      <c r="AK83" s="49">
        <v>0.27544642222848909</v>
      </c>
      <c r="AL83" s="49">
        <v>0.27379374369511816</v>
      </c>
      <c r="AM83" s="49">
        <v>0.27215098123294745</v>
      </c>
      <c r="AN83" s="49">
        <v>0.27051807534554978</v>
      </c>
      <c r="AO83" s="49">
        <v>0.26889496689347647</v>
      </c>
      <c r="AP83" s="49">
        <v>0.26728159709211563</v>
      </c>
      <c r="AQ83" s="49">
        <v>0.26567790750956294</v>
      </c>
      <c r="AR83" s="49">
        <v>0.26408384006450558</v>
      </c>
      <c r="AS83" s="49">
        <v>0.26249933702411854</v>
      </c>
      <c r="AT83" s="49">
        <v>0.26092434100197381</v>
      </c>
      <c r="AU83" s="49">
        <v>0.25935879495596198</v>
      </c>
      <c r="AV83" s="49">
        <v>0.25780264218622623</v>
      </c>
      <c r="AW83" s="49">
        <v>0.25625582633310889</v>
      </c>
      <c r="AX83" s="49">
        <v>0.25471829137511026</v>
      </c>
      <c r="AY83" s="49">
        <v>0.25318998162685957</v>
      </c>
      <c r="AZ83" s="49">
        <v>0.25167084173709842</v>
      </c>
      <c r="BA83" s="49">
        <v>0.25016081668667584</v>
      </c>
      <c r="BB83" s="49">
        <v>0.24865985178655578</v>
      </c>
      <c r="BC83" s="49">
        <v>0.24716789267583644</v>
      </c>
      <c r="BD83" s="49">
        <v>0.24568488531978142</v>
      </c>
      <c r="BE83" s="49">
        <v>0.24421077600786273</v>
      </c>
      <c r="BF83" s="49">
        <v>0.24274551135181555</v>
      </c>
      <c r="BG83" s="49">
        <v>0.24128903828370465</v>
      </c>
      <c r="BH83" s="49">
        <v>0.23984130405400242</v>
      </c>
      <c r="BI83" s="49">
        <v>0.23840225622967839</v>
      </c>
      <c r="BJ83" s="49">
        <v>0.23697184269230032</v>
      </c>
      <c r="BK83" s="49">
        <v>0.2355500116361465</v>
      </c>
      <c r="BL83" s="49">
        <v>0.23413671156632962</v>
      </c>
      <c r="BM83" s="49">
        <v>0.23273189129693164</v>
      </c>
      <c r="BN83" s="49">
        <v>0.23133549994915006</v>
      </c>
      <c r="BO83" s="49">
        <v>0.22994748694945516</v>
      </c>
      <c r="BP83" s="49">
        <v>0.22856780202775842</v>
      </c>
      <c r="BQ83" s="49">
        <v>0.22719639521559187</v>
      </c>
      <c r="BR83" s="49">
        <v>0.22583321684429833</v>
      </c>
      <c r="BS83" s="49">
        <v>0.22447821754323255</v>
      </c>
      <c r="BT83" s="49">
        <v>0.22313134823797315</v>
      </c>
      <c r="BU83" s="49">
        <v>0.22179256014854531</v>
      </c>
      <c r="BV83" s="49">
        <v>0.22046180478765404</v>
      </c>
      <c r="BW83" s="49">
        <v>0.21913903395892811</v>
      </c>
      <c r="BX83" s="49">
        <v>0.21782419975517456</v>
      </c>
      <c r="BY83" s="49">
        <v>0.2165172545566435</v>
      </c>
      <c r="BZ83" s="49">
        <v>0.21521815102930364</v>
      </c>
      <c r="CA83" s="49">
        <v>0.21392684212312782</v>
      </c>
      <c r="CB83" s="49">
        <v>0.21264328107038905</v>
      </c>
      <c r="CC83" s="49">
        <v>0.21136742138396672</v>
      </c>
      <c r="CD83" s="49">
        <v>0.21009921685566291</v>
      </c>
      <c r="CE83" s="49">
        <v>0.20883862155452892</v>
      </c>
      <c r="CF83" s="49">
        <v>0.20758558982520176</v>
      </c>
      <c r="CG83" s="49">
        <v>0.20634007628625053</v>
      </c>
      <c r="CH83" s="49">
        <v>0.20510203582853304</v>
      </c>
      <c r="CI83" s="49">
        <v>0.20387142361356184</v>
      </c>
      <c r="CJ83" s="49">
        <v>0.20264819507188048</v>
      </c>
      <c r="CK83" s="49">
        <v>0.2014323059014492</v>
      </c>
      <c r="CL83" s="49">
        <v>0.2002237120660405</v>
      </c>
      <c r="CM83" s="49">
        <v>0.19902236979364427</v>
      </c>
      <c r="CN83" s="49">
        <v>0.19782823557488241</v>
      </c>
      <c r="CO83" s="49">
        <v>0.19664126616143313</v>
      </c>
      <c r="CP83" s="49">
        <v>0.19546141856446453</v>
      </c>
      <c r="CQ83" s="49">
        <v>0.19428865005307774</v>
      </c>
      <c r="CR83" s="49">
        <v>0.19312291815275928</v>
      </c>
      <c r="CS83" s="49">
        <v>0.19196418064384271</v>
      </c>
      <c r="CT83" s="49">
        <v>0.19081239555997967</v>
      </c>
      <c r="CU83" s="49">
        <v>0.18966752118661978</v>
      </c>
      <c r="CV83" s="49">
        <v>0.18852951605950005</v>
      </c>
      <c r="CW83" s="49">
        <v>0.18739833896314306</v>
      </c>
      <c r="CX83" s="48">
        <v>0.18627394892936419</v>
      </c>
      <c r="CY83" s="28">
        <v>0.18515630523578799</v>
      </c>
    </row>
    <row r="84" spans="1:103" ht="15.75">
      <c r="A84" s="50">
        <v>102</v>
      </c>
      <c r="B84" s="48">
        <v>0.354599</v>
      </c>
      <c r="C84" s="48">
        <v>0.352826005</v>
      </c>
      <c r="D84" s="48">
        <v>0.35113244017599998</v>
      </c>
      <c r="E84" s="48">
        <v>0.34948211770717275</v>
      </c>
      <c r="F84" s="48">
        <v>0.34787449996571973</v>
      </c>
      <c r="G84" s="48">
        <v>0.34630906471587403</v>
      </c>
      <c r="H84" s="48">
        <v>0.34475067392465258</v>
      </c>
      <c r="I84" s="48">
        <v>0.34323377095938412</v>
      </c>
      <c r="J84" s="48">
        <v>0.34168921899006693</v>
      </c>
      <c r="K84" s="48">
        <v>0.34015161750461165</v>
      </c>
      <c r="L84" s="48">
        <v>0.33862093522584091</v>
      </c>
      <c r="M84" s="48">
        <v>0.337063278923802</v>
      </c>
      <c r="N84" s="48">
        <v>0.3354790815128601</v>
      </c>
      <c r="O84" s="48">
        <v>0.33390232982974966</v>
      </c>
      <c r="P84" s="48">
        <v>0.33229959864656683</v>
      </c>
      <c r="Q84" s="48">
        <v>0.33067133061319864</v>
      </c>
      <c r="R84" s="48">
        <v>0.32901797396013266</v>
      </c>
      <c r="S84" s="48">
        <v>0.32733998229293598</v>
      </c>
      <c r="T84" s="48">
        <v>0.32560508038678343</v>
      </c>
      <c r="U84" s="49">
        <v>0.3238468129526948</v>
      </c>
      <c r="V84" s="49">
        <v>0.32206565548145499</v>
      </c>
      <c r="W84" s="49">
        <v>0.32029429437630702</v>
      </c>
      <c r="X84" s="49">
        <v>0.31853267575723737</v>
      </c>
      <c r="Y84" s="49">
        <v>0.3167807460405726</v>
      </c>
      <c r="Z84" s="49">
        <v>0.31503845193734947</v>
      </c>
      <c r="AA84" s="49">
        <v>0.31330574045169407</v>
      </c>
      <c r="AB84" s="49">
        <v>0.31158255887920977</v>
      </c>
      <c r="AC84" s="49">
        <v>0.30986885480537413</v>
      </c>
      <c r="AD84" s="49">
        <v>0.3081645761039446</v>
      </c>
      <c r="AE84" s="49">
        <v>0.30646967093537292</v>
      </c>
      <c r="AF84" s="49">
        <v>0.30478408774522836</v>
      </c>
      <c r="AG84" s="49">
        <v>0.30310777526262961</v>
      </c>
      <c r="AH84" s="49">
        <v>0.30144068249868516</v>
      </c>
      <c r="AI84" s="49">
        <v>0.29978275874494242</v>
      </c>
      <c r="AJ84" s="49">
        <v>0.29813395357184524</v>
      </c>
      <c r="AK84" s="49">
        <v>0.29649421682720012</v>
      </c>
      <c r="AL84" s="49">
        <v>0.29486349863465056</v>
      </c>
      <c r="AM84" s="49">
        <v>0.29324174939215997</v>
      </c>
      <c r="AN84" s="49">
        <v>0.29162891977050309</v>
      </c>
      <c r="AO84" s="49">
        <v>0.29002496071176537</v>
      </c>
      <c r="AP84" s="49">
        <v>0.28842982342785067</v>
      </c>
      <c r="AQ84" s="49">
        <v>0.28684345939899752</v>
      </c>
      <c r="AR84" s="49">
        <v>0.28526582037230303</v>
      </c>
      <c r="AS84" s="49">
        <v>0.28369685836025538</v>
      </c>
      <c r="AT84" s="49">
        <v>0.28213652563927399</v>
      </c>
      <c r="AU84" s="49">
        <v>0.28058477474825799</v>
      </c>
      <c r="AV84" s="49">
        <v>0.27904155848714257</v>
      </c>
      <c r="AW84" s="49">
        <v>0.27750682991546333</v>
      </c>
      <c r="AX84" s="49">
        <v>0.27598054235092828</v>
      </c>
      <c r="AY84" s="49">
        <v>0.27446264936799819</v>
      </c>
      <c r="AZ84" s="49">
        <v>0.27295310479647422</v>
      </c>
      <c r="BA84" s="49">
        <v>0.27145186272009364</v>
      </c>
      <c r="BB84" s="49">
        <v>0.26995887747513314</v>
      </c>
      <c r="BC84" s="49">
        <v>0.26847410364901991</v>
      </c>
      <c r="BD84" s="49">
        <v>0.26699749607895029</v>
      </c>
      <c r="BE84" s="49">
        <v>0.26552900985051608</v>
      </c>
      <c r="BF84" s="49">
        <v>0.26406860029633827</v>
      </c>
      <c r="BG84" s="49">
        <v>0.26261622299470844</v>
      </c>
      <c r="BH84" s="49">
        <v>0.26117183376823755</v>
      </c>
      <c r="BI84" s="49">
        <v>0.25973538868251228</v>
      </c>
      <c r="BJ84" s="49">
        <v>0.25830684404475845</v>
      </c>
      <c r="BK84" s="49">
        <v>0.25688615640251228</v>
      </c>
      <c r="BL84" s="49">
        <v>0.25547328254229845</v>
      </c>
      <c r="BM84" s="49">
        <v>0.25406817948831584</v>
      </c>
      <c r="BN84" s="49">
        <v>0.25267080450113011</v>
      </c>
      <c r="BO84" s="49">
        <v>0.25128111507637391</v>
      </c>
      <c r="BP84" s="49">
        <v>0.24989906894345387</v>
      </c>
      <c r="BQ84" s="49">
        <v>0.2485246240642649</v>
      </c>
      <c r="BR84" s="49">
        <v>0.24715773863191146</v>
      </c>
      <c r="BS84" s="49">
        <v>0.24579837106943594</v>
      </c>
      <c r="BT84" s="49">
        <v>0.24444648002855407</v>
      </c>
      <c r="BU84" s="49">
        <v>0.24310202438839704</v>
      </c>
      <c r="BV84" s="49">
        <v>0.24176496325426086</v>
      </c>
      <c r="BW84" s="49">
        <v>0.24043525595636245</v>
      </c>
      <c r="BX84" s="49">
        <v>0.23911286204860246</v>
      </c>
      <c r="BY84" s="49">
        <v>0.23779774130733516</v>
      </c>
      <c r="BZ84" s="49">
        <v>0.23648985373014483</v>
      </c>
      <c r="CA84" s="49">
        <v>0.23518915953462904</v>
      </c>
      <c r="CB84" s="49">
        <v>0.23389561915718859</v>
      </c>
      <c r="CC84" s="49">
        <v>0.23260919325182408</v>
      </c>
      <c r="CD84" s="49">
        <v>0.23132984268893905</v>
      </c>
      <c r="CE84" s="49">
        <v>0.2300575285541499</v>
      </c>
      <c r="CF84" s="49">
        <v>0.2287922121471021</v>
      </c>
      <c r="CG84" s="49">
        <v>0.22753385498029305</v>
      </c>
      <c r="CH84" s="49">
        <v>0.22628241877790145</v>
      </c>
      <c r="CI84" s="49">
        <v>0.22503786547462301</v>
      </c>
      <c r="CJ84" s="49">
        <v>0.2238001572145126</v>
      </c>
      <c r="CK84" s="49">
        <v>0.22256925634983279</v>
      </c>
      <c r="CL84" s="49">
        <v>0.22134512543990872</v>
      </c>
      <c r="CM84" s="49">
        <v>0.22012772724998925</v>
      </c>
      <c r="CN84" s="49">
        <v>0.21891702475011432</v>
      </c>
      <c r="CO84" s="49">
        <v>0.21771298111398871</v>
      </c>
      <c r="CP84" s="49">
        <v>0.21651555971786179</v>
      </c>
      <c r="CQ84" s="49">
        <v>0.21532472413941356</v>
      </c>
      <c r="CR84" s="49">
        <v>0.2141404381566468</v>
      </c>
      <c r="CS84" s="49">
        <v>0.21296266574678524</v>
      </c>
      <c r="CT84" s="49">
        <v>0.21179137108517793</v>
      </c>
      <c r="CU84" s="49">
        <v>0.21062651854420947</v>
      </c>
      <c r="CV84" s="49">
        <v>0.20946807269221632</v>
      </c>
      <c r="CW84" s="49">
        <v>0.20831599829240913</v>
      </c>
      <c r="CX84" s="48">
        <v>0.20717026030180088</v>
      </c>
      <c r="CY84" s="28">
        <v>0.20603082387014099</v>
      </c>
    </row>
    <row r="85" spans="1:103" ht="15.75">
      <c r="A85" s="50">
        <v>103</v>
      </c>
      <c r="B85" s="48">
        <v>0.37452400000000002</v>
      </c>
      <c r="C85" s="48">
        <v>0.37280118960000003</v>
      </c>
      <c r="D85" s="48">
        <v>0.37112358424680003</v>
      </c>
      <c r="E85" s="48">
        <v>0.36952775283453881</v>
      </c>
      <c r="F85" s="48">
        <v>0.36797573627263375</v>
      </c>
      <c r="G85" s="48">
        <v>0.36646703575391593</v>
      </c>
      <c r="H85" s="48">
        <v>0.3649645209073249</v>
      </c>
      <c r="I85" s="48">
        <v>0.36346816637160484</v>
      </c>
      <c r="J85" s="48">
        <v>0.36197794688948126</v>
      </c>
      <c r="K85" s="48">
        <v>0.36045763951254545</v>
      </c>
      <c r="L85" s="48">
        <v>0.35894371742659276</v>
      </c>
      <c r="M85" s="48">
        <v>0.35743615381340105</v>
      </c>
      <c r="N85" s="48">
        <v>0.35589917835200341</v>
      </c>
      <c r="O85" s="48">
        <v>0.35433322196725459</v>
      </c>
      <c r="P85" s="48">
        <v>0.35277415579059868</v>
      </c>
      <c r="Q85" s="48">
        <v>0.35118667208954102</v>
      </c>
      <c r="R85" s="48">
        <v>0.34957121339792913</v>
      </c>
      <c r="S85" s="48">
        <v>0.34792822869495882</v>
      </c>
      <c r="T85" s="48">
        <v>0.34625817319722302</v>
      </c>
      <c r="U85" s="49">
        <v>0.34452688233123691</v>
      </c>
      <c r="V85" s="49">
        <v>0.3427697952313476</v>
      </c>
      <c r="W85" s="49">
        <v>0.34102166927566774</v>
      </c>
      <c r="X85" s="49">
        <v>0.33928245876236185</v>
      </c>
      <c r="Y85" s="49">
        <v>0.33755211822267378</v>
      </c>
      <c r="Z85" s="49">
        <v>0.33583060241973817</v>
      </c>
      <c r="AA85" s="49">
        <v>0.33411786634739749</v>
      </c>
      <c r="AB85" s="49">
        <v>0.33241386522902577</v>
      </c>
      <c r="AC85" s="49">
        <v>0.33071855451635773</v>
      </c>
      <c r="AD85" s="49">
        <v>0.32903188988832432</v>
      </c>
      <c r="AE85" s="49">
        <v>0.32735382724989387</v>
      </c>
      <c r="AF85" s="49">
        <v>0.32568432273091941</v>
      </c>
      <c r="AG85" s="49">
        <v>0.32402333268499173</v>
      </c>
      <c r="AH85" s="49">
        <v>0.32237081368829829</v>
      </c>
      <c r="AI85" s="49">
        <v>0.32072672253848794</v>
      </c>
      <c r="AJ85" s="49">
        <v>0.31909101625354164</v>
      </c>
      <c r="AK85" s="49">
        <v>0.31746365207064858</v>
      </c>
      <c r="AL85" s="49">
        <v>0.31584458744508825</v>
      </c>
      <c r="AM85" s="49">
        <v>0.31423378004911828</v>
      </c>
      <c r="AN85" s="49">
        <v>0.31263118777086779</v>
      </c>
      <c r="AO85" s="49">
        <v>0.31103676871323638</v>
      </c>
      <c r="AP85" s="49">
        <v>0.30945048119279889</v>
      </c>
      <c r="AQ85" s="49">
        <v>0.30787228373871561</v>
      </c>
      <c r="AR85" s="49">
        <v>0.30630213509164816</v>
      </c>
      <c r="AS85" s="49">
        <v>0.30473999420268078</v>
      </c>
      <c r="AT85" s="49">
        <v>0.30318582023224711</v>
      </c>
      <c r="AU85" s="49">
        <v>0.30163957254906265</v>
      </c>
      <c r="AV85" s="49">
        <v>0.30010121072906243</v>
      </c>
      <c r="AW85" s="49">
        <v>0.29857069455434421</v>
      </c>
      <c r="AX85" s="49">
        <v>0.29704798401211707</v>
      </c>
      <c r="AY85" s="49">
        <v>0.29553303929365526</v>
      </c>
      <c r="AZ85" s="49">
        <v>0.29402582079325762</v>
      </c>
      <c r="BA85" s="49">
        <v>0.29252628910721201</v>
      </c>
      <c r="BB85" s="49">
        <v>0.29103440503276523</v>
      </c>
      <c r="BC85" s="49">
        <v>0.28955012956709814</v>
      </c>
      <c r="BD85" s="49">
        <v>0.28807342390630591</v>
      </c>
      <c r="BE85" s="49">
        <v>0.28660424944438373</v>
      </c>
      <c r="BF85" s="49">
        <v>0.28514256777221736</v>
      </c>
      <c r="BG85" s="49">
        <v>0.28368834067657905</v>
      </c>
      <c r="BH85" s="49">
        <v>0.2822415301391285</v>
      </c>
      <c r="BI85" s="49">
        <v>0.28080209833541897</v>
      </c>
      <c r="BJ85" s="49">
        <v>0.27937000763390835</v>
      </c>
      <c r="BK85" s="49">
        <v>0.2779452205949754</v>
      </c>
      <c r="BL85" s="49">
        <v>0.27652769996994103</v>
      </c>
      <c r="BM85" s="49">
        <v>0.27511740870009432</v>
      </c>
      <c r="BN85" s="49">
        <v>0.27371430991572382</v>
      </c>
      <c r="BO85" s="49">
        <v>0.27231836693515366</v>
      </c>
      <c r="BP85" s="49">
        <v>0.27092954326378438</v>
      </c>
      <c r="BQ85" s="49">
        <v>0.2695478025931391</v>
      </c>
      <c r="BR85" s="49">
        <v>0.26817310879991407</v>
      </c>
      <c r="BS85" s="49">
        <v>0.26680542594503454</v>
      </c>
      <c r="BT85" s="49">
        <v>0.26544471827271487</v>
      </c>
      <c r="BU85" s="49">
        <v>0.26409095020952406</v>
      </c>
      <c r="BV85" s="49">
        <v>0.26274408636345548</v>
      </c>
      <c r="BW85" s="49">
        <v>0.26140409152300187</v>
      </c>
      <c r="BX85" s="49">
        <v>0.26007093065623454</v>
      </c>
      <c r="BY85" s="49">
        <v>0.25874456890988773</v>
      </c>
      <c r="BZ85" s="49">
        <v>0.25742497160844729</v>
      </c>
      <c r="CA85" s="49">
        <v>0.25611210425324421</v>
      </c>
      <c r="CB85" s="49">
        <v>0.25480593252155265</v>
      </c>
      <c r="CC85" s="49">
        <v>0.25350642226569275</v>
      </c>
      <c r="CD85" s="49">
        <v>0.25221353951213771</v>
      </c>
      <c r="CE85" s="49">
        <v>0.25092725046062581</v>
      </c>
      <c r="CF85" s="49">
        <v>0.24964752148327662</v>
      </c>
      <c r="CG85" s="49">
        <v>0.24837431912371191</v>
      </c>
      <c r="CH85" s="49">
        <v>0.24710761009618099</v>
      </c>
      <c r="CI85" s="49">
        <v>0.24584736128469045</v>
      </c>
      <c r="CJ85" s="49">
        <v>0.24459353974213854</v>
      </c>
      <c r="CK85" s="49">
        <v>0.24334611268945364</v>
      </c>
      <c r="CL85" s="49">
        <v>0.24210504751473744</v>
      </c>
      <c r="CM85" s="49">
        <v>0.24087031177241228</v>
      </c>
      <c r="CN85" s="49">
        <v>0.23964187318237298</v>
      </c>
      <c r="CO85" s="49">
        <v>0.23841969962914289</v>
      </c>
      <c r="CP85" s="49">
        <v>0.23720375916103426</v>
      </c>
      <c r="CQ85" s="49">
        <v>0.23599401998931299</v>
      </c>
      <c r="CR85" s="49">
        <v>0.23479045048736749</v>
      </c>
      <c r="CS85" s="49">
        <v>0.23359301918988193</v>
      </c>
      <c r="CT85" s="49">
        <v>0.23240169479201353</v>
      </c>
      <c r="CU85" s="49">
        <v>0.23121644614857426</v>
      </c>
      <c r="CV85" s="49">
        <v>0.23003724227321654</v>
      </c>
      <c r="CW85" s="49">
        <v>0.22886405233762314</v>
      </c>
      <c r="CX85" s="48">
        <v>0.22769684567070125</v>
      </c>
      <c r="CY85" s="28">
        <v>0.22653559175778068</v>
      </c>
    </row>
    <row r="86" spans="1:103" ht="15.75">
      <c r="A86" s="50">
        <v>104</v>
      </c>
      <c r="B86" s="48">
        <v>0.393982</v>
      </c>
      <c r="C86" s="48">
        <v>0.39228787739999998</v>
      </c>
      <c r="D86" s="48">
        <v>0.39067949710265998</v>
      </c>
      <c r="E86" s="48">
        <v>0.38911677911424936</v>
      </c>
      <c r="F86" s="48">
        <v>0.38759922367570376</v>
      </c>
      <c r="G86" s="48">
        <v>0.38612634662573608</v>
      </c>
      <c r="H86" s="48">
        <v>0.3846590665085583</v>
      </c>
      <c r="I86" s="48">
        <v>0.38319736205582577</v>
      </c>
      <c r="J86" s="48">
        <v>0.3817412120800136</v>
      </c>
      <c r="K86" s="48">
        <v>0.38029059547410954</v>
      </c>
      <c r="L86" s="48">
        <v>0.37884549121130789</v>
      </c>
      <c r="M86" s="48">
        <v>0.37736799379558378</v>
      </c>
      <c r="N86" s="48">
        <v>0.37589625861978099</v>
      </c>
      <c r="O86" s="48">
        <v>0.37439267358530187</v>
      </c>
      <c r="P86" s="48">
        <v>0.37285766362360212</v>
      </c>
      <c r="Q86" s="48">
        <v>0.37129166143638298</v>
      </c>
      <c r="R86" s="48">
        <v>0.36973223645835018</v>
      </c>
      <c r="S86" s="48">
        <v>0.36814238784157927</v>
      </c>
      <c r="T86" s="48">
        <v>0.36652256133507632</v>
      </c>
      <c r="U86" s="49">
        <v>0.36483655755293498</v>
      </c>
      <c r="V86" s="49">
        <v>0.36312182573243618</v>
      </c>
      <c r="W86" s="49">
        <v>0.3614151531514937</v>
      </c>
      <c r="X86" s="49">
        <v>0.35971650193168164</v>
      </c>
      <c r="Y86" s="49">
        <v>0.35802583437260271</v>
      </c>
      <c r="Z86" s="49">
        <v>0.35634311295105148</v>
      </c>
      <c r="AA86" s="49">
        <v>0.35466830032018154</v>
      </c>
      <c r="AB86" s="49">
        <v>0.35300135930867665</v>
      </c>
      <c r="AC86" s="49">
        <v>0.35134225291992588</v>
      </c>
      <c r="AD86" s="49">
        <v>0.34969094433120224</v>
      </c>
      <c r="AE86" s="49">
        <v>0.34804739689284558</v>
      </c>
      <c r="AF86" s="49">
        <v>0.34641157412744922</v>
      </c>
      <c r="AG86" s="49">
        <v>0.34478343972905018</v>
      </c>
      <c r="AH86" s="49">
        <v>0.34316295756232362</v>
      </c>
      <c r="AI86" s="49">
        <v>0.34155009166178069</v>
      </c>
      <c r="AJ86" s="49">
        <v>0.33994480623097029</v>
      </c>
      <c r="AK86" s="49">
        <v>0.33834706564168471</v>
      </c>
      <c r="AL86" s="49">
        <v>0.33675683443316878</v>
      </c>
      <c r="AM86" s="49">
        <v>0.33517407731133286</v>
      </c>
      <c r="AN86" s="49">
        <v>0.3335987591479696</v>
      </c>
      <c r="AO86" s="49">
        <v>0.33203084497997415</v>
      </c>
      <c r="AP86" s="49">
        <v>0.33047030000856825</v>
      </c>
      <c r="AQ86" s="49">
        <v>0.32891708959852795</v>
      </c>
      <c r="AR86" s="49">
        <v>0.32737117927741483</v>
      </c>
      <c r="AS86" s="49">
        <v>0.32583253473481094</v>
      </c>
      <c r="AT86" s="49">
        <v>0.32430112182155729</v>
      </c>
      <c r="AU86" s="49">
        <v>0.32277690654899593</v>
      </c>
      <c r="AV86" s="49">
        <v>0.32125985508821564</v>
      </c>
      <c r="AW86" s="49">
        <v>0.319749933769301</v>
      </c>
      <c r="AX86" s="49">
        <v>0.31824710908058529</v>
      </c>
      <c r="AY86" s="49">
        <v>0.31675134766790652</v>
      </c>
      <c r="AZ86" s="49">
        <v>0.31526261633386737</v>
      </c>
      <c r="BA86" s="49">
        <v>0.3137808820370982</v>
      </c>
      <c r="BB86" s="49">
        <v>0.3123061118915238</v>
      </c>
      <c r="BC86" s="49">
        <v>0.31083827316563362</v>
      </c>
      <c r="BD86" s="49">
        <v>0.30937733328175515</v>
      </c>
      <c r="BE86" s="49">
        <v>0.30792325981533086</v>
      </c>
      <c r="BF86" s="49">
        <v>0.30647602049419881</v>
      </c>
      <c r="BG86" s="49">
        <v>0.30503558319787605</v>
      </c>
      <c r="BH86" s="49">
        <v>0.30360191595684599</v>
      </c>
      <c r="BI86" s="49">
        <v>0.3021749869518488</v>
      </c>
      <c r="BJ86" s="49">
        <v>0.30075476451317512</v>
      </c>
      <c r="BK86" s="49">
        <v>0.2993412171199632</v>
      </c>
      <c r="BL86" s="49">
        <v>0.29793431339949938</v>
      </c>
      <c r="BM86" s="49">
        <v>0.29653402212652175</v>
      </c>
      <c r="BN86" s="49">
        <v>0.29514031222252707</v>
      </c>
      <c r="BO86" s="49">
        <v>0.29375315275508118</v>
      </c>
      <c r="BP86" s="49">
        <v>0.29237251293713229</v>
      </c>
      <c r="BQ86" s="49">
        <v>0.29099836212632774</v>
      </c>
      <c r="BR86" s="49">
        <v>0.289630669824334</v>
      </c>
      <c r="BS86" s="49">
        <v>0.28826940567615961</v>
      </c>
      <c r="BT86" s="49">
        <v>0.28691453946948164</v>
      </c>
      <c r="BU86" s="49">
        <v>0.28556604113397505</v>
      </c>
      <c r="BV86" s="49">
        <v>0.28422388074064536</v>
      </c>
      <c r="BW86" s="49">
        <v>0.28288802850116435</v>
      </c>
      <c r="BX86" s="49">
        <v>0.28155845476720887</v>
      </c>
      <c r="BY86" s="49">
        <v>0.28023513002980299</v>
      </c>
      <c r="BZ86" s="49">
        <v>0.27891802491866291</v>
      </c>
      <c r="CA86" s="49">
        <v>0.27760711020154516</v>
      </c>
      <c r="CB86" s="49">
        <v>0.27630235678359788</v>
      </c>
      <c r="CC86" s="49">
        <v>0.27500373570671494</v>
      </c>
      <c r="CD86" s="49">
        <v>0.27371121814889338</v>
      </c>
      <c r="CE86" s="49">
        <v>0.27242477542359356</v>
      </c>
      <c r="CF86" s="49">
        <v>0.27114437897910265</v>
      </c>
      <c r="CG86" s="49">
        <v>0.26987000039790088</v>
      </c>
      <c r="CH86" s="49">
        <v>0.26860161139603073</v>
      </c>
      <c r="CI86" s="49">
        <v>0.26733918382246935</v>
      </c>
      <c r="CJ86" s="49">
        <v>0.26608268965850373</v>
      </c>
      <c r="CK86" s="49">
        <v>0.26483210101710875</v>
      </c>
      <c r="CL86" s="49">
        <v>0.26358739014232835</v>
      </c>
      <c r="CM86" s="49">
        <v>0.26234852940865938</v>
      </c>
      <c r="CN86" s="49">
        <v>0.26111549132043865</v>
      </c>
      <c r="CO86" s="49">
        <v>0.2598882485112326</v>
      </c>
      <c r="CP86" s="49">
        <v>0.25866677374322977</v>
      </c>
      <c r="CQ86" s="49">
        <v>0.25745103990663659</v>
      </c>
      <c r="CR86" s="49">
        <v>0.25624102001907539</v>
      </c>
      <c r="CS86" s="49">
        <v>0.25503668722498574</v>
      </c>
      <c r="CT86" s="49">
        <v>0.25383801479502827</v>
      </c>
      <c r="CU86" s="49">
        <v>0.25264497612549164</v>
      </c>
      <c r="CV86" s="49">
        <v>0.25145754473770182</v>
      </c>
      <c r="CW86" s="49">
        <v>0.25027569427743462</v>
      </c>
      <c r="CX86" s="48">
        <v>0.24909939851433066</v>
      </c>
      <c r="CY86" s="28">
        <v>0.24792863134131329</v>
      </c>
    </row>
    <row r="87" spans="1:103" ht="15.75">
      <c r="A87" s="50">
        <v>105</v>
      </c>
      <c r="B87" s="48">
        <v>0.412831</v>
      </c>
      <c r="C87" s="48">
        <v>0.41122095910000001</v>
      </c>
      <c r="D87" s="48">
        <v>0.40969944155132998</v>
      </c>
      <c r="E87" s="48">
        <v>0.40822452356174516</v>
      </c>
      <c r="F87" s="48">
        <v>0.40679573772927907</v>
      </c>
      <c r="G87" s="48">
        <v>0.40537195264722664</v>
      </c>
      <c r="H87" s="48">
        <v>0.4039936880082261</v>
      </c>
      <c r="I87" s="48">
        <v>0.40262010946899818</v>
      </c>
      <c r="J87" s="48">
        <v>0.40125120109680362</v>
      </c>
      <c r="K87" s="48">
        <v>0.39984682189296483</v>
      </c>
      <c r="L87" s="48">
        <v>0.39844735801633946</v>
      </c>
      <c r="M87" s="48">
        <v>0.39705279226328227</v>
      </c>
      <c r="N87" s="48">
        <v>0.39562340221113446</v>
      </c>
      <c r="O87" s="48">
        <v>0.39419915796317434</v>
      </c>
      <c r="P87" s="48">
        <v>0.39274062107871061</v>
      </c>
      <c r="Q87" s="48">
        <v>0.39124820671861149</v>
      </c>
      <c r="R87" s="48">
        <v>0.38972233871240891</v>
      </c>
      <c r="S87" s="48">
        <v>0.38820242159143054</v>
      </c>
      <c r="T87" s="48">
        <v>0.38664961190506481</v>
      </c>
      <c r="U87" s="49">
        <v>0.38506434849625404</v>
      </c>
      <c r="V87" s="49">
        <v>0.38340857179772014</v>
      </c>
      <c r="W87" s="49">
        <v>0.38175991493898997</v>
      </c>
      <c r="X87" s="49">
        <v>0.3801183473047523</v>
      </c>
      <c r="Y87" s="49">
        <v>0.37848383841134187</v>
      </c>
      <c r="Z87" s="49">
        <v>0.37685635790617311</v>
      </c>
      <c r="AA87" s="49">
        <v>0.37523587556717658</v>
      </c>
      <c r="AB87" s="49">
        <v>0.37362236130223775</v>
      </c>
      <c r="AC87" s="49">
        <v>0.37201578514863815</v>
      </c>
      <c r="AD87" s="49">
        <v>0.37041611727249901</v>
      </c>
      <c r="AE87" s="49">
        <v>0.36882332796822725</v>
      </c>
      <c r="AF87" s="49">
        <v>0.36723738765796388</v>
      </c>
      <c r="AG87" s="49">
        <v>0.36565826689103464</v>
      </c>
      <c r="AH87" s="49">
        <v>0.36408593634340319</v>
      </c>
      <c r="AI87" s="49">
        <v>0.36252036681712657</v>
      </c>
      <c r="AJ87" s="49">
        <v>0.36096152923981295</v>
      </c>
      <c r="AK87" s="49">
        <v>0.35940939466408178</v>
      </c>
      <c r="AL87" s="49">
        <v>0.35786393426702623</v>
      </c>
      <c r="AM87" s="49">
        <v>0.35632511934967803</v>
      </c>
      <c r="AN87" s="49">
        <v>0.35479292133647444</v>
      </c>
      <c r="AO87" s="49">
        <v>0.35326731177472759</v>
      </c>
      <c r="AP87" s="49">
        <v>0.35174826233409628</v>
      </c>
      <c r="AQ87" s="49">
        <v>0.35023574480605968</v>
      </c>
      <c r="AR87" s="49">
        <v>0.34872973110339361</v>
      </c>
      <c r="AS87" s="49">
        <v>0.34723019325964904</v>
      </c>
      <c r="AT87" s="49">
        <v>0.34573710342863256</v>
      </c>
      <c r="AU87" s="49">
        <v>0.34425043388388943</v>
      </c>
      <c r="AV87" s="49">
        <v>0.34277015701818869</v>
      </c>
      <c r="AW87" s="49">
        <v>0.34129624534301051</v>
      </c>
      <c r="AX87" s="49">
        <v>0.33982867148803558</v>
      </c>
      <c r="AY87" s="49">
        <v>0.33836740820063704</v>
      </c>
      <c r="AZ87" s="49">
        <v>0.33691242834537433</v>
      </c>
      <c r="BA87" s="49">
        <v>0.3354637049034892</v>
      </c>
      <c r="BB87" s="49">
        <v>0.33402121097240423</v>
      </c>
      <c r="BC87" s="49">
        <v>0.33258491976522292</v>
      </c>
      <c r="BD87" s="49">
        <v>0.33115480461023244</v>
      </c>
      <c r="BE87" s="49">
        <v>0.32973083895040844</v>
      </c>
      <c r="BF87" s="49">
        <v>0.32831299634292171</v>
      </c>
      <c r="BG87" s="49">
        <v>0.32690125045864715</v>
      </c>
      <c r="BH87" s="49">
        <v>0.32549557508167498</v>
      </c>
      <c r="BI87" s="49">
        <v>0.32409594410882381</v>
      </c>
      <c r="BJ87" s="49">
        <v>0.3227023315491559</v>
      </c>
      <c r="BK87" s="49">
        <v>0.32131471152349456</v>
      </c>
      <c r="BL87" s="49">
        <v>0.31993305826394353</v>
      </c>
      <c r="BM87" s="49">
        <v>0.31855734611340858</v>
      </c>
      <c r="BN87" s="49">
        <v>0.3171875495251209</v>
      </c>
      <c r="BO87" s="49">
        <v>0.31582364306216287</v>
      </c>
      <c r="BP87" s="49">
        <v>0.31446560139699559</v>
      </c>
      <c r="BQ87" s="49">
        <v>0.31311339931098853</v>
      </c>
      <c r="BR87" s="49">
        <v>0.31176701169395127</v>
      </c>
      <c r="BS87" s="49">
        <v>0.31042641354366729</v>
      </c>
      <c r="BT87" s="49">
        <v>0.30909157996542952</v>
      </c>
      <c r="BU87" s="49">
        <v>0.3077624861715782</v>
      </c>
      <c r="BV87" s="49">
        <v>0.30643910748104042</v>
      </c>
      <c r="BW87" s="49">
        <v>0.30512141931887193</v>
      </c>
      <c r="BX87" s="49">
        <v>0.3038093972158008</v>
      </c>
      <c r="BY87" s="49">
        <v>0.30250301680777286</v>
      </c>
      <c r="BZ87" s="49">
        <v>0.30120225383549942</v>
      </c>
      <c r="CA87" s="49">
        <v>0.2999070841440068</v>
      </c>
      <c r="CB87" s="49">
        <v>0.2986174836821876</v>
      </c>
      <c r="CC87" s="49">
        <v>0.29733342850235422</v>
      </c>
      <c r="CD87" s="49">
        <v>0.29605489475979413</v>
      </c>
      <c r="CE87" s="49">
        <v>0.29478185871232704</v>
      </c>
      <c r="CF87" s="49">
        <v>0.29351429671986407</v>
      </c>
      <c r="CG87" s="49">
        <v>0.29225218524396868</v>
      </c>
      <c r="CH87" s="49">
        <v>0.2909955008474196</v>
      </c>
      <c r="CI87" s="49">
        <v>0.28974422019377571</v>
      </c>
      <c r="CJ87" s="49">
        <v>0.28849832004694248</v>
      </c>
      <c r="CK87" s="49">
        <v>0.28725777727074064</v>
      </c>
      <c r="CL87" s="49">
        <v>0.28602256882847649</v>
      </c>
      <c r="CM87" s="49">
        <v>0.28479267178251405</v>
      </c>
      <c r="CN87" s="49">
        <v>0.28356806329384926</v>
      </c>
      <c r="CO87" s="49">
        <v>0.2823487206216857</v>
      </c>
      <c r="CP87" s="49">
        <v>0.28113462112301246</v>
      </c>
      <c r="CQ87" s="49">
        <v>0.27992574225218353</v>
      </c>
      <c r="CR87" s="49">
        <v>0.27872206156049917</v>
      </c>
      <c r="CS87" s="49">
        <v>0.27752355669578904</v>
      </c>
      <c r="CT87" s="49">
        <v>0.27633020540199715</v>
      </c>
      <c r="CU87" s="49">
        <v>0.27514198551876856</v>
      </c>
      <c r="CV87" s="49">
        <v>0.27395887498103788</v>
      </c>
      <c r="CW87" s="49">
        <v>0.27278085181861944</v>
      </c>
      <c r="CX87" s="48">
        <v>0.27160789415579939</v>
      </c>
      <c r="CY87" s="28">
        <v>0.27043998021092946</v>
      </c>
    </row>
    <row r="88" spans="1:103" ht="15.75">
      <c r="A88" s="50">
        <v>106</v>
      </c>
      <c r="B88" s="48">
        <v>0.430946</v>
      </c>
      <c r="C88" s="48">
        <v>0.42943768900000001</v>
      </c>
      <c r="D88" s="48">
        <v>0.42802054462630001</v>
      </c>
      <c r="E88" s="48">
        <v>0.42665087888349584</v>
      </c>
      <c r="F88" s="48">
        <v>0.42528559607106864</v>
      </c>
      <c r="G88" s="48">
        <v>0.42396721072324833</v>
      </c>
      <c r="H88" s="48">
        <v>0.42265291237000624</v>
      </c>
      <c r="I88" s="48">
        <v>0.42134268834165922</v>
      </c>
      <c r="J88" s="48">
        <v>0.42003652600780006</v>
      </c>
      <c r="K88" s="48">
        <v>0.41873441277717588</v>
      </c>
      <c r="L88" s="48">
        <v>0.41743633609756664</v>
      </c>
      <c r="M88" s="48">
        <v>0.41610053982205442</v>
      </c>
      <c r="N88" s="48">
        <v>0.41476901809462385</v>
      </c>
      <c r="O88" s="48">
        <v>0.41340028033491161</v>
      </c>
      <c r="P88" s="48">
        <v>0.41203605940980642</v>
      </c>
      <c r="Q88" s="48">
        <v>0.41063513680781311</v>
      </c>
      <c r="R88" s="48">
        <v>0.40919791382898579</v>
      </c>
      <c r="S88" s="48">
        <v>0.40776572113058435</v>
      </c>
      <c r="T88" s="48">
        <v>0.40629776453451422</v>
      </c>
      <c r="U88" s="49">
        <v>0.4047944628057365</v>
      </c>
      <c r="V88" s="49">
        <v>0.4032562438470747</v>
      </c>
      <c r="W88" s="49">
        <v>0.40172387012045579</v>
      </c>
      <c r="X88" s="49">
        <v>0.40019731941399805</v>
      </c>
      <c r="Y88" s="49">
        <v>0.39867656960022485</v>
      </c>
      <c r="Z88" s="49">
        <v>0.39716159863574396</v>
      </c>
      <c r="AA88" s="49">
        <v>0.39565238456092811</v>
      </c>
      <c r="AB88" s="49">
        <v>0.39414890549959658</v>
      </c>
      <c r="AC88" s="49">
        <v>0.39265113965869808</v>
      </c>
      <c r="AD88" s="49">
        <v>0.39115906532799499</v>
      </c>
      <c r="AE88" s="49">
        <v>0.38967266087974861</v>
      </c>
      <c r="AF88" s="49">
        <v>0.38819190476840554</v>
      </c>
      <c r="AG88" s="49">
        <v>0.38671677553028561</v>
      </c>
      <c r="AH88" s="49">
        <v>0.38524725178327052</v>
      </c>
      <c r="AI88" s="49">
        <v>0.38378331222649409</v>
      </c>
      <c r="AJ88" s="49">
        <v>0.38232493564003339</v>
      </c>
      <c r="AK88" s="49">
        <v>0.38087210088460127</v>
      </c>
      <c r="AL88" s="49">
        <v>0.37942478690123976</v>
      </c>
      <c r="AM88" s="49">
        <v>0.37798297271101505</v>
      </c>
      <c r="AN88" s="49">
        <v>0.37654663741471317</v>
      </c>
      <c r="AO88" s="49">
        <v>0.37511576019253723</v>
      </c>
      <c r="AP88" s="49">
        <v>0.37369032030380556</v>
      </c>
      <c r="AQ88" s="49">
        <v>0.3722702970866511</v>
      </c>
      <c r="AR88" s="49">
        <v>0.37085566995772185</v>
      </c>
      <c r="AS88" s="49">
        <v>0.36944641841188247</v>
      </c>
      <c r="AT88" s="49">
        <v>0.36804252202191728</v>
      </c>
      <c r="AU88" s="49">
        <v>0.366643960438234</v>
      </c>
      <c r="AV88" s="49">
        <v>0.36525071338856868</v>
      </c>
      <c r="AW88" s="49">
        <v>0.36386276067769213</v>
      </c>
      <c r="AX88" s="49">
        <v>0.36248008218711691</v>
      </c>
      <c r="AY88" s="49">
        <v>0.36110265787480589</v>
      </c>
      <c r="AZ88" s="49">
        <v>0.3597304677748816</v>
      </c>
      <c r="BA88" s="49">
        <v>0.35836349199733702</v>
      </c>
      <c r="BB88" s="49">
        <v>0.35700171072774711</v>
      </c>
      <c r="BC88" s="49">
        <v>0.35564510422698165</v>
      </c>
      <c r="BD88" s="49">
        <v>0.35429365283091913</v>
      </c>
      <c r="BE88" s="49">
        <v>0.35294733695016162</v>
      </c>
      <c r="BF88" s="49">
        <v>0.35160613706975097</v>
      </c>
      <c r="BG88" s="49">
        <v>0.35027003374888588</v>
      </c>
      <c r="BH88" s="49">
        <v>0.34893900762064012</v>
      </c>
      <c r="BI88" s="49">
        <v>0.3476130393916817</v>
      </c>
      <c r="BJ88" s="49">
        <v>0.34629210984199332</v>
      </c>
      <c r="BK88" s="49">
        <v>0.34497619982459377</v>
      </c>
      <c r="BL88" s="49">
        <v>0.34366529026526033</v>
      </c>
      <c r="BM88" s="49">
        <v>0.34235936216225232</v>
      </c>
      <c r="BN88" s="49">
        <v>0.34105839658603576</v>
      </c>
      <c r="BO88" s="49">
        <v>0.33976237467900883</v>
      </c>
      <c r="BP88" s="49">
        <v>0.33847127765522861</v>
      </c>
      <c r="BQ88" s="49">
        <v>0.33718508680013876</v>
      </c>
      <c r="BR88" s="49">
        <v>0.3359037834702982</v>
      </c>
      <c r="BS88" s="49">
        <v>0.33462734909311104</v>
      </c>
      <c r="BT88" s="49">
        <v>0.33335576516655718</v>
      </c>
      <c r="BU88" s="49">
        <v>0.33208901325892426</v>
      </c>
      <c r="BV88" s="49">
        <v>0.33082707500854036</v>
      </c>
      <c r="BW88" s="49">
        <v>0.32956993212350788</v>
      </c>
      <c r="BX88" s="49">
        <v>0.32831756638143855</v>
      </c>
      <c r="BY88" s="49">
        <v>0.32706995962918906</v>
      </c>
      <c r="BZ88" s="49">
        <v>0.32582709378259811</v>
      </c>
      <c r="CA88" s="49">
        <v>0.32458895082622424</v>
      </c>
      <c r="CB88" s="49">
        <v>0.32335551281308456</v>
      </c>
      <c r="CC88" s="49">
        <v>0.32212676186439482</v>
      </c>
      <c r="CD88" s="49">
        <v>0.32090268016931012</v>
      </c>
      <c r="CE88" s="49">
        <v>0.31968324998466674</v>
      </c>
      <c r="CF88" s="49">
        <v>0.31846845363472498</v>
      </c>
      <c r="CG88" s="49">
        <v>0.31725827351091301</v>
      </c>
      <c r="CH88" s="49">
        <v>0.31605269207157155</v>
      </c>
      <c r="CI88" s="49">
        <v>0.31485169184169959</v>
      </c>
      <c r="CJ88" s="49">
        <v>0.31365525541270112</v>
      </c>
      <c r="CK88" s="49">
        <v>0.31246336544213282</v>
      </c>
      <c r="CL88" s="49">
        <v>0.31127600465345273</v>
      </c>
      <c r="CM88" s="49">
        <v>0.31009315583576963</v>
      </c>
      <c r="CN88" s="49">
        <v>0.30891480184359371</v>
      </c>
      <c r="CO88" s="49">
        <v>0.30774092559658806</v>
      </c>
      <c r="CP88" s="49">
        <v>0.30657151007932099</v>
      </c>
      <c r="CQ88" s="49">
        <v>0.30540653834101955</v>
      </c>
      <c r="CR88" s="49">
        <v>0.30424599349532366</v>
      </c>
      <c r="CS88" s="49">
        <v>0.30308985872004141</v>
      </c>
      <c r="CT88" s="49">
        <v>0.30193811725690523</v>
      </c>
      <c r="CU88" s="49">
        <v>0.30079075241132897</v>
      </c>
      <c r="CV88" s="49">
        <v>0.29964774755216589</v>
      </c>
      <c r="CW88" s="49">
        <v>0.29850908611146765</v>
      </c>
      <c r="CX88" s="48">
        <v>0.29737475158424409</v>
      </c>
      <c r="CY88" s="28">
        <v>0.29624472752822395</v>
      </c>
    </row>
    <row r="89" spans="1:103" ht="15.75">
      <c r="A89" s="50">
        <v>107</v>
      </c>
      <c r="B89" s="48">
        <v>0.44822699999999999</v>
      </c>
      <c r="C89" s="48">
        <v>0.44683749629999997</v>
      </c>
      <c r="D89" s="48">
        <v>0.44549698381109998</v>
      </c>
      <c r="E89" s="48">
        <v>0.44420504255804777</v>
      </c>
      <c r="F89" s="48">
        <v>0.44296126843888523</v>
      </c>
      <c r="G89" s="48">
        <v>0.44172097688725631</v>
      </c>
      <c r="H89" s="48">
        <v>0.4405283302496607</v>
      </c>
      <c r="I89" s="48">
        <v>0.43933890375798662</v>
      </c>
      <c r="J89" s="48">
        <v>0.43815268871784002</v>
      </c>
      <c r="K89" s="48">
        <v>0.43692586118943005</v>
      </c>
      <c r="L89" s="48">
        <v>0.43570246877809965</v>
      </c>
      <c r="M89" s="48">
        <v>0.43448250186552095</v>
      </c>
      <c r="N89" s="48">
        <v>0.43322250261011092</v>
      </c>
      <c r="O89" s="48">
        <v>0.43196615735254157</v>
      </c>
      <c r="P89" s="48">
        <v>0.43067025888048394</v>
      </c>
      <c r="Q89" s="48">
        <v>0.42937824810384251</v>
      </c>
      <c r="R89" s="48">
        <v>0.4280471755347206</v>
      </c>
      <c r="S89" s="48">
        <v>0.4266774245730095</v>
      </c>
      <c r="T89" s="48">
        <v>0.42531205681437589</v>
      </c>
      <c r="U89" s="49">
        <v>0.42390852702688847</v>
      </c>
      <c r="V89" s="49">
        <v>0.42246723803499708</v>
      </c>
      <c r="W89" s="49">
        <v>0.42103084942567809</v>
      </c>
      <c r="X89" s="49">
        <v>0.41959934453763081</v>
      </c>
      <c r="Y89" s="49">
        <v>0.41817270676620288</v>
      </c>
      <c r="Z89" s="49">
        <v>0.41675091956319782</v>
      </c>
      <c r="AA89" s="49">
        <v>0.41533396643668297</v>
      </c>
      <c r="AB89" s="49">
        <v>0.41392183095079826</v>
      </c>
      <c r="AC89" s="49">
        <v>0.41251449672556556</v>
      </c>
      <c r="AD89" s="49">
        <v>0.41111194743669865</v>
      </c>
      <c r="AE89" s="49">
        <v>0.40971416681541389</v>
      </c>
      <c r="AF89" s="49">
        <v>0.40832113864824149</v>
      </c>
      <c r="AG89" s="49">
        <v>0.4069328467768375</v>
      </c>
      <c r="AH89" s="49">
        <v>0.40554927509779626</v>
      </c>
      <c r="AI89" s="49">
        <v>0.40417040756246375</v>
      </c>
      <c r="AJ89" s="49">
        <v>0.40279622817675137</v>
      </c>
      <c r="AK89" s="49">
        <v>0.40142672100095045</v>
      </c>
      <c r="AL89" s="49">
        <v>0.40006187014954725</v>
      </c>
      <c r="AM89" s="49">
        <v>0.39870165979103883</v>
      </c>
      <c r="AN89" s="49">
        <v>0.39734607414774931</v>
      </c>
      <c r="AO89" s="49">
        <v>0.39599509749564699</v>
      </c>
      <c r="AP89" s="49">
        <v>0.39464871416416181</v>
      </c>
      <c r="AQ89" s="49">
        <v>0.3933069085360037</v>
      </c>
      <c r="AR89" s="49">
        <v>0.39196966504698127</v>
      </c>
      <c r="AS89" s="49">
        <v>0.39063696818582155</v>
      </c>
      <c r="AT89" s="49">
        <v>0.3893088024939898</v>
      </c>
      <c r="AU89" s="49">
        <v>0.38798515256551025</v>
      </c>
      <c r="AV89" s="49">
        <v>0.38666600304678755</v>
      </c>
      <c r="AW89" s="49">
        <v>0.38535133863642851</v>
      </c>
      <c r="AX89" s="49">
        <v>0.38404114408506468</v>
      </c>
      <c r="AY89" s="49">
        <v>0.38273540419517549</v>
      </c>
      <c r="AZ89" s="49">
        <v>0.38143410382091192</v>
      </c>
      <c r="BA89" s="49">
        <v>0.38013722786792081</v>
      </c>
      <c r="BB89" s="49">
        <v>0.37884476129316991</v>
      </c>
      <c r="BC89" s="49">
        <v>0.37755668910477314</v>
      </c>
      <c r="BD89" s="49">
        <v>0.37627299636181694</v>
      </c>
      <c r="BE89" s="49">
        <v>0.37499366817418678</v>
      </c>
      <c r="BF89" s="49">
        <v>0.37371868970239458</v>
      </c>
      <c r="BG89" s="49">
        <v>0.37244804615740645</v>
      </c>
      <c r="BH89" s="49">
        <v>0.37118172280047129</v>
      </c>
      <c r="BI89" s="49">
        <v>0.36991970494294968</v>
      </c>
      <c r="BJ89" s="49">
        <v>0.36866197794614364</v>
      </c>
      <c r="BK89" s="49">
        <v>0.36740852722112677</v>
      </c>
      <c r="BL89" s="49">
        <v>0.36615933822857494</v>
      </c>
      <c r="BM89" s="49">
        <v>0.3649143964785978</v>
      </c>
      <c r="BN89" s="49">
        <v>0.36367368753057061</v>
      </c>
      <c r="BO89" s="49">
        <v>0.36243719699296667</v>
      </c>
      <c r="BP89" s="49">
        <v>0.36120491052319059</v>
      </c>
      <c r="BQ89" s="49">
        <v>0.35997681382741176</v>
      </c>
      <c r="BR89" s="49">
        <v>0.35875289266039856</v>
      </c>
      <c r="BS89" s="49">
        <v>0.35753313282535321</v>
      </c>
      <c r="BT89" s="49">
        <v>0.35631752017374702</v>
      </c>
      <c r="BU89" s="49">
        <v>0.35510604060515627</v>
      </c>
      <c r="BV89" s="49">
        <v>0.35389868006709874</v>
      </c>
      <c r="BW89" s="49">
        <v>0.35269542455487063</v>
      </c>
      <c r="BX89" s="49">
        <v>0.35149626011138407</v>
      </c>
      <c r="BY89" s="49">
        <v>0.3503011728270054</v>
      </c>
      <c r="BZ89" s="49">
        <v>0.34911014883939362</v>
      </c>
      <c r="CA89" s="49">
        <v>0.34792317433333969</v>
      </c>
      <c r="CB89" s="49">
        <v>0.34674023554060635</v>
      </c>
      <c r="CC89" s="49">
        <v>0.34556131873976831</v>
      </c>
      <c r="CD89" s="49">
        <v>0.3443864102560531</v>
      </c>
      <c r="CE89" s="49">
        <v>0.34321549646118255</v>
      </c>
      <c r="CF89" s="49">
        <v>0.34204856377321452</v>
      </c>
      <c r="CG89" s="49">
        <v>0.34088559865638562</v>
      </c>
      <c r="CH89" s="49">
        <v>0.33972658762095392</v>
      </c>
      <c r="CI89" s="49">
        <v>0.33857151722304268</v>
      </c>
      <c r="CJ89" s="49">
        <v>0.33742037406448433</v>
      </c>
      <c r="CK89" s="49">
        <v>0.33627314479266512</v>
      </c>
      <c r="CL89" s="49">
        <v>0.33512981610037007</v>
      </c>
      <c r="CM89" s="49">
        <v>0.33399037472562881</v>
      </c>
      <c r="CN89" s="49">
        <v>0.33285480745156171</v>
      </c>
      <c r="CO89" s="49">
        <v>0.33172310110622644</v>
      </c>
      <c r="CP89" s="49">
        <v>0.33059524256246531</v>
      </c>
      <c r="CQ89" s="49">
        <v>0.32947121873775292</v>
      </c>
      <c r="CR89" s="49">
        <v>0.32835101659404459</v>
      </c>
      <c r="CS89" s="49">
        <v>0.32723462313762486</v>
      </c>
      <c r="CT89" s="49">
        <v>0.32612202541895696</v>
      </c>
      <c r="CU89" s="49">
        <v>0.32501321053253251</v>
      </c>
      <c r="CV89" s="49">
        <v>0.32390816561672192</v>
      </c>
      <c r="CW89" s="49">
        <v>0.32280687785362511</v>
      </c>
      <c r="CX89" s="48">
        <v>0.3217093344689228</v>
      </c>
      <c r="CY89" s="28">
        <v>0.3206155227317285</v>
      </c>
    </row>
    <row r="90" spans="1:103" ht="15.75">
      <c r="A90" s="50">
        <v>108</v>
      </c>
      <c r="B90" s="48">
        <v>0.464592</v>
      </c>
      <c r="C90" s="48">
        <v>0.46333760159999998</v>
      </c>
      <c r="D90" s="48">
        <v>0.46213292383583998</v>
      </c>
      <c r="E90" s="48">
        <v>0.4609775915262504</v>
      </c>
      <c r="F90" s="48">
        <v>0.45982514754743481</v>
      </c>
      <c r="G90" s="48">
        <v>0.45872156719332097</v>
      </c>
      <c r="H90" s="48">
        <v>0.457620635432057</v>
      </c>
      <c r="I90" s="48">
        <v>0.45652234590702007</v>
      </c>
      <c r="J90" s="48">
        <v>0.45542669227684324</v>
      </c>
      <c r="K90" s="48">
        <v>0.45433366821537885</v>
      </c>
      <c r="L90" s="48">
        <v>0.45324326741166193</v>
      </c>
      <c r="M90" s="48">
        <v>0.4521101592431328</v>
      </c>
      <c r="N90" s="48">
        <v>0.45097988384502502</v>
      </c>
      <c r="O90" s="48">
        <v>0.44985243413541248</v>
      </c>
      <c r="P90" s="48">
        <v>0.44868281780666036</v>
      </c>
      <c r="Q90" s="48">
        <v>0.44751624248036304</v>
      </c>
      <c r="R90" s="48">
        <v>0.44630794862566603</v>
      </c>
      <c r="S90" s="48">
        <v>0.44505828636951417</v>
      </c>
      <c r="T90" s="48">
        <v>0.44381212316767954</v>
      </c>
      <c r="U90" s="49">
        <v>0.44252506801049324</v>
      </c>
      <c r="V90" s="49">
        <v>0.44119749280646176</v>
      </c>
      <c r="W90" s="49">
        <v>0.43987390032804236</v>
      </c>
      <c r="X90" s="49">
        <v>0.4385542786270582</v>
      </c>
      <c r="Y90" s="49">
        <v>0.43723861579117701</v>
      </c>
      <c r="Z90" s="49">
        <v>0.43592689994380346</v>
      </c>
      <c r="AA90" s="49">
        <v>0.43461911924397206</v>
      </c>
      <c r="AB90" s="49">
        <v>0.43331526188624014</v>
      </c>
      <c r="AC90" s="49">
        <v>0.43201531610058141</v>
      </c>
      <c r="AD90" s="49">
        <v>0.43071927015227968</v>
      </c>
      <c r="AE90" s="49">
        <v>0.42942711234182285</v>
      </c>
      <c r="AF90" s="49">
        <v>0.42813883100479738</v>
      </c>
      <c r="AG90" s="49">
        <v>0.42685441451178296</v>
      </c>
      <c r="AH90" s="49">
        <v>0.42557385126824759</v>
      </c>
      <c r="AI90" s="49">
        <v>0.42429712971444283</v>
      </c>
      <c r="AJ90" s="49">
        <v>0.42302423832529951</v>
      </c>
      <c r="AK90" s="49">
        <v>0.42175516561032361</v>
      </c>
      <c r="AL90" s="49">
        <v>0.42048990011349263</v>
      </c>
      <c r="AM90" s="49">
        <v>0.41922843041315216</v>
      </c>
      <c r="AN90" s="49">
        <v>0.41797074512191268</v>
      </c>
      <c r="AO90" s="49">
        <v>0.41671683288654693</v>
      </c>
      <c r="AP90" s="49">
        <v>0.41546668238788731</v>
      </c>
      <c r="AQ90" s="49">
        <v>0.41422028234072367</v>
      </c>
      <c r="AR90" s="49">
        <v>0.41297762149370149</v>
      </c>
      <c r="AS90" s="49">
        <v>0.41173868862922036</v>
      </c>
      <c r="AT90" s="49">
        <v>0.41050347256333269</v>
      </c>
      <c r="AU90" s="49">
        <v>0.40927196214564271</v>
      </c>
      <c r="AV90" s="49">
        <v>0.40804414625920576</v>
      </c>
      <c r="AW90" s="49">
        <v>0.40682001382042815</v>
      </c>
      <c r="AX90" s="49">
        <v>0.40559955377896684</v>
      </c>
      <c r="AY90" s="49">
        <v>0.40438275511762994</v>
      </c>
      <c r="AZ90" s="49">
        <v>0.40316960685227704</v>
      </c>
      <c r="BA90" s="49">
        <v>0.40196009803172023</v>
      </c>
      <c r="BB90" s="49">
        <v>0.40075421773762504</v>
      </c>
      <c r="BC90" s="49">
        <v>0.39955195508441216</v>
      </c>
      <c r="BD90" s="49">
        <v>0.39835329921915891</v>
      </c>
      <c r="BE90" s="49">
        <v>0.39715823932150141</v>
      </c>
      <c r="BF90" s="49">
        <v>0.39596676460353691</v>
      </c>
      <c r="BG90" s="49">
        <v>0.39477886430972631</v>
      </c>
      <c r="BH90" s="49">
        <v>0.39359452771679715</v>
      </c>
      <c r="BI90" s="49">
        <v>0.39241374413364677</v>
      </c>
      <c r="BJ90" s="49">
        <v>0.39123650290124584</v>
      </c>
      <c r="BK90" s="49">
        <v>0.39006279339254213</v>
      </c>
      <c r="BL90" s="49">
        <v>0.3888926050123645</v>
      </c>
      <c r="BM90" s="49">
        <v>0.3877259271973274</v>
      </c>
      <c r="BN90" s="49">
        <v>0.38656274941573543</v>
      </c>
      <c r="BO90" s="49">
        <v>0.38540306116748824</v>
      </c>
      <c r="BP90" s="49">
        <v>0.38424685198398578</v>
      </c>
      <c r="BQ90" s="49">
        <v>0.38309411142803385</v>
      </c>
      <c r="BR90" s="49">
        <v>0.38194482909374972</v>
      </c>
      <c r="BS90" s="49">
        <v>0.38079899460646849</v>
      </c>
      <c r="BT90" s="49">
        <v>0.37965659762264908</v>
      </c>
      <c r="BU90" s="49">
        <v>0.37851762782978116</v>
      </c>
      <c r="BV90" s="49">
        <v>0.37738207494629183</v>
      </c>
      <c r="BW90" s="49">
        <v>0.37624992872145296</v>
      </c>
      <c r="BX90" s="49">
        <v>0.37512117893528862</v>
      </c>
      <c r="BY90" s="49">
        <v>0.37399581539848276</v>
      </c>
      <c r="BZ90" s="49">
        <v>0.3728738279522873</v>
      </c>
      <c r="CA90" s="49">
        <v>0.37175520646843041</v>
      </c>
      <c r="CB90" s="49">
        <v>0.37063994084902513</v>
      </c>
      <c r="CC90" s="49">
        <v>0.36952802102647803</v>
      </c>
      <c r="CD90" s="49">
        <v>0.36841943696339857</v>
      </c>
      <c r="CE90" s="49">
        <v>0.36731417865250837</v>
      </c>
      <c r="CF90" s="49">
        <v>0.36621223611655085</v>
      </c>
      <c r="CG90" s="49">
        <v>0.36511359940820121</v>
      </c>
      <c r="CH90" s="49">
        <v>0.36401825860997661</v>
      </c>
      <c r="CI90" s="49">
        <v>0.3629262038341467</v>
      </c>
      <c r="CJ90" s="49">
        <v>0.36183742522264428</v>
      </c>
      <c r="CK90" s="49">
        <v>0.36075191294697634</v>
      </c>
      <c r="CL90" s="49">
        <v>0.35966965720813543</v>
      </c>
      <c r="CM90" s="49">
        <v>0.35859064823651104</v>
      </c>
      <c r="CN90" s="49">
        <v>0.35751487629180151</v>
      </c>
      <c r="CO90" s="49">
        <v>0.3564423316629261</v>
      </c>
      <c r="CP90" s="49">
        <v>0.35537300466793731</v>
      </c>
      <c r="CQ90" s="49">
        <v>0.35430688565393348</v>
      </c>
      <c r="CR90" s="49">
        <v>0.35324396499697169</v>
      </c>
      <c r="CS90" s="49">
        <v>0.35218423310198077</v>
      </c>
      <c r="CT90" s="49">
        <v>0.35112768040267484</v>
      </c>
      <c r="CU90" s="49">
        <v>0.35007429736146684</v>
      </c>
      <c r="CV90" s="49">
        <v>0.34902407446938244</v>
      </c>
      <c r="CW90" s="49">
        <v>0.34797700224597428</v>
      </c>
      <c r="CX90" s="48">
        <v>0.34693307123923633</v>
      </c>
      <c r="CY90" s="28">
        <v>0.34589227202551864</v>
      </c>
    </row>
    <row r="91" spans="1:103" ht="15.75">
      <c r="A91" s="50">
        <v>109</v>
      </c>
      <c r="B91" s="48">
        <v>0.479987</v>
      </c>
      <c r="C91" s="48">
        <v>0.47888302990000003</v>
      </c>
      <c r="D91" s="48">
        <v>0.47782948723422003</v>
      </c>
      <c r="E91" s="48">
        <v>0.47677826236230475</v>
      </c>
      <c r="F91" s="48">
        <v>0.47577702801134392</v>
      </c>
      <c r="G91" s="48">
        <v>0.47477789625252009</v>
      </c>
      <c r="H91" s="48">
        <v>0.47378086267038982</v>
      </c>
      <c r="I91" s="48">
        <v>0.47278592285878202</v>
      </c>
      <c r="J91" s="48">
        <v>0.47179307242077856</v>
      </c>
      <c r="K91" s="48">
        <v>0.47080230696869491</v>
      </c>
      <c r="L91" s="48">
        <v>0.46981362212406064</v>
      </c>
      <c r="M91" s="48">
        <v>0.46882701351760009</v>
      </c>
      <c r="N91" s="48">
        <v>0.46784247678921315</v>
      </c>
      <c r="O91" s="48">
        <v>0.46681322334027686</v>
      </c>
      <c r="P91" s="48">
        <v>0.46578623424892829</v>
      </c>
      <c r="Q91" s="48">
        <v>0.46471492591015578</v>
      </c>
      <c r="R91" s="48">
        <v>0.46364608158056242</v>
      </c>
      <c r="S91" s="48">
        <v>0.46253333098476906</v>
      </c>
      <c r="T91" s="48">
        <v>0.46142325099040565</v>
      </c>
      <c r="U91" s="49">
        <v>0.46026969286292968</v>
      </c>
      <c r="V91" s="49">
        <v>0.45907299166148602</v>
      </c>
      <c r="W91" s="49">
        <v>0.45787940188316612</v>
      </c>
      <c r="X91" s="49">
        <v>0.45668891543826984</v>
      </c>
      <c r="Y91" s="49">
        <v>0.45550152425813034</v>
      </c>
      <c r="Z91" s="49">
        <v>0.45431722029505917</v>
      </c>
      <c r="AA91" s="49">
        <v>0.453135995522292</v>
      </c>
      <c r="AB91" s="49">
        <v>0.45195784193393401</v>
      </c>
      <c r="AC91" s="49">
        <v>0.45078275154490577</v>
      </c>
      <c r="AD91" s="49">
        <v>0.44961071639088901</v>
      </c>
      <c r="AE91" s="49">
        <v>0.44844172852827269</v>
      </c>
      <c r="AF91" s="49">
        <v>0.44727578003409918</v>
      </c>
      <c r="AG91" s="49">
        <v>0.4461128630060105</v>
      </c>
      <c r="AH91" s="49">
        <v>0.44495296956219482</v>
      </c>
      <c r="AI91" s="49">
        <v>0.44379609184133312</v>
      </c>
      <c r="AJ91" s="49">
        <v>0.4426422220025456</v>
      </c>
      <c r="AK91" s="49">
        <v>0.44149135222533897</v>
      </c>
      <c r="AL91" s="49">
        <v>0.4403434747095531</v>
      </c>
      <c r="AM91" s="49">
        <v>0.43919858167530823</v>
      </c>
      <c r="AN91" s="49">
        <v>0.4380566653629524</v>
      </c>
      <c r="AO91" s="49">
        <v>0.43691771803300872</v>
      </c>
      <c r="AP91" s="49">
        <v>0.43578173196612285</v>
      </c>
      <c r="AQ91" s="49">
        <v>0.43464869946301093</v>
      </c>
      <c r="AR91" s="49">
        <v>0.43351861284440707</v>
      </c>
      <c r="AS91" s="49">
        <v>0.43239146445101156</v>
      </c>
      <c r="AT91" s="49">
        <v>0.43126724664343891</v>
      </c>
      <c r="AU91" s="49">
        <v>0.43014595180216597</v>
      </c>
      <c r="AV91" s="49">
        <v>0.42902757232748034</v>
      </c>
      <c r="AW91" s="49">
        <v>0.42791210063942886</v>
      </c>
      <c r="AX91" s="49">
        <v>0.42679952917776631</v>
      </c>
      <c r="AY91" s="49">
        <v>0.4256898504019041</v>
      </c>
      <c r="AZ91" s="49">
        <v>0.42458305679085911</v>
      </c>
      <c r="BA91" s="49">
        <v>0.42347914084320287</v>
      </c>
      <c r="BB91" s="49">
        <v>0.42237809507701052</v>
      </c>
      <c r="BC91" s="49">
        <v>0.42127991202981024</v>
      </c>
      <c r="BD91" s="49">
        <v>0.42018458425853272</v>
      </c>
      <c r="BE91" s="49">
        <v>0.41909210433946054</v>
      </c>
      <c r="BF91" s="49">
        <v>0.41800246486817794</v>
      </c>
      <c r="BG91" s="49">
        <v>0.41691565845952067</v>
      </c>
      <c r="BH91" s="49">
        <v>0.41583167774752589</v>
      </c>
      <c r="BI91" s="49">
        <v>0.41475051538538232</v>
      </c>
      <c r="BJ91" s="49">
        <v>0.41367216404538032</v>
      </c>
      <c r="BK91" s="49">
        <v>0.41259661641886231</v>
      </c>
      <c r="BL91" s="49">
        <v>0.41152386521617323</v>
      </c>
      <c r="BM91" s="49">
        <v>0.41045390316661118</v>
      </c>
      <c r="BN91" s="49">
        <v>0.40938672301837797</v>
      </c>
      <c r="BO91" s="49">
        <v>0.40832231753853016</v>
      </c>
      <c r="BP91" s="49">
        <v>0.40726067951292994</v>
      </c>
      <c r="BQ91" s="49">
        <v>0.4062018017461963</v>
      </c>
      <c r="BR91" s="49">
        <v>0.40514567706165616</v>
      </c>
      <c r="BS91" s="49">
        <v>0.40409229830129584</v>
      </c>
      <c r="BT91" s="49">
        <v>0.40304165832571243</v>
      </c>
      <c r="BU91" s="49">
        <v>0.40199375001406557</v>
      </c>
      <c r="BV91" s="49">
        <v>0.40094856626402897</v>
      </c>
      <c r="BW91" s="49">
        <v>0.39990609999174248</v>
      </c>
      <c r="BX91" s="49">
        <v>0.39886634413176392</v>
      </c>
      <c r="BY91" s="49">
        <v>0.3978292916370213</v>
      </c>
      <c r="BZ91" s="49">
        <v>0.39679493547876504</v>
      </c>
      <c r="CA91" s="49">
        <v>0.39576326864652023</v>
      </c>
      <c r="CB91" s="49">
        <v>0.39473428414803924</v>
      </c>
      <c r="CC91" s="49">
        <v>0.39370797500925431</v>
      </c>
      <c r="CD91" s="49">
        <v>0.39268433427423022</v>
      </c>
      <c r="CE91" s="49">
        <v>0.39166335500511718</v>
      </c>
      <c r="CF91" s="49">
        <v>0.39064503028210384</v>
      </c>
      <c r="CG91" s="49">
        <v>0.38962935320337033</v>
      </c>
      <c r="CH91" s="49">
        <v>0.38861631688504156</v>
      </c>
      <c r="CI91" s="49">
        <v>0.38760591446114045</v>
      </c>
      <c r="CJ91" s="49">
        <v>0.38659813908354146</v>
      </c>
      <c r="CK91" s="49">
        <v>0.38559298392192426</v>
      </c>
      <c r="CL91" s="49">
        <v>0.38459044216372723</v>
      </c>
      <c r="CM91" s="49">
        <v>0.38359050701410152</v>
      </c>
      <c r="CN91" s="49">
        <v>0.38259317169586482</v>
      </c>
      <c r="CO91" s="49">
        <v>0.38159842944945555</v>
      </c>
      <c r="CP91" s="49">
        <v>0.38060627353288695</v>
      </c>
      <c r="CQ91" s="49">
        <v>0.37961669722170144</v>
      </c>
      <c r="CR91" s="49">
        <v>0.37862969380892497</v>
      </c>
      <c r="CS91" s="49">
        <v>0.37764525660502174</v>
      </c>
      <c r="CT91" s="49">
        <v>0.37666337893784868</v>
      </c>
      <c r="CU91" s="49">
        <v>0.37568405415261025</v>
      </c>
      <c r="CV91" s="49">
        <v>0.37470727561181344</v>
      </c>
      <c r="CW91" s="49">
        <v>0.37373303669522273</v>
      </c>
      <c r="CX91" s="48">
        <v>0.37276133079981516</v>
      </c>
      <c r="CY91" s="28">
        <v>0.37179215133973564</v>
      </c>
    </row>
    <row r="92" spans="1:103" ht="15.75">
      <c r="A92" s="50">
        <v>110</v>
      </c>
      <c r="B92" s="48">
        <v>0.49437599999999998</v>
      </c>
      <c r="C92" s="48">
        <v>0.49343668559999998</v>
      </c>
      <c r="D92" s="48">
        <v>0.49249915589735999</v>
      </c>
      <c r="E92" s="48">
        <v>0.4916126574167447</v>
      </c>
      <c r="F92" s="48">
        <v>0.49072775463339458</v>
      </c>
      <c r="G92" s="48">
        <v>0.48989351745051779</v>
      </c>
      <c r="H92" s="48">
        <v>0.48906069847085187</v>
      </c>
      <c r="I92" s="48">
        <v>0.48822929528345138</v>
      </c>
      <c r="J92" s="48">
        <v>0.48739930548146948</v>
      </c>
      <c r="K92" s="48">
        <v>0.48657072666215095</v>
      </c>
      <c r="L92" s="48">
        <v>0.48574355642682526</v>
      </c>
      <c r="M92" s="48">
        <v>0.48486921802525695</v>
      </c>
      <c r="N92" s="48">
        <v>0.4839964534328115</v>
      </c>
      <c r="O92" s="48">
        <v>0.48312525981663246</v>
      </c>
      <c r="P92" s="48">
        <v>0.48220732182298087</v>
      </c>
      <c r="Q92" s="48">
        <v>0.48129112791151718</v>
      </c>
      <c r="R92" s="48">
        <v>0.48037667476848528</v>
      </c>
      <c r="S92" s="48">
        <v>0.47941592141894829</v>
      </c>
      <c r="T92" s="48">
        <v>0.47845708957611038</v>
      </c>
      <c r="U92" s="49">
        <v>0.47745232968800055</v>
      </c>
      <c r="V92" s="49">
        <v>0.47644967979565578</v>
      </c>
      <c r="W92" s="49">
        <v>0.47544913546808493</v>
      </c>
      <c r="X92" s="49">
        <v>0.47445069228360193</v>
      </c>
      <c r="Y92" s="49">
        <v>0.47345434582980639</v>
      </c>
      <c r="Z92" s="49">
        <v>0.47246009170356379</v>
      </c>
      <c r="AA92" s="49">
        <v>0.47146792551098632</v>
      </c>
      <c r="AB92" s="49">
        <v>0.47047784286741323</v>
      </c>
      <c r="AC92" s="49">
        <v>0.4694898393973917</v>
      </c>
      <c r="AD92" s="49">
        <v>0.46850391073465719</v>
      </c>
      <c r="AE92" s="49">
        <v>0.46752005252211443</v>
      </c>
      <c r="AF92" s="49">
        <v>0.46653826041181801</v>
      </c>
      <c r="AG92" s="49">
        <v>0.46555853006495318</v>
      </c>
      <c r="AH92" s="49">
        <v>0.4645808571518168</v>
      </c>
      <c r="AI92" s="49">
        <v>0.46360523735179798</v>
      </c>
      <c r="AJ92" s="49">
        <v>0.46263166635335923</v>
      </c>
      <c r="AK92" s="49">
        <v>0.46166013985401716</v>
      </c>
      <c r="AL92" s="49">
        <v>0.46069065356032374</v>
      </c>
      <c r="AM92" s="49">
        <v>0.45972320318784704</v>
      </c>
      <c r="AN92" s="49">
        <v>0.45875778446115256</v>
      </c>
      <c r="AO92" s="49">
        <v>0.45779439311378417</v>
      </c>
      <c r="AP92" s="49">
        <v>0.45683302488824523</v>
      </c>
      <c r="AQ92" s="49">
        <v>0.45587367553597991</v>
      </c>
      <c r="AR92" s="49">
        <v>0.45491634081735433</v>
      </c>
      <c r="AS92" s="49">
        <v>0.45396101650163789</v>
      </c>
      <c r="AT92" s="49">
        <v>0.45300769836698446</v>
      </c>
      <c r="AU92" s="49">
        <v>0.45205638220041378</v>
      </c>
      <c r="AV92" s="49">
        <v>0.45110706379779292</v>
      </c>
      <c r="AW92" s="49">
        <v>0.45015973896381756</v>
      </c>
      <c r="AX92" s="49">
        <v>0.44921440351199354</v>
      </c>
      <c r="AY92" s="49">
        <v>0.44827105326461836</v>
      </c>
      <c r="AZ92" s="49">
        <v>0.44732968405276269</v>
      </c>
      <c r="BA92" s="49">
        <v>0.44639029171625189</v>
      </c>
      <c r="BB92" s="49">
        <v>0.44545287210364776</v>
      </c>
      <c r="BC92" s="49">
        <v>0.44451742107223008</v>
      </c>
      <c r="BD92" s="49">
        <v>0.44358393448797839</v>
      </c>
      <c r="BE92" s="49">
        <v>0.44265240822555363</v>
      </c>
      <c r="BF92" s="49">
        <v>0.44172283816827995</v>
      </c>
      <c r="BG92" s="49">
        <v>0.44079522020812656</v>
      </c>
      <c r="BH92" s="49">
        <v>0.43986955024568952</v>
      </c>
      <c r="BI92" s="49">
        <v>0.43894582419017358</v>
      </c>
      <c r="BJ92" s="49">
        <v>0.43802403795937422</v>
      </c>
      <c r="BK92" s="49">
        <v>0.43710418747965957</v>
      </c>
      <c r="BL92" s="49">
        <v>0.43618626868595228</v>
      </c>
      <c r="BM92" s="49">
        <v>0.43527027752171177</v>
      </c>
      <c r="BN92" s="49">
        <v>0.43435620993891616</v>
      </c>
      <c r="BO92" s="49">
        <v>0.43344406189804446</v>
      </c>
      <c r="BP92" s="49">
        <v>0.43253382936805856</v>
      </c>
      <c r="BQ92" s="49">
        <v>0.43162550832638563</v>
      </c>
      <c r="BR92" s="49">
        <v>0.43071909475890024</v>
      </c>
      <c r="BS92" s="49">
        <v>0.42981458465990657</v>
      </c>
      <c r="BT92" s="49">
        <v>0.42891197403212078</v>
      </c>
      <c r="BU92" s="49">
        <v>0.42801125888665331</v>
      </c>
      <c r="BV92" s="49">
        <v>0.42711243524299136</v>
      </c>
      <c r="BW92" s="49">
        <v>0.4262154991289811</v>
      </c>
      <c r="BX92" s="49">
        <v>0.42532044658081025</v>
      </c>
      <c r="BY92" s="49">
        <v>0.42442727364299054</v>
      </c>
      <c r="BZ92" s="49">
        <v>0.42353597636834028</v>
      </c>
      <c r="CA92" s="49">
        <v>0.42264655081796676</v>
      </c>
      <c r="CB92" s="49">
        <v>0.42175899306124903</v>
      </c>
      <c r="CC92" s="49">
        <v>0.42087329917582039</v>
      </c>
      <c r="CD92" s="49">
        <v>0.41998946524755115</v>
      </c>
      <c r="CE92" s="49">
        <v>0.41910748737053127</v>
      </c>
      <c r="CF92" s="49">
        <v>0.41822736164705315</v>
      </c>
      <c r="CG92" s="49">
        <v>0.41734908418759437</v>
      </c>
      <c r="CH92" s="49">
        <v>0.4164726511108004</v>
      </c>
      <c r="CI92" s="49">
        <v>0.41559805854346771</v>
      </c>
      <c r="CJ92" s="49">
        <v>0.41472530262052643</v>
      </c>
      <c r="CK92" s="49">
        <v>0.41385437948502335</v>
      </c>
      <c r="CL92" s="49">
        <v>0.4129852852881048</v>
      </c>
      <c r="CM92" s="49">
        <v>0.41211801618899979</v>
      </c>
      <c r="CN92" s="49">
        <v>0.4112525683550029</v>
      </c>
      <c r="CO92" s="49">
        <v>0.41038893796145742</v>
      </c>
      <c r="CP92" s="49">
        <v>0.40952712119173834</v>
      </c>
      <c r="CQ92" s="49">
        <v>0.40866711423723567</v>
      </c>
      <c r="CR92" s="49">
        <v>0.40780891329733748</v>
      </c>
      <c r="CS92" s="49">
        <v>0.40695251457941306</v>
      </c>
      <c r="CT92" s="49">
        <v>0.40609791429879627</v>
      </c>
      <c r="CU92" s="49">
        <v>0.40524510867876878</v>
      </c>
      <c r="CV92" s="49">
        <v>0.40439409395054338</v>
      </c>
      <c r="CW92" s="49">
        <v>0.40354486635324721</v>
      </c>
      <c r="CX92" s="48">
        <v>0.40269742213390541</v>
      </c>
      <c r="CY92" s="28">
        <v>0.40185175754742419</v>
      </c>
    </row>
    <row r="93" spans="1:103" ht="15.75">
      <c r="A93" s="50">
        <v>111</v>
      </c>
      <c r="B93" s="48">
        <v>0.5</v>
      </c>
      <c r="C93" s="48">
        <v>0.49925000000000003</v>
      </c>
      <c r="D93" s="48">
        <v>0.49850112500000004</v>
      </c>
      <c r="E93" s="48">
        <v>0.49780322342500005</v>
      </c>
      <c r="F93" s="48">
        <v>0.49710629891220509</v>
      </c>
      <c r="G93" s="48">
        <v>0.49641035009372803</v>
      </c>
      <c r="H93" s="48">
        <v>0.49571537560359685</v>
      </c>
      <c r="I93" s="48">
        <v>0.49502137407775182</v>
      </c>
      <c r="J93" s="48">
        <v>0.49432834415404298</v>
      </c>
      <c r="K93" s="48">
        <v>0.49363628447222735</v>
      </c>
      <c r="L93" s="48">
        <v>0.49294519367396628</v>
      </c>
      <c r="M93" s="48">
        <v>0.49225507040282274</v>
      </c>
      <c r="N93" s="48">
        <v>0.49156591330425881</v>
      </c>
      <c r="O93" s="48">
        <v>0.49082856443430245</v>
      </c>
      <c r="P93" s="48">
        <v>0.49009232158765104</v>
      </c>
      <c r="Q93" s="48">
        <v>0.4893571831052696</v>
      </c>
      <c r="R93" s="48">
        <v>0.48862314733061174</v>
      </c>
      <c r="S93" s="48">
        <v>0.48784135029488274</v>
      </c>
      <c r="T93" s="48">
        <v>0.48706080413441089</v>
      </c>
      <c r="U93" s="49">
        <v>0.48623280076738234</v>
      </c>
      <c r="V93" s="49">
        <v>0.48540620500607778</v>
      </c>
      <c r="W93" s="49">
        <v>0.48458101445756746</v>
      </c>
      <c r="X93" s="49">
        <v>0.4837572267329896</v>
      </c>
      <c r="Y93" s="49">
        <v>0.48293483944754351</v>
      </c>
      <c r="Z93" s="49">
        <v>0.48211385022048264</v>
      </c>
      <c r="AA93" s="49">
        <v>0.48129425667510778</v>
      </c>
      <c r="AB93" s="49">
        <v>0.48047605643876007</v>
      </c>
      <c r="AC93" s="49">
        <v>0.47965924714281416</v>
      </c>
      <c r="AD93" s="49">
        <v>0.47884382642267137</v>
      </c>
      <c r="AE93" s="49">
        <v>0.4780297919177528</v>
      </c>
      <c r="AF93" s="49">
        <v>0.47721714127149262</v>
      </c>
      <c r="AG93" s="49">
        <v>0.47640587213133107</v>
      </c>
      <c r="AH93" s="49">
        <v>0.4755959821487078</v>
      </c>
      <c r="AI93" s="49">
        <v>0.47478746897905499</v>
      </c>
      <c r="AJ93" s="49">
        <v>0.4739803302817906</v>
      </c>
      <c r="AK93" s="49">
        <v>0.47317456372031153</v>
      </c>
      <c r="AL93" s="49">
        <v>0.47237016696198697</v>
      </c>
      <c r="AM93" s="49">
        <v>0.47156713767815156</v>
      </c>
      <c r="AN93" s="49">
        <v>0.4707654735440987</v>
      </c>
      <c r="AO93" s="49">
        <v>0.46996517223907369</v>
      </c>
      <c r="AP93" s="49">
        <v>0.46916623144626723</v>
      </c>
      <c r="AQ93" s="49">
        <v>0.46836864885280854</v>
      </c>
      <c r="AR93" s="49">
        <v>0.46757242214975875</v>
      </c>
      <c r="AS93" s="49">
        <v>0.46677754903210417</v>
      </c>
      <c r="AT93" s="49">
        <v>0.4659840271987496</v>
      </c>
      <c r="AU93" s="49">
        <v>0.4651918543525117</v>
      </c>
      <c r="AV93" s="49">
        <v>0.46440102820011242</v>
      </c>
      <c r="AW93" s="49">
        <v>0.46361154645217223</v>
      </c>
      <c r="AX93" s="49">
        <v>0.4628234068232035</v>
      </c>
      <c r="AY93" s="49">
        <v>0.46203660703160404</v>
      </c>
      <c r="AZ93" s="49">
        <v>0.46125114479965029</v>
      </c>
      <c r="BA93" s="49">
        <v>0.46046701785349087</v>
      </c>
      <c r="BB93" s="49">
        <v>0.4596842239231399</v>
      </c>
      <c r="BC93" s="49">
        <v>0.45890276074247055</v>
      </c>
      <c r="BD93" s="49">
        <v>0.45812262604920834</v>
      </c>
      <c r="BE93" s="49">
        <v>0.45734381758492465</v>
      </c>
      <c r="BF93" s="49">
        <v>0.45656633309503025</v>
      </c>
      <c r="BG93" s="49">
        <v>0.45579017032876867</v>
      </c>
      <c r="BH93" s="49">
        <v>0.45501532703920977</v>
      </c>
      <c r="BI93" s="49">
        <v>0.45424180098324307</v>
      </c>
      <c r="BJ93" s="49">
        <v>0.45346958992157155</v>
      </c>
      <c r="BK93" s="49">
        <v>0.45269869161870485</v>
      </c>
      <c r="BL93" s="49">
        <v>0.45192910384295304</v>
      </c>
      <c r="BM93" s="49">
        <v>0.45116082436642002</v>
      </c>
      <c r="BN93" s="49">
        <v>0.45039385096499707</v>
      </c>
      <c r="BO93" s="49">
        <v>0.44962818141835653</v>
      </c>
      <c r="BP93" s="49">
        <v>0.44886381350994531</v>
      </c>
      <c r="BQ93" s="49">
        <v>0.44810074502697839</v>
      </c>
      <c r="BR93" s="49">
        <v>0.44733897376043252</v>
      </c>
      <c r="BS93" s="49">
        <v>0.44657849750503975</v>
      </c>
      <c r="BT93" s="49">
        <v>0.44581931405928116</v>
      </c>
      <c r="BU93" s="49">
        <v>0.44506142122538034</v>
      </c>
      <c r="BV93" s="49">
        <v>0.44430481680929718</v>
      </c>
      <c r="BW93" s="49">
        <v>0.44354949862072135</v>
      </c>
      <c r="BX93" s="49">
        <v>0.44279546447306611</v>
      </c>
      <c r="BY93" s="49">
        <v>0.44204271218346186</v>
      </c>
      <c r="BZ93" s="49">
        <v>0.44129123957274996</v>
      </c>
      <c r="CA93" s="49">
        <v>0.44054104446547626</v>
      </c>
      <c r="CB93" s="49">
        <v>0.43979212468988493</v>
      </c>
      <c r="CC93" s="49">
        <v>0.43904447807791214</v>
      </c>
      <c r="CD93" s="49">
        <v>0.4382981024651797</v>
      </c>
      <c r="CE93" s="49">
        <v>0.43755299569098888</v>
      </c>
      <c r="CF93" s="49">
        <v>0.43680915559831418</v>
      </c>
      <c r="CG93" s="49">
        <v>0.43606658003379706</v>
      </c>
      <c r="CH93" s="49">
        <v>0.43532526684773959</v>
      </c>
      <c r="CI93" s="49">
        <v>0.43458521389409843</v>
      </c>
      <c r="CJ93" s="49">
        <v>0.43384641903047844</v>
      </c>
      <c r="CK93" s="49">
        <v>0.43310888011812659</v>
      </c>
      <c r="CL93" s="49">
        <v>0.43237259502192577</v>
      </c>
      <c r="CM93" s="49">
        <v>0.43163756161038846</v>
      </c>
      <c r="CN93" s="49">
        <v>0.43090377775565081</v>
      </c>
      <c r="CO93" s="49">
        <v>0.43017124133346618</v>
      </c>
      <c r="CP93" s="49">
        <v>0.42943995022319925</v>
      </c>
      <c r="CQ93" s="49">
        <v>0.4287099023078198</v>
      </c>
      <c r="CR93" s="49">
        <v>0.42798109547389651</v>
      </c>
      <c r="CS93" s="49">
        <v>0.42725352761159086</v>
      </c>
      <c r="CT93" s="49">
        <v>0.42652719661465116</v>
      </c>
      <c r="CU93" s="49">
        <v>0.42580210038040622</v>
      </c>
      <c r="CV93" s="49">
        <v>0.42507823680975954</v>
      </c>
      <c r="CW93" s="49">
        <v>0.4243556038071829</v>
      </c>
      <c r="CX93" s="48">
        <v>0.42363419928071067</v>
      </c>
      <c r="CY93" s="28">
        <v>0.42291402114193344</v>
      </c>
    </row>
    <row r="94" spans="1:103" ht="15.75">
      <c r="A94" s="50">
        <v>112</v>
      </c>
      <c r="B94" s="48">
        <v>0.5</v>
      </c>
      <c r="C94" s="48">
        <v>0.49940000000000001</v>
      </c>
      <c r="D94" s="48">
        <v>0.49885066</v>
      </c>
      <c r="E94" s="48">
        <v>0.498301924274</v>
      </c>
      <c r="F94" s="48">
        <v>0.49775379215729859</v>
      </c>
      <c r="G94" s="48">
        <v>0.49725603836514132</v>
      </c>
      <c r="H94" s="48">
        <v>0.49675878232677617</v>
      </c>
      <c r="I94" s="48">
        <v>0.49626202354444937</v>
      </c>
      <c r="J94" s="48">
        <v>0.4957657615209049</v>
      </c>
      <c r="K94" s="48">
        <v>0.49526999575938402</v>
      </c>
      <c r="L94" s="48">
        <v>0.49477472576362463</v>
      </c>
      <c r="M94" s="48">
        <v>0.49423047356528466</v>
      </c>
      <c r="N94" s="48">
        <v>0.49368682004436287</v>
      </c>
      <c r="O94" s="48">
        <v>0.49314376454231407</v>
      </c>
      <c r="P94" s="48">
        <v>0.49260130640131755</v>
      </c>
      <c r="Q94" s="48">
        <v>0.49205944496427612</v>
      </c>
      <c r="R94" s="48">
        <v>0.49146897363031899</v>
      </c>
      <c r="S94" s="48">
        <v>0.49087921086196262</v>
      </c>
      <c r="T94" s="48">
        <v>0.49029015580892826</v>
      </c>
      <c r="U94" s="49">
        <v>0.48970180762195759</v>
      </c>
      <c r="V94" s="49">
        <v>0.48906519527204906</v>
      </c>
      <c r="W94" s="49">
        <v>0.48842941051819538</v>
      </c>
      <c r="X94" s="49">
        <v>0.48779445228452173</v>
      </c>
      <c r="Y94" s="49">
        <v>0.48716031949655186</v>
      </c>
      <c r="Z94" s="49">
        <v>0.48652701108120638</v>
      </c>
      <c r="AA94" s="49">
        <v>0.48589452596680083</v>
      </c>
      <c r="AB94" s="49">
        <v>0.485262863083044</v>
      </c>
      <c r="AC94" s="49">
        <v>0.48463202136103606</v>
      </c>
      <c r="AD94" s="49">
        <v>0.48400199973326674</v>
      </c>
      <c r="AE94" s="49">
        <v>0.48337279713361353</v>
      </c>
      <c r="AF94" s="49">
        <v>0.48274441249733985</v>
      </c>
      <c r="AG94" s="49">
        <v>0.48211684476109334</v>
      </c>
      <c r="AH94" s="49">
        <v>0.48149009286290395</v>
      </c>
      <c r="AI94" s="49">
        <v>0.48086415574218216</v>
      </c>
      <c r="AJ94" s="49">
        <v>0.48023903233971732</v>
      </c>
      <c r="AK94" s="49">
        <v>0.47961472159767571</v>
      </c>
      <c r="AL94" s="49">
        <v>0.47899122245959874</v>
      </c>
      <c r="AM94" s="49">
        <v>0.47836853387040129</v>
      </c>
      <c r="AN94" s="49">
        <v>0.47774665477636979</v>
      </c>
      <c r="AO94" s="49">
        <v>0.47712558412516054</v>
      </c>
      <c r="AP94" s="49">
        <v>0.47650532086579783</v>
      </c>
      <c r="AQ94" s="49">
        <v>0.47588586394867233</v>
      </c>
      <c r="AR94" s="49">
        <v>0.47526721232553909</v>
      </c>
      <c r="AS94" s="49">
        <v>0.47464936494951593</v>
      </c>
      <c r="AT94" s="49">
        <v>0.47403232077508156</v>
      </c>
      <c r="AU94" s="49">
        <v>0.47341607875807395</v>
      </c>
      <c r="AV94" s="49">
        <v>0.47280063785568849</v>
      </c>
      <c r="AW94" s="49">
        <v>0.47218599702647612</v>
      </c>
      <c r="AX94" s="49">
        <v>0.47157215523034174</v>
      </c>
      <c r="AY94" s="49">
        <v>0.4709591114285423</v>
      </c>
      <c r="AZ94" s="49">
        <v>0.47034686458368519</v>
      </c>
      <c r="BA94" s="49">
        <v>0.46973541365972643</v>
      </c>
      <c r="BB94" s="49">
        <v>0.46912475762196881</v>
      </c>
      <c r="BC94" s="49">
        <v>0.46851489543706026</v>
      </c>
      <c r="BD94" s="49">
        <v>0.46790582607299208</v>
      </c>
      <c r="BE94" s="49">
        <v>0.46729754849909722</v>
      </c>
      <c r="BF94" s="49">
        <v>0.46669006168604843</v>
      </c>
      <c r="BG94" s="49">
        <v>0.46608336460585659</v>
      </c>
      <c r="BH94" s="49">
        <v>0.46547745623186898</v>
      </c>
      <c r="BI94" s="49">
        <v>0.46487233553876756</v>
      </c>
      <c r="BJ94" s="49">
        <v>0.4642680015025672</v>
      </c>
      <c r="BK94" s="49">
        <v>0.46366445310061388</v>
      </c>
      <c r="BL94" s="49">
        <v>0.46306168931158309</v>
      </c>
      <c r="BM94" s="49">
        <v>0.46245970911547807</v>
      </c>
      <c r="BN94" s="49">
        <v>0.46185851149362794</v>
      </c>
      <c r="BO94" s="49">
        <v>0.46125809542868623</v>
      </c>
      <c r="BP94" s="49">
        <v>0.46065845990462895</v>
      </c>
      <c r="BQ94" s="49">
        <v>0.46005960390675293</v>
      </c>
      <c r="BR94" s="49">
        <v>0.45946152642167415</v>
      </c>
      <c r="BS94" s="49">
        <v>0.45886422643732599</v>
      </c>
      <c r="BT94" s="49">
        <v>0.45826770294295749</v>
      </c>
      <c r="BU94" s="49">
        <v>0.45767195492913165</v>
      </c>
      <c r="BV94" s="49">
        <v>0.45707698138772379</v>
      </c>
      <c r="BW94" s="49">
        <v>0.45648278131191977</v>
      </c>
      <c r="BX94" s="49">
        <v>0.45588935369621431</v>
      </c>
      <c r="BY94" s="49">
        <v>0.45529669753640922</v>
      </c>
      <c r="BZ94" s="49">
        <v>0.45470481182961192</v>
      </c>
      <c r="CA94" s="49">
        <v>0.45411369557423342</v>
      </c>
      <c r="CB94" s="49">
        <v>0.45352334776998693</v>
      </c>
      <c r="CC94" s="49">
        <v>0.45293376741788594</v>
      </c>
      <c r="CD94" s="49">
        <v>0.45234495352024268</v>
      </c>
      <c r="CE94" s="49">
        <v>0.45175690508066635</v>
      </c>
      <c r="CF94" s="49">
        <v>0.4511696211040615</v>
      </c>
      <c r="CG94" s="49">
        <v>0.45058310059662626</v>
      </c>
      <c r="CH94" s="49">
        <v>0.44999734256585067</v>
      </c>
      <c r="CI94" s="49">
        <v>0.44941234602051505</v>
      </c>
      <c r="CJ94" s="49">
        <v>0.44882810997068839</v>
      </c>
      <c r="CK94" s="49">
        <v>0.44824463342772652</v>
      </c>
      <c r="CL94" s="49">
        <v>0.44766191540427047</v>
      </c>
      <c r="CM94" s="49">
        <v>0.44707995491424496</v>
      </c>
      <c r="CN94" s="49">
        <v>0.44649875097285646</v>
      </c>
      <c r="CO94" s="49">
        <v>0.44591830259659176</v>
      </c>
      <c r="CP94" s="49">
        <v>0.44533860880321618</v>
      </c>
      <c r="CQ94" s="49">
        <v>0.44475966861177202</v>
      </c>
      <c r="CR94" s="49">
        <v>0.44418148104257671</v>
      </c>
      <c r="CS94" s="49">
        <v>0.44360404511722135</v>
      </c>
      <c r="CT94" s="49">
        <v>0.44302735985856895</v>
      </c>
      <c r="CU94" s="49">
        <v>0.44245142429075285</v>
      </c>
      <c r="CV94" s="49">
        <v>0.44187623743917487</v>
      </c>
      <c r="CW94" s="49">
        <v>0.44130179833050398</v>
      </c>
      <c r="CX94" s="48">
        <v>0.44072810599267431</v>
      </c>
      <c r="CY94" s="28">
        <v>0.44015515945488387</v>
      </c>
    </row>
    <row r="95" spans="1:103" ht="15.75">
      <c r="A95" s="50">
        <v>113</v>
      </c>
      <c r="B95" s="48">
        <v>0.5</v>
      </c>
      <c r="C95" s="48">
        <v>0.49959999999999999</v>
      </c>
      <c r="D95" s="48">
        <v>0.49925027999999999</v>
      </c>
      <c r="E95" s="48">
        <v>0.49890080480399995</v>
      </c>
      <c r="F95" s="48">
        <v>0.49855157424063712</v>
      </c>
      <c r="G95" s="48">
        <v>0.49820258813866863</v>
      </c>
      <c r="H95" s="48">
        <v>0.49785384632697155</v>
      </c>
      <c r="I95" s="48">
        <v>0.49750534863454265</v>
      </c>
      <c r="J95" s="48">
        <v>0.49715709489049847</v>
      </c>
      <c r="K95" s="48">
        <v>0.49680908492407511</v>
      </c>
      <c r="L95" s="48">
        <v>0.49646131856462822</v>
      </c>
      <c r="M95" s="48">
        <v>0.49611379564163294</v>
      </c>
      <c r="N95" s="48">
        <v>0.4957665159846838</v>
      </c>
      <c r="O95" s="48">
        <v>0.49541947942349451</v>
      </c>
      <c r="P95" s="48">
        <v>0.49507268578789804</v>
      </c>
      <c r="Q95" s="48">
        <v>0.49467662763926773</v>
      </c>
      <c r="R95" s="48">
        <v>0.49428088633715628</v>
      </c>
      <c r="S95" s="48">
        <v>0.49388546162808655</v>
      </c>
      <c r="T95" s="48">
        <v>0.4934903532587841</v>
      </c>
      <c r="U95" s="49">
        <v>0.49309556097617707</v>
      </c>
      <c r="V95" s="49">
        <v>0.49265177497129853</v>
      </c>
      <c r="W95" s="49">
        <v>0.49220838837382436</v>
      </c>
      <c r="X95" s="49">
        <v>0.49176540082428793</v>
      </c>
      <c r="Y95" s="49">
        <v>0.49132281196354605</v>
      </c>
      <c r="Z95" s="49">
        <v>0.49088062143277883</v>
      </c>
      <c r="AA95" s="49">
        <v>0.49043882887348933</v>
      </c>
      <c r="AB95" s="49">
        <v>0.48999743392750317</v>
      </c>
      <c r="AC95" s="49">
        <v>0.48955643623696843</v>
      </c>
      <c r="AD95" s="49">
        <v>0.48911583544435516</v>
      </c>
      <c r="AE95" s="49">
        <v>0.48867563119245522</v>
      </c>
      <c r="AF95" s="49">
        <v>0.48823582312438202</v>
      </c>
      <c r="AG95" s="49">
        <v>0.48779641088357006</v>
      </c>
      <c r="AH95" s="49">
        <v>0.48735739411377482</v>
      </c>
      <c r="AI95" s="49">
        <v>0.48691877245907245</v>
      </c>
      <c r="AJ95" s="49">
        <v>0.48648054556385928</v>
      </c>
      <c r="AK95" s="49">
        <v>0.4860427130728518</v>
      </c>
      <c r="AL95" s="49">
        <v>0.48560527463108621</v>
      </c>
      <c r="AM95" s="49">
        <v>0.48516822988391822</v>
      </c>
      <c r="AN95" s="49">
        <v>0.4847315784770227</v>
      </c>
      <c r="AO95" s="49">
        <v>0.48429532005639336</v>
      </c>
      <c r="AP95" s="49">
        <v>0.48385945426834259</v>
      </c>
      <c r="AQ95" s="49">
        <v>0.4834239807595011</v>
      </c>
      <c r="AR95" s="49">
        <v>0.48298889917681753</v>
      </c>
      <c r="AS95" s="49">
        <v>0.48255420916755837</v>
      </c>
      <c r="AT95" s="49">
        <v>0.48211991037930757</v>
      </c>
      <c r="AU95" s="49">
        <v>0.48168600245996618</v>
      </c>
      <c r="AV95" s="49">
        <v>0.4812524850577522</v>
      </c>
      <c r="AW95" s="49">
        <v>0.48081935782120022</v>
      </c>
      <c r="AX95" s="49">
        <v>0.48038662039916113</v>
      </c>
      <c r="AY95" s="49">
        <v>0.47995427244080191</v>
      </c>
      <c r="AZ95" s="49">
        <v>0.47952231359560521</v>
      </c>
      <c r="BA95" s="49">
        <v>0.47909074351336917</v>
      </c>
      <c r="BB95" s="49">
        <v>0.4786595618442071</v>
      </c>
      <c r="BC95" s="49">
        <v>0.47822876823854732</v>
      </c>
      <c r="BD95" s="49">
        <v>0.47779836234713263</v>
      </c>
      <c r="BE95" s="49">
        <v>0.47736834382102022</v>
      </c>
      <c r="BF95" s="49">
        <v>0.4769387123115813</v>
      </c>
      <c r="BG95" s="49">
        <v>0.47650946747050088</v>
      </c>
      <c r="BH95" s="49">
        <v>0.47608060894977744</v>
      </c>
      <c r="BI95" s="49">
        <v>0.47565213640172266</v>
      </c>
      <c r="BJ95" s="49">
        <v>0.47522404947896107</v>
      </c>
      <c r="BK95" s="49">
        <v>0.47479634783442998</v>
      </c>
      <c r="BL95" s="49">
        <v>0.47436903112137896</v>
      </c>
      <c r="BM95" s="49">
        <v>0.4739420989933697</v>
      </c>
      <c r="BN95" s="49">
        <v>0.47351555110427568</v>
      </c>
      <c r="BO95" s="49">
        <v>0.4730893871082818</v>
      </c>
      <c r="BP95" s="49">
        <v>0.47266360665988433</v>
      </c>
      <c r="BQ95" s="49">
        <v>0.47223820941389044</v>
      </c>
      <c r="BR95" s="49">
        <v>0.47181319502541791</v>
      </c>
      <c r="BS95" s="49">
        <v>0.47138856314989502</v>
      </c>
      <c r="BT95" s="49">
        <v>0.47096431344306011</v>
      </c>
      <c r="BU95" s="49">
        <v>0.47054044556096136</v>
      </c>
      <c r="BV95" s="49">
        <v>0.47011695915995649</v>
      </c>
      <c r="BW95" s="49">
        <v>0.46969385389671253</v>
      </c>
      <c r="BX95" s="49">
        <v>0.46927112942820548</v>
      </c>
      <c r="BY95" s="49">
        <v>0.46884878541172009</v>
      </c>
      <c r="BZ95" s="49">
        <v>0.46842682150484954</v>
      </c>
      <c r="CA95" s="49">
        <v>0.46800523736549515</v>
      </c>
      <c r="CB95" s="49">
        <v>0.46758403265186621</v>
      </c>
      <c r="CC95" s="49">
        <v>0.46716320702247954</v>
      </c>
      <c r="CD95" s="49">
        <v>0.46674276013615928</v>
      </c>
      <c r="CE95" s="49">
        <v>0.46632269165203671</v>
      </c>
      <c r="CF95" s="49">
        <v>0.46590300122954986</v>
      </c>
      <c r="CG95" s="49">
        <v>0.46548368852844324</v>
      </c>
      <c r="CH95" s="49">
        <v>0.46506475320876761</v>
      </c>
      <c r="CI95" s="49">
        <v>0.46464619493087972</v>
      </c>
      <c r="CJ95" s="49">
        <v>0.46422801335544195</v>
      </c>
      <c r="CK95" s="49">
        <v>0.46381020814342205</v>
      </c>
      <c r="CL95" s="49">
        <v>0.46339277895609299</v>
      </c>
      <c r="CM95" s="49">
        <v>0.46297572545503252</v>
      </c>
      <c r="CN95" s="49">
        <v>0.46255904730212299</v>
      </c>
      <c r="CO95" s="49">
        <v>0.46214274415955109</v>
      </c>
      <c r="CP95" s="49">
        <v>0.4617268156898075</v>
      </c>
      <c r="CQ95" s="49">
        <v>0.46131126155568669</v>
      </c>
      <c r="CR95" s="49">
        <v>0.46089608142028654</v>
      </c>
      <c r="CS95" s="49">
        <v>0.4604812749470083</v>
      </c>
      <c r="CT95" s="49">
        <v>0.46006684179955598</v>
      </c>
      <c r="CU95" s="49">
        <v>0.45965278164193635</v>
      </c>
      <c r="CV95" s="49">
        <v>0.45923909413845859</v>
      </c>
      <c r="CW95" s="49">
        <v>0.458825778953734</v>
      </c>
      <c r="CX95" s="48">
        <v>0.45841283575267561</v>
      </c>
      <c r="CY95" s="28">
        <v>0.45800026420049822</v>
      </c>
    </row>
    <row r="96" spans="1:103" ht="15.75">
      <c r="A96" s="50">
        <v>114</v>
      </c>
      <c r="B96" s="48">
        <v>0.5</v>
      </c>
      <c r="C96" s="48">
        <v>0.49980000000000002</v>
      </c>
      <c r="D96" s="48">
        <v>0.49960008000000006</v>
      </c>
      <c r="E96" s="48">
        <v>0.49940023996800009</v>
      </c>
      <c r="F96" s="48">
        <v>0.49920047987201294</v>
      </c>
      <c r="G96" s="48">
        <v>0.49905071972805137</v>
      </c>
      <c r="H96" s="48">
        <v>0.49890100451213298</v>
      </c>
      <c r="I96" s="48">
        <v>0.49875133421077938</v>
      </c>
      <c r="J96" s="48">
        <v>0.49860170881051619</v>
      </c>
      <c r="K96" s="48">
        <v>0.49845212829787305</v>
      </c>
      <c r="L96" s="48">
        <v>0.4983025926593837</v>
      </c>
      <c r="M96" s="48">
        <v>0.49810327162231999</v>
      </c>
      <c r="N96" s="48">
        <v>0.49790403031367109</v>
      </c>
      <c r="O96" s="48">
        <v>0.49770486870154562</v>
      </c>
      <c r="P96" s="48">
        <v>0.49750578675406504</v>
      </c>
      <c r="Q96" s="48">
        <v>0.49730678443936344</v>
      </c>
      <c r="R96" s="48">
        <v>0.49710786172558769</v>
      </c>
      <c r="S96" s="48">
        <v>0.49690901858089748</v>
      </c>
      <c r="T96" s="48">
        <v>0.49671025497346516</v>
      </c>
      <c r="U96" s="49">
        <v>0.49651157087147579</v>
      </c>
      <c r="V96" s="49">
        <v>0.49631296624312721</v>
      </c>
      <c r="W96" s="49">
        <v>0.49611444105663</v>
      </c>
      <c r="X96" s="49">
        <v>0.49591599528020736</v>
      </c>
      <c r="Y96" s="49">
        <v>0.49571762888209531</v>
      </c>
      <c r="Z96" s="49">
        <v>0.49551934183054247</v>
      </c>
      <c r="AA96" s="49">
        <v>0.49532113409381029</v>
      </c>
      <c r="AB96" s="49">
        <v>0.49512300564017281</v>
      </c>
      <c r="AC96" s="49">
        <v>0.49492495643791679</v>
      </c>
      <c r="AD96" s="49">
        <v>0.49472698645534163</v>
      </c>
      <c r="AE96" s="49">
        <v>0.49452909566075953</v>
      </c>
      <c r="AF96" s="49">
        <v>0.49433128402249527</v>
      </c>
      <c r="AG96" s="49">
        <v>0.49413355150888627</v>
      </c>
      <c r="AH96" s="49">
        <v>0.49393589808828275</v>
      </c>
      <c r="AI96" s="49">
        <v>0.49373832372904747</v>
      </c>
      <c r="AJ96" s="49">
        <v>0.49354082839955588</v>
      </c>
      <c r="AK96" s="49">
        <v>0.4933434120681961</v>
      </c>
      <c r="AL96" s="49">
        <v>0.49314607470336885</v>
      </c>
      <c r="AM96" s="49">
        <v>0.49294881627348752</v>
      </c>
      <c r="AN96" s="49">
        <v>0.49275163674697814</v>
      </c>
      <c r="AO96" s="49">
        <v>0.49255453609227939</v>
      </c>
      <c r="AP96" s="49">
        <v>0.49235751427784252</v>
      </c>
      <c r="AQ96" s="49">
        <v>0.49216057127213142</v>
      </c>
      <c r="AR96" s="49">
        <v>0.49196370704362258</v>
      </c>
      <c r="AS96" s="49">
        <v>0.49176692156080515</v>
      </c>
      <c r="AT96" s="49">
        <v>0.49157021479218083</v>
      </c>
      <c r="AU96" s="49">
        <v>0.49137358670626397</v>
      </c>
      <c r="AV96" s="49">
        <v>0.49117703727158146</v>
      </c>
      <c r="AW96" s="49">
        <v>0.49098056645667287</v>
      </c>
      <c r="AX96" s="49">
        <v>0.49078417423009024</v>
      </c>
      <c r="AY96" s="49">
        <v>0.49058786056039821</v>
      </c>
      <c r="AZ96" s="49">
        <v>0.49039162541617409</v>
      </c>
      <c r="BA96" s="49">
        <v>0.49019546876600767</v>
      </c>
      <c r="BB96" s="49">
        <v>0.48999939057850128</v>
      </c>
      <c r="BC96" s="49">
        <v>0.48980339082226992</v>
      </c>
      <c r="BD96" s="49">
        <v>0.48960746946594103</v>
      </c>
      <c r="BE96" s="49">
        <v>0.48941162647815467</v>
      </c>
      <c r="BF96" s="49">
        <v>0.48921586182756344</v>
      </c>
      <c r="BG96" s="49">
        <v>0.48902017548283244</v>
      </c>
      <c r="BH96" s="49">
        <v>0.48882456741263935</v>
      </c>
      <c r="BI96" s="49">
        <v>0.48862903758567433</v>
      </c>
      <c r="BJ96" s="49">
        <v>0.48843358597064007</v>
      </c>
      <c r="BK96" s="49">
        <v>0.48823821253625183</v>
      </c>
      <c r="BL96" s="49">
        <v>0.48804291725123733</v>
      </c>
      <c r="BM96" s="49">
        <v>0.48784770008433687</v>
      </c>
      <c r="BN96" s="49">
        <v>0.48765256100430315</v>
      </c>
      <c r="BO96" s="49">
        <v>0.48745749997990145</v>
      </c>
      <c r="BP96" s="49">
        <v>0.48726251697990952</v>
      </c>
      <c r="BQ96" s="49">
        <v>0.4870676119731176</v>
      </c>
      <c r="BR96" s="49">
        <v>0.48687278492832836</v>
      </c>
      <c r="BS96" s="49">
        <v>0.48667803581435704</v>
      </c>
      <c r="BT96" s="49">
        <v>0.48648336460003133</v>
      </c>
      <c r="BU96" s="49">
        <v>0.48628877125419134</v>
      </c>
      <c r="BV96" s="49">
        <v>0.48609425574568971</v>
      </c>
      <c r="BW96" s="49">
        <v>0.48589981804339144</v>
      </c>
      <c r="BX96" s="49">
        <v>0.4857054581161741</v>
      </c>
      <c r="BY96" s="49">
        <v>0.48551117593292764</v>
      </c>
      <c r="BZ96" s="49">
        <v>0.48531697146255448</v>
      </c>
      <c r="CA96" s="49">
        <v>0.48512284467396949</v>
      </c>
      <c r="CB96" s="49">
        <v>0.48492879553609991</v>
      </c>
      <c r="CC96" s="49">
        <v>0.48473482401788548</v>
      </c>
      <c r="CD96" s="49">
        <v>0.48454093008827837</v>
      </c>
      <c r="CE96" s="49">
        <v>0.48434711371624306</v>
      </c>
      <c r="CF96" s="49">
        <v>0.4841533748707566</v>
      </c>
      <c r="CG96" s="49">
        <v>0.4839597135208083</v>
      </c>
      <c r="CH96" s="49">
        <v>0.4837661296354</v>
      </c>
      <c r="CI96" s="49">
        <v>0.48357262318354588</v>
      </c>
      <c r="CJ96" s="49">
        <v>0.48337919413427249</v>
      </c>
      <c r="CK96" s="49">
        <v>0.48318584245661883</v>
      </c>
      <c r="CL96" s="49">
        <v>0.4829925681196362</v>
      </c>
      <c r="CM96" s="49">
        <v>0.48279937109238835</v>
      </c>
      <c r="CN96" s="49">
        <v>0.48260625134395141</v>
      </c>
      <c r="CO96" s="49">
        <v>0.48241320884341388</v>
      </c>
      <c r="CP96" s="49">
        <v>0.48222024355987653</v>
      </c>
      <c r="CQ96" s="49">
        <v>0.48202735546245262</v>
      </c>
      <c r="CR96" s="49">
        <v>0.48183454452026764</v>
      </c>
      <c r="CS96" s="49">
        <v>0.48164181070245954</v>
      </c>
      <c r="CT96" s="49">
        <v>0.48144915397817856</v>
      </c>
      <c r="CU96" s="49">
        <v>0.4812565743165873</v>
      </c>
      <c r="CV96" s="49">
        <v>0.48106407168686072</v>
      </c>
      <c r="CW96" s="49">
        <v>0.480871646058186</v>
      </c>
      <c r="CX96" s="48">
        <v>0.48067929739976273</v>
      </c>
      <c r="CY96" s="28">
        <v>0.48048702568080287</v>
      </c>
    </row>
    <row r="97" spans="1:103" ht="15.75">
      <c r="A97" s="50">
        <v>115</v>
      </c>
      <c r="B97" s="48">
        <v>0.5</v>
      </c>
      <c r="C97" s="48">
        <v>0.5</v>
      </c>
      <c r="D97" s="48">
        <v>0.5</v>
      </c>
      <c r="E97" s="48">
        <v>0.5</v>
      </c>
      <c r="F97" s="48">
        <v>0.5</v>
      </c>
      <c r="G97" s="48">
        <v>0.5</v>
      </c>
      <c r="H97" s="48">
        <v>0.5</v>
      </c>
      <c r="I97" s="48">
        <v>0.5</v>
      </c>
      <c r="J97" s="48">
        <v>0.5</v>
      </c>
      <c r="K97" s="48">
        <v>0.5</v>
      </c>
      <c r="L97" s="48">
        <v>0.5</v>
      </c>
      <c r="M97" s="48">
        <v>0.5</v>
      </c>
      <c r="N97" s="48">
        <v>0.5</v>
      </c>
      <c r="O97" s="48">
        <v>0.5</v>
      </c>
      <c r="P97" s="48">
        <v>0.5</v>
      </c>
      <c r="Q97" s="48">
        <v>0.5</v>
      </c>
      <c r="R97" s="48">
        <v>0.5</v>
      </c>
      <c r="S97" s="48">
        <v>0.5</v>
      </c>
      <c r="T97" s="48">
        <v>0.5</v>
      </c>
      <c r="U97" s="49">
        <v>0.5</v>
      </c>
      <c r="V97" s="49">
        <v>0.5</v>
      </c>
      <c r="W97" s="49">
        <v>0.5</v>
      </c>
      <c r="X97" s="49">
        <v>0.5</v>
      </c>
      <c r="Y97" s="49">
        <v>0.5</v>
      </c>
      <c r="Z97" s="49">
        <v>0.5</v>
      </c>
      <c r="AA97" s="49">
        <v>0.5</v>
      </c>
      <c r="AB97" s="49">
        <v>0.5</v>
      </c>
      <c r="AC97" s="49">
        <v>0.5</v>
      </c>
      <c r="AD97" s="49">
        <v>0.5</v>
      </c>
      <c r="AE97" s="49">
        <v>0.5</v>
      </c>
      <c r="AF97" s="49">
        <v>0.5</v>
      </c>
      <c r="AG97" s="49">
        <v>0.5</v>
      </c>
      <c r="AH97" s="49">
        <v>0.5</v>
      </c>
      <c r="AI97" s="49">
        <v>0.5</v>
      </c>
      <c r="AJ97" s="49">
        <v>0.5</v>
      </c>
      <c r="AK97" s="49">
        <v>0.5</v>
      </c>
      <c r="AL97" s="49">
        <v>0.5</v>
      </c>
      <c r="AM97" s="49">
        <v>0.5</v>
      </c>
      <c r="AN97" s="49">
        <v>0.5</v>
      </c>
      <c r="AO97" s="49">
        <v>0.5</v>
      </c>
      <c r="AP97" s="49">
        <v>0.5</v>
      </c>
      <c r="AQ97" s="49">
        <v>0.5</v>
      </c>
      <c r="AR97" s="49">
        <v>0.5</v>
      </c>
      <c r="AS97" s="49">
        <v>0.5</v>
      </c>
      <c r="AT97" s="49">
        <v>0.5</v>
      </c>
      <c r="AU97" s="49">
        <v>0.5</v>
      </c>
      <c r="AV97" s="49">
        <v>0.5</v>
      </c>
      <c r="AW97" s="49">
        <v>0.5</v>
      </c>
      <c r="AX97" s="49">
        <v>0.5</v>
      </c>
      <c r="AY97" s="49">
        <v>0.5</v>
      </c>
      <c r="AZ97" s="49">
        <v>0.5</v>
      </c>
      <c r="BA97" s="49">
        <v>0.5</v>
      </c>
      <c r="BB97" s="49">
        <v>0.5</v>
      </c>
      <c r="BC97" s="49">
        <v>0.5</v>
      </c>
      <c r="BD97" s="49">
        <v>0.5</v>
      </c>
      <c r="BE97" s="49">
        <v>0.5</v>
      </c>
      <c r="BF97" s="49">
        <v>0.5</v>
      </c>
      <c r="BG97" s="49">
        <v>0.5</v>
      </c>
      <c r="BH97" s="49">
        <v>0.5</v>
      </c>
      <c r="BI97" s="49">
        <v>0.5</v>
      </c>
      <c r="BJ97" s="49">
        <v>0.5</v>
      </c>
      <c r="BK97" s="49">
        <v>0.5</v>
      </c>
      <c r="BL97" s="49">
        <v>0.5</v>
      </c>
      <c r="BM97" s="49">
        <v>0.5</v>
      </c>
      <c r="BN97" s="49">
        <v>0.5</v>
      </c>
      <c r="BO97" s="49">
        <v>0.5</v>
      </c>
      <c r="BP97" s="49">
        <v>0.5</v>
      </c>
      <c r="BQ97" s="49">
        <v>0.5</v>
      </c>
      <c r="BR97" s="49">
        <v>0.5</v>
      </c>
      <c r="BS97" s="49">
        <v>0.5</v>
      </c>
      <c r="BT97" s="49">
        <v>0.5</v>
      </c>
      <c r="BU97" s="49">
        <v>0.5</v>
      </c>
      <c r="BV97" s="49">
        <v>0.5</v>
      </c>
      <c r="BW97" s="49">
        <v>0.5</v>
      </c>
      <c r="BX97" s="49">
        <v>0.5</v>
      </c>
      <c r="BY97" s="49">
        <v>0.5</v>
      </c>
      <c r="BZ97" s="49">
        <v>0.5</v>
      </c>
      <c r="CA97" s="49">
        <v>0.5</v>
      </c>
      <c r="CB97" s="49">
        <v>0.5</v>
      </c>
      <c r="CC97" s="49">
        <v>0.5</v>
      </c>
      <c r="CD97" s="49">
        <v>0.5</v>
      </c>
      <c r="CE97" s="49">
        <v>0.5</v>
      </c>
      <c r="CF97" s="49">
        <v>0.5</v>
      </c>
      <c r="CG97" s="49">
        <v>0.5</v>
      </c>
      <c r="CH97" s="49">
        <v>0.5</v>
      </c>
      <c r="CI97" s="49">
        <v>0.5</v>
      </c>
      <c r="CJ97" s="49">
        <v>0.5</v>
      </c>
      <c r="CK97" s="49">
        <v>0.5</v>
      </c>
      <c r="CL97" s="49">
        <v>0.5</v>
      </c>
      <c r="CM97" s="49">
        <v>0.5</v>
      </c>
      <c r="CN97" s="49">
        <v>0.5</v>
      </c>
      <c r="CO97" s="49">
        <v>0.5</v>
      </c>
      <c r="CP97" s="49">
        <v>0.5</v>
      </c>
      <c r="CQ97" s="49">
        <v>0.5</v>
      </c>
      <c r="CR97" s="49">
        <v>0.5</v>
      </c>
      <c r="CS97" s="49">
        <v>0.5</v>
      </c>
      <c r="CT97" s="49">
        <v>0.5</v>
      </c>
      <c r="CU97" s="49">
        <v>0.5</v>
      </c>
      <c r="CV97" s="49">
        <v>0.5</v>
      </c>
      <c r="CW97" s="49">
        <v>0.5</v>
      </c>
      <c r="CX97" s="48">
        <v>0.5</v>
      </c>
      <c r="CY97" s="28">
        <v>0.5</v>
      </c>
    </row>
    <row r="98" spans="1:103" ht="15.75">
      <c r="A98" s="50">
        <v>116</v>
      </c>
      <c r="B98" s="48">
        <v>0.5</v>
      </c>
      <c r="C98" s="48">
        <v>0.5</v>
      </c>
      <c r="D98" s="48">
        <v>0.5</v>
      </c>
      <c r="E98" s="48">
        <v>0.5</v>
      </c>
      <c r="F98" s="48">
        <v>0.5</v>
      </c>
      <c r="G98" s="48">
        <v>0.5</v>
      </c>
      <c r="H98" s="48">
        <v>0.5</v>
      </c>
      <c r="I98" s="48">
        <v>0.5</v>
      </c>
      <c r="J98" s="48">
        <v>0.5</v>
      </c>
      <c r="K98" s="48">
        <v>0.5</v>
      </c>
      <c r="L98" s="48">
        <v>0.5</v>
      </c>
      <c r="M98" s="48">
        <v>0.5</v>
      </c>
      <c r="N98" s="48">
        <v>0.5</v>
      </c>
      <c r="O98" s="48">
        <v>0.5</v>
      </c>
      <c r="P98" s="48">
        <v>0.5</v>
      </c>
      <c r="Q98" s="48">
        <v>0.5</v>
      </c>
      <c r="R98" s="48">
        <v>0.5</v>
      </c>
      <c r="S98" s="48">
        <v>0.5</v>
      </c>
      <c r="T98" s="48">
        <v>0.5</v>
      </c>
      <c r="U98" s="49">
        <v>0.5</v>
      </c>
      <c r="V98" s="49">
        <v>0.5</v>
      </c>
      <c r="W98" s="49">
        <v>0.5</v>
      </c>
      <c r="X98" s="49">
        <v>0.5</v>
      </c>
      <c r="Y98" s="49">
        <v>0.5</v>
      </c>
      <c r="Z98" s="49">
        <v>0.5</v>
      </c>
      <c r="AA98" s="49">
        <v>0.5</v>
      </c>
      <c r="AB98" s="49">
        <v>0.5</v>
      </c>
      <c r="AC98" s="49">
        <v>0.5</v>
      </c>
      <c r="AD98" s="49">
        <v>0.5</v>
      </c>
      <c r="AE98" s="49">
        <v>0.5</v>
      </c>
      <c r="AF98" s="49">
        <v>0.5</v>
      </c>
      <c r="AG98" s="49">
        <v>0.5</v>
      </c>
      <c r="AH98" s="49">
        <v>0.5</v>
      </c>
      <c r="AI98" s="49">
        <v>0.5</v>
      </c>
      <c r="AJ98" s="49">
        <v>0.5</v>
      </c>
      <c r="AK98" s="49">
        <v>0.5</v>
      </c>
      <c r="AL98" s="49">
        <v>0.5</v>
      </c>
      <c r="AM98" s="49">
        <v>0.5</v>
      </c>
      <c r="AN98" s="49">
        <v>0.5</v>
      </c>
      <c r="AO98" s="49">
        <v>0.5</v>
      </c>
      <c r="AP98" s="49">
        <v>0.5</v>
      </c>
      <c r="AQ98" s="49">
        <v>0.5</v>
      </c>
      <c r="AR98" s="49">
        <v>0.5</v>
      </c>
      <c r="AS98" s="49">
        <v>0.5</v>
      </c>
      <c r="AT98" s="49">
        <v>0.5</v>
      </c>
      <c r="AU98" s="49">
        <v>0.5</v>
      </c>
      <c r="AV98" s="49">
        <v>0.5</v>
      </c>
      <c r="AW98" s="49">
        <v>0.5</v>
      </c>
      <c r="AX98" s="49">
        <v>0.5</v>
      </c>
      <c r="AY98" s="49">
        <v>0.5</v>
      </c>
      <c r="AZ98" s="49">
        <v>0.5</v>
      </c>
      <c r="BA98" s="49">
        <v>0.5</v>
      </c>
      <c r="BB98" s="49">
        <v>0.5</v>
      </c>
      <c r="BC98" s="49">
        <v>0.5</v>
      </c>
      <c r="BD98" s="49">
        <v>0.5</v>
      </c>
      <c r="BE98" s="49">
        <v>0.5</v>
      </c>
      <c r="BF98" s="49">
        <v>0.5</v>
      </c>
      <c r="BG98" s="49">
        <v>0.5</v>
      </c>
      <c r="BH98" s="49">
        <v>0.5</v>
      </c>
      <c r="BI98" s="49">
        <v>0.5</v>
      </c>
      <c r="BJ98" s="49">
        <v>0.5</v>
      </c>
      <c r="BK98" s="49">
        <v>0.5</v>
      </c>
      <c r="BL98" s="49">
        <v>0.5</v>
      </c>
      <c r="BM98" s="49">
        <v>0.5</v>
      </c>
      <c r="BN98" s="49">
        <v>0.5</v>
      </c>
      <c r="BO98" s="49">
        <v>0.5</v>
      </c>
      <c r="BP98" s="49">
        <v>0.5</v>
      </c>
      <c r="BQ98" s="49">
        <v>0.5</v>
      </c>
      <c r="BR98" s="49">
        <v>0.5</v>
      </c>
      <c r="BS98" s="49">
        <v>0.5</v>
      </c>
      <c r="BT98" s="49">
        <v>0.5</v>
      </c>
      <c r="BU98" s="49">
        <v>0.5</v>
      </c>
      <c r="BV98" s="49">
        <v>0.5</v>
      </c>
      <c r="BW98" s="49">
        <v>0.5</v>
      </c>
      <c r="BX98" s="49">
        <v>0.5</v>
      </c>
      <c r="BY98" s="49">
        <v>0.5</v>
      </c>
      <c r="BZ98" s="49">
        <v>0.5</v>
      </c>
      <c r="CA98" s="49">
        <v>0.5</v>
      </c>
      <c r="CB98" s="49">
        <v>0.5</v>
      </c>
      <c r="CC98" s="49">
        <v>0.5</v>
      </c>
      <c r="CD98" s="49">
        <v>0.5</v>
      </c>
      <c r="CE98" s="49">
        <v>0.5</v>
      </c>
      <c r="CF98" s="49">
        <v>0.5</v>
      </c>
      <c r="CG98" s="49">
        <v>0.5</v>
      </c>
      <c r="CH98" s="49">
        <v>0.5</v>
      </c>
      <c r="CI98" s="49">
        <v>0.5</v>
      </c>
      <c r="CJ98" s="49">
        <v>0.5</v>
      </c>
      <c r="CK98" s="49">
        <v>0.5</v>
      </c>
      <c r="CL98" s="49">
        <v>0.5</v>
      </c>
      <c r="CM98" s="49">
        <v>0.5</v>
      </c>
      <c r="CN98" s="49">
        <v>0.5</v>
      </c>
      <c r="CO98" s="49">
        <v>0.5</v>
      </c>
      <c r="CP98" s="49">
        <v>0.5</v>
      </c>
      <c r="CQ98" s="49">
        <v>0.5</v>
      </c>
      <c r="CR98" s="49">
        <v>0.5</v>
      </c>
      <c r="CS98" s="49">
        <v>0.5</v>
      </c>
      <c r="CT98" s="49">
        <v>0.5</v>
      </c>
      <c r="CU98" s="49">
        <v>0.5</v>
      </c>
      <c r="CV98" s="49">
        <v>0.5</v>
      </c>
      <c r="CW98" s="49">
        <v>0.5</v>
      </c>
      <c r="CX98" s="48">
        <v>0.5</v>
      </c>
      <c r="CY98" s="28">
        <v>0.5</v>
      </c>
    </row>
    <row r="99" spans="1:103" ht="15.75">
      <c r="A99" s="50">
        <v>117</v>
      </c>
      <c r="B99" s="48">
        <v>0.5</v>
      </c>
      <c r="C99" s="48">
        <v>0.5</v>
      </c>
      <c r="D99" s="48">
        <v>0.5</v>
      </c>
      <c r="E99" s="48">
        <v>0.5</v>
      </c>
      <c r="F99" s="48">
        <v>0.5</v>
      </c>
      <c r="G99" s="48">
        <v>0.5</v>
      </c>
      <c r="H99" s="48">
        <v>0.5</v>
      </c>
      <c r="I99" s="48">
        <v>0.5</v>
      </c>
      <c r="J99" s="48">
        <v>0.5</v>
      </c>
      <c r="K99" s="48">
        <v>0.5</v>
      </c>
      <c r="L99" s="48">
        <v>0.5</v>
      </c>
      <c r="M99" s="48">
        <v>0.5</v>
      </c>
      <c r="N99" s="48">
        <v>0.5</v>
      </c>
      <c r="O99" s="48">
        <v>0.5</v>
      </c>
      <c r="P99" s="48">
        <v>0.5</v>
      </c>
      <c r="Q99" s="48">
        <v>0.5</v>
      </c>
      <c r="R99" s="48">
        <v>0.5</v>
      </c>
      <c r="S99" s="48">
        <v>0.5</v>
      </c>
      <c r="T99" s="48">
        <v>0.5</v>
      </c>
      <c r="U99" s="49">
        <v>0.5</v>
      </c>
      <c r="V99" s="49">
        <v>0.5</v>
      </c>
      <c r="W99" s="49">
        <v>0.5</v>
      </c>
      <c r="X99" s="49">
        <v>0.5</v>
      </c>
      <c r="Y99" s="49">
        <v>0.5</v>
      </c>
      <c r="Z99" s="49">
        <v>0.5</v>
      </c>
      <c r="AA99" s="49">
        <v>0.5</v>
      </c>
      <c r="AB99" s="49">
        <v>0.5</v>
      </c>
      <c r="AC99" s="49">
        <v>0.5</v>
      </c>
      <c r="AD99" s="49">
        <v>0.5</v>
      </c>
      <c r="AE99" s="49">
        <v>0.5</v>
      </c>
      <c r="AF99" s="49">
        <v>0.5</v>
      </c>
      <c r="AG99" s="49">
        <v>0.5</v>
      </c>
      <c r="AH99" s="49">
        <v>0.5</v>
      </c>
      <c r="AI99" s="49">
        <v>0.5</v>
      </c>
      <c r="AJ99" s="49">
        <v>0.5</v>
      </c>
      <c r="AK99" s="49">
        <v>0.5</v>
      </c>
      <c r="AL99" s="49">
        <v>0.5</v>
      </c>
      <c r="AM99" s="49">
        <v>0.5</v>
      </c>
      <c r="AN99" s="49">
        <v>0.5</v>
      </c>
      <c r="AO99" s="49">
        <v>0.5</v>
      </c>
      <c r="AP99" s="49">
        <v>0.5</v>
      </c>
      <c r="AQ99" s="49">
        <v>0.5</v>
      </c>
      <c r="AR99" s="49">
        <v>0.5</v>
      </c>
      <c r="AS99" s="49">
        <v>0.5</v>
      </c>
      <c r="AT99" s="49">
        <v>0.5</v>
      </c>
      <c r="AU99" s="49">
        <v>0.5</v>
      </c>
      <c r="AV99" s="49">
        <v>0.5</v>
      </c>
      <c r="AW99" s="49">
        <v>0.5</v>
      </c>
      <c r="AX99" s="49">
        <v>0.5</v>
      </c>
      <c r="AY99" s="49">
        <v>0.5</v>
      </c>
      <c r="AZ99" s="49">
        <v>0.5</v>
      </c>
      <c r="BA99" s="49">
        <v>0.5</v>
      </c>
      <c r="BB99" s="49">
        <v>0.5</v>
      </c>
      <c r="BC99" s="49">
        <v>0.5</v>
      </c>
      <c r="BD99" s="49">
        <v>0.5</v>
      </c>
      <c r="BE99" s="49">
        <v>0.5</v>
      </c>
      <c r="BF99" s="49">
        <v>0.5</v>
      </c>
      <c r="BG99" s="49">
        <v>0.5</v>
      </c>
      <c r="BH99" s="49">
        <v>0.5</v>
      </c>
      <c r="BI99" s="49">
        <v>0.5</v>
      </c>
      <c r="BJ99" s="49">
        <v>0.5</v>
      </c>
      <c r="BK99" s="49">
        <v>0.5</v>
      </c>
      <c r="BL99" s="49">
        <v>0.5</v>
      </c>
      <c r="BM99" s="49">
        <v>0.5</v>
      </c>
      <c r="BN99" s="49">
        <v>0.5</v>
      </c>
      <c r="BO99" s="49">
        <v>0.5</v>
      </c>
      <c r="BP99" s="49">
        <v>0.5</v>
      </c>
      <c r="BQ99" s="49">
        <v>0.5</v>
      </c>
      <c r="BR99" s="49">
        <v>0.5</v>
      </c>
      <c r="BS99" s="49">
        <v>0.5</v>
      </c>
      <c r="BT99" s="49">
        <v>0.5</v>
      </c>
      <c r="BU99" s="49">
        <v>0.5</v>
      </c>
      <c r="BV99" s="49">
        <v>0.5</v>
      </c>
      <c r="BW99" s="49">
        <v>0.5</v>
      </c>
      <c r="BX99" s="49">
        <v>0.5</v>
      </c>
      <c r="BY99" s="49">
        <v>0.5</v>
      </c>
      <c r="BZ99" s="49">
        <v>0.5</v>
      </c>
      <c r="CA99" s="49">
        <v>0.5</v>
      </c>
      <c r="CB99" s="49">
        <v>0.5</v>
      </c>
      <c r="CC99" s="49">
        <v>0.5</v>
      </c>
      <c r="CD99" s="49">
        <v>0.5</v>
      </c>
      <c r="CE99" s="49">
        <v>0.5</v>
      </c>
      <c r="CF99" s="49">
        <v>0.5</v>
      </c>
      <c r="CG99" s="49">
        <v>0.5</v>
      </c>
      <c r="CH99" s="49">
        <v>0.5</v>
      </c>
      <c r="CI99" s="49">
        <v>0.5</v>
      </c>
      <c r="CJ99" s="49">
        <v>0.5</v>
      </c>
      <c r="CK99" s="49">
        <v>0.5</v>
      </c>
      <c r="CL99" s="49">
        <v>0.5</v>
      </c>
      <c r="CM99" s="49">
        <v>0.5</v>
      </c>
      <c r="CN99" s="49">
        <v>0.5</v>
      </c>
      <c r="CO99" s="49">
        <v>0.5</v>
      </c>
      <c r="CP99" s="49">
        <v>0.5</v>
      </c>
      <c r="CQ99" s="49">
        <v>0.5</v>
      </c>
      <c r="CR99" s="49">
        <v>0.5</v>
      </c>
      <c r="CS99" s="49">
        <v>0.5</v>
      </c>
      <c r="CT99" s="49">
        <v>0.5</v>
      </c>
      <c r="CU99" s="49">
        <v>0.5</v>
      </c>
      <c r="CV99" s="49">
        <v>0.5</v>
      </c>
      <c r="CW99" s="49">
        <v>0.5</v>
      </c>
      <c r="CX99" s="48">
        <v>0.5</v>
      </c>
      <c r="CY99" s="28">
        <v>0.5</v>
      </c>
    </row>
    <row r="100" spans="1:103" ht="15.75">
      <c r="A100" s="50">
        <v>118</v>
      </c>
      <c r="B100" s="48">
        <v>0.5</v>
      </c>
      <c r="C100" s="48">
        <v>0.5</v>
      </c>
      <c r="D100" s="48">
        <v>0.5</v>
      </c>
      <c r="E100" s="48">
        <v>0.5</v>
      </c>
      <c r="F100" s="48">
        <v>0.5</v>
      </c>
      <c r="G100" s="48">
        <v>0.5</v>
      </c>
      <c r="H100" s="48">
        <v>0.5</v>
      </c>
      <c r="I100" s="48">
        <v>0.5</v>
      </c>
      <c r="J100" s="48">
        <v>0.5</v>
      </c>
      <c r="K100" s="48">
        <v>0.5</v>
      </c>
      <c r="L100" s="48">
        <v>0.5</v>
      </c>
      <c r="M100" s="48">
        <v>0.5</v>
      </c>
      <c r="N100" s="48">
        <v>0.5</v>
      </c>
      <c r="O100" s="48">
        <v>0.5</v>
      </c>
      <c r="P100" s="48">
        <v>0.5</v>
      </c>
      <c r="Q100" s="48">
        <v>0.5</v>
      </c>
      <c r="R100" s="48">
        <v>0.5</v>
      </c>
      <c r="S100" s="48">
        <v>0.5</v>
      </c>
      <c r="T100" s="48">
        <v>0.5</v>
      </c>
      <c r="U100" s="49">
        <v>0.5</v>
      </c>
      <c r="V100" s="49">
        <v>0.5</v>
      </c>
      <c r="W100" s="49">
        <v>0.5</v>
      </c>
      <c r="X100" s="49">
        <v>0.5</v>
      </c>
      <c r="Y100" s="49">
        <v>0.5</v>
      </c>
      <c r="Z100" s="49">
        <v>0.5</v>
      </c>
      <c r="AA100" s="49">
        <v>0.5</v>
      </c>
      <c r="AB100" s="49">
        <v>0.5</v>
      </c>
      <c r="AC100" s="49">
        <v>0.5</v>
      </c>
      <c r="AD100" s="49">
        <v>0.5</v>
      </c>
      <c r="AE100" s="49">
        <v>0.5</v>
      </c>
      <c r="AF100" s="49">
        <v>0.5</v>
      </c>
      <c r="AG100" s="49">
        <v>0.5</v>
      </c>
      <c r="AH100" s="49">
        <v>0.5</v>
      </c>
      <c r="AI100" s="49">
        <v>0.5</v>
      </c>
      <c r="AJ100" s="49">
        <v>0.5</v>
      </c>
      <c r="AK100" s="49">
        <v>0.5</v>
      </c>
      <c r="AL100" s="49">
        <v>0.5</v>
      </c>
      <c r="AM100" s="49">
        <v>0.5</v>
      </c>
      <c r="AN100" s="49">
        <v>0.5</v>
      </c>
      <c r="AO100" s="49">
        <v>0.5</v>
      </c>
      <c r="AP100" s="49">
        <v>0.5</v>
      </c>
      <c r="AQ100" s="49">
        <v>0.5</v>
      </c>
      <c r="AR100" s="49">
        <v>0.5</v>
      </c>
      <c r="AS100" s="49">
        <v>0.5</v>
      </c>
      <c r="AT100" s="49">
        <v>0.5</v>
      </c>
      <c r="AU100" s="49">
        <v>0.5</v>
      </c>
      <c r="AV100" s="49">
        <v>0.5</v>
      </c>
      <c r="AW100" s="49">
        <v>0.5</v>
      </c>
      <c r="AX100" s="49">
        <v>0.5</v>
      </c>
      <c r="AY100" s="49">
        <v>0.5</v>
      </c>
      <c r="AZ100" s="49">
        <v>0.5</v>
      </c>
      <c r="BA100" s="49">
        <v>0.5</v>
      </c>
      <c r="BB100" s="49">
        <v>0.5</v>
      </c>
      <c r="BC100" s="49">
        <v>0.5</v>
      </c>
      <c r="BD100" s="49">
        <v>0.5</v>
      </c>
      <c r="BE100" s="49">
        <v>0.5</v>
      </c>
      <c r="BF100" s="49">
        <v>0.5</v>
      </c>
      <c r="BG100" s="49">
        <v>0.5</v>
      </c>
      <c r="BH100" s="49">
        <v>0.5</v>
      </c>
      <c r="BI100" s="49">
        <v>0.5</v>
      </c>
      <c r="BJ100" s="49">
        <v>0.5</v>
      </c>
      <c r="BK100" s="49">
        <v>0.5</v>
      </c>
      <c r="BL100" s="49">
        <v>0.5</v>
      </c>
      <c r="BM100" s="49">
        <v>0.5</v>
      </c>
      <c r="BN100" s="49">
        <v>0.5</v>
      </c>
      <c r="BO100" s="49">
        <v>0.5</v>
      </c>
      <c r="BP100" s="49">
        <v>0.5</v>
      </c>
      <c r="BQ100" s="49">
        <v>0.5</v>
      </c>
      <c r="BR100" s="49">
        <v>0.5</v>
      </c>
      <c r="BS100" s="49">
        <v>0.5</v>
      </c>
      <c r="BT100" s="49">
        <v>0.5</v>
      </c>
      <c r="BU100" s="49">
        <v>0.5</v>
      </c>
      <c r="BV100" s="49">
        <v>0.5</v>
      </c>
      <c r="BW100" s="49">
        <v>0.5</v>
      </c>
      <c r="BX100" s="49">
        <v>0.5</v>
      </c>
      <c r="BY100" s="49">
        <v>0.5</v>
      </c>
      <c r="BZ100" s="49">
        <v>0.5</v>
      </c>
      <c r="CA100" s="49">
        <v>0.5</v>
      </c>
      <c r="CB100" s="49">
        <v>0.5</v>
      </c>
      <c r="CC100" s="49">
        <v>0.5</v>
      </c>
      <c r="CD100" s="49">
        <v>0.5</v>
      </c>
      <c r="CE100" s="49">
        <v>0.5</v>
      </c>
      <c r="CF100" s="49">
        <v>0.5</v>
      </c>
      <c r="CG100" s="49">
        <v>0.5</v>
      </c>
      <c r="CH100" s="49">
        <v>0.5</v>
      </c>
      <c r="CI100" s="49">
        <v>0.5</v>
      </c>
      <c r="CJ100" s="49">
        <v>0.5</v>
      </c>
      <c r="CK100" s="49">
        <v>0.5</v>
      </c>
      <c r="CL100" s="49">
        <v>0.5</v>
      </c>
      <c r="CM100" s="49">
        <v>0.5</v>
      </c>
      <c r="CN100" s="49">
        <v>0.5</v>
      </c>
      <c r="CO100" s="49">
        <v>0.5</v>
      </c>
      <c r="CP100" s="49">
        <v>0.5</v>
      </c>
      <c r="CQ100" s="49">
        <v>0.5</v>
      </c>
      <c r="CR100" s="49">
        <v>0.5</v>
      </c>
      <c r="CS100" s="49">
        <v>0.5</v>
      </c>
      <c r="CT100" s="49">
        <v>0.5</v>
      </c>
      <c r="CU100" s="49">
        <v>0.5</v>
      </c>
      <c r="CV100" s="49">
        <v>0.5</v>
      </c>
      <c r="CW100" s="49">
        <v>0.5</v>
      </c>
      <c r="CX100" s="48">
        <v>0.5</v>
      </c>
      <c r="CY100" s="28">
        <v>0.5</v>
      </c>
    </row>
    <row r="101" spans="1:103" ht="15.75">
      <c r="A101" s="50">
        <v>119</v>
      </c>
      <c r="B101" s="48">
        <v>0.5</v>
      </c>
      <c r="C101" s="48">
        <v>0.5</v>
      </c>
      <c r="D101" s="48">
        <v>0.5</v>
      </c>
      <c r="E101" s="48">
        <v>0.5</v>
      </c>
      <c r="F101" s="48">
        <v>0.5</v>
      </c>
      <c r="G101" s="48">
        <v>0.5</v>
      </c>
      <c r="H101" s="48">
        <v>0.5</v>
      </c>
      <c r="I101" s="48">
        <v>0.5</v>
      </c>
      <c r="J101" s="48">
        <v>0.5</v>
      </c>
      <c r="K101" s="48">
        <v>0.5</v>
      </c>
      <c r="L101" s="48">
        <v>0.5</v>
      </c>
      <c r="M101" s="48">
        <v>0.5</v>
      </c>
      <c r="N101" s="48">
        <v>0.5</v>
      </c>
      <c r="O101" s="48">
        <v>0.5</v>
      </c>
      <c r="P101" s="48">
        <v>0.5</v>
      </c>
      <c r="Q101" s="48">
        <v>0.5</v>
      </c>
      <c r="R101" s="48">
        <v>0.5</v>
      </c>
      <c r="S101" s="48">
        <v>0.5</v>
      </c>
      <c r="T101" s="48">
        <v>0.5</v>
      </c>
      <c r="U101" s="49">
        <v>0.5</v>
      </c>
      <c r="V101" s="49">
        <v>0.5</v>
      </c>
      <c r="W101" s="49">
        <v>0.5</v>
      </c>
      <c r="X101" s="49">
        <v>0.5</v>
      </c>
      <c r="Y101" s="49">
        <v>0.5</v>
      </c>
      <c r="Z101" s="49">
        <v>0.5</v>
      </c>
      <c r="AA101" s="49">
        <v>0.5</v>
      </c>
      <c r="AB101" s="49">
        <v>0.5</v>
      </c>
      <c r="AC101" s="49">
        <v>0.5</v>
      </c>
      <c r="AD101" s="49">
        <v>0.5</v>
      </c>
      <c r="AE101" s="49">
        <v>0.5</v>
      </c>
      <c r="AF101" s="49">
        <v>0.5</v>
      </c>
      <c r="AG101" s="49">
        <v>0.5</v>
      </c>
      <c r="AH101" s="49">
        <v>0.5</v>
      </c>
      <c r="AI101" s="49">
        <v>0.5</v>
      </c>
      <c r="AJ101" s="49">
        <v>0.5</v>
      </c>
      <c r="AK101" s="49">
        <v>0.5</v>
      </c>
      <c r="AL101" s="49">
        <v>0.5</v>
      </c>
      <c r="AM101" s="49">
        <v>0.5</v>
      </c>
      <c r="AN101" s="49">
        <v>0.5</v>
      </c>
      <c r="AO101" s="49">
        <v>0.5</v>
      </c>
      <c r="AP101" s="49">
        <v>0.5</v>
      </c>
      <c r="AQ101" s="49">
        <v>0.5</v>
      </c>
      <c r="AR101" s="49">
        <v>0.5</v>
      </c>
      <c r="AS101" s="49">
        <v>0.5</v>
      </c>
      <c r="AT101" s="49">
        <v>0.5</v>
      </c>
      <c r="AU101" s="49">
        <v>0.5</v>
      </c>
      <c r="AV101" s="49">
        <v>0.5</v>
      </c>
      <c r="AW101" s="49">
        <v>0.5</v>
      </c>
      <c r="AX101" s="49">
        <v>0.5</v>
      </c>
      <c r="AY101" s="49">
        <v>0.5</v>
      </c>
      <c r="AZ101" s="49">
        <v>0.5</v>
      </c>
      <c r="BA101" s="49">
        <v>0.5</v>
      </c>
      <c r="BB101" s="49">
        <v>0.5</v>
      </c>
      <c r="BC101" s="49">
        <v>0.5</v>
      </c>
      <c r="BD101" s="49">
        <v>0.5</v>
      </c>
      <c r="BE101" s="49">
        <v>0.5</v>
      </c>
      <c r="BF101" s="49">
        <v>0.5</v>
      </c>
      <c r="BG101" s="49">
        <v>0.5</v>
      </c>
      <c r="BH101" s="49">
        <v>0.5</v>
      </c>
      <c r="BI101" s="49">
        <v>0.5</v>
      </c>
      <c r="BJ101" s="49">
        <v>0.5</v>
      </c>
      <c r="BK101" s="49">
        <v>0.5</v>
      </c>
      <c r="BL101" s="49">
        <v>0.5</v>
      </c>
      <c r="BM101" s="49">
        <v>0.5</v>
      </c>
      <c r="BN101" s="49">
        <v>0.5</v>
      </c>
      <c r="BO101" s="49">
        <v>0.5</v>
      </c>
      <c r="BP101" s="49">
        <v>0.5</v>
      </c>
      <c r="BQ101" s="49">
        <v>0.5</v>
      </c>
      <c r="BR101" s="49">
        <v>0.5</v>
      </c>
      <c r="BS101" s="49">
        <v>0.5</v>
      </c>
      <c r="BT101" s="49">
        <v>0.5</v>
      </c>
      <c r="BU101" s="49">
        <v>0.5</v>
      </c>
      <c r="BV101" s="49">
        <v>0.5</v>
      </c>
      <c r="BW101" s="49">
        <v>0.5</v>
      </c>
      <c r="BX101" s="49">
        <v>0.5</v>
      </c>
      <c r="BY101" s="49">
        <v>0.5</v>
      </c>
      <c r="BZ101" s="49">
        <v>0.5</v>
      </c>
      <c r="CA101" s="49">
        <v>0.5</v>
      </c>
      <c r="CB101" s="49">
        <v>0.5</v>
      </c>
      <c r="CC101" s="49">
        <v>0.5</v>
      </c>
      <c r="CD101" s="49">
        <v>0.5</v>
      </c>
      <c r="CE101" s="49">
        <v>0.5</v>
      </c>
      <c r="CF101" s="49">
        <v>0.5</v>
      </c>
      <c r="CG101" s="49">
        <v>0.5</v>
      </c>
      <c r="CH101" s="49">
        <v>0.5</v>
      </c>
      <c r="CI101" s="49">
        <v>0.5</v>
      </c>
      <c r="CJ101" s="49">
        <v>0.5</v>
      </c>
      <c r="CK101" s="49">
        <v>0.5</v>
      </c>
      <c r="CL101" s="49">
        <v>0.5</v>
      </c>
      <c r="CM101" s="49">
        <v>0.5</v>
      </c>
      <c r="CN101" s="49">
        <v>0.5</v>
      </c>
      <c r="CO101" s="49">
        <v>0.5</v>
      </c>
      <c r="CP101" s="49">
        <v>0.5</v>
      </c>
      <c r="CQ101" s="49">
        <v>0.5</v>
      </c>
      <c r="CR101" s="49">
        <v>0.5</v>
      </c>
      <c r="CS101" s="49">
        <v>0.5</v>
      </c>
      <c r="CT101" s="49">
        <v>0.5</v>
      </c>
      <c r="CU101" s="49">
        <v>0.5</v>
      </c>
      <c r="CV101" s="49">
        <v>0.5</v>
      </c>
      <c r="CW101" s="49">
        <v>0.5</v>
      </c>
      <c r="CX101" s="48">
        <v>0.5</v>
      </c>
      <c r="CY101" s="28">
        <v>0.5</v>
      </c>
    </row>
    <row r="102" spans="1:103" ht="15.75">
      <c r="A102" s="50">
        <v>120</v>
      </c>
      <c r="B102" s="48">
        <v>1</v>
      </c>
      <c r="C102" s="48">
        <v>1</v>
      </c>
      <c r="D102" s="48">
        <v>1</v>
      </c>
      <c r="E102" s="48">
        <v>1</v>
      </c>
      <c r="F102" s="48">
        <v>1</v>
      </c>
      <c r="G102" s="48">
        <v>1</v>
      </c>
      <c r="H102" s="48">
        <v>1</v>
      </c>
      <c r="I102" s="48">
        <v>1</v>
      </c>
      <c r="J102" s="48">
        <v>1</v>
      </c>
      <c r="K102" s="48">
        <v>1</v>
      </c>
      <c r="L102" s="48">
        <v>1</v>
      </c>
      <c r="M102" s="48">
        <v>1</v>
      </c>
      <c r="N102" s="48">
        <v>1</v>
      </c>
      <c r="O102" s="48">
        <v>1</v>
      </c>
      <c r="P102" s="48">
        <v>1</v>
      </c>
      <c r="Q102" s="48">
        <v>1</v>
      </c>
      <c r="R102" s="48">
        <v>1</v>
      </c>
      <c r="S102" s="48">
        <v>1</v>
      </c>
      <c r="T102" s="48">
        <v>1</v>
      </c>
      <c r="U102" s="49">
        <v>1</v>
      </c>
      <c r="V102" s="49">
        <v>1</v>
      </c>
      <c r="W102" s="49">
        <v>1</v>
      </c>
      <c r="X102" s="49">
        <v>1</v>
      </c>
      <c r="Y102" s="49">
        <v>1</v>
      </c>
      <c r="Z102" s="49">
        <v>1</v>
      </c>
      <c r="AA102" s="49">
        <v>1</v>
      </c>
      <c r="AB102" s="49">
        <v>1</v>
      </c>
      <c r="AC102" s="49">
        <v>1</v>
      </c>
      <c r="AD102" s="49">
        <v>1</v>
      </c>
      <c r="AE102" s="49">
        <v>1</v>
      </c>
      <c r="AF102" s="49">
        <v>1</v>
      </c>
      <c r="AG102" s="49">
        <v>1</v>
      </c>
      <c r="AH102" s="49">
        <v>1</v>
      </c>
      <c r="AI102" s="49">
        <v>1</v>
      </c>
      <c r="AJ102" s="49">
        <v>1</v>
      </c>
      <c r="AK102" s="49">
        <v>1</v>
      </c>
      <c r="AL102" s="49">
        <v>1</v>
      </c>
      <c r="AM102" s="49">
        <v>1</v>
      </c>
      <c r="AN102" s="49">
        <v>1</v>
      </c>
      <c r="AO102" s="49">
        <v>1</v>
      </c>
      <c r="AP102" s="49">
        <v>1</v>
      </c>
      <c r="AQ102" s="49">
        <v>1</v>
      </c>
      <c r="AR102" s="49">
        <v>1</v>
      </c>
      <c r="AS102" s="49">
        <v>1</v>
      </c>
      <c r="AT102" s="49">
        <v>1</v>
      </c>
      <c r="AU102" s="49">
        <v>1</v>
      </c>
      <c r="AV102" s="49">
        <v>1</v>
      </c>
      <c r="AW102" s="49">
        <v>1</v>
      </c>
      <c r="AX102" s="49">
        <v>1</v>
      </c>
      <c r="AY102" s="49">
        <v>1</v>
      </c>
      <c r="AZ102" s="49">
        <v>1</v>
      </c>
      <c r="BA102" s="49">
        <v>1</v>
      </c>
      <c r="BB102" s="49">
        <v>1</v>
      </c>
      <c r="BC102" s="49">
        <v>1</v>
      </c>
      <c r="BD102" s="49">
        <v>1</v>
      </c>
      <c r="BE102" s="49">
        <v>1</v>
      </c>
      <c r="BF102" s="49">
        <v>1</v>
      </c>
      <c r="BG102" s="49">
        <v>1</v>
      </c>
      <c r="BH102" s="49">
        <v>1</v>
      </c>
      <c r="BI102" s="49">
        <v>1</v>
      </c>
      <c r="BJ102" s="49">
        <v>1</v>
      </c>
      <c r="BK102" s="49">
        <v>1</v>
      </c>
      <c r="BL102" s="49">
        <v>1</v>
      </c>
      <c r="BM102" s="49">
        <v>1</v>
      </c>
      <c r="BN102" s="49">
        <v>1</v>
      </c>
      <c r="BO102" s="49">
        <v>1</v>
      </c>
      <c r="BP102" s="49">
        <v>1</v>
      </c>
      <c r="BQ102" s="49">
        <v>1</v>
      </c>
      <c r="BR102" s="49">
        <v>1</v>
      </c>
      <c r="BS102" s="49">
        <v>1</v>
      </c>
      <c r="BT102" s="49">
        <v>1</v>
      </c>
      <c r="BU102" s="49">
        <v>1</v>
      </c>
      <c r="BV102" s="49">
        <v>1</v>
      </c>
      <c r="BW102" s="49">
        <v>1</v>
      </c>
      <c r="BX102" s="49">
        <v>1</v>
      </c>
      <c r="BY102" s="49">
        <v>1</v>
      </c>
      <c r="BZ102" s="49">
        <v>1</v>
      </c>
      <c r="CA102" s="49">
        <v>1</v>
      </c>
      <c r="CB102" s="49">
        <v>1</v>
      </c>
      <c r="CC102" s="49">
        <v>1</v>
      </c>
      <c r="CD102" s="49">
        <v>1</v>
      </c>
      <c r="CE102" s="49">
        <v>1</v>
      </c>
      <c r="CF102" s="49">
        <v>1</v>
      </c>
      <c r="CG102" s="49">
        <v>1</v>
      </c>
      <c r="CH102" s="49">
        <v>1</v>
      </c>
      <c r="CI102" s="49">
        <v>1</v>
      </c>
      <c r="CJ102" s="49">
        <v>1</v>
      </c>
      <c r="CK102" s="49">
        <v>1</v>
      </c>
      <c r="CL102" s="49">
        <v>1</v>
      </c>
      <c r="CM102" s="49">
        <v>1</v>
      </c>
      <c r="CN102" s="49">
        <v>1</v>
      </c>
      <c r="CO102" s="49">
        <v>1</v>
      </c>
      <c r="CP102" s="49">
        <v>1</v>
      </c>
      <c r="CQ102" s="49">
        <v>1</v>
      </c>
      <c r="CR102" s="49">
        <v>1</v>
      </c>
      <c r="CS102" s="49">
        <v>1</v>
      </c>
      <c r="CT102" s="49">
        <v>1</v>
      </c>
      <c r="CU102" s="49">
        <v>1</v>
      </c>
      <c r="CV102" s="49">
        <v>1</v>
      </c>
      <c r="CW102" s="49">
        <v>1</v>
      </c>
      <c r="CX102" s="48">
        <v>1</v>
      </c>
      <c r="CY102" s="2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Y102"/>
  <sheetViews>
    <sheetView topLeftCell="A8" workbookViewId="0">
      <selection activeCell="H25" sqref="H25"/>
    </sheetView>
  </sheetViews>
  <sheetFormatPr defaultColWidth="10.7109375" defaultRowHeight="15"/>
  <cols>
    <col min="1" max="16384" width="10.7109375" style="28"/>
  </cols>
  <sheetData>
    <row r="1" spans="1:103" ht="15.75">
      <c r="A1" s="58" t="s">
        <v>81</v>
      </c>
      <c r="B1" s="58">
        <v>2014</v>
      </c>
      <c r="C1" s="58">
        <v>2015</v>
      </c>
      <c r="D1" s="58">
        <v>2016</v>
      </c>
      <c r="E1" s="58">
        <v>2017</v>
      </c>
      <c r="F1" s="58">
        <v>2018</v>
      </c>
      <c r="G1" s="58">
        <v>2019</v>
      </c>
      <c r="H1" s="58">
        <v>2020</v>
      </c>
      <c r="I1" s="58">
        <v>2021</v>
      </c>
      <c r="J1" s="58">
        <v>2022</v>
      </c>
      <c r="K1" s="58">
        <v>2023</v>
      </c>
      <c r="L1" s="58">
        <v>2024</v>
      </c>
      <c r="M1" s="58">
        <v>2025</v>
      </c>
      <c r="N1" s="58">
        <v>2026</v>
      </c>
      <c r="O1" s="58">
        <v>2027</v>
      </c>
      <c r="P1" s="58">
        <v>2028</v>
      </c>
      <c r="Q1" s="58">
        <v>2029</v>
      </c>
      <c r="R1" s="58">
        <v>2030</v>
      </c>
      <c r="S1" s="58">
        <v>2031</v>
      </c>
      <c r="T1" s="57">
        <v>2032</v>
      </c>
      <c r="U1" s="57">
        <v>2033</v>
      </c>
      <c r="V1" s="57">
        <v>2034</v>
      </c>
      <c r="W1" s="57">
        <v>2035</v>
      </c>
      <c r="X1" s="57">
        <v>2036</v>
      </c>
      <c r="Y1" s="57">
        <v>2037</v>
      </c>
      <c r="Z1" s="57">
        <v>2038</v>
      </c>
      <c r="AA1" s="57">
        <v>2039</v>
      </c>
      <c r="AB1" s="57">
        <v>2040</v>
      </c>
      <c r="AC1" s="57">
        <v>2041</v>
      </c>
      <c r="AD1" s="57">
        <v>2042</v>
      </c>
      <c r="AE1" s="57">
        <v>2043</v>
      </c>
      <c r="AF1" s="57">
        <v>2044</v>
      </c>
      <c r="AG1" s="57">
        <v>2045</v>
      </c>
      <c r="AH1" s="57">
        <v>2046</v>
      </c>
      <c r="AI1" s="57">
        <v>2047</v>
      </c>
      <c r="AJ1" s="57">
        <v>2048</v>
      </c>
      <c r="AK1" s="57">
        <v>2049</v>
      </c>
      <c r="AL1" s="57">
        <v>2050</v>
      </c>
      <c r="AM1" s="57">
        <v>2051</v>
      </c>
      <c r="AN1" s="57">
        <v>2052</v>
      </c>
      <c r="AO1" s="57">
        <v>2053</v>
      </c>
      <c r="AP1" s="57">
        <v>2054</v>
      </c>
      <c r="AQ1" s="57">
        <v>2055</v>
      </c>
      <c r="AR1" s="57">
        <v>2056</v>
      </c>
      <c r="AS1" s="57">
        <v>2057</v>
      </c>
      <c r="AT1" s="57">
        <v>2058</v>
      </c>
      <c r="AU1" s="57">
        <v>2059</v>
      </c>
      <c r="AV1" s="57">
        <v>2060</v>
      </c>
      <c r="AW1" s="57">
        <v>2061</v>
      </c>
      <c r="AX1" s="57">
        <v>2062</v>
      </c>
      <c r="AY1" s="57">
        <v>2063</v>
      </c>
      <c r="AZ1" s="57">
        <v>2064</v>
      </c>
      <c r="BA1" s="57">
        <v>2065</v>
      </c>
      <c r="BB1" s="57">
        <v>2066</v>
      </c>
      <c r="BC1" s="57">
        <v>2067</v>
      </c>
      <c r="BD1" s="57">
        <v>2068</v>
      </c>
      <c r="BE1" s="57">
        <v>2069</v>
      </c>
      <c r="BF1" s="57">
        <v>2070</v>
      </c>
      <c r="BG1" s="57">
        <v>2071</v>
      </c>
      <c r="BH1" s="57">
        <v>2072</v>
      </c>
      <c r="BI1" s="57">
        <v>2073</v>
      </c>
      <c r="BJ1" s="57">
        <v>2074</v>
      </c>
      <c r="BK1" s="57">
        <v>2075</v>
      </c>
      <c r="BL1" s="57">
        <v>2076</v>
      </c>
      <c r="BM1" s="57">
        <v>2077</v>
      </c>
      <c r="BN1" s="57">
        <v>2078</v>
      </c>
      <c r="BO1" s="57">
        <v>2079</v>
      </c>
      <c r="BP1" s="57">
        <v>2080</v>
      </c>
      <c r="BQ1" s="57">
        <v>2081</v>
      </c>
      <c r="BR1" s="57">
        <v>2082</v>
      </c>
      <c r="BS1" s="57">
        <v>2083</v>
      </c>
      <c r="BT1" s="57">
        <v>2084</v>
      </c>
      <c r="BU1" s="57">
        <v>2085</v>
      </c>
      <c r="BV1" s="57">
        <v>2086</v>
      </c>
      <c r="BW1" s="57">
        <v>2087</v>
      </c>
      <c r="BX1" s="57">
        <v>2088</v>
      </c>
      <c r="BY1" s="57">
        <v>2089</v>
      </c>
      <c r="BZ1" s="57">
        <v>2090</v>
      </c>
      <c r="CA1" s="57">
        <v>2091</v>
      </c>
      <c r="CB1" s="57">
        <v>2092</v>
      </c>
      <c r="CC1" s="57">
        <v>2093</v>
      </c>
      <c r="CD1" s="57">
        <v>2094</v>
      </c>
      <c r="CE1" s="57">
        <v>2095</v>
      </c>
      <c r="CF1" s="57">
        <v>2096</v>
      </c>
      <c r="CG1" s="57">
        <v>2097</v>
      </c>
      <c r="CH1" s="57">
        <v>2098</v>
      </c>
      <c r="CI1" s="57">
        <v>2099</v>
      </c>
      <c r="CJ1" s="57">
        <v>2100</v>
      </c>
      <c r="CK1" s="57">
        <v>2101</v>
      </c>
      <c r="CL1" s="57">
        <v>2102</v>
      </c>
      <c r="CM1" s="57">
        <v>2103</v>
      </c>
      <c r="CN1" s="57">
        <v>2104</v>
      </c>
      <c r="CO1" s="57">
        <v>2105</v>
      </c>
      <c r="CP1" s="57">
        <v>2106</v>
      </c>
      <c r="CQ1" s="57">
        <v>2107</v>
      </c>
      <c r="CR1" s="57">
        <v>2108</v>
      </c>
      <c r="CS1" s="57">
        <v>2109</v>
      </c>
      <c r="CT1" s="57">
        <v>2110</v>
      </c>
      <c r="CU1" s="57">
        <v>2111</v>
      </c>
      <c r="CV1" s="57">
        <v>2112</v>
      </c>
      <c r="CW1" s="56">
        <v>2113</v>
      </c>
      <c r="CX1" s="56">
        <v>2114</v>
      </c>
      <c r="CY1" s="28">
        <v>2115</v>
      </c>
    </row>
    <row r="2" spans="1:103" ht="15.75">
      <c r="A2" s="54" t="s">
        <v>75</v>
      </c>
      <c r="B2" s="54">
        <v>1.6200000000000001E-4</v>
      </c>
      <c r="C2" s="54">
        <v>1.642356E-4</v>
      </c>
      <c r="D2" s="54">
        <v>1.6632139212E-4</v>
      </c>
      <c r="E2" s="54">
        <v>1.6813429529410797E-4</v>
      </c>
      <c r="F2" s="54">
        <v>1.6959706366316671E-4</v>
      </c>
      <c r="G2" s="54">
        <v>1.7066552516424466E-4</v>
      </c>
      <c r="H2" s="54">
        <v>1.713140541598688E-4</v>
      </c>
      <c r="I2" s="54">
        <v>1.7153676243027665E-4</v>
      </c>
      <c r="J2" s="54">
        <v>1.713823793440894E-4</v>
      </c>
      <c r="K2" s="54">
        <v>1.7091964691986035E-4</v>
      </c>
      <c r="L2" s="54">
        <v>1.7025306029687289E-4</v>
      </c>
      <c r="M2" s="54">
        <v>1.6943584560744789E-4</v>
      </c>
      <c r="N2" s="54">
        <v>1.6847006128748544E-4</v>
      </c>
      <c r="O2" s="54">
        <v>1.6735815888298803E-4</v>
      </c>
      <c r="P2" s="54">
        <v>1.6611970850725392E-4</v>
      </c>
      <c r="Q2" s="54">
        <v>1.6477413886834517E-4</v>
      </c>
      <c r="R2" s="54">
        <v>1.6334060386019058E-4</v>
      </c>
      <c r="S2" s="54">
        <v>1.6182153624429081E-4</v>
      </c>
      <c r="T2" s="53">
        <v>1.602518673427212E-4</v>
      </c>
      <c r="U2" s="53">
        <v>1.5866537385602825E-4</v>
      </c>
      <c r="V2" s="53">
        <v>1.5707872011746796E-4</v>
      </c>
      <c r="W2" s="53">
        <v>1.5550793291629328E-4</v>
      </c>
      <c r="X2" s="53">
        <v>1.5395285358713035E-4</v>
      </c>
      <c r="Y2" s="53">
        <v>1.5241332505125905E-4</v>
      </c>
      <c r="Z2" s="53">
        <v>1.5088919180074645E-4</v>
      </c>
      <c r="AA2" s="53">
        <v>1.4938029988273899E-4</v>
      </c>
      <c r="AB2" s="53">
        <v>1.4788649688391161E-4</v>
      </c>
      <c r="AC2" s="53">
        <v>1.464076319150725E-4</v>
      </c>
      <c r="AD2" s="53">
        <v>1.4494355559592178E-4</v>
      </c>
      <c r="AE2" s="53">
        <v>1.4349412003996257E-4</v>
      </c>
      <c r="AF2" s="53">
        <v>1.4205917883956294E-4</v>
      </c>
      <c r="AG2" s="53">
        <v>1.4063858705116731E-4</v>
      </c>
      <c r="AH2" s="53">
        <v>1.3923220118065564E-4</v>
      </c>
      <c r="AI2" s="53">
        <v>1.3783987916884908E-4</v>
      </c>
      <c r="AJ2" s="53">
        <v>1.364614803771606E-4</v>
      </c>
      <c r="AK2" s="53">
        <v>1.35096865573389E-4</v>
      </c>
      <c r="AL2" s="53">
        <v>1.3374589691765511E-4</v>
      </c>
      <c r="AM2" s="53">
        <v>1.3240843794847854E-4</v>
      </c>
      <c r="AN2" s="53">
        <v>1.3108435356899375E-4</v>
      </c>
      <c r="AO2" s="53">
        <v>1.297735100333038E-4</v>
      </c>
      <c r="AP2" s="53">
        <v>1.2847577493297076E-4</v>
      </c>
      <c r="AQ2" s="53">
        <v>1.2719101718364106E-4</v>
      </c>
      <c r="AR2" s="53">
        <v>1.2591910701180466E-4</v>
      </c>
      <c r="AS2" s="53">
        <v>1.2465991594168662E-4</v>
      </c>
      <c r="AT2" s="53">
        <v>1.2341331678226975E-4</v>
      </c>
      <c r="AU2" s="53">
        <v>1.2217918361444704E-4</v>
      </c>
      <c r="AV2" s="53">
        <v>1.2095739177830256E-4</v>
      </c>
      <c r="AW2" s="53">
        <v>1.1974781786051953E-4</v>
      </c>
      <c r="AX2" s="53">
        <v>1.1855033968191433E-4</v>
      </c>
      <c r="AY2" s="53">
        <v>1.1736483628509519E-4</v>
      </c>
      <c r="AZ2" s="53">
        <v>1.1619118792224424E-4</v>
      </c>
      <c r="BA2" s="53">
        <v>1.150292760430218E-4</v>
      </c>
      <c r="BB2" s="53">
        <v>1.1387898328259158E-4</v>
      </c>
      <c r="BC2" s="53">
        <v>1.1274019344976565E-4</v>
      </c>
      <c r="BD2" s="53">
        <v>1.11612791515268E-4</v>
      </c>
      <c r="BE2" s="53">
        <v>1.1049666360011532E-4</v>
      </c>
      <c r="BF2" s="53">
        <v>1.0939169696411417E-4</v>
      </c>
      <c r="BG2" s="53">
        <v>1.0829777999447303E-4</v>
      </c>
      <c r="BH2" s="53">
        <v>1.072148021945283E-4</v>
      </c>
      <c r="BI2" s="53">
        <v>1.0614265417258302E-4</v>
      </c>
      <c r="BJ2" s="53">
        <v>1.0508122763085719E-4</v>
      </c>
      <c r="BK2" s="53">
        <v>1.0403041535454861E-4</v>
      </c>
      <c r="BL2" s="53">
        <v>1.0299011120100312E-4</v>
      </c>
      <c r="BM2" s="53">
        <v>1.0196021008899308E-4</v>
      </c>
      <c r="BN2" s="53">
        <v>1.0094060798810315E-4</v>
      </c>
      <c r="BO2" s="53">
        <v>9.9931201908222118E-5</v>
      </c>
      <c r="BP2" s="53">
        <v>9.8931889889139894E-5</v>
      </c>
      <c r="BQ2" s="53">
        <v>9.7942570990248496E-5</v>
      </c>
      <c r="BR2" s="53">
        <v>9.6963145280346008E-5</v>
      </c>
      <c r="BS2" s="53">
        <v>9.599351382754254E-5</v>
      </c>
      <c r="BT2" s="53">
        <v>9.5033578689267115E-5</v>
      </c>
      <c r="BU2" s="53">
        <v>9.4083242902374443E-5</v>
      </c>
      <c r="BV2" s="53">
        <v>9.31424104733507E-5</v>
      </c>
      <c r="BW2" s="53">
        <v>9.2210986368617196E-5</v>
      </c>
      <c r="BX2" s="53">
        <v>9.1288876504931024E-5</v>
      </c>
      <c r="BY2" s="53">
        <v>9.0375987739881708E-5</v>
      </c>
      <c r="BZ2" s="53">
        <v>8.9472227862482897E-5</v>
      </c>
      <c r="CA2" s="53">
        <v>8.8577505583858066E-5</v>
      </c>
      <c r="CB2" s="53">
        <v>8.769173052801949E-5</v>
      </c>
      <c r="CC2" s="53">
        <v>8.6814813222739297E-5</v>
      </c>
      <c r="CD2" s="53">
        <v>8.59466650905119E-5</v>
      </c>
      <c r="CE2" s="53">
        <v>8.5087198439606781E-5</v>
      </c>
      <c r="CF2" s="53">
        <v>8.4236326455210708E-5</v>
      </c>
      <c r="CG2" s="53">
        <v>8.3393963190658599E-5</v>
      </c>
      <c r="CH2" s="53">
        <v>8.2560023558752018E-5</v>
      </c>
      <c r="CI2" s="53">
        <v>8.17344233231645E-5</v>
      </c>
      <c r="CJ2" s="53">
        <v>8.0917079089932857E-5</v>
      </c>
      <c r="CK2" s="53">
        <v>8.0107908299033531E-5</v>
      </c>
      <c r="CL2" s="53">
        <v>7.9306829216043191E-5</v>
      </c>
      <c r="CM2" s="53">
        <v>7.8513760923882753E-5</v>
      </c>
      <c r="CN2" s="53">
        <v>7.772862331464393E-5</v>
      </c>
      <c r="CO2" s="53">
        <v>7.6951337081497496E-5</v>
      </c>
      <c r="CP2" s="53">
        <v>7.6181823710682516E-5</v>
      </c>
      <c r="CQ2" s="53">
        <v>7.5420005473575687E-5</v>
      </c>
      <c r="CR2" s="53">
        <v>7.466580541883993E-5</v>
      </c>
      <c r="CS2" s="53">
        <v>7.3919147364651536E-5</v>
      </c>
      <c r="CT2" s="53">
        <v>7.317995589100502E-5</v>
      </c>
      <c r="CU2" s="53">
        <v>7.2448156332094969E-5</v>
      </c>
      <c r="CV2" s="53">
        <v>7.1723674768774023E-5</v>
      </c>
      <c r="CW2" s="55">
        <v>7.1006438021086284E-5</v>
      </c>
      <c r="CX2" s="55">
        <v>7.0296373640875421E-5</v>
      </c>
      <c r="CY2" s="28">
        <v>6.9593409904466661E-5</v>
      </c>
    </row>
    <row r="3" spans="1:103">
      <c r="A3" s="54">
        <v>21</v>
      </c>
      <c r="B3" s="54">
        <v>1.6200000000000001E-4</v>
      </c>
      <c r="C3" s="54">
        <v>1.6438139999999998E-4</v>
      </c>
      <c r="D3" s="54">
        <v>1.6658411076E-4</v>
      </c>
      <c r="E3" s="54">
        <v>1.68516486444816E-4</v>
      </c>
      <c r="F3" s="54">
        <v>1.7008368976875279E-4</v>
      </c>
      <c r="G3" s="54">
        <v>1.7122325049020342E-4</v>
      </c>
      <c r="H3" s="54">
        <v>1.7192526581721326E-4</v>
      </c>
      <c r="I3" s="54">
        <v>1.7218315371593908E-4</v>
      </c>
      <c r="J3" s="54">
        <v>1.7204540719296631E-4</v>
      </c>
      <c r="K3" s="54">
        <v>1.7158088459354529E-4</v>
      </c>
      <c r="L3" s="54">
        <v>1.7091171914363046E-4</v>
      </c>
      <c r="M3" s="54">
        <v>1.7009134289174102E-4</v>
      </c>
      <c r="N3" s="54">
        <v>1.6912182223725809E-4</v>
      </c>
      <c r="O3" s="54">
        <v>1.6800561821049217E-4</v>
      </c>
      <c r="P3" s="54">
        <v>1.6676237663573455E-4</v>
      </c>
      <c r="Q3" s="54">
        <v>1.654116013849851E-4</v>
      </c>
      <c r="R3" s="54">
        <v>1.6397252045293571E-4</v>
      </c>
      <c r="S3" s="54">
        <v>1.6244757601272341E-4</v>
      </c>
      <c r="T3" s="53">
        <v>1.608718345254E-4</v>
      </c>
      <c r="U3" s="53">
        <v>1.5927920336359852E-4</v>
      </c>
      <c r="V3" s="53">
        <v>1.5768641132996253E-4</v>
      </c>
      <c r="W3" s="53">
        <v>1.5610954721666291E-4</v>
      </c>
      <c r="X3" s="53">
        <v>1.5454845174449629E-4</v>
      </c>
      <c r="Y3" s="53">
        <v>1.5300296722705131E-4</v>
      </c>
      <c r="Z3" s="53">
        <v>1.5147293755478079E-4</v>
      </c>
      <c r="AA3" s="53">
        <v>1.4995820817923297E-4</v>
      </c>
      <c r="AB3" s="53">
        <v>1.4845862609744065E-4</v>
      </c>
      <c r="AC3" s="53">
        <v>1.4697403983646623E-4</v>
      </c>
      <c r="AD3" s="53">
        <v>1.4550429943810156E-4</v>
      </c>
      <c r="AE3" s="53">
        <v>1.4404925644372055E-4</v>
      </c>
      <c r="AF3" s="53">
        <v>1.4260876387928336E-4</v>
      </c>
      <c r="AG3" s="53">
        <v>1.4118267624049053E-4</v>
      </c>
      <c r="AH3" s="53">
        <v>1.3977084947808561E-4</v>
      </c>
      <c r="AI3" s="53">
        <v>1.3837314098330474E-4</v>
      </c>
      <c r="AJ3" s="53">
        <v>1.3698940957347169E-4</v>
      </c>
      <c r="AK3" s="53">
        <v>1.3561951547773698E-4</v>
      </c>
      <c r="AL3" s="53">
        <v>1.3426332032295962E-4</v>
      </c>
      <c r="AM3" s="53">
        <v>1.3292068711973003E-4</v>
      </c>
      <c r="AN3" s="53">
        <v>1.3159148024853272E-4</v>
      </c>
      <c r="AO3" s="53">
        <v>1.3027556544604739E-4</v>
      </c>
      <c r="AP3" s="53">
        <v>1.2897280979158691E-4</v>
      </c>
      <c r="AQ3" s="53">
        <v>1.2768308169367102E-4</v>
      </c>
      <c r="AR3" s="53">
        <v>1.2640625087673431E-4</v>
      </c>
      <c r="AS3" s="53">
        <v>1.2514218836796697E-4</v>
      </c>
      <c r="AT3" s="53">
        <v>1.2389076648428729E-4</v>
      </c>
      <c r="AU3" s="53">
        <v>1.2265185881944442E-4</v>
      </c>
      <c r="AV3" s="53">
        <v>1.2142534023124998E-4</v>
      </c>
      <c r="AW3" s="53">
        <v>1.2021108682893748E-4</v>
      </c>
      <c r="AX3" s="53">
        <v>1.190089759606481E-4</v>
      </c>
      <c r="AY3" s="53">
        <v>1.1781888620104162E-4</v>
      </c>
      <c r="AZ3" s="53">
        <v>1.166406973390312E-4</v>
      </c>
      <c r="BA3" s="53">
        <v>1.1547429036564089E-4</v>
      </c>
      <c r="BB3" s="53">
        <v>1.1431954746198448E-4</v>
      </c>
      <c r="BC3" s="53">
        <v>1.1317635198736463E-4</v>
      </c>
      <c r="BD3" s="53">
        <v>1.1204458846749099E-4</v>
      </c>
      <c r="BE3" s="53">
        <v>1.1092414258281608E-4</v>
      </c>
      <c r="BF3" s="53">
        <v>1.0981490115698791E-4</v>
      </c>
      <c r="BG3" s="53">
        <v>1.0871675214541803E-4</v>
      </c>
      <c r="BH3" s="53">
        <v>1.0762958462396385E-4</v>
      </c>
      <c r="BI3" s="53">
        <v>1.0655328877772421E-4</v>
      </c>
      <c r="BJ3" s="53">
        <v>1.0548775588994696E-4</v>
      </c>
      <c r="BK3" s="53">
        <v>1.0443287833104749E-4</v>
      </c>
      <c r="BL3" s="53">
        <v>1.0338854954773702E-4</v>
      </c>
      <c r="BM3" s="53">
        <v>1.0235466405225965E-4</v>
      </c>
      <c r="BN3" s="53">
        <v>1.0133111741173705E-4</v>
      </c>
      <c r="BO3" s="53">
        <v>1.0031780623761968E-4</v>
      </c>
      <c r="BP3" s="53">
        <v>9.9314628175243489E-5</v>
      </c>
      <c r="BQ3" s="53">
        <v>9.8321481893491049E-5</v>
      </c>
      <c r="BR3" s="53">
        <v>9.7338267074556137E-5</v>
      </c>
      <c r="BS3" s="53">
        <v>9.6364884403810576E-5</v>
      </c>
      <c r="BT3" s="53">
        <v>9.540123555977247E-5</v>
      </c>
      <c r="BU3" s="53">
        <v>9.4447223204174746E-5</v>
      </c>
      <c r="BV3" s="53">
        <v>9.3502750972133004E-5</v>
      </c>
      <c r="BW3" s="53">
        <v>9.2567723462411679E-5</v>
      </c>
      <c r="BX3" s="53">
        <v>9.1642046227787563E-5</v>
      </c>
      <c r="BY3" s="53">
        <v>9.0725625765509691E-5</v>
      </c>
      <c r="BZ3" s="53">
        <v>8.9818369507854598E-5</v>
      </c>
      <c r="CA3" s="53">
        <v>8.892018581277605E-5</v>
      </c>
      <c r="CB3" s="53">
        <v>8.8030983954648292E-5</v>
      </c>
      <c r="CC3" s="53">
        <v>8.7150674115101811E-5</v>
      </c>
      <c r="CD3" s="53">
        <v>8.6279167373950791E-5</v>
      </c>
      <c r="CE3" s="53">
        <v>8.5416375700211281E-5</v>
      </c>
      <c r="CF3" s="53">
        <v>8.4562211943209166E-5</v>
      </c>
      <c r="CG3" s="53">
        <v>8.3716589823777069E-5</v>
      </c>
      <c r="CH3" s="53">
        <v>8.2879423925539302E-5</v>
      </c>
      <c r="CI3" s="53">
        <v>8.2050629686283911E-5</v>
      </c>
      <c r="CJ3" s="53">
        <v>8.1230123389421069E-5</v>
      </c>
      <c r="CK3" s="53">
        <v>8.0417822155526858E-5</v>
      </c>
      <c r="CL3" s="53">
        <v>7.9613643933971586E-5</v>
      </c>
      <c r="CM3" s="53">
        <v>7.8817507494631864E-5</v>
      </c>
      <c r="CN3" s="53">
        <v>7.802933241968555E-5</v>
      </c>
      <c r="CO3" s="53">
        <v>7.7249039095488693E-5</v>
      </c>
      <c r="CP3" s="53">
        <v>7.6476548704533799E-5</v>
      </c>
      <c r="CQ3" s="53">
        <v>7.5711783217488458E-5</v>
      </c>
      <c r="CR3" s="53">
        <v>7.4954665385313567E-5</v>
      </c>
      <c r="CS3" s="53">
        <v>7.4205118731460426E-5</v>
      </c>
      <c r="CT3" s="53">
        <v>7.3463067544145825E-5</v>
      </c>
      <c r="CU3" s="53">
        <v>7.2728436868704365E-5</v>
      </c>
      <c r="CV3" s="53">
        <v>7.2001152500017325E-5</v>
      </c>
      <c r="CW3" s="53">
        <v>7.1281140975017153E-5</v>
      </c>
      <c r="CX3" s="53">
        <v>7.0568329565266983E-5</v>
      </c>
      <c r="CY3" s="28">
        <v>6.9862646269614311E-5</v>
      </c>
    </row>
    <row r="4" spans="1:103">
      <c r="A4" s="54">
        <v>22</v>
      </c>
      <c r="B4" s="54">
        <v>1.6200000000000001E-4</v>
      </c>
      <c r="C4" s="54">
        <v>1.6465680000000001E-4</v>
      </c>
      <c r="D4" s="54">
        <v>1.6701139224000001E-4</v>
      </c>
      <c r="E4" s="54">
        <v>1.6906563236455201E-4</v>
      </c>
      <c r="F4" s="54">
        <v>1.7073938212496109E-4</v>
      </c>
      <c r="G4" s="54">
        <v>1.7196870567626082E-4</v>
      </c>
      <c r="H4" s="54">
        <v>1.7272536798123637E-4</v>
      </c>
      <c r="I4" s="54">
        <v>1.7301900110680449E-4</v>
      </c>
      <c r="J4" s="54">
        <v>1.7289788780602971E-4</v>
      </c>
      <c r="K4" s="54">
        <v>1.7244835329773402E-4</v>
      </c>
      <c r="L4" s="54">
        <v>1.7177580471987287E-4</v>
      </c>
      <c r="M4" s="54">
        <v>1.7095128085721747E-4</v>
      </c>
      <c r="N4" s="54">
        <v>1.6997685855633132E-4</v>
      </c>
      <c r="O4" s="54">
        <v>1.6885501128985952E-4</v>
      </c>
      <c r="P4" s="54">
        <v>1.6760548420631456E-4</v>
      </c>
      <c r="Q4" s="54">
        <v>1.662478797842434E-4</v>
      </c>
      <c r="R4" s="54">
        <v>1.6480152323012048E-4</v>
      </c>
      <c r="S4" s="54">
        <v>1.6326886906408035E-4</v>
      </c>
      <c r="T4" s="53">
        <v>1.6168516103415875E-4</v>
      </c>
      <c r="U4" s="53">
        <v>1.6008447793992058E-4</v>
      </c>
      <c r="V4" s="53">
        <v>1.5848363316052139E-4</v>
      </c>
      <c r="W4" s="53">
        <v>1.5689879682891618E-4</v>
      </c>
      <c r="X4" s="53">
        <v>1.5532980886062703E-4</v>
      </c>
      <c r="Y4" s="53">
        <v>1.5377651077202076E-4</v>
      </c>
      <c r="Z4" s="53">
        <v>1.5223874566430056E-4</v>
      </c>
      <c r="AA4" s="53">
        <v>1.5071635820765756E-4</v>
      </c>
      <c r="AB4" s="53">
        <v>1.4920919462558098E-4</v>
      </c>
      <c r="AC4" s="53">
        <v>1.4771710267932517E-4</v>
      </c>
      <c r="AD4" s="53">
        <v>1.4623993165253192E-4</v>
      </c>
      <c r="AE4" s="53">
        <v>1.4477753233600659E-4</v>
      </c>
      <c r="AF4" s="53">
        <v>1.4332975701264653E-4</v>
      </c>
      <c r="AG4" s="53">
        <v>1.4189645944252008E-4</v>
      </c>
      <c r="AH4" s="53">
        <v>1.4047749484809486E-4</v>
      </c>
      <c r="AI4" s="53">
        <v>1.3907271989961392E-4</v>
      </c>
      <c r="AJ4" s="53">
        <v>1.3768199270061779E-4</v>
      </c>
      <c r="AK4" s="53">
        <v>1.3630517277361161E-4</v>
      </c>
      <c r="AL4" s="53">
        <v>1.3494212104587548E-4</v>
      </c>
      <c r="AM4" s="53">
        <v>1.3359269983541673E-4</v>
      </c>
      <c r="AN4" s="53">
        <v>1.3225677283706255E-4</v>
      </c>
      <c r="AO4" s="53">
        <v>1.3093420510869192E-4</v>
      </c>
      <c r="AP4" s="53">
        <v>1.2962486305760499E-4</v>
      </c>
      <c r="AQ4" s="53">
        <v>1.2832861442702893E-4</v>
      </c>
      <c r="AR4" s="53">
        <v>1.2704532828275864E-4</v>
      </c>
      <c r="AS4" s="53">
        <v>1.2577487499993106E-4</v>
      </c>
      <c r="AT4" s="53">
        <v>1.2451712624993175E-4</v>
      </c>
      <c r="AU4" s="53">
        <v>1.2327195498743244E-4</v>
      </c>
      <c r="AV4" s="53">
        <v>1.2203923543755812E-4</v>
      </c>
      <c r="AW4" s="53">
        <v>1.2081884308318254E-4</v>
      </c>
      <c r="AX4" s="53">
        <v>1.1961065465235071E-4</v>
      </c>
      <c r="AY4" s="53">
        <v>1.184145481058272E-4</v>
      </c>
      <c r="AZ4" s="53">
        <v>1.1723040262476892E-4</v>
      </c>
      <c r="BA4" s="53">
        <v>1.1605809859852123E-4</v>
      </c>
      <c r="BB4" s="53">
        <v>1.1489751761253601E-4</v>
      </c>
      <c r="BC4" s="53">
        <v>1.1374854243641064E-4</v>
      </c>
      <c r="BD4" s="53">
        <v>1.1261105701204654E-4</v>
      </c>
      <c r="BE4" s="53">
        <v>1.1148494644192607E-4</v>
      </c>
      <c r="BF4" s="53">
        <v>1.1037009697750681E-4</v>
      </c>
      <c r="BG4" s="53">
        <v>1.0926639600773174E-4</v>
      </c>
      <c r="BH4" s="53">
        <v>1.0817373204765442E-4</v>
      </c>
      <c r="BI4" s="53">
        <v>1.0709199472717787E-4</v>
      </c>
      <c r="BJ4" s="53">
        <v>1.060210747799061E-4</v>
      </c>
      <c r="BK4" s="53">
        <v>1.0496086403210704E-4</v>
      </c>
      <c r="BL4" s="53">
        <v>1.0391125539178597E-4</v>
      </c>
      <c r="BM4" s="53">
        <v>1.0287214283786811E-4</v>
      </c>
      <c r="BN4" s="53">
        <v>1.0184342140948942E-4</v>
      </c>
      <c r="BO4" s="53">
        <v>1.0082498719539453E-4</v>
      </c>
      <c r="BP4" s="53">
        <v>9.9816737323440592E-5</v>
      </c>
      <c r="BQ4" s="53">
        <v>9.8818569950206186E-5</v>
      </c>
      <c r="BR4" s="53">
        <v>9.7830384250704121E-5</v>
      </c>
      <c r="BS4" s="53">
        <v>9.6852080408197082E-5</v>
      </c>
      <c r="BT4" s="53">
        <v>9.5883559604115112E-5</v>
      </c>
      <c r="BU4" s="53">
        <v>9.4924724008073954E-5</v>
      </c>
      <c r="BV4" s="53">
        <v>9.3975476767993216E-5</v>
      </c>
      <c r="BW4" s="53">
        <v>9.3035722000313288E-5</v>
      </c>
      <c r="BX4" s="53">
        <v>9.2105364780310152E-5</v>
      </c>
      <c r="BY4" s="53">
        <v>9.1184311132507046E-5</v>
      </c>
      <c r="BZ4" s="53">
        <v>9.0272468021181969E-5</v>
      </c>
      <c r="CA4" s="53">
        <v>8.9369743340970148E-5</v>
      </c>
      <c r="CB4" s="53">
        <v>8.8476045907560452E-5</v>
      </c>
      <c r="CC4" s="53">
        <v>8.7591285448484845E-5</v>
      </c>
      <c r="CD4" s="53">
        <v>8.6715372593999991E-5</v>
      </c>
      <c r="CE4" s="53">
        <v>8.5848218868059996E-5</v>
      </c>
      <c r="CF4" s="53">
        <v>8.49897366793794E-5</v>
      </c>
      <c r="CG4" s="53">
        <v>8.4139839312585607E-5</v>
      </c>
      <c r="CH4" s="53">
        <v>8.3298440919459744E-5</v>
      </c>
      <c r="CI4" s="53">
        <v>8.2465456510265141E-5</v>
      </c>
      <c r="CJ4" s="53">
        <v>8.1640801945162482E-5</v>
      </c>
      <c r="CK4" s="53">
        <v>8.0824393925710855E-5</v>
      </c>
      <c r="CL4" s="53">
        <v>8.0016149986453746E-5</v>
      </c>
      <c r="CM4" s="53">
        <v>7.9215988486589206E-5</v>
      </c>
      <c r="CN4" s="53">
        <v>7.8423828601723318E-5</v>
      </c>
      <c r="CO4" s="53">
        <v>7.7639590315706087E-5</v>
      </c>
      <c r="CP4" s="53">
        <v>7.686319441254902E-5</v>
      </c>
      <c r="CQ4" s="53">
        <v>7.6094562468423529E-5</v>
      </c>
      <c r="CR4" s="53">
        <v>7.5333616843739287E-5</v>
      </c>
      <c r="CS4" s="53">
        <v>7.4580280675301896E-5</v>
      </c>
      <c r="CT4" s="53">
        <v>7.3834477868548875E-5</v>
      </c>
      <c r="CU4" s="53">
        <v>7.3096133089863382E-5</v>
      </c>
      <c r="CV4" s="53">
        <v>7.2365171758964747E-5</v>
      </c>
      <c r="CW4" s="53">
        <v>7.1641520041375103E-5</v>
      </c>
      <c r="CX4" s="53">
        <v>7.0925104840961355E-5</v>
      </c>
      <c r="CY4" s="28">
        <v>7.0215853792551745E-5</v>
      </c>
    </row>
    <row r="5" spans="1:103">
      <c r="A5" s="54">
        <v>23</v>
      </c>
      <c r="B5" s="54">
        <v>1.66E-4</v>
      </c>
      <c r="C5" s="54">
        <v>1.690378E-4</v>
      </c>
      <c r="D5" s="54">
        <v>1.7174240480000001E-4</v>
      </c>
      <c r="E5" s="54">
        <v>1.7399223030288002E-4</v>
      </c>
      <c r="F5" s="54">
        <v>1.7583654794409053E-4</v>
      </c>
      <c r="G5" s="54">
        <v>1.7719048936326004E-4</v>
      </c>
      <c r="H5" s="54">
        <v>1.7804100371220368E-4</v>
      </c>
      <c r="I5" s="54">
        <v>1.7837928161925688E-4</v>
      </c>
      <c r="J5" s="54">
        <v>1.7827225405028533E-4</v>
      </c>
      <c r="K5" s="54">
        <v>1.7780874618975457E-4</v>
      </c>
      <c r="L5" s="54">
        <v>1.7711529207961452E-4</v>
      </c>
      <c r="M5" s="54">
        <v>1.7626513867763236E-4</v>
      </c>
      <c r="N5" s="54">
        <v>1.7526042738716984E-4</v>
      </c>
      <c r="O5" s="54">
        <v>1.7410370856641452E-4</v>
      </c>
      <c r="P5" s="54">
        <v>1.7281534112302305E-4</v>
      </c>
      <c r="Q5" s="54">
        <v>1.7141553685992656E-4</v>
      </c>
      <c r="R5" s="54">
        <v>1.699242216892452E-4</v>
      </c>
      <c r="S5" s="54">
        <v>1.6834392642753522E-4</v>
      </c>
      <c r="T5" s="53">
        <v>1.6671099034118811E-4</v>
      </c>
      <c r="U5" s="53">
        <v>1.6506055153681033E-4</v>
      </c>
      <c r="V5" s="53">
        <v>1.6340994602144222E-4</v>
      </c>
      <c r="W5" s="53">
        <v>1.6177584656122779E-4</v>
      </c>
      <c r="X5" s="53">
        <v>1.601580880956155E-4</v>
      </c>
      <c r="Y5" s="53">
        <v>1.5855650721465934E-4</v>
      </c>
      <c r="Z5" s="53">
        <v>1.5697094214251275E-4</v>
      </c>
      <c r="AA5" s="53">
        <v>1.5540123272108762E-4</v>
      </c>
      <c r="AB5" s="53">
        <v>1.5384722039387674E-4</v>
      </c>
      <c r="AC5" s="53">
        <v>1.5230874818993796E-4</v>
      </c>
      <c r="AD5" s="53">
        <v>1.5078566070803859E-4</v>
      </c>
      <c r="AE5" s="53">
        <v>1.492778041009582E-4</v>
      </c>
      <c r="AF5" s="53">
        <v>1.477850260599486E-4</v>
      </c>
      <c r="AG5" s="53">
        <v>1.4630717579934912E-4</v>
      </c>
      <c r="AH5" s="53">
        <v>1.4484410404135562E-4</v>
      </c>
      <c r="AI5" s="53">
        <v>1.4339566300094206E-4</v>
      </c>
      <c r="AJ5" s="53">
        <v>1.4196170637093263E-4</v>
      </c>
      <c r="AK5" s="53">
        <v>1.405420893072233E-4</v>
      </c>
      <c r="AL5" s="53">
        <v>1.3913666841415106E-4</v>
      </c>
      <c r="AM5" s="53">
        <v>1.3774530173000954E-4</v>
      </c>
      <c r="AN5" s="53">
        <v>1.3636784871270944E-4</v>
      </c>
      <c r="AO5" s="53">
        <v>1.3500417022558234E-4</v>
      </c>
      <c r="AP5" s="53">
        <v>1.3365412852332651E-4</v>
      </c>
      <c r="AQ5" s="53">
        <v>1.3231758723809324E-4</v>
      </c>
      <c r="AR5" s="53">
        <v>1.309944113657123E-4</v>
      </c>
      <c r="AS5" s="53">
        <v>1.2968446725205516E-4</v>
      </c>
      <c r="AT5" s="53">
        <v>1.283876225795346E-4</v>
      </c>
      <c r="AU5" s="53">
        <v>1.2710374635373925E-4</v>
      </c>
      <c r="AV5" s="53">
        <v>1.2583270889020187E-4</v>
      </c>
      <c r="AW5" s="53">
        <v>1.2457438180129985E-4</v>
      </c>
      <c r="AX5" s="53">
        <v>1.2332863798328686E-4</v>
      </c>
      <c r="AY5" s="53">
        <v>1.22095351603454E-4</v>
      </c>
      <c r="AZ5" s="53">
        <v>1.2087439808741946E-4</v>
      </c>
      <c r="BA5" s="53">
        <v>1.1966565410654525E-4</v>
      </c>
      <c r="BB5" s="53">
        <v>1.184689975654798E-4</v>
      </c>
      <c r="BC5" s="53">
        <v>1.17284307589825E-4</v>
      </c>
      <c r="BD5" s="53">
        <v>1.1611146451392675E-4</v>
      </c>
      <c r="BE5" s="53">
        <v>1.1495034986878748E-4</v>
      </c>
      <c r="BF5" s="53">
        <v>1.138008463700996E-4</v>
      </c>
      <c r="BG5" s="53">
        <v>1.126628379063986E-4</v>
      </c>
      <c r="BH5" s="53">
        <v>1.1153620952733462E-4</v>
      </c>
      <c r="BI5" s="53">
        <v>1.1042084743206127E-4</v>
      </c>
      <c r="BJ5" s="53">
        <v>1.0931663895774065E-4</v>
      </c>
      <c r="BK5" s="53">
        <v>1.0822347256816324E-4</v>
      </c>
      <c r="BL5" s="53">
        <v>1.0714123784248161E-4</v>
      </c>
      <c r="BM5" s="53">
        <v>1.060698254640568E-4</v>
      </c>
      <c r="BN5" s="53">
        <v>1.0500912720941623E-4</v>
      </c>
      <c r="BO5" s="53">
        <v>1.0395903593732206E-4</v>
      </c>
      <c r="BP5" s="53">
        <v>1.0291944557794884E-4</v>
      </c>
      <c r="BQ5" s="53">
        <v>1.0189025112216935E-4</v>
      </c>
      <c r="BR5" s="53">
        <v>1.0087134861094766E-4</v>
      </c>
      <c r="BS5" s="53">
        <v>9.986263512483818E-5</v>
      </c>
      <c r="BT5" s="53">
        <v>9.8864008773589799E-5</v>
      </c>
      <c r="BU5" s="53">
        <v>9.7875368685853894E-5</v>
      </c>
      <c r="BV5" s="53">
        <v>9.6896614998995349E-5</v>
      </c>
      <c r="BW5" s="53">
        <v>9.59276488490054E-5</v>
      </c>
      <c r="BX5" s="53">
        <v>9.4968372360515349E-5</v>
      </c>
      <c r="BY5" s="53">
        <v>9.4018688636910198E-5</v>
      </c>
      <c r="BZ5" s="53">
        <v>9.3078501750541091E-5</v>
      </c>
      <c r="CA5" s="53">
        <v>9.2147716733035685E-5</v>
      </c>
      <c r="CB5" s="53">
        <v>9.1226239565705324E-5</v>
      </c>
      <c r="CC5" s="53">
        <v>9.0313977170048275E-5</v>
      </c>
      <c r="CD5" s="53">
        <v>8.9410837398347793E-5</v>
      </c>
      <c r="CE5" s="53">
        <v>8.8516729024364318E-5</v>
      </c>
      <c r="CF5" s="53">
        <v>8.7631561734120673E-5</v>
      </c>
      <c r="CG5" s="53">
        <v>8.6755246116779468E-5</v>
      </c>
      <c r="CH5" s="53">
        <v>8.5887693655611668E-5</v>
      </c>
      <c r="CI5" s="53">
        <v>8.5028816719055558E-5</v>
      </c>
      <c r="CJ5" s="53">
        <v>8.4178528551865001E-5</v>
      </c>
      <c r="CK5" s="53">
        <v>8.3336743266346355E-5</v>
      </c>
      <c r="CL5" s="53">
        <v>8.2503375833682893E-5</v>
      </c>
      <c r="CM5" s="53">
        <v>8.1678342075346063E-5</v>
      </c>
      <c r="CN5" s="53">
        <v>8.0861558654592595E-5</v>
      </c>
      <c r="CO5" s="53">
        <v>8.0052943068046668E-5</v>
      </c>
      <c r="CP5" s="53">
        <v>7.92524136373662E-5</v>
      </c>
      <c r="CQ5" s="53">
        <v>7.8459889500992532E-5</v>
      </c>
      <c r="CR5" s="53">
        <v>7.7675290605982601E-5</v>
      </c>
      <c r="CS5" s="53">
        <v>7.6898537699922776E-5</v>
      </c>
      <c r="CT5" s="53">
        <v>7.6129552322923551E-5</v>
      </c>
      <c r="CU5" s="53">
        <v>7.5368256799694317E-5</v>
      </c>
      <c r="CV5" s="53">
        <v>7.4614574231697376E-5</v>
      </c>
      <c r="CW5" s="53">
        <v>7.3868428489380403E-5</v>
      </c>
      <c r="CX5" s="53">
        <v>7.3129744204486594E-5</v>
      </c>
      <c r="CY5" s="28">
        <v>7.2398446762441732E-5</v>
      </c>
    </row>
    <row r="6" spans="1:103">
      <c r="A6" s="54">
        <v>24</v>
      </c>
      <c r="B6" s="54">
        <v>1.6899999999999999E-4</v>
      </c>
      <c r="C6" s="54">
        <v>1.7244759999999999E-4</v>
      </c>
      <c r="D6" s="54">
        <v>1.7553441204E-4</v>
      </c>
      <c r="E6" s="54">
        <v>1.7813232133819198E-4</v>
      </c>
      <c r="F6" s="54">
        <v>1.8014521656931358E-4</v>
      </c>
      <c r="G6" s="54">
        <v>1.8164042186683888E-4</v>
      </c>
      <c r="H6" s="54">
        <v>1.8258495206054646E-4</v>
      </c>
      <c r="I6" s="54">
        <v>1.8298663895507965E-4</v>
      </c>
      <c r="J6" s="54">
        <v>1.8289514563560213E-4</v>
      </c>
      <c r="K6" s="54">
        <v>1.8241961825694956E-4</v>
      </c>
      <c r="L6" s="54">
        <v>1.8170818174574746E-4</v>
      </c>
      <c r="M6" s="54">
        <v>1.8083598247336786E-4</v>
      </c>
      <c r="N6" s="54">
        <v>1.7980521737326967E-4</v>
      </c>
      <c r="O6" s="54">
        <v>1.7861850293860609E-4</v>
      </c>
      <c r="P6" s="54">
        <v>1.7729672601686042E-4</v>
      </c>
      <c r="Q6" s="54">
        <v>1.7586062253612385E-4</v>
      </c>
      <c r="R6" s="54">
        <v>1.7433063512005956E-4</v>
      </c>
      <c r="S6" s="54">
        <v>1.7270936021344301E-4</v>
      </c>
      <c r="T6" s="53">
        <v>1.7103407941937261E-4</v>
      </c>
      <c r="U6" s="53">
        <v>1.6934084203312083E-4</v>
      </c>
      <c r="V6" s="53">
        <v>1.6764743361278963E-4</v>
      </c>
      <c r="W6" s="53">
        <v>1.6597095927666172E-4</v>
      </c>
      <c r="X6" s="53">
        <v>1.6431124968389511E-4</v>
      </c>
      <c r="Y6" s="53">
        <v>1.6266813718705616E-4</v>
      </c>
      <c r="Z6" s="53">
        <v>1.610414558151856E-4</v>
      </c>
      <c r="AA6" s="53">
        <v>1.5943104125703373E-4</v>
      </c>
      <c r="AB6" s="53">
        <v>1.5783673084446338E-4</v>
      </c>
      <c r="AC6" s="53">
        <v>1.5625836353601875E-4</v>
      </c>
      <c r="AD6" s="53">
        <v>1.5469577990065856E-4</v>
      </c>
      <c r="AE6" s="53">
        <v>1.5314882210165198E-4</v>
      </c>
      <c r="AF6" s="53">
        <v>1.5161733388063546E-4</v>
      </c>
      <c r="AG6" s="53">
        <v>1.501011605418291E-4</v>
      </c>
      <c r="AH6" s="53">
        <v>1.4860014893641082E-4</v>
      </c>
      <c r="AI6" s="53">
        <v>1.4711414744704671E-4</v>
      </c>
      <c r="AJ6" s="53">
        <v>1.4564300597257624E-4</v>
      </c>
      <c r="AK6" s="53">
        <v>1.4418657591285048E-4</v>
      </c>
      <c r="AL6" s="53">
        <v>1.4274471015372197E-4</v>
      </c>
      <c r="AM6" s="53">
        <v>1.4131726305218476E-4</v>
      </c>
      <c r="AN6" s="53">
        <v>1.3990409042166291E-4</v>
      </c>
      <c r="AO6" s="53">
        <v>1.3850504951744627E-4</v>
      </c>
      <c r="AP6" s="53">
        <v>1.3711999902227181E-4</v>
      </c>
      <c r="AQ6" s="53">
        <v>1.3574879903204909E-4</v>
      </c>
      <c r="AR6" s="53">
        <v>1.343913110417286E-4</v>
      </c>
      <c r="AS6" s="53">
        <v>1.3304739793131132E-4</v>
      </c>
      <c r="AT6" s="53">
        <v>1.317169239519982E-4</v>
      </c>
      <c r="AU6" s="53">
        <v>1.303997547124782E-4</v>
      </c>
      <c r="AV6" s="53">
        <v>1.2909575716535342E-4</v>
      </c>
      <c r="AW6" s="53">
        <v>1.2780479959369987E-4</v>
      </c>
      <c r="AX6" s="53">
        <v>1.2652675159776288E-4</v>
      </c>
      <c r="AY6" s="53">
        <v>1.2526148408178526E-4</v>
      </c>
      <c r="AZ6" s="53">
        <v>1.240088692409674E-4</v>
      </c>
      <c r="BA6" s="53">
        <v>1.2276878054855771E-4</v>
      </c>
      <c r="BB6" s="53">
        <v>1.2154109274307214E-4</v>
      </c>
      <c r="BC6" s="53">
        <v>1.2032568181564142E-4</v>
      </c>
      <c r="BD6" s="53">
        <v>1.19122424997485E-4</v>
      </c>
      <c r="BE6" s="53">
        <v>1.1793120074751015E-4</v>
      </c>
      <c r="BF6" s="53">
        <v>1.1675188874003505E-4</v>
      </c>
      <c r="BG6" s="53">
        <v>1.1558436985263469E-4</v>
      </c>
      <c r="BH6" s="53">
        <v>1.1442852615410834E-4</v>
      </c>
      <c r="BI6" s="53">
        <v>1.1328424089256725E-4</v>
      </c>
      <c r="BJ6" s="53">
        <v>1.1215139848364158E-4</v>
      </c>
      <c r="BK6" s="53">
        <v>1.1102988449880517E-4</v>
      </c>
      <c r="BL6" s="53">
        <v>1.0991958565381711E-4</v>
      </c>
      <c r="BM6" s="53">
        <v>1.0882038979727895E-4</v>
      </c>
      <c r="BN6" s="53">
        <v>1.0773218589930615E-4</v>
      </c>
      <c r="BO6" s="53">
        <v>1.0665486404031309E-4</v>
      </c>
      <c r="BP6" s="53">
        <v>1.0558831539990996E-4</v>
      </c>
      <c r="BQ6" s="53">
        <v>1.0453243224591085E-4</v>
      </c>
      <c r="BR6" s="53">
        <v>1.0348710792345174E-4</v>
      </c>
      <c r="BS6" s="53">
        <v>1.0245223684421723E-4</v>
      </c>
      <c r="BT6" s="53">
        <v>1.0142771447577506E-4</v>
      </c>
      <c r="BU6" s="53">
        <v>1.0041343733101731E-4</v>
      </c>
      <c r="BV6" s="53">
        <v>9.9409302957707135E-5</v>
      </c>
      <c r="BW6" s="53">
        <v>9.8415209928130068E-5</v>
      </c>
      <c r="BX6" s="53">
        <v>9.7431057828848761E-5</v>
      </c>
      <c r="BY6" s="53">
        <v>9.645674725056027E-5</v>
      </c>
      <c r="BZ6" s="53">
        <v>9.5492179778054666E-5</v>
      </c>
      <c r="CA6" s="53">
        <v>9.4537257980274113E-5</v>
      </c>
      <c r="CB6" s="53">
        <v>9.359188540047137E-5</v>
      </c>
      <c r="CC6" s="53">
        <v>9.2655966546466656E-5</v>
      </c>
      <c r="CD6" s="53">
        <v>9.1729406881001983E-5</v>
      </c>
      <c r="CE6" s="53">
        <v>9.0812112812191958E-5</v>
      </c>
      <c r="CF6" s="53">
        <v>8.9903991684070036E-5</v>
      </c>
      <c r="CG6" s="53">
        <v>8.9004951767229337E-5</v>
      </c>
      <c r="CH6" s="53">
        <v>8.8114902249557039E-5</v>
      </c>
      <c r="CI6" s="53">
        <v>8.7233753227061462E-5</v>
      </c>
      <c r="CJ6" s="53">
        <v>8.6361415694790841E-5</v>
      </c>
      <c r="CK6" s="53">
        <v>8.5497801537842932E-5</v>
      </c>
      <c r="CL6" s="53">
        <v>8.4642823522464503E-5</v>
      </c>
      <c r="CM6" s="53">
        <v>8.3796395287239853E-5</v>
      </c>
      <c r="CN6" s="53">
        <v>8.2958431334367448E-5</v>
      </c>
      <c r="CO6" s="53">
        <v>8.2128847021023779E-5</v>
      </c>
      <c r="CP6" s="53">
        <v>8.1307558550813537E-5</v>
      </c>
      <c r="CQ6" s="53">
        <v>8.0494482965305395E-5</v>
      </c>
      <c r="CR6" s="53">
        <v>7.9689538135652334E-5</v>
      </c>
      <c r="CS6" s="53">
        <v>7.8892642754295808E-5</v>
      </c>
      <c r="CT6" s="53">
        <v>7.8103716326752845E-5</v>
      </c>
      <c r="CU6" s="53">
        <v>7.7322679163485314E-5</v>
      </c>
      <c r="CV6" s="53">
        <v>7.6549452371850457E-5</v>
      </c>
      <c r="CW6" s="53">
        <v>7.5783957848131949E-5</v>
      </c>
      <c r="CX6" s="53">
        <v>7.5026118269650634E-5</v>
      </c>
      <c r="CY6" s="28">
        <v>7.4275857086954133E-5</v>
      </c>
    </row>
    <row r="7" spans="1:103">
      <c r="A7" s="54">
        <v>25</v>
      </c>
      <c r="B7" s="54">
        <v>1.73E-4</v>
      </c>
      <c r="C7" s="54">
        <v>1.7692709999999999E-4</v>
      </c>
      <c r="D7" s="54">
        <v>1.8044794928999999E-4</v>
      </c>
      <c r="E7" s="54">
        <v>1.8344338524821398E-4</v>
      </c>
      <c r="F7" s="54">
        <v>1.857914605793911E-4</v>
      </c>
      <c r="G7" s="54">
        <v>1.8742642543248972E-4</v>
      </c>
      <c r="H7" s="54">
        <v>1.8847601341491168E-4</v>
      </c>
      <c r="I7" s="54">
        <v>1.8892835584710747E-4</v>
      </c>
      <c r="J7" s="54">
        <v>1.8887167734035334E-4</v>
      </c>
      <c r="K7" s="54">
        <v>1.8839949814700247E-4</v>
      </c>
      <c r="L7" s="54">
        <v>1.8766474010422916E-4</v>
      </c>
      <c r="M7" s="54">
        <v>1.8676394935172885E-4</v>
      </c>
      <c r="N7" s="54">
        <v>1.85699394840424E-4</v>
      </c>
      <c r="O7" s="54">
        <v>1.8447377883447718E-4</v>
      </c>
      <c r="P7" s="54">
        <v>1.8310867287110207E-4</v>
      </c>
      <c r="Q7" s="54">
        <v>1.8162549262084614E-4</v>
      </c>
      <c r="R7" s="54">
        <v>1.8004535083504479E-4</v>
      </c>
      <c r="S7" s="54">
        <v>1.7837092907227887E-4</v>
      </c>
      <c r="T7" s="53">
        <v>1.7664073106027776E-4</v>
      </c>
      <c r="U7" s="53">
        <v>1.74891987822781E-4</v>
      </c>
      <c r="V7" s="53">
        <v>1.731430679445532E-4</v>
      </c>
      <c r="W7" s="53">
        <v>1.7141163726510766E-4</v>
      </c>
      <c r="X7" s="53">
        <v>1.6969752089245657E-4</v>
      </c>
      <c r="Y7" s="53">
        <v>1.6800054568353199E-4</v>
      </c>
      <c r="Z7" s="53">
        <v>1.6632054022669668E-4</v>
      </c>
      <c r="AA7" s="53">
        <v>1.646573348244297E-4</v>
      </c>
      <c r="AB7" s="53">
        <v>1.6301076147618541E-4</v>
      </c>
      <c r="AC7" s="53">
        <v>1.6138065386142356E-4</v>
      </c>
      <c r="AD7" s="53">
        <v>1.5976684732280932E-4</v>
      </c>
      <c r="AE7" s="53">
        <v>1.5816917884958122E-4</v>
      </c>
      <c r="AF7" s="53">
        <v>1.5658748706108542E-4</v>
      </c>
      <c r="AG7" s="53">
        <v>1.5502161219047456E-4</v>
      </c>
      <c r="AH7" s="53">
        <v>1.5347139606856981E-4</v>
      </c>
      <c r="AI7" s="53">
        <v>1.5193668210788412E-4</v>
      </c>
      <c r="AJ7" s="53">
        <v>1.5041731528680528E-4</v>
      </c>
      <c r="AK7" s="53">
        <v>1.4891314213393722E-4</v>
      </c>
      <c r="AL7" s="53">
        <v>1.4742401071259783E-4</v>
      </c>
      <c r="AM7" s="53">
        <v>1.4594977060547186E-4</v>
      </c>
      <c r="AN7" s="53">
        <v>1.4449027289941714E-4</v>
      </c>
      <c r="AO7" s="53">
        <v>1.4304537017042297E-4</v>
      </c>
      <c r="AP7" s="53">
        <v>1.4161491646871873E-4</v>
      </c>
      <c r="AQ7" s="53">
        <v>1.4019876730403155E-4</v>
      </c>
      <c r="AR7" s="53">
        <v>1.3879677963099123E-4</v>
      </c>
      <c r="AS7" s="53">
        <v>1.3740881183468132E-4</v>
      </c>
      <c r="AT7" s="53">
        <v>1.3603472371633449E-4</v>
      </c>
      <c r="AU7" s="53">
        <v>1.3467437647917115E-4</v>
      </c>
      <c r="AV7" s="53">
        <v>1.3332763271437943E-4</v>
      </c>
      <c r="AW7" s="53">
        <v>1.3199435638723564E-4</v>
      </c>
      <c r="AX7" s="53">
        <v>1.3067441282336328E-4</v>
      </c>
      <c r="AY7" s="53">
        <v>1.2936766869512965E-4</v>
      </c>
      <c r="AZ7" s="53">
        <v>1.2807399200817835E-4</v>
      </c>
      <c r="BA7" s="53">
        <v>1.2679325208809656E-4</v>
      </c>
      <c r="BB7" s="53">
        <v>1.255253195672156E-4</v>
      </c>
      <c r="BC7" s="53">
        <v>1.2427006637154343E-4</v>
      </c>
      <c r="BD7" s="53">
        <v>1.2302736570782801E-4</v>
      </c>
      <c r="BE7" s="53">
        <v>1.2179709205074973E-4</v>
      </c>
      <c r="BF7" s="53">
        <v>1.2057912113024223E-4</v>
      </c>
      <c r="BG7" s="53">
        <v>1.1937332991893981E-4</v>
      </c>
      <c r="BH7" s="53">
        <v>1.1817959661975041E-4</v>
      </c>
      <c r="BI7" s="53">
        <v>1.169978006535529E-4</v>
      </c>
      <c r="BJ7" s="53">
        <v>1.1582782264701737E-4</v>
      </c>
      <c r="BK7" s="53">
        <v>1.146695444205472E-4</v>
      </c>
      <c r="BL7" s="53">
        <v>1.1352284897634173E-4</v>
      </c>
      <c r="BM7" s="53">
        <v>1.1238762048657832E-4</v>
      </c>
      <c r="BN7" s="53">
        <v>1.1126374428171254E-4</v>
      </c>
      <c r="BO7" s="53">
        <v>1.1015110683889541E-4</v>
      </c>
      <c r="BP7" s="53">
        <v>1.0904959577050645E-4</v>
      </c>
      <c r="BQ7" s="53">
        <v>1.0795909981280138E-4</v>
      </c>
      <c r="BR7" s="53">
        <v>1.0687950881467336E-4</v>
      </c>
      <c r="BS7" s="53">
        <v>1.0581071372652662E-4</v>
      </c>
      <c r="BT7" s="53">
        <v>1.0475260658926135E-4</v>
      </c>
      <c r="BU7" s="53">
        <v>1.0370508052336875E-4</v>
      </c>
      <c r="BV7" s="53">
        <v>1.0266802971813506E-4</v>
      </c>
      <c r="BW7" s="53">
        <v>1.016413494209537E-4</v>
      </c>
      <c r="BX7" s="53">
        <v>1.0062493592674416E-4</v>
      </c>
      <c r="BY7" s="53">
        <v>9.961868656747672E-5</v>
      </c>
      <c r="BZ7" s="53">
        <v>9.8622499701801956E-5</v>
      </c>
      <c r="CA7" s="53">
        <v>9.7636274704783929E-5</v>
      </c>
      <c r="CB7" s="53">
        <v>9.665991195773609E-5</v>
      </c>
      <c r="CC7" s="53">
        <v>9.5693312838158732E-5</v>
      </c>
      <c r="CD7" s="53">
        <v>9.4736379709777139E-5</v>
      </c>
      <c r="CE7" s="53">
        <v>9.378901591267937E-5</v>
      </c>
      <c r="CF7" s="53">
        <v>9.2851125753552573E-5</v>
      </c>
      <c r="CG7" s="53">
        <v>9.1922614496017051E-5</v>
      </c>
      <c r="CH7" s="53">
        <v>9.1003388351056875E-5</v>
      </c>
      <c r="CI7" s="53">
        <v>9.0093354467546305E-5</v>
      </c>
      <c r="CJ7" s="53">
        <v>8.9192420922870841E-5</v>
      </c>
      <c r="CK7" s="53">
        <v>8.8300496713642133E-5</v>
      </c>
      <c r="CL7" s="53">
        <v>8.7417491746505705E-5</v>
      </c>
      <c r="CM7" s="53">
        <v>8.6543316829040652E-5</v>
      </c>
      <c r="CN7" s="53">
        <v>8.5677883660750245E-5</v>
      </c>
      <c r="CO7" s="53">
        <v>8.482110482414274E-5</v>
      </c>
      <c r="CP7" s="53">
        <v>8.3972893775901314E-5</v>
      </c>
      <c r="CQ7" s="53">
        <v>8.31331648381423E-5</v>
      </c>
      <c r="CR7" s="53">
        <v>8.2301833189760875E-5</v>
      </c>
      <c r="CS7" s="53">
        <v>8.1478814857863268E-5</v>
      </c>
      <c r="CT7" s="53">
        <v>8.0664026709284631E-5</v>
      </c>
      <c r="CU7" s="53">
        <v>7.9857386442191782E-5</v>
      </c>
      <c r="CV7" s="53">
        <v>7.905881257776987E-5</v>
      </c>
      <c r="CW7" s="53">
        <v>7.8268224451992166E-5</v>
      </c>
      <c r="CX7" s="53">
        <v>7.7485542207472247E-5</v>
      </c>
      <c r="CY7" s="28">
        <v>7.671068678539753E-5</v>
      </c>
    </row>
    <row r="8" spans="1:103">
      <c r="A8" s="54">
        <v>26</v>
      </c>
      <c r="B8" s="54">
        <v>1.7899999999999999E-4</v>
      </c>
      <c r="C8" s="54">
        <v>1.8347499999999997E-4</v>
      </c>
      <c r="D8" s="54">
        <v>1.8752979749999998E-4</v>
      </c>
      <c r="E8" s="54">
        <v>1.9099909875374999E-4</v>
      </c>
      <c r="F8" s="54">
        <v>1.9374948577580397E-4</v>
      </c>
      <c r="G8" s="54">
        <v>1.9570635558213961E-4</v>
      </c>
      <c r="H8" s="54">
        <v>1.9688059371563246E-4</v>
      </c>
      <c r="I8" s="54">
        <v>1.9741217131866466E-4</v>
      </c>
      <c r="J8" s="54">
        <v>1.9737268888440093E-4</v>
      </c>
      <c r="K8" s="54">
        <v>1.9687925716218994E-4</v>
      </c>
      <c r="L8" s="54">
        <v>1.961114280592574E-4</v>
      </c>
      <c r="M8" s="54">
        <v>1.9517009320457296E-4</v>
      </c>
      <c r="N8" s="54">
        <v>1.9405762367330688E-4</v>
      </c>
      <c r="O8" s="54">
        <v>1.9277684335706303E-4</v>
      </c>
      <c r="P8" s="54">
        <v>1.9135029471622076E-4</v>
      </c>
      <c r="Q8" s="54">
        <v>1.8980035732901938E-4</v>
      </c>
      <c r="R8" s="54">
        <v>1.881490942202569E-4</v>
      </c>
      <c r="S8" s="54">
        <v>1.8639930764400851E-4</v>
      </c>
      <c r="T8" s="53">
        <v>1.8459123435986163E-4</v>
      </c>
      <c r="U8" s="53">
        <v>1.82763781139699E-4</v>
      </c>
      <c r="V8" s="53">
        <v>1.80936143328302E-4</v>
      </c>
      <c r="W8" s="53">
        <v>1.7912678189501899E-4</v>
      </c>
      <c r="X8" s="53">
        <v>1.773355140760688E-4</v>
      </c>
      <c r="Y8" s="53">
        <v>1.7556215893530812E-4</v>
      </c>
      <c r="Z8" s="53">
        <v>1.7380653734595504E-4</v>
      </c>
      <c r="AA8" s="53">
        <v>1.7206847197249548E-4</v>
      </c>
      <c r="AB8" s="53">
        <v>1.7034778725277052E-4</v>
      </c>
      <c r="AC8" s="53">
        <v>1.686443093802428E-4</v>
      </c>
      <c r="AD8" s="53">
        <v>1.6695786628644036E-4</v>
      </c>
      <c r="AE8" s="53">
        <v>1.6528828762357595E-4</v>
      </c>
      <c r="AF8" s="53">
        <v>1.6363540474734019E-4</v>
      </c>
      <c r="AG8" s="53">
        <v>1.619990506998668E-4</v>
      </c>
      <c r="AH8" s="53">
        <v>1.6037906019286812E-4</v>
      </c>
      <c r="AI8" s="53">
        <v>1.5877526959093944E-4</v>
      </c>
      <c r="AJ8" s="53">
        <v>1.5718751689503004E-4</v>
      </c>
      <c r="AK8" s="53">
        <v>1.5561564172607975E-4</v>
      </c>
      <c r="AL8" s="53">
        <v>1.5405948530881897E-4</v>
      </c>
      <c r="AM8" s="53">
        <v>1.5251889045573078E-4</v>
      </c>
      <c r="AN8" s="53">
        <v>1.5099370155117347E-4</v>
      </c>
      <c r="AO8" s="53">
        <v>1.4948376453566173E-4</v>
      </c>
      <c r="AP8" s="53">
        <v>1.4798892689030512E-4</v>
      </c>
      <c r="AQ8" s="53">
        <v>1.4650903762140208E-4</v>
      </c>
      <c r="AR8" s="53">
        <v>1.4504394724518805E-4</v>
      </c>
      <c r="AS8" s="53">
        <v>1.4359350777273618E-4</v>
      </c>
      <c r="AT8" s="53">
        <v>1.4215757269500881E-4</v>
      </c>
      <c r="AU8" s="53">
        <v>1.4073599696805871E-4</v>
      </c>
      <c r="AV8" s="53">
        <v>1.3932863699837812E-4</v>
      </c>
      <c r="AW8" s="53">
        <v>1.3793535062839435E-4</v>
      </c>
      <c r="AX8" s="53">
        <v>1.3655599712211039E-4</v>
      </c>
      <c r="AY8" s="53">
        <v>1.3519043715088928E-4</v>
      </c>
      <c r="AZ8" s="53">
        <v>1.338385327793804E-4</v>
      </c>
      <c r="BA8" s="53">
        <v>1.3250014745158661E-4</v>
      </c>
      <c r="BB8" s="53">
        <v>1.3117514597707074E-4</v>
      </c>
      <c r="BC8" s="53">
        <v>1.2986339451730004E-4</v>
      </c>
      <c r="BD8" s="53">
        <v>1.2856476057212705E-4</v>
      </c>
      <c r="BE8" s="53">
        <v>1.2727911296640579E-4</v>
      </c>
      <c r="BF8" s="53">
        <v>1.2600632183674173E-4</v>
      </c>
      <c r="BG8" s="53">
        <v>1.2474625861837432E-4</v>
      </c>
      <c r="BH8" s="53">
        <v>1.2349879603219057E-4</v>
      </c>
      <c r="BI8" s="53">
        <v>1.2226380807186865E-4</v>
      </c>
      <c r="BJ8" s="53">
        <v>1.2104116999114996E-4</v>
      </c>
      <c r="BK8" s="53">
        <v>1.1983075829123846E-4</v>
      </c>
      <c r="BL8" s="53">
        <v>1.1863245070832607E-4</v>
      </c>
      <c r="BM8" s="53">
        <v>1.1744612620124282E-4</v>
      </c>
      <c r="BN8" s="53">
        <v>1.1627166493923038E-4</v>
      </c>
      <c r="BO8" s="53">
        <v>1.1510894828983808E-4</v>
      </c>
      <c r="BP8" s="53">
        <v>1.139578588069397E-4</v>
      </c>
      <c r="BQ8" s="53">
        <v>1.128182802188703E-4</v>
      </c>
      <c r="BR8" s="53">
        <v>1.116900974166816E-4</v>
      </c>
      <c r="BS8" s="53">
        <v>1.1057319644251477E-4</v>
      </c>
      <c r="BT8" s="53">
        <v>1.0946746447808963E-4</v>
      </c>
      <c r="BU8" s="53">
        <v>1.0837278983330873E-4</v>
      </c>
      <c r="BV8" s="53">
        <v>1.0728906193497564E-4</v>
      </c>
      <c r="BW8" s="53">
        <v>1.0621617131562588E-4</v>
      </c>
      <c r="BX8" s="53">
        <v>1.0515400960246962E-4</v>
      </c>
      <c r="BY8" s="53">
        <v>1.0410246950644493E-4</v>
      </c>
      <c r="BZ8" s="53">
        <v>1.0306144481138047E-4</v>
      </c>
      <c r="CA8" s="53">
        <v>1.0203083036326667E-4</v>
      </c>
      <c r="CB8" s="53">
        <v>1.01010522059634E-4</v>
      </c>
      <c r="CC8" s="53">
        <v>1.0000041683903766E-4</v>
      </c>
      <c r="CD8" s="53">
        <v>9.9000412670647282E-5</v>
      </c>
      <c r="CE8" s="53">
        <v>9.8010408543940802E-5</v>
      </c>
      <c r="CF8" s="53">
        <v>9.703030445850139E-5</v>
      </c>
      <c r="CG8" s="53">
        <v>9.6060001413916373E-5</v>
      </c>
      <c r="CH8" s="53">
        <v>9.5099401399777205E-5</v>
      </c>
      <c r="CI8" s="53">
        <v>9.4148407385779428E-5</v>
      </c>
      <c r="CJ8" s="53">
        <v>9.3206923311921631E-5</v>
      </c>
      <c r="CK8" s="53">
        <v>9.227485407880241E-5</v>
      </c>
      <c r="CL8" s="53">
        <v>9.1352105538014379E-5</v>
      </c>
      <c r="CM8" s="53">
        <v>9.0438584482634238E-5</v>
      </c>
      <c r="CN8" s="53">
        <v>8.953419863780789E-5</v>
      </c>
      <c r="CO8" s="53">
        <v>8.8638856651429806E-5</v>
      </c>
      <c r="CP8" s="53">
        <v>8.775246808491551E-5</v>
      </c>
      <c r="CQ8" s="53">
        <v>8.6874943404066356E-5</v>
      </c>
      <c r="CR8" s="53">
        <v>8.6006193970025686E-5</v>
      </c>
      <c r="CS8" s="53">
        <v>8.5146132030325435E-5</v>
      </c>
      <c r="CT8" s="53">
        <v>8.4294670710022179E-5</v>
      </c>
      <c r="CU8" s="53">
        <v>8.3451724002921957E-5</v>
      </c>
      <c r="CV8" s="53">
        <v>8.2617206762892735E-5</v>
      </c>
      <c r="CW8" s="53">
        <v>8.179103469526381E-5</v>
      </c>
      <c r="CX8" s="53">
        <v>8.0973124348311174E-5</v>
      </c>
      <c r="CY8" s="28">
        <v>8.0163393104828065E-5</v>
      </c>
    </row>
    <row r="9" spans="1:103">
      <c r="A9" s="54">
        <v>27</v>
      </c>
      <c r="B9" s="54">
        <v>1.8699999999999999E-4</v>
      </c>
      <c r="C9" s="54">
        <v>1.9210510000000001E-4</v>
      </c>
      <c r="D9" s="54">
        <v>1.9675404342000001E-4</v>
      </c>
      <c r="E9" s="54">
        <v>2.0076782590576801E-4</v>
      </c>
      <c r="F9" s="54">
        <v>2.0400018790285088E-4</v>
      </c>
      <c r="G9" s="54">
        <v>2.0634619006373368E-4</v>
      </c>
      <c r="H9" s="54">
        <v>2.0781124801318621E-4</v>
      </c>
      <c r="I9" s="54">
        <v>2.0841390063242442E-4</v>
      </c>
      <c r="J9" s="54">
        <v>2.0839305924236117E-4</v>
      </c>
      <c r="K9" s="54">
        <v>2.0787207659425528E-4</v>
      </c>
      <c r="L9" s="54">
        <v>2.0706137549553769E-4</v>
      </c>
      <c r="M9" s="54">
        <v>2.0606748089315911E-4</v>
      </c>
      <c r="N9" s="54">
        <v>2.0489289625206809E-4</v>
      </c>
      <c r="O9" s="54">
        <v>2.0354060313680444E-4</v>
      </c>
      <c r="P9" s="54">
        <v>2.0203440267359209E-4</v>
      </c>
      <c r="Q9" s="54">
        <v>2.00397924011936E-4</v>
      </c>
      <c r="R9" s="54">
        <v>1.9865446207303214E-4</v>
      </c>
      <c r="S9" s="54">
        <v>1.9680697557575294E-4</v>
      </c>
      <c r="T9" s="53">
        <v>1.9489794791266812E-4</v>
      </c>
      <c r="U9" s="53">
        <v>1.9296845822833271E-4</v>
      </c>
      <c r="V9" s="53">
        <v>1.9103877364604939E-4</v>
      </c>
      <c r="W9" s="53">
        <v>1.8912838590958889E-4</v>
      </c>
      <c r="X9" s="53">
        <v>1.8723710205049301E-4</v>
      </c>
      <c r="Y9" s="53">
        <v>1.8536473102998807E-4</v>
      </c>
      <c r="Z9" s="53">
        <v>1.8351108371968819E-4</v>
      </c>
      <c r="AA9" s="53">
        <v>1.8167597288249129E-4</v>
      </c>
      <c r="AB9" s="53">
        <v>1.7985921315366639E-4</v>
      </c>
      <c r="AC9" s="53">
        <v>1.7806062102212973E-4</v>
      </c>
      <c r="AD9" s="53">
        <v>1.7628001481190844E-4</v>
      </c>
      <c r="AE9" s="53">
        <v>1.7451721466378936E-4</v>
      </c>
      <c r="AF9" s="53">
        <v>1.7277204251715147E-4</v>
      </c>
      <c r="AG9" s="53">
        <v>1.7104432209197996E-4</v>
      </c>
      <c r="AH9" s="53">
        <v>1.6933387887106016E-4</v>
      </c>
      <c r="AI9" s="53">
        <v>1.6764054008234954E-4</v>
      </c>
      <c r="AJ9" s="53">
        <v>1.6596413468152605E-4</v>
      </c>
      <c r="AK9" s="53">
        <v>1.6430449333471077E-4</v>
      </c>
      <c r="AL9" s="53">
        <v>1.6266144840136365E-4</v>
      </c>
      <c r="AM9" s="53">
        <v>1.6103483391735003E-4</v>
      </c>
      <c r="AN9" s="53">
        <v>1.5942448557817651E-4</v>
      </c>
      <c r="AO9" s="53">
        <v>1.5783024072239476E-4</v>
      </c>
      <c r="AP9" s="53">
        <v>1.5625193831517081E-4</v>
      </c>
      <c r="AQ9" s="53">
        <v>1.546894189320191E-4</v>
      </c>
      <c r="AR9" s="53">
        <v>1.5314252474269891E-4</v>
      </c>
      <c r="AS9" s="53">
        <v>1.5161109949527192E-4</v>
      </c>
      <c r="AT9" s="53">
        <v>1.500949885003192E-4</v>
      </c>
      <c r="AU9" s="53">
        <v>1.4859403861531602E-4</v>
      </c>
      <c r="AV9" s="53">
        <v>1.4710809822916286E-4</v>
      </c>
      <c r="AW9" s="53">
        <v>1.4563701724687122E-4</v>
      </c>
      <c r="AX9" s="53">
        <v>1.4418064707440252E-4</v>
      </c>
      <c r="AY9" s="53">
        <v>1.4273884060365849E-4</v>
      </c>
      <c r="AZ9" s="53">
        <v>1.4131145219762191E-4</v>
      </c>
      <c r="BA9" s="53">
        <v>1.398983376756457E-4</v>
      </c>
      <c r="BB9" s="53">
        <v>1.3849935429888923E-4</v>
      </c>
      <c r="BC9" s="53">
        <v>1.3711436075590033E-4</v>
      </c>
      <c r="BD9" s="53">
        <v>1.3574321714834132E-4</v>
      </c>
      <c r="BE9" s="53">
        <v>1.343857849768579E-4</v>
      </c>
      <c r="BF9" s="53">
        <v>1.3304192712708932E-4</v>
      </c>
      <c r="BG9" s="53">
        <v>1.3171150785581842E-4</v>
      </c>
      <c r="BH9" s="53">
        <v>1.3039439277726025E-4</v>
      </c>
      <c r="BI9" s="53">
        <v>1.2909044884948763E-4</v>
      </c>
      <c r="BJ9" s="53">
        <v>1.2779954436099275E-4</v>
      </c>
      <c r="BK9" s="53">
        <v>1.2652154891738281E-4</v>
      </c>
      <c r="BL9" s="53">
        <v>1.2525633342820897E-4</v>
      </c>
      <c r="BM9" s="53">
        <v>1.2400377009392689E-4</v>
      </c>
      <c r="BN9" s="53">
        <v>1.2276373239298761E-4</v>
      </c>
      <c r="BO9" s="53">
        <v>1.2153609506905774E-4</v>
      </c>
      <c r="BP9" s="53">
        <v>1.2032073411836716E-4</v>
      </c>
      <c r="BQ9" s="53">
        <v>1.1911752677718348E-4</v>
      </c>
      <c r="BR9" s="53">
        <v>1.1792635150941165E-4</v>
      </c>
      <c r="BS9" s="53">
        <v>1.1674708799431753E-4</v>
      </c>
      <c r="BT9" s="53">
        <v>1.1557961711437436E-4</v>
      </c>
      <c r="BU9" s="53">
        <v>1.1442382094323062E-4</v>
      </c>
      <c r="BV9" s="53">
        <v>1.1327958273379831E-4</v>
      </c>
      <c r="BW9" s="53">
        <v>1.1214678690646033E-4</v>
      </c>
      <c r="BX9" s="53">
        <v>1.1102531903739572E-4</v>
      </c>
      <c r="BY9" s="53">
        <v>1.0991506584702176E-4</v>
      </c>
      <c r="BZ9" s="53">
        <v>1.0881591518855154E-4</v>
      </c>
      <c r="CA9" s="53">
        <v>1.0772775603666602E-4</v>
      </c>
      <c r="CB9" s="53">
        <v>1.0665047847629936E-4</v>
      </c>
      <c r="CC9" s="53">
        <v>1.0558397369153636E-4</v>
      </c>
      <c r="CD9" s="53">
        <v>1.04528133954621E-4</v>
      </c>
      <c r="CE9" s="53">
        <v>1.0348285261507478E-4</v>
      </c>
      <c r="CF9" s="53">
        <v>1.0244802408892403E-4</v>
      </c>
      <c r="CG9" s="53">
        <v>1.0142354384803478E-4</v>
      </c>
      <c r="CH9" s="53">
        <v>1.0040930840955444E-4</v>
      </c>
      <c r="CI9" s="53">
        <v>9.9405215325458894E-5</v>
      </c>
      <c r="CJ9" s="53">
        <v>9.8411163172204308E-5</v>
      </c>
      <c r="CK9" s="53">
        <v>9.7427051540482264E-5</v>
      </c>
      <c r="CL9" s="53">
        <v>9.6452781025077434E-5</v>
      </c>
      <c r="CM9" s="53">
        <v>9.5488253214826661E-5</v>
      </c>
      <c r="CN9" s="53">
        <v>9.4533370682678398E-5</v>
      </c>
      <c r="CO9" s="53">
        <v>9.3588036975851606E-5</v>
      </c>
      <c r="CP9" s="53">
        <v>9.265215660609309E-5</v>
      </c>
      <c r="CQ9" s="53">
        <v>9.1725635040032163E-5</v>
      </c>
      <c r="CR9" s="53">
        <v>9.0808378689631846E-5</v>
      </c>
      <c r="CS9" s="53">
        <v>8.9900294902735522E-5</v>
      </c>
      <c r="CT9" s="53">
        <v>8.9001291953708168E-5</v>
      </c>
      <c r="CU9" s="53">
        <v>8.8111279034171092E-5</v>
      </c>
      <c r="CV9" s="53">
        <v>8.7230166243829375E-5</v>
      </c>
      <c r="CW9" s="53">
        <v>8.6357864581391086E-5</v>
      </c>
      <c r="CX9" s="53">
        <v>8.5494285935577168E-5</v>
      </c>
      <c r="CY9" s="28">
        <v>8.463934307622139E-5</v>
      </c>
    </row>
    <row r="10" spans="1:103">
      <c r="A10" s="54">
        <v>28</v>
      </c>
      <c r="B10" s="54">
        <v>1.9599999999999999E-4</v>
      </c>
      <c r="C10" s="54">
        <v>2.0178200000000001E-4</v>
      </c>
      <c r="D10" s="54">
        <v>2.071090448E-4</v>
      </c>
      <c r="E10" s="54">
        <v>2.1172757649904001E-4</v>
      </c>
      <c r="F10" s="54">
        <v>2.1549632736072292E-4</v>
      </c>
      <c r="G10" s="54">
        <v>2.1827622998367622E-4</v>
      </c>
      <c r="H10" s="54">
        <v>2.2006609506954237E-4</v>
      </c>
      <c r="I10" s="54">
        <v>2.2090234623080665E-4</v>
      </c>
      <c r="J10" s="54">
        <v>2.2090234623080665E-4</v>
      </c>
      <c r="K10" s="54">
        <v>2.2037218059985271E-4</v>
      </c>
      <c r="L10" s="54">
        <v>2.1951272909551329E-4</v>
      </c>
      <c r="M10" s="54">
        <v>2.1845906799585483E-4</v>
      </c>
      <c r="N10" s="54">
        <v>2.1721385130827844E-4</v>
      </c>
      <c r="O10" s="54">
        <v>2.1578023988964379E-4</v>
      </c>
      <c r="P10" s="54">
        <v>2.1418346611446043E-4</v>
      </c>
      <c r="Q10" s="54">
        <v>2.1244858003893329E-4</v>
      </c>
      <c r="R10" s="54">
        <v>2.1060027739259457E-4</v>
      </c>
      <c r="S10" s="54">
        <v>2.0864169481284343E-4</v>
      </c>
      <c r="T10" s="53">
        <v>2.0661787037315883E-4</v>
      </c>
      <c r="U10" s="53">
        <v>2.0457235345646454E-4</v>
      </c>
      <c r="V10" s="53">
        <v>2.025266299218999E-4</v>
      </c>
      <c r="W10" s="53">
        <v>2.0050136362268089E-4</v>
      </c>
      <c r="X10" s="53">
        <v>1.9849634998645406E-4</v>
      </c>
      <c r="Y10" s="53">
        <v>1.9651138648658952E-4</v>
      </c>
      <c r="Z10" s="53">
        <v>1.9454627262172362E-4</v>
      </c>
      <c r="AA10" s="53">
        <v>1.9260080989550639E-4</v>
      </c>
      <c r="AB10" s="53">
        <v>1.9067480179655132E-4</v>
      </c>
      <c r="AC10" s="53">
        <v>1.887680537785858E-4</v>
      </c>
      <c r="AD10" s="53">
        <v>1.8688037324079995E-4</v>
      </c>
      <c r="AE10" s="53">
        <v>1.8501156950839195E-4</v>
      </c>
      <c r="AF10" s="53">
        <v>1.8316145381330802E-4</v>
      </c>
      <c r="AG10" s="53">
        <v>1.8132983927517495E-4</v>
      </c>
      <c r="AH10" s="53">
        <v>1.7951654088242319E-4</v>
      </c>
      <c r="AI10" s="53">
        <v>1.7772137547359895E-4</v>
      </c>
      <c r="AJ10" s="53">
        <v>1.7594416171886297E-4</v>
      </c>
      <c r="AK10" s="53">
        <v>1.7418472010167433E-4</v>
      </c>
      <c r="AL10" s="53">
        <v>1.724428729006576E-4</v>
      </c>
      <c r="AM10" s="53">
        <v>1.7071844417165103E-4</v>
      </c>
      <c r="AN10" s="53">
        <v>1.6901125972993453E-4</v>
      </c>
      <c r="AO10" s="53">
        <v>1.6732114713263518E-4</v>
      </c>
      <c r="AP10" s="53">
        <v>1.6564793566130884E-4</v>
      </c>
      <c r="AQ10" s="53">
        <v>1.6399145630469577E-4</v>
      </c>
      <c r="AR10" s="53">
        <v>1.6235154174164881E-4</v>
      </c>
      <c r="AS10" s="53">
        <v>1.6072802632423233E-4</v>
      </c>
      <c r="AT10" s="53">
        <v>1.5912074606099001E-4</v>
      </c>
      <c r="AU10" s="53">
        <v>1.5752953860038012E-4</v>
      </c>
      <c r="AV10" s="53">
        <v>1.5595424321437632E-4</v>
      </c>
      <c r="AW10" s="53">
        <v>1.5439470078223256E-4</v>
      </c>
      <c r="AX10" s="53">
        <v>1.5285075377441024E-4</v>
      </c>
      <c r="AY10" s="53">
        <v>1.5132224623666613E-4</v>
      </c>
      <c r="AZ10" s="53">
        <v>1.4980902377429947E-4</v>
      </c>
      <c r="BA10" s="53">
        <v>1.4831093353655648E-4</v>
      </c>
      <c r="BB10" s="53">
        <v>1.4682782420119092E-4</v>
      </c>
      <c r="BC10" s="53">
        <v>1.45359545959179E-4</v>
      </c>
      <c r="BD10" s="53">
        <v>1.4390595049958721E-4</v>
      </c>
      <c r="BE10" s="53">
        <v>1.4246689099459134E-4</v>
      </c>
      <c r="BF10" s="53">
        <v>1.4104222208464543E-4</v>
      </c>
      <c r="BG10" s="53">
        <v>1.3963179986379898E-4</v>
      </c>
      <c r="BH10" s="53">
        <v>1.3823548186516098E-4</v>
      </c>
      <c r="BI10" s="53">
        <v>1.3685312704650937E-4</v>
      </c>
      <c r="BJ10" s="53">
        <v>1.3548459577604428E-4</v>
      </c>
      <c r="BK10" s="53">
        <v>1.3412974981828383E-4</v>
      </c>
      <c r="BL10" s="53">
        <v>1.32788452320101E-4</v>
      </c>
      <c r="BM10" s="53">
        <v>1.3146056779689998E-4</v>
      </c>
      <c r="BN10" s="53">
        <v>1.3014596211893099E-4</v>
      </c>
      <c r="BO10" s="53">
        <v>1.2884450249774169E-4</v>
      </c>
      <c r="BP10" s="53">
        <v>1.2755605747276428E-4</v>
      </c>
      <c r="BQ10" s="53">
        <v>1.2628049689803665E-4</v>
      </c>
      <c r="BR10" s="53">
        <v>1.2501769192905629E-4</v>
      </c>
      <c r="BS10" s="53">
        <v>1.2376751500976573E-4</v>
      </c>
      <c r="BT10" s="53">
        <v>1.2252983985966808E-4</v>
      </c>
      <c r="BU10" s="53">
        <v>1.2130454146107139E-4</v>
      </c>
      <c r="BV10" s="53">
        <v>1.2009149604646067E-4</v>
      </c>
      <c r="BW10" s="53">
        <v>1.1889058108599606E-4</v>
      </c>
      <c r="BX10" s="53">
        <v>1.177016752751361E-4</v>
      </c>
      <c r="BY10" s="53">
        <v>1.1652465852238475E-4</v>
      </c>
      <c r="BZ10" s="53">
        <v>1.153594119371609E-4</v>
      </c>
      <c r="CA10" s="53">
        <v>1.1420581781778929E-4</v>
      </c>
      <c r="CB10" s="53">
        <v>1.130637596396114E-4</v>
      </c>
      <c r="CC10" s="53">
        <v>1.1193312204321528E-4</v>
      </c>
      <c r="CD10" s="53">
        <v>1.1081379082278312E-4</v>
      </c>
      <c r="CE10" s="53">
        <v>1.0970565291455529E-4</v>
      </c>
      <c r="CF10" s="53">
        <v>1.0860859638540974E-4</v>
      </c>
      <c r="CG10" s="53">
        <v>1.0752251042155564E-4</v>
      </c>
      <c r="CH10" s="53">
        <v>1.0644728531734009E-4</v>
      </c>
      <c r="CI10" s="53">
        <v>1.0538281246416668E-4</v>
      </c>
      <c r="CJ10" s="53">
        <v>1.04328984339525E-4</v>
      </c>
      <c r="CK10" s="53">
        <v>1.0328569449612975E-4</v>
      </c>
      <c r="CL10" s="53">
        <v>1.0225283755116846E-4</v>
      </c>
      <c r="CM10" s="53">
        <v>1.0123030917565677E-4</v>
      </c>
      <c r="CN10" s="53">
        <v>1.0021800608390021E-4</v>
      </c>
      <c r="CO10" s="53">
        <v>9.9215826023061208E-5</v>
      </c>
      <c r="CP10" s="53">
        <v>9.8223667762830597E-5</v>
      </c>
      <c r="CQ10" s="53">
        <v>9.7241431085202284E-5</v>
      </c>
      <c r="CR10" s="53">
        <v>9.6269016774350256E-5</v>
      </c>
      <c r="CS10" s="53">
        <v>9.5306326606606749E-5</v>
      </c>
      <c r="CT10" s="53">
        <v>9.4353263340540681E-5</v>
      </c>
      <c r="CU10" s="53">
        <v>9.3409730707135275E-5</v>
      </c>
      <c r="CV10" s="53">
        <v>9.2475633400063923E-5</v>
      </c>
      <c r="CW10" s="53">
        <v>9.1550877066063279E-5</v>
      </c>
      <c r="CX10" s="53">
        <v>9.0635368295402641E-5</v>
      </c>
      <c r="CY10" s="28">
        <v>8.9729014612448615E-5</v>
      </c>
    </row>
    <row r="11" spans="1:103">
      <c r="A11" s="54">
        <v>29</v>
      </c>
      <c r="B11" s="54">
        <v>2.0599999999999999E-4</v>
      </c>
      <c r="C11" s="54">
        <v>2.12489E-4</v>
      </c>
      <c r="D11" s="54">
        <v>2.185236876E-4</v>
      </c>
      <c r="E11" s="54">
        <v>2.2381196083992E-4</v>
      </c>
      <c r="F11" s="54">
        <v>2.2815391288021446E-4</v>
      </c>
      <c r="G11" s="54">
        <v>2.3141651383440154E-4</v>
      </c>
      <c r="H11" s="54">
        <v>2.335686874130615E-4</v>
      </c>
      <c r="I11" s="54">
        <v>2.3466646024390288E-4</v>
      </c>
      <c r="J11" s="54">
        <v>2.3483072676607359E-4</v>
      </c>
      <c r="K11" s="54">
        <v>2.3426713302183503E-4</v>
      </c>
      <c r="L11" s="54">
        <v>2.3335349120304986E-4</v>
      </c>
      <c r="M11" s="54">
        <v>2.3223339444527523E-4</v>
      </c>
      <c r="N11" s="54">
        <v>2.3090966409693714E-4</v>
      </c>
      <c r="O11" s="54">
        <v>2.2938566031389734E-4</v>
      </c>
      <c r="P11" s="54">
        <v>2.276882064275745E-4</v>
      </c>
      <c r="Q11" s="54">
        <v>2.2584393195551115E-4</v>
      </c>
      <c r="R11" s="54">
        <v>2.2387908974749819E-4</v>
      </c>
      <c r="S11" s="54">
        <v>2.2179701421284645E-4</v>
      </c>
      <c r="T11" s="53">
        <v>2.1964558317498183E-4</v>
      </c>
      <c r="U11" s="53">
        <v>2.174710919015495E-4</v>
      </c>
      <c r="V11" s="53">
        <v>2.1529638098253401E-4</v>
      </c>
      <c r="W11" s="53">
        <v>2.1314341717270865E-4</v>
      </c>
      <c r="X11" s="53">
        <v>2.1101198300098157E-4</v>
      </c>
      <c r="Y11" s="53">
        <v>2.0890186317097176E-4</v>
      </c>
      <c r="Z11" s="53">
        <v>2.0681284453926205E-4</v>
      </c>
      <c r="AA11" s="53">
        <v>2.0474471609386943E-4</v>
      </c>
      <c r="AB11" s="53">
        <v>2.0269726893293072E-4</v>
      </c>
      <c r="AC11" s="53">
        <v>2.0067029624360142E-4</v>
      </c>
      <c r="AD11" s="53">
        <v>1.986635932811654E-4</v>
      </c>
      <c r="AE11" s="53">
        <v>1.9667695734835373E-4</v>
      </c>
      <c r="AF11" s="53">
        <v>1.9471018777487021E-4</v>
      </c>
      <c r="AG11" s="53">
        <v>1.9276308589712151E-4</v>
      </c>
      <c r="AH11" s="53">
        <v>1.9083545503815029E-4</v>
      </c>
      <c r="AI11" s="53">
        <v>1.889271004877688E-4</v>
      </c>
      <c r="AJ11" s="53">
        <v>1.870378294828911E-4</v>
      </c>
      <c r="AK11" s="53">
        <v>1.851674511880622E-4</v>
      </c>
      <c r="AL11" s="53">
        <v>1.8331577667618157E-4</v>
      </c>
      <c r="AM11" s="53">
        <v>1.8148261890941976E-4</v>
      </c>
      <c r="AN11" s="53">
        <v>1.7966779272032555E-4</v>
      </c>
      <c r="AO11" s="53">
        <v>1.7787111479312229E-4</v>
      </c>
      <c r="AP11" s="53">
        <v>1.7609240364519106E-4</v>
      </c>
      <c r="AQ11" s="53">
        <v>1.7433147960873915E-4</v>
      </c>
      <c r="AR11" s="53">
        <v>1.7258816481265175E-4</v>
      </c>
      <c r="AS11" s="53">
        <v>1.7086228316452523E-4</v>
      </c>
      <c r="AT11" s="53">
        <v>1.6915366033287997E-4</v>
      </c>
      <c r="AU11" s="53">
        <v>1.6746212372955116E-4</v>
      </c>
      <c r="AV11" s="53">
        <v>1.6578750249225565E-4</v>
      </c>
      <c r="AW11" s="53">
        <v>1.6412962746733308E-4</v>
      </c>
      <c r="AX11" s="53">
        <v>1.6248833119265974E-4</v>
      </c>
      <c r="AY11" s="53">
        <v>1.6086344788073315E-4</v>
      </c>
      <c r="AZ11" s="53">
        <v>1.5925481340192581E-4</v>
      </c>
      <c r="BA11" s="53">
        <v>1.5766226526790655E-4</v>
      </c>
      <c r="BB11" s="53">
        <v>1.5608564261522748E-4</v>
      </c>
      <c r="BC11" s="53">
        <v>1.545247861890752E-4</v>
      </c>
      <c r="BD11" s="53">
        <v>1.5297953832718445E-4</v>
      </c>
      <c r="BE11" s="53">
        <v>1.5144974294391261E-4</v>
      </c>
      <c r="BF11" s="53">
        <v>1.4993524551447349E-4</v>
      </c>
      <c r="BG11" s="53">
        <v>1.4843589305932876E-4</v>
      </c>
      <c r="BH11" s="53">
        <v>1.4695153412873547E-4</v>
      </c>
      <c r="BI11" s="53">
        <v>1.4548201878744811E-4</v>
      </c>
      <c r="BJ11" s="53">
        <v>1.4402719859957363E-4</v>
      </c>
      <c r="BK11" s="53">
        <v>1.4258692661357788E-4</v>
      </c>
      <c r="BL11" s="53">
        <v>1.4116105734744209E-4</v>
      </c>
      <c r="BM11" s="53">
        <v>1.3974944677396767E-4</v>
      </c>
      <c r="BN11" s="53">
        <v>1.3835195230622798E-4</v>
      </c>
      <c r="BO11" s="53">
        <v>1.369684327831657E-4</v>
      </c>
      <c r="BP11" s="53">
        <v>1.3559874845533404E-4</v>
      </c>
      <c r="BQ11" s="53">
        <v>1.3424276097078071E-4</v>
      </c>
      <c r="BR11" s="53">
        <v>1.3290033336107291E-4</v>
      </c>
      <c r="BS11" s="53">
        <v>1.3157133002746218E-4</v>
      </c>
      <c r="BT11" s="53">
        <v>1.3025561672718757E-4</v>
      </c>
      <c r="BU11" s="53">
        <v>1.2895306055991568E-4</v>
      </c>
      <c r="BV11" s="53">
        <v>1.2766352995431652E-4</v>
      </c>
      <c r="BW11" s="53">
        <v>1.2638689465477334E-4</v>
      </c>
      <c r="BX11" s="53">
        <v>1.251230257082256E-4</v>
      </c>
      <c r="BY11" s="53">
        <v>1.2387179545114336E-4</v>
      </c>
      <c r="BZ11" s="53">
        <v>1.2263307749663192E-4</v>
      </c>
      <c r="CA11" s="53">
        <v>1.214067467216656E-4</v>
      </c>
      <c r="CB11" s="53">
        <v>1.2019267925444894E-4</v>
      </c>
      <c r="CC11" s="53">
        <v>1.1899075246190446E-4</v>
      </c>
      <c r="CD11" s="53">
        <v>1.1780084493728541E-4</v>
      </c>
      <c r="CE11" s="53">
        <v>1.1662283648791256E-4</v>
      </c>
      <c r="CF11" s="53">
        <v>1.1545660812303343E-4</v>
      </c>
      <c r="CG11" s="53">
        <v>1.1430204204180309E-4</v>
      </c>
      <c r="CH11" s="53">
        <v>1.1315902162138507E-4</v>
      </c>
      <c r="CI11" s="53">
        <v>1.1202743140517122E-4</v>
      </c>
      <c r="CJ11" s="53">
        <v>1.109071570911195E-4</v>
      </c>
      <c r="CK11" s="53">
        <v>1.0979808552020831E-4</v>
      </c>
      <c r="CL11" s="53">
        <v>1.0870010466500623E-4</v>
      </c>
      <c r="CM11" s="53">
        <v>1.0761310361835617E-4</v>
      </c>
      <c r="CN11" s="53">
        <v>1.0653697258217261E-4</v>
      </c>
      <c r="CO11" s="53">
        <v>1.0547160285635088E-4</v>
      </c>
      <c r="CP11" s="53">
        <v>1.0441688682778736E-4</v>
      </c>
      <c r="CQ11" s="53">
        <v>1.0337271795950948E-4</v>
      </c>
      <c r="CR11" s="53">
        <v>1.0233899077991439E-4</v>
      </c>
      <c r="CS11" s="53">
        <v>1.0131560087211525E-4</v>
      </c>
      <c r="CT11" s="53">
        <v>1.0030244486339409E-4</v>
      </c>
      <c r="CU11" s="53">
        <v>9.9299420414760147E-5</v>
      </c>
      <c r="CV11" s="53">
        <v>9.8306426210612542E-5</v>
      </c>
      <c r="CW11" s="53">
        <v>9.7323361948506421E-5</v>
      </c>
      <c r="CX11" s="53">
        <v>9.6350128329021357E-5</v>
      </c>
      <c r="CY11" s="28">
        <v>9.5386627045731146E-5</v>
      </c>
    </row>
    <row r="12" spans="1:103">
      <c r="A12" s="54">
        <v>30</v>
      </c>
      <c r="B12" s="54">
        <v>2.1800000000000001E-4</v>
      </c>
      <c r="C12" s="54">
        <v>2.252376E-4</v>
      </c>
      <c r="D12" s="54">
        <v>2.3201725176E-4</v>
      </c>
      <c r="E12" s="54">
        <v>2.3802649858058401E-4</v>
      </c>
      <c r="F12" s="54">
        <v>2.4302505505077626E-4</v>
      </c>
      <c r="G12" s="54">
        <v>2.4684054841507346E-4</v>
      </c>
      <c r="H12" s="54">
        <v>2.4943237417343172E-4</v>
      </c>
      <c r="I12" s="54">
        <v>2.5082919546880298E-4</v>
      </c>
      <c r="J12" s="54">
        <v>2.5115527342291243E-4</v>
      </c>
      <c r="K12" s="54">
        <v>2.5067807840340887E-4</v>
      </c>
      <c r="L12" s="54">
        <v>2.4970043389763559E-4</v>
      </c>
      <c r="M12" s="54">
        <v>2.4850187181492693E-4</v>
      </c>
      <c r="N12" s="54">
        <v>2.4708541114558185E-4</v>
      </c>
      <c r="O12" s="54">
        <v>2.4545464743202101E-4</v>
      </c>
      <c r="P12" s="54">
        <v>2.4363828304102406E-4</v>
      </c>
      <c r="Q12" s="54">
        <v>2.4166481294839176E-4</v>
      </c>
      <c r="R12" s="54">
        <v>2.3956232907574075E-4</v>
      </c>
      <c r="S12" s="54">
        <v>2.3733439941533635E-4</v>
      </c>
      <c r="T12" s="53">
        <v>2.3503225574100759E-4</v>
      </c>
      <c r="U12" s="53">
        <v>2.3270543640917162E-4</v>
      </c>
      <c r="V12" s="53">
        <v>2.3037838204507989E-4</v>
      </c>
      <c r="W12" s="53">
        <v>2.2807459822462908E-4</v>
      </c>
      <c r="X12" s="53">
        <v>2.257938522423828E-4</v>
      </c>
      <c r="Y12" s="53">
        <v>2.2353591371995895E-4</v>
      </c>
      <c r="Z12" s="53">
        <v>2.2130055458275937E-4</v>
      </c>
      <c r="AA12" s="53">
        <v>2.1908754903693177E-4</v>
      </c>
      <c r="AB12" s="53">
        <v>2.1689667354656244E-4</v>
      </c>
      <c r="AC12" s="53">
        <v>2.1472770681109683E-4</v>
      </c>
      <c r="AD12" s="53">
        <v>2.1258042974298585E-4</v>
      </c>
      <c r="AE12" s="53">
        <v>2.10454625445556E-4</v>
      </c>
      <c r="AF12" s="53">
        <v>2.0835007919110042E-4</v>
      </c>
      <c r="AG12" s="53">
        <v>2.0626657839918942E-4</v>
      </c>
      <c r="AH12" s="53">
        <v>2.0420391261519752E-4</v>
      </c>
      <c r="AI12" s="53">
        <v>2.0216187348904554E-4</v>
      </c>
      <c r="AJ12" s="53">
        <v>2.001402547541551E-4</v>
      </c>
      <c r="AK12" s="53">
        <v>1.9813885220661354E-4</v>
      </c>
      <c r="AL12" s="53">
        <v>1.9615746368454741E-4</v>
      </c>
      <c r="AM12" s="53">
        <v>1.9419588904770195E-4</v>
      </c>
      <c r="AN12" s="53">
        <v>1.9225393015722493E-4</v>
      </c>
      <c r="AO12" s="53">
        <v>1.9033139085565268E-4</v>
      </c>
      <c r="AP12" s="53">
        <v>1.8842807694709616E-4</v>
      </c>
      <c r="AQ12" s="53">
        <v>1.8654379617762519E-4</v>
      </c>
      <c r="AR12" s="53">
        <v>1.8467835821584893E-4</v>
      </c>
      <c r="AS12" s="53">
        <v>1.8283157463369046E-4</v>
      </c>
      <c r="AT12" s="53">
        <v>1.8100325888735356E-4</v>
      </c>
      <c r="AU12" s="53">
        <v>1.7919322629848003E-4</v>
      </c>
      <c r="AV12" s="53">
        <v>1.7740129403549522E-4</v>
      </c>
      <c r="AW12" s="53">
        <v>1.7562728109514025E-4</v>
      </c>
      <c r="AX12" s="53">
        <v>1.7387100828418885E-4</v>
      </c>
      <c r="AY12" s="53">
        <v>1.7213229820134697E-4</v>
      </c>
      <c r="AZ12" s="53">
        <v>1.704109752193335E-4</v>
      </c>
      <c r="BA12" s="53">
        <v>1.6870686546714017E-4</v>
      </c>
      <c r="BB12" s="53">
        <v>1.6701979681246876E-4</v>
      </c>
      <c r="BC12" s="53">
        <v>1.6534959884434406E-4</v>
      </c>
      <c r="BD12" s="53">
        <v>1.6369610285590062E-4</v>
      </c>
      <c r="BE12" s="53">
        <v>1.6205914182734161E-4</v>
      </c>
      <c r="BF12" s="53">
        <v>1.604385504090682E-4</v>
      </c>
      <c r="BG12" s="53">
        <v>1.5883416490497751E-4</v>
      </c>
      <c r="BH12" s="53">
        <v>1.5724582325592773E-4</v>
      </c>
      <c r="BI12" s="53">
        <v>1.5567336502336846E-4</v>
      </c>
      <c r="BJ12" s="53">
        <v>1.5411663137313478E-4</v>
      </c>
      <c r="BK12" s="53">
        <v>1.5257546505940343E-4</v>
      </c>
      <c r="BL12" s="53">
        <v>1.5104971040880939E-4</v>
      </c>
      <c r="BM12" s="53">
        <v>1.4953921330472129E-4</v>
      </c>
      <c r="BN12" s="53">
        <v>1.4804382117167408E-4</v>
      </c>
      <c r="BO12" s="53">
        <v>1.4656338295995734E-4</v>
      </c>
      <c r="BP12" s="53">
        <v>1.4509774913035777E-4</v>
      </c>
      <c r="BQ12" s="53">
        <v>1.4364677163905421E-4</v>
      </c>
      <c r="BR12" s="53">
        <v>1.4221030392266366E-4</v>
      </c>
      <c r="BS12" s="53">
        <v>1.4078820088343701E-4</v>
      </c>
      <c r="BT12" s="53">
        <v>1.3938031887460265E-4</v>
      </c>
      <c r="BU12" s="53">
        <v>1.3798651568585661E-4</v>
      </c>
      <c r="BV12" s="53">
        <v>1.3660665052899805E-4</v>
      </c>
      <c r="BW12" s="53">
        <v>1.3524058402370807E-4</v>
      </c>
      <c r="BX12" s="53">
        <v>1.3388817818347099E-4</v>
      </c>
      <c r="BY12" s="53">
        <v>1.3254929640163629E-4</v>
      </c>
      <c r="BZ12" s="53">
        <v>1.3122380343761993E-4</v>
      </c>
      <c r="CA12" s="53">
        <v>1.2991156540324372E-4</v>
      </c>
      <c r="CB12" s="53">
        <v>1.286124497492113E-4</v>
      </c>
      <c r="CC12" s="53">
        <v>1.2732632525171917E-4</v>
      </c>
      <c r="CD12" s="53">
        <v>1.2605306199920199E-4</v>
      </c>
      <c r="CE12" s="53">
        <v>1.2479253137920998E-4</v>
      </c>
      <c r="CF12" s="53">
        <v>1.2354460606541789E-4</v>
      </c>
      <c r="CG12" s="53">
        <v>1.2230916000476369E-4</v>
      </c>
      <c r="CH12" s="53">
        <v>1.2108606840471605E-4</v>
      </c>
      <c r="CI12" s="53">
        <v>1.198752077206689E-4</v>
      </c>
      <c r="CJ12" s="53">
        <v>1.1867645564346221E-4</v>
      </c>
      <c r="CK12" s="53">
        <v>1.1748969108702758E-4</v>
      </c>
      <c r="CL12" s="53">
        <v>1.163147941761573E-4</v>
      </c>
      <c r="CM12" s="53">
        <v>1.1515164623439573E-4</v>
      </c>
      <c r="CN12" s="53">
        <v>1.1400012977205177E-4</v>
      </c>
      <c r="CO12" s="53">
        <v>1.1286012847433124E-4</v>
      </c>
      <c r="CP12" s="53">
        <v>1.1173152718958793E-4</v>
      </c>
      <c r="CQ12" s="53">
        <v>1.1061421191769205E-4</v>
      </c>
      <c r="CR12" s="53">
        <v>1.0950806979851512E-4</v>
      </c>
      <c r="CS12" s="53">
        <v>1.0841298910052997E-4</v>
      </c>
      <c r="CT12" s="53">
        <v>1.0732885920952467E-4</v>
      </c>
      <c r="CU12" s="53">
        <v>1.0625557061742942E-4</v>
      </c>
      <c r="CV12" s="53">
        <v>1.0519301491125513E-4</v>
      </c>
      <c r="CW12" s="53">
        <v>1.0414108476214257E-4</v>
      </c>
      <c r="CX12" s="53">
        <v>1.0309967391452114E-4</v>
      </c>
      <c r="CY12" s="28">
        <v>1.0206867717537593E-4</v>
      </c>
    </row>
    <row r="13" spans="1:103">
      <c r="A13" s="54">
        <v>31</v>
      </c>
      <c r="B13" s="54">
        <v>2.31E-4</v>
      </c>
      <c r="C13" s="54">
        <v>2.3899260000000001E-4</v>
      </c>
      <c r="D13" s="54">
        <v>2.4654476616000004E-4</v>
      </c>
      <c r="E13" s="54">
        <v>2.5330009275278405E-4</v>
      </c>
      <c r="F13" s="54">
        <v>2.5897401483044642E-4</v>
      </c>
      <c r="G13" s="54">
        <v>2.63376573082564E-4</v>
      </c>
      <c r="H13" s="54">
        <v>2.6643174133032175E-4</v>
      </c>
      <c r="I13" s="54">
        <v>2.6816354764896884E-4</v>
      </c>
      <c r="J13" s="54">
        <v>2.6872669109903168E-4</v>
      </c>
      <c r="K13" s="54">
        <v>2.6835047373149304E-4</v>
      </c>
      <c r="L13" s="54">
        <v>2.6741124707343284E-4</v>
      </c>
      <c r="M13" s="54">
        <v>2.6612767308748035E-4</v>
      </c>
      <c r="N13" s="54">
        <v>2.6461074535088168E-4</v>
      </c>
      <c r="O13" s="54">
        <v>2.6286431443156588E-4</v>
      </c>
      <c r="P13" s="54">
        <v>2.6091911850477232E-4</v>
      </c>
      <c r="Q13" s="54">
        <v>2.5880567364488366E-4</v>
      </c>
      <c r="R13" s="54">
        <v>2.5655406428417318E-4</v>
      </c>
      <c r="S13" s="54">
        <v>2.541681114863304E-4</v>
      </c>
      <c r="T13" s="53">
        <v>2.5170268080491301E-4</v>
      </c>
      <c r="U13" s="53">
        <v>2.4921082426494437E-4</v>
      </c>
      <c r="V13" s="53">
        <v>2.4671871602229494E-4</v>
      </c>
      <c r="W13" s="53">
        <v>2.4425152886207199E-4</v>
      </c>
      <c r="X13" s="53">
        <v>2.4180901357345126E-4</v>
      </c>
      <c r="Y13" s="53">
        <v>2.3939092343771675E-4</v>
      </c>
      <c r="Z13" s="53">
        <v>2.3699701420333959E-4</v>
      </c>
      <c r="AA13" s="53">
        <v>2.346270440613062E-4</v>
      </c>
      <c r="AB13" s="53">
        <v>2.3228077362069313E-4</v>
      </c>
      <c r="AC13" s="53">
        <v>2.299579658844862E-4</v>
      </c>
      <c r="AD13" s="53">
        <v>2.2765838622564133E-4</v>
      </c>
      <c r="AE13" s="53">
        <v>2.2538180236338491E-4</v>
      </c>
      <c r="AF13" s="53">
        <v>2.2312798433975106E-4</v>
      </c>
      <c r="AG13" s="53">
        <v>2.2089670449635355E-4</v>
      </c>
      <c r="AH13" s="53">
        <v>2.1868773745139001E-4</v>
      </c>
      <c r="AI13" s="53">
        <v>2.165008600768761E-4</v>
      </c>
      <c r="AJ13" s="53">
        <v>2.1433585147610733E-4</v>
      </c>
      <c r="AK13" s="53">
        <v>2.1219249296134624E-4</v>
      </c>
      <c r="AL13" s="53">
        <v>2.1007056803173279E-4</v>
      </c>
      <c r="AM13" s="53">
        <v>2.0796986235141547E-4</v>
      </c>
      <c r="AN13" s="53">
        <v>2.0589016372790132E-4</v>
      </c>
      <c r="AO13" s="53">
        <v>2.0383126209062231E-4</v>
      </c>
      <c r="AP13" s="53">
        <v>2.0179294946971607E-4</v>
      </c>
      <c r="AQ13" s="53">
        <v>1.9977501997501892E-4</v>
      </c>
      <c r="AR13" s="53">
        <v>1.9777726977526872E-4</v>
      </c>
      <c r="AS13" s="53">
        <v>1.9579949707751603E-4</v>
      </c>
      <c r="AT13" s="53">
        <v>1.9384150210674086E-4</v>
      </c>
      <c r="AU13" s="53">
        <v>1.9190308708567344E-4</v>
      </c>
      <c r="AV13" s="53">
        <v>1.8998405621481671E-4</v>
      </c>
      <c r="AW13" s="53">
        <v>1.8808421565266853E-4</v>
      </c>
      <c r="AX13" s="53">
        <v>1.8620337349614183E-4</v>
      </c>
      <c r="AY13" s="53">
        <v>1.843413397611804E-4</v>
      </c>
      <c r="AZ13" s="53">
        <v>1.8249792636356859E-4</v>
      </c>
      <c r="BA13" s="53">
        <v>1.806729470999329E-4</v>
      </c>
      <c r="BB13" s="53">
        <v>1.7886621762893356E-4</v>
      </c>
      <c r="BC13" s="53">
        <v>1.7707755545264421E-4</v>
      </c>
      <c r="BD13" s="53">
        <v>1.7530677989811776E-4</v>
      </c>
      <c r="BE13" s="53">
        <v>1.7355371209913658E-4</v>
      </c>
      <c r="BF13" s="53">
        <v>1.7181817497814521E-4</v>
      </c>
      <c r="BG13" s="53">
        <v>1.7009999322836376E-4</v>
      </c>
      <c r="BH13" s="53">
        <v>1.6839899329608012E-4</v>
      </c>
      <c r="BI13" s="53">
        <v>1.6671500336311933E-4</v>
      </c>
      <c r="BJ13" s="53">
        <v>1.6504785332948813E-4</v>
      </c>
      <c r="BK13" s="53">
        <v>1.6339737479619326E-4</v>
      </c>
      <c r="BL13" s="53">
        <v>1.6176340104823132E-4</v>
      </c>
      <c r="BM13" s="53">
        <v>1.6014576703774901E-4</v>
      </c>
      <c r="BN13" s="53">
        <v>1.5854430936737153E-4</v>
      </c>
      <c r="BO13" s="53">
        <v>1.5695886627369781E-4</v>
      </c>
      <c r="BP13" s="53">
        <v>1.5538927761096083E-4</v>
      </c>
      <c r="BQ13" s="53">
        <v>1.5383538483485122E-4</v>
      </c>
      <c r="BR13" s="53">
        <v>1.5229703098650272E-4</v>
      </c>
      <c r="BS13" s="53">
        <v>1.5077406067663768E-4</v>
      </c>
      <c r="BT13" s="53">
        <v>1.492663200698713E-4</v>
      </c>
      <c r="BU13" s="53">
        <v>1.4777365686917258E-4</v>
      </c>
      <c r="BV13" s="53">
        <v>1.4629592030048085E-4</v>
      </c>
      <c r="BW13" s="53">
        <v>1.4483296109747603E-4</v>
      </c>
      <c r="BX13" s="53">
        <v>1.4338463148650128E-4</v>
      </c>
      <c r="BY13" s="53">
        <v>1.4195078517163627E-4</v>
      </c>
      <c r="BZ13" s="53">
        <v>1.405312773199199E-4</v>
      </c>
      <c r="CA13" s="53">
        <v>1.3912596454672071E-4</v>
      </c>
      <c r="CB13" s="53">
        <v>1.377347049012535E-4</v>
      </c>
      <c r="CC13" s="53">
        <v>1.3635735785224096E-4</v>
      </c>
      <c r="CD13" s="53">
        <v>1.3499378427371856E-4</v>
      </c>
      <c r="CE13" s="53">
        <v>1.3364384643098137E-4</v>
      </c>
      <c r="CF13" s="53">
        <v>1.3230740796667156E-4</v>
      </c>
      <c r="CG13" s="53">
        <v>1.3098433388700485E-4</v>
      </c>
      <c r="CH13" s="53">
        <v>1.2967449054813481E-4</v>
      </c>
      <c r="CI13" s="53">
        <v>1.2837774564265346E-4</v>
      </c>
      <c r="CJ13" s="53">
        <v>1.2709396818622693E-4</v>
      </c>
      <c r="CK13" s="53">
        <v>1.2582302850436467E-4</v>
      </c>
      <c r="CL13" s="53">
        <v>1.2456479821932101E-4</v>
      </c>
      <c r="CM13" s="53">
        <v>1.233191502371278E-4</v>
      </c>
      <c r="CN13" s="53">
        <v>1.2208595873475651E-4</v>
      </c>
      <c r="CO13" s="53">
        <v>1.2086509914740894E-4</v>
      </c>
      <c r="CP13" s="53">
        <v>1.1965644815593486E-4</v>
      </c>
      <c r="CQ13" s="53">
        <v>1.1845988367437551E-4</v>
      </c>
      <c r="CR13" s="53">
        <v>1.1727528483763176E-4</v>
      </c>
      <c r="CS13" s="53">
        <v>1.1610253198925544E-4</v>
      </c>
      <c r="CT13" s="53">
        <v>1.1494150666936289E-4</v>
      </c>
      <c r="CU13" s="53">
        <v>1.1379209160266925E-4</v>
      </c>
      <c r="CV13" s="53">
        <v>1.1265417068664256E-4</v>
      </c>
      <c r="CW13" s="53">
        <v>1.1152762897977613E-4</v>
      </c>
      <c r="CX13" s="53">
        <v>1.1041235268997836E-4</v>
      </c>
      <c r="CY13" s="28">
        <v>1.0930822916307857E-4</v>
      </c>
    </row>
    <row r="14" spans="1:103">
      <c r="A14" s="54">
        <v>32</v>
      </c>
      <c r="B14" s="54">
        <v>2.4399999999999999E-4</v>
      </c>
      <c r="C14" s="54">
        <v>2.5263760000000004E-4</v>
      </c>
      <c r="D14" s="54">
        <v>2.6087358576000003E-4</v>
      </c>
      <c r="E14" s="54">
        <v>2.6830848295416004E-4</v>
      </c>
      <c r="F14" s="54">
        <v>2.7464056315187825E-4</v>
      </c>
      <c r="G14" s="54">
        <v>2.7961155734492724E-4</v>
      </c>
      <c r="H14" s="54">
        <v>2.8313466296747328E-4</v>
      </c>
      <c r="I14" s="54">
        <v>2.852298594734326E-4</v>
      </c>
      <c r="J14" s="54">
        <v>2.8602850307995819E-4</v>
      </c>
      <c r="K14" s="54">
        <v>2.8579968027749421E-4</v>
      </c>
      <c r="L14" s="54">
        <v>2.8494228123666172E-4</v>
      </c>
      <c r="M14" s="54">
        <v>2.8366004097109677E-4</v>
      </c>
      <c r="N14" s="54">
        <v>2.8204317873756153E-4</v>
      </c>
      <c r="O14" s="54">
        <v>2.8018169375789359E-4</v>
      </c>
      <c r="P14" s="54">
        <v>2.781083492240852E-4</v>
      </c>
      <c r="Q14" s="54">
        <v>2.7585567159537012E-4</v>
      </c>
      <c r="R14" s="54">
        <v>2.7345572725249041E-4</v>
      </c>
      <c r="S14" s="54">
        <v>2.7091258898904227E-4</v>
      </c>
      <c r="T14" s="53">
        <v>2.6828473687584857E-4</v>
      </c>
      <c r="U14" s="53">
        <v>2.6562871798077765E-4</v>
      </c>
      <c r="V14" s="53">
        <v>2.6297243080096986E-4</v>
      </c>
      <c r="W14" s="53">
        <v>2.6034270649296016E-4</v>
      </c>
      <c r="X14" s="53">
        <v>2.5773927942803057E-4</v>
      </c>
      <c r="Y14" s="53">
        <v>2.5516188663375026E-4</v>
      </c>
      <c r="Z14" s="53">
        <v>2.5261026776741274E-4</v>
      </c>
      <c r="AA14" s="53">
        <v>2.5008416508973862E-4</v>
      </c>
      <c r="AB14" s="53">
        <v>2.4758332343884125E-4</v>
      </c>
      <c r="AC14" s="53">
        <v>2.4510749020445282E-4</v>
      </c>
      <c r="AD14" s="53">
        <v>2.426564153024083E-4</v>
      </c>
      <c r="AE14" s="53">
        <v>2.4022985114938422E-4</v>
      </c>
      <c r="AF14" s="53">
        <v>2.3782755263789036E-4</v>
      </c>
      <c r="AG14" s="53">
        <v>2.3544927711151146E-4</v>
      </c>
      <c r="AH14" s="53">
        <v>2.3309478434039633E-4</v>
      </c>
      <c r="AI14" s="53">
        <v>2.3076383649699237E-4</v>
      </c>
      <c r="AJ14" s="53">
        <v>2.2845619813202244E-4</v>
      </c>
      <c r="AK14" s="53">
        <v>2.2617163615070221E-4</v>
      </c>
      <c r="AL14" s="53">
        <v>2.2390991978919519E-4</v>
      </c>
      <c r="AM14" s="53">
        <v>2.2167082059130325E-4</v>
      </c>
      <c r="AN14" s="53">
        <v>2.1945411238539022E-4</v>
      </c>
      <c r="AO14" s="53">
        <v>2.1725957126153631E-4</v>
      </c>
      <c r="AP14" s="53">
        <v>2.1508697554892094E-4</v>
      </c>
      <c r="AQ14" s="53">
        <v>2.1293610579343174E-4</v>
      </c>
      <c r="AR14" s="53">
        <v>2.1080674473549741E-4</v>
      </c>
      <c r="AS14" s="53">
        <v>2.0869867728814243E-4</v>
      </c>
      <c r="AT14" s="53">
        <v>2.0661169051526101E-4</v>
      </c>
      <c r="AU14" s="53">
        <v>2.045455736101084E-4</v>
      </c>
      <c r="AV14" s="53">
        <v>2.0250011787400731E-4</v>
      </c>
      <c r="AW14" s="53">
        <v>2.0047511669526723E-4</v>
      </c>
      <c r="AX14" s="53">
        <v>1.9847036552831456E-4</v>
      </c>
      <c r="AY14" s="53">
        <v>1.9648566187303141E-4</v>
      </c>
      <c r="AZ14" s="53">
        <v>1.9452080525430109E-4</v>
      </c>
      <c r="BA14" s="53">
        <v>1.9257559720175808E-4</v>
      </c>
      <c r="BB14" s="53">
        <v>1.906498412297405E-4</v>
      </c>
      <c r="BC14" s="53">
        <v>1.8874334281744309E-4</v>
      </c>
      <c r="BD14" s="53">
        <v>1.8685590938926865E-4</v>
      </c>
      <c r="BE14" s="53">
        <v>1.8498735029537597E-4</v>
      </c>
      <c r="BF14" s="53">
        <v>1.8313747679242221E-4</v>
      </c>
      <c r="BG14" s="53">
        <v>1.8130610202449798E-4</v>
      </c>
      <c r="BH14" s="53">
        <v>1.79493041004253E-4</v>
      </c>
      <c r="BI14" s="53">
        <v>1.7769811059421047E-4</v>
      </c>
      <c r="BJ14" s="53">
        <v>1.7592112948826836E-4</v>
      </c>
      <c r="BK14" s="53">
        <v>1.7416191819338568E-4</v>
      </c>
      <c r="BL14" s="53">
        <v>1.7242029901145181E-4</v>
      </c>
      <c r="BM14" s="53">
        <v>1.7069609602133728E-4</v>
      </c>
      <c r="BN14" s="53">
        <v>1.6898913506112391E-4</v>
      </c>
      <c r="BO14" s="53">
        <v>1.6729924371051267E-4</v>
      </c>
      <c r="BP14" s="53">
        <v>1.6562625127340753E-4</v>
      </c>
      <c r="BQ14" s="53">
        <v>1.6396998876067346E-4</v>
      </c>
      <c r="BR14" s="53">
        <v>1.6233028887306672E-4</v>
      </c>
      <c r="BS14" s="53">
        <v>1.6070698598433605E-4</v>
      </c>
      <c r="BT14" s="53">
        <v>1.5909991612449268E-4</v>
      </c>
      <c r="BU14" s="53">
        <v>1.5750891696324776E-4</v>
      </c>
      <c r="BV14" s="53">
        <v>1.5593382779361528E-4</v>
      </c>
      <c r="BW14" s="53">
        <v>1.5437448951567914E-4</v>
      </c>
      <c r="BX14" s="53">
        <v>1.5283074462052234E-4</v>
      </c>
      <c r="BY14" s="53">
        <v>1.5130243717431712E-4</v>
      </c>
      <c r="BZ14" s="53">
        <v>1.4978941280257394E-4</v>
      </c>
      <c r="CA14" s="53">
        <v>1.4829151867454821E-4</v>
      </c>
      <c r="CB14" s="53">
        <v>1.4680860348780273E-4</v>
      </c>
      <c r="CC14" s="53">
        <v>1.4534051745292471E-4</v>
      </c>
      <c r="CD14" s="53">
        <v>1.4388711227839547E-4</v>
      </c>
      <c r="CE14" s="53">
        <v>1.4244824115561153E-4</v>
      </c>
      <c r="CF14" s="53">
        <v>1.410237587440554E-4</v>
      </c>
      <c r="CG14" s="53">
        <v>1.3961352115661485E-4</v>
      </c>
      <c r="CH14" s="53">
        <v>1.382173859450487E-4</v>
      </c>
      <c r="CI14" s="53">
        <v>1.3683521208559822E-4</v>
      </c>
      <c r="CJ14" s="53">
        <v>1.3546685996474223E-4</v>
      </c>
      <c r="CK14" s="53">
        <v>1.3411219136509481E-4</v>
      </c>
      <c r="CL14" s="53">
        <v>1.3277106945144387E-4</v>
      </c>
      <c r="CM14" s="53">
        <v>1.3144335875692943E-4</v>
      </c>
      <c r="CN14" s="53">
        <v>1.3012892516936015E-4</v>
      </c>
      <c r="CO14" s="53">
        <v>1.2882763591766654E-4</v>
      </c>
      <c r="CP14" s="53">
        <v>1.2753935955848986E-4</v>
      </c>
      <c r="CQ14" s="53">
        <v>1.2626396596290495E-4</v>
      </c>
      <c r="CR14" s="53">
        <v>1.2500132630327589E-4</v>
      </c>
      <c r="CS14" s="53">
        <v>1.2375131304024313E-4</v>
      </c>
      <c r="CT14" s="53">
        <v>1.2251379990984069E-4</v>
      </c>
      <c r="CU14" s="53">
        <v>1.2128866191074228E-4</v>
      </c>
      <c r="CV14" s="53">
        <v>1.2007577529163485E-4</v>
      </c>
      <c r="CW14" s="53">
        <v>1.188750175387185E-4</v>
      </c>
      <c r="CX14" s="53">
        <v>1.1768626736333131E-4</v>
      </c>
      <c r="CY14" s="28">
        <v>1.16509404689698E-4</v>
      </c>
    </row>
    <row r="15" spans="1:103">
      <c r="A15" s="54">
        <v>33</v>
      </c>
      <c r="B15" s="54">
        <v>2.5799999999999998E-4</v>
      </c>
      <c r="C15" s="54">
        <v>2.6721059999999997E-4</v>
      </c>
      <c r="D15" s="54">
        <v>2.7605527085999994E-4</v>
      </c>
      <c r="E15" s="54">
        <v>2.8411608476911192E-4</v>
      </c>
      <c r="F15" s="54">
        <v>2.9104851723747824E-4</v>
      </c>
      <c r="G15" s="54">
        <v>2.9657843906499029E-4</v>
      </c>
      <c r="H15" s="54">
        <v>3.0058224799236767E-4</v>
      </c>
      <c r="I15" s="54">
        <v>3.0304702242590507E-4</v>
      </c>
      <c r="J15" s="54">
        <v>3.0413799170663836E-4</v>
      </c>
      <c r="K15" s="54">
        <v>3.0410757790746772E-4</v>
      </c>
      <c r="L15" s="54">
        <v>3.0334730896269905E-4</v>
      </c>
      <c r="M15" s="54">
        <v>3.0210358499595198E-4</v>
      </c>
      <c r="N15" s="54">
        <v>3.0047222563697387E-4</v>
      </c>
      <c r="O15" s="54">
        <v>2.9848910894776984E-4</v>
      </c>
      <c r="P15" s="54">
        <v>2.9628028954155637E-4</v>
      </c>
      <c r="Q15" s="54">
        <v>2.9388041919626976E-4</v>
      </c>
      <c r="R15" s="54">
        <v>2.9132365954926223E-4</v>
      </c>
      <c r="S15" s="54">
        <v>2.8861434951545409E-4</v>
      </c>
      <c r="T15" s="53">
        <v>2.8581479032515418E-4</v>
      </c>
      <c r="U15" s="53">
        <v>2.8298522390093515E-4</v>
      </c>
      <c r="V15" s="53">
        <v>2.8015537166192577E-4</v>
      </c>
      <c r="W15" s="53">
        <v>2.7735381794530652E-4</v>
      </c>
      <c r="X15" s="53">
        <v>2.7458027976585346E-4</v>
      </c>
      <c r="Y15" s="53">
        <v>2.7183447696819491E-4</v>
      </c>
      <c r="Z15" s="53">
        <v>2.6911613219851295E-4</v>
      </c>
      <c r="AA15" s="53">
        <v>2.664249708765278E-4</v>
      </c>
      <c r="AB15" s="53">
        <v>2.6376072116776253E-4</v>
      </c>
      <c r="AC15" s="53">
        <v>2.611231139560849E-4</v>
      </c>
      <c r="AD15" s="53">
        <v>2.5851188281652405E-4</v>
      </c>
      <c r="AE15" s="53">
        <v>2.5592676398835881E-4</v>
      </c>
      <c r="AF15" s="53">
        <v>2.5336749634847523E-4</v>
      </c>
      <c r="AG15" s="53">
        <v>2.5083382138499046E-4</v>
      </c>
      <c r="AH15" s="53">
        <v>2.4832548317114055E-4</v>
      </c>
      <c r="AI15" s="53">
        <v>2.4584222833942915E-4</v>
      </c>
      <c r="AJ15" s="53">
        <v>2.4338380605603486E-4</v>
      </c>
      <c r="AK15" s="53">
        <v>2.4094996799547451E-4</v>
      </c>
      <c r="AL15" s="53">
        <v>2.3854046831551975E-4</v>
      </c>
      <c r="AM15" s="53">
        <v>2.3615506363236456E-4</v>
      </c>
      <c r="AN15" s="53">
        <v>2.337935129960409E-4</v>
      </c>
      <c r="AO15" s="53">
        <v>2.3145557786608049E-4</v>
      </c>
      <c r="AP15" s="53">
        <v>2.2914102208741968E-4</v>
      </c>
      <c r="AQ15" s="53">
        <v>2.2684961186654549E-4</v>
      </c>
      <c r="AR15" s="53">
        <v>2.2458111574788004E-4</v>
      </c>
      <c r="AS15" s="53">
        <v>2.2233530459040123E-4</v>
      </c>
      <c r="AT15" s="53">
        <v>2.2011195154449722E-4</v>
      </c>
      <c r="AU15" s="53">
        <v>2.1791083202905224E-4</v>
      </c>
      <c r="AV15" s="53">
        <v>2.1573172370876171E-4</v>
      </c>
      <c r="AW15" s="53">
        <v>2.1357440647167409E-4</v>
      </c>
      <c r="AX15" s="53">
        <v>2.1143866240695735E-4</v>
      </c>
      <c r="AY15" s="53">
        <v>2.0932427578288778E-4</v>
      </c>
      <c r="AZ15" s="53">
        <v>2.0723103302505889E-4</v>
      </c>
      <c r="BA15" s="53">
        <v>2.0515872269480831E-4</v>
      </c>
      <c r="BB15" s="53">
        <v>2.0310713546786022E-4</v>
      </c>
      <c r="BC15" s="53">
        <v>2.010760641131816E-4</v>
      </c>
      <c r="BD15" s="53">
        <v>1.9906530347204977E-4</v>
      </c>
      <c r="BE15" s="53">
        <v>1.9707465043732926E-4</v>
      </c>
      <c r="BF15" s="53">
        <v>1.9510390393295596E-4</v>
      </c>
      <c r="BG15" s="53">
        <v>1.931528648936264E-4</v>
      </c>
      <c r="BH15" s="53">
        <v>1.9122133624469012E-4</v>
      </c>
      <c r="BI15" s="53">
        <v>1.8930912288224323E-4</v>
      </c>
      <c r="BJ15" s="53">
        <v>1.8741603165342078E-4</v>
      </c>
      <c r="BK15" s="53">
        <v>1.8554187133688657E-4</v>
      </c>
      <c r="BL15" s="53">
        <v>1.836864526235177E-4</v>
      </c>
      <c r="BM15" s="53">
        <v>1.8184958809728253E-4</v>
      </c>
      <c r="BN15" s="53">
        <v>1.8003109221630971E-4</v>
      </c>
      <c r="BO15" s="53">
        <v>1.7823078129414663E-4</v>
      </c>
      <c r="BP15" s="53">
        <v>1.7644847348120515E-4</v>
      </c>
      <c r="BQ15" s="53">
        <v>1.746839887463931E-4</v>
      </c>
      <c r="BR15" s="53">
        <v>1.7293714885892916E-4</v>
      </c>
      <c r="BS15" s="53">
        <v>1.7120777737033985E-4</v>
      </c>
      <c r="BT15" s="53">
        <v>1.6949569959663646E-4</v>
      </c>
      <c r="BU15" s="53">
        <v>1.678007426006701E-4</v>
      </c>
      <c r="BV15" s="53">
        <v>1.6612273517466338E-4</v>
      </c>
      <c r="BW15" s="53">
        <v>1.6446150782291674E-4</v>
      </c>
      <c r="BX15" s="53">
        <v>1.6281689274468756E-4</v>
      </c>
      <c r="BY15" s="53">
        <v>1.611887238172407E-4</v>
      </c>
      <c r="BZ15" s="53">
        <v>1.5957683657906829E-4</v>
      </c>
      <c r="CA15" s="53">
        <v>1.579810682132776E-4</v>
      </c>
      <c r="CB15" s="53">
        <v>1.5640125753114482E-4</v>
      </c>
      <c r="CC15" s="53">
        <v>1.5483724495583338E-4</v>
      </c>
      <c r="CD15" s="53">
        <v>1.5328887250627503E-4</v>
      </c>
      <c r="CE15" s="53">
        <v>1.5175598378121228E-4</v>
      </c>
      <c r="CF15" s="53">
        <v>1.5023842394340015E-4</v>
      </c>
      <c r="CG15" s="53">
        <v>1.4873603970396614E-4</v>
      </c>
      <c r="CH15" s="53">
        <v>1.4724867930692649E-4</v>
      </c>
      <c r="CI15" s="53">
        <v>1.4577619251385723E-4</v>
      </c>
      <c r="CJ15" s="53">
        <v>1.4431843058871865E-4</v>
      </c>
      <c r="CK15" s="53">
        <v>1.4287524628283147E-4</v>
      </c>
      <c r="CL15" s="53">
        <v>1.4144649382000316E-4</v>
      </c>
      <c r="CM15" s="53">
        <v>1.4003202888180312E-4</v>
      </c>
      <c r="CN15" s="53">
        <v>1.3863170859298508E-4</v>
      </c>
      <c r="CO15" s="53">
        <v>1.3724539150705521E-4</v>
      </c>
      <c r="CP15" s="53">
        <v>1.3587293759198467E-4</v>
      </c>
      <c r="CQ15" s="53">
        <v>1.3451420821606483E-4</v>
      </c>
      <c r="CR15" s="53">
        <v>1.3316906613390416E-4</v>
      </c>
      <c r="CS15" s="53">
        <v>1.3183737547256511E-4</v>
      </c>
      <c r="CT15" s="53">
        <v>1.3051900171783947E-4</v>
      </c>
      <c r="CU15" s="53">
        <v>1.2921381170066107E-4</v>
      </c>
      <c r="CV15" s="53">
        <v>1.2792167358365445E-4</v>
      </c>
      <c r="CW15" s="53">
        <v>1.266424568478179E-4</v>
      </c>
      <c r="CX15" s="53">
        <v>1.2537603227933972E-4</v>
      </c>
      <c r="CY15" s="28">
        <v>1.2412227195654631E-4</v>
      </c>
    </row>
    <row r="16" spans="1:103">
      <c r="A16" s="54">
        <v>34</v>
      </c>
      <c r="B16" s="54">
        <v>2.72E-4</v>
      </c>
      <c r="C16" s="54">
        <v>2.8157439999999996E-4</v>
      </c>
      <c r="D16" s="54">
        <v>2.9089451263999993E-4</v>
      </c>
      <c r="E16" s="54">
        <v>2.9947590076287998E-4</v>
      </c>
      <c r="F16" s="54">
        <v>3.0693285069187566E-4</v>
      </c>
      <c r="G16" s="54">
        <v>3.1294873456543643E-4</v>
      </c>
      <c r="H16" s="54">
        <v>3.1739260659626562E-4</v>
      </c>
      <c r="I16" s="54">
        <v>3.2024914005563196E-4</v>
      </c>
      <c r="J16" s="54">
        <v>3.2162621135787119E-4</v>
      </c>
      <c r="K16" s="54">
        <v>3.2178702446355008E-4</v>
      </c>
      <c r="L16" s="54">
        <v>3.21143450414623E-4</v>
      </c>
      <c r="M16" s="54">
        <v>3.1998733399313034E-4</v>
      </c>
      <c r="N16" s="54">
        <v>3.183553985897654E-4</v>
      </c>
      <c r="O16" s="54">
        <v>3.1634975957864987E-4</v>
      </c>
      <c r="P16" s="54">
        <v>3.1400877135776787E-4</v>
      </c>
      <c r="Q16" s="54">
        <v>3.1146530030976997E-4</v>
      </c>
      <c r="R16" s="54">
        <v>3.0875555219707498E-4</v>
      </c>
      <c r="S16" s="54">
        <v>3.0588412556164217E-4</v>
      </c>
      <c r="T16" s="53">
        <v>3.0291704954369422E-4</v>
      </c>
      <c r="U16" s="53">
        <v>2.9991817075321163E-4</v>
      </c>
      <c r="V16" s="53">
        <v>2.9691898904567952E-4</v>
      </c>
      <c r="W16" s="53">
        <v>2.9394979915522274E-4</v>
      </c>
      <c r="X16" s="53">
        <v>2.9101030116367052E-4</v>
      </c>
      <c r="Y16" s="53">
        <v>2.881001981520338E-4</v>
      </c>
      <c r="Z16" s="53">
        <v>2.8521919617051345E-4</v>
      </c>
      <c r="AA16" s="53">
        <v>2.8236700420880833E-4</v>
      </c>
      <c r="AB16" s="53">
        <v>2.7954333416672022E-4</v>
      </c>
      <c r="AC16" s="53">
        <v>2.7674790082505299E-4</v>
      </c>
      <c r="AD16" s="53">
        <v>2.7398042181680246E-4</v>
      </c>
      <c r="AE16" s="53">
        <v>2.7124061759863446E-4</v>
      </c>
      <c r="AF16" s="53">
        <v>2.6852821142264813E-4</v>
      </c>
      <c r="AG16" s="53">
        <v>2.6584292930842163E-4</v>
      </c>
      <c r="AH16" s="53">
        <v>2.6318450001533742E-4</v>
      </c>
      <c r="AI16" s="53">
        <v>2.6055265501518407E-4</v>
      </c>
      <c r="AJ16" s="53">
        <v>2.5794712846503225E-4</v>
      </c>
      <c r="AK16" s="53">
        <v>2.5536765718038194E-4</v>
      </c>
      <c r="AL16" s="53">
        <v>2.5281398060857812E-4</v>
      </c>
      <c r="AM16" s="53">
        <v>2.5028584080249235E-4</v>
      </c>
      <c r="AN16" s="53">
        <v>2.4778298239446742E-4</v>
      </c>
      <c r="AO16" s="53">
        <v>2.4530515257052275E-4</v>
      </c>
      <c r="AP16" s="53">
        <v>2.4285210104481753E-4</v>
      </c>
      <c r="AQ16" s="53">
        <v>2.4042358003436936E-4</v>
      </c>
      <c r="AR16" s="53">
        <v>2.3801934423402566E-4</v>
      </c>
      <c r="AS16" s="53">
        <v>2.356391507916854E-4</v>
      </c>
      <c r="AT16" s="53">
        <v>2.3328275928376853E-4</v>
      </c>
      <c r="AU16" s="53">
        <v>2.3094993169093085E-4</v>
      </c>
      <c r="AV16" s="53">
        <v>2.2864043237402155E-4</v>
      </c>
      <c r="AW16" s="53">
        <v>2.2635402805028132E-4</v>
      </c>
      <c r="AX16" s="53">
        <v>2.2409048776977851E-4</v>
      </c>
      <c r="AY16" s="53">
        <v>2.2184958289208072E-4</v>
      </c>
      <c r="AZ16" s="53">
        <v>2.196310870631599E-4</v>
      </c>
      <c r="BA16" s="53">
        <v>2.1743477619252829E-4</v>
      </c>
      <c r="BB16" s="53">
        <v>2.15260428430603E-4</v>
      </c>
      <c r="BC16" s="53">
        <v>2.1310782414629697E-4</v>
      </c>
      <c r="BD16" s="53">
        <v>2.10976745904834E-4</v>
      </c>
      <c r="BE16" s="53">
        <v>2.0886697844578564E-4</v>
      </c>
      <c r="BF16" s="53">
        <v>2.067783086613278E-4</v>
      </c>
      <c r="BG16" s="53">
        <v>2.0471052557471451E-4</v>
      </c>
      <c r="BH16" s="53">
        <v>2.0266342031896736E-4</v>
      </c>
      <c r="BI16" s="53">
        <v>2.0063678611577769E-4</v>
      </c>
      <c r="BJ16" s="53">
        <v>1.9863041825461992E-4</v>
      </c>
      <c r="BK16" s="53">
        <v>1.9664411407207372E-4</v>
      </c>
      <c r="BL16" s="53">
        <v>1.9467767293135298E-4</v>
      </c>
      <c r="BM16" s="53">
        <v>1.9273089620203945E-4</v>
      </c>
      <c r="BN16" s="53">
        <v>1.9080358724001906E-4</v>
      </c>
      <c r="BO16" s="53">
        <v>1.8889555136761887E-4</v>
      </c>
      <c r="BP16" s="53">
        <v>1.8700659585394269E-4</v>
      </c>
      <c r="BQ16" s="53">
        <v>1.8513652989540327E-4</v>
      </c>
      <c r="BR16" s="53">
        <v>1.8328516459644923E-4</v>
      </c>
      <c r="BS16" s="53">
        <v>1.8145231295048472E-4</v>
      </c>
      <c r="BT16" s="53">
        <v>1.7963778982097987E-4</v>
      </c>
      <c r="BU16" s="53">
        <v>1.7784141192277007E-4</v>
      </c>
      <c r="BV16" s="53">
        <v>1.7606299780354237E-4</v>
      </c>
      <c r="BW16" s="53">
        <v>1.7430236782550694E-4</v>
      </c>
      <c r="BX16" s="53">
        <v>1.7255934414725187E-4</v>
      </c>
      <c r="BY16" s="53">
        <v>1.7083375070577934E-4</v>
      </c>
      <c r="BZ16" s="53">
        <v>1.6912541319872155E-4</v>
      </c>
      <c r="CA16" s="53">
        <v>1.6743415906673434E-4</v>
      </c>
      <c r="CB16" s="53">
        <v>1.6575981747606698E-4</v>
      </c>
      <c r="CC16" s="53">
        <v>1.6410221930130632E-4</v>
      </c>
      <c r="CD16" s="53">
        <v>1.6246119710829326E-4</v>
      </c>
      <c r="CE16" s="53">
        <v>1.6083658513721034E-4</v>
      </c>
      <c r="CF16" s="53">
        <v>1.5922821928583824E-4</v>
      </c>
      <c r="CG16" s="53">
        <v>1.5763593709297986E-4</v>
      </c>
      <c r="CH16" s="53">
        <v>1.5605957772205005E-4</v>
      </c>
      <c r="CI16" s="53">
        <v>1.5449898194482955E-4</v>
      </c>
      <c r="CJ16" s="53">
        <v>1.5295399212538125E-4</v>
      </c>
      <c r="CK16" s="53">
        <v>1.5142445220412743E-4</v>
      </c>
      <c r="CL16" s="53">
        <v>1.4991020768208616E-4</v>
      </c>
      <c r="CM16" s="53">
        <v>1.484111056052653E-4</v>
      </c>
      <c r="CN16" s="53">
        <v>1.4692699454921265E-4</v>
      </c>
      <c r="CO16" s="53">
        <v>1.4545772460372052E-4</v>
      </c>
      <c r="CP16" s="53">
        <v>1.4400314735768332E-4</v>
      </c>
      <c r="CQ16" s="53">
        <v>1.4256311588410649E-4</v>
      </c>
      <c r="CR16" s="53">
        <v>1.4113748472526543E-4</v>
      </c>
      <c r="CS16" s="53">
        <v>1.3972610987801279E-4</v>
      </c>
      <c r="CT16" s="53">
        <v>1.3832884877923267E-4</v>
      </c>
      <c r="CU16" s="53">
        <v>1.3694556029144033E-4</v>
      </c>
      <c r="CV16" s="53">
        <v>1.3557610468852593E-4</v>
      </c>
      <c r="CW16" s="53">
        <v>1.3422034364164067E-4</v>
      </c>
      <c r="CX16" s="53">
        <v>1.3287814020522426E-4</v>
      </c>
      <c r="CY16" s="28">
        <v>1.3154935880317203E-4</v>
      </c>
    </row>
    <row r="17" spans="1:103">
      <c r="A17" s="54">
        <v>35</v>
      </c>
      <c r="B17" s="54">
        <v>2.8600000000000001E-4</v>
      </c>
      <c r="C17" s="54">
        <v>2.9572400000000003E-4</v>
      </c>
      <c r="D17" s="54">
        <v>3.0527588520000003E-4</v>
      </c>
      <c r="E17" s="54">
        <v>3.1415941345932E-4</v>
      </c>
      <c r="F17" s="54">
        <v>3.2195056691311112E-4</v>
      </c>
      <c r="G17" s="54">
        <v>3.2835738319468203E-4</v>
      </c>
      <c r="H17" s="54">
        <v>3.3318423672764382E-4</v>
      </c>
      <c r="I17" s="54">
        <v>3.3638280540022924E-4</v>
      </c>
      <c r="J17" s="54">
        <v>3.3806471942723036E-4</v>
      </c>
      <c r="K17" s="54">
        <v>3.3847039709054307E-4</v>
      </c>
      <c r="L17" s="54">
        <v>3.3799653853461634E-4</v>
      </c>
      <c r="M17" s="54">
        <v>3.3691494961130556E-4</v>
      </c>
      <c r="N17" s="54">
        <v>3.353314493481324E-4</v>
      </c>
      <c r="O17" s="54">
        <v>3.3328592750710877E-4</v>
      </c>
      <c r="P17" s="54">
        <v>3.3088626882905761E-4</v>
      </c>
      <c r="Q17" s="54">
        <v>3.2820609005154223E-4</v>
      </c>
      <c r="R17" s="54">
        <v>3.2535069706809381E-4</v>
      </c>
      <c r="S17" s="54">
        <v>3.2232493558536057E-4</v>
      </c>
      <c r="T17" s="53">
        <v>3.1919838371018258E-4</v>
      </c>
      <c r="U17" s="53">
        <v>3.1603831971145174E-4</v>
      </c>
      <c r="V17" s="53">
        <v>3.128779365143372E-4</v>
      </c>
      <c r="W17" s="53">
        <v>3.0974915714919384E-4</v>
      </c>
      <c r="X17" s="53">
        <v>3.0665166557770191E-4</v>
      </c>
      <c r="Y17" s="53">
        <v>3.0358514892192491E-4</v>
      </c>
      <c r="Z17" s="53">
        <v>3.0054929743270563E-4</v>
      </c>
      <c r="AA17" s="53">
        <v>2.9754380445837859E-4</v>
      </c>
      <c r="AB17" s="53">
        <v>2.945683664137948E-4</v>
      </c>
      <c r="AC17" s="53">
        <v>2.9162268274965684E-4</v>
      </c>
      <c r="AD17" s="53">
        <v>2.8870645592216028E-4</v>
      </c>
      <c r="AE17" s="53">
        <v>2.8581939136293867E-4</v>
      </c>
      <c r="AF17" s="53">
        <v>2.8296119744930927E-4</v>
      </c>
      <c r="AG17" s="53">
        <v>2.8013158547481618E-4</v>
      </c>
      <c r="AH17" s="53">
        <v>2.7733026962006803E-4</v>
      </c>
      <c r="AI17" s="53">
        <v>2.7455696692386733E-4</v>
      </c>
      <c r="AJ17" s="53">
        <v>2.7181139725462866E-4</v>
      </c>
      <c r="AK17" s="53">
        <v>2.690932832820824E-4</v>
      </c>
      <c r="AL17" s="53">
        <v>2.6640235044926157E-4</v>
      </c>
      <c r="AM17" s="53">
        <v>2.6373832694476896E-4</v>
      </c>
      <c r="AN17" s="53">
        <v>2.6110094367532127E-4</v>
      </c>
      <c r="AO17" s="53">
        <v>2.5848993423856806E-4</v>
      </c>
      <c r="AP17" s="53">
        <v>2.5590503489618236E-4</v>
      </c>
      <c r="AQ17" s="53">
        <v>2.5334598454722053E-4</v>
      </c>
      <c r="AR17" s="53">
        <v>2.508125247017483E-4</v>
      </c>
      <c r="AS17" s="53">
        <v>2.4830439945473082E-4</v>
      </c>
      <c r="AT17" s="53">
        <v>2.4582135546018349E-4</v>
      </c>
      <c r="AU17" s="53">
        <v>2.4336314190558165E-4</v>
      </c>
      <c r="AV17" s="53">
        <v>2.4092951048652582E-4</v>
      </c>
      <c r="AW17" s="53">
        <v>2.3852021538166057E-4</v>
      </c>
      <c r="AX17" s="53">
        <v>2.3613501322784395E-4</v>
      </c>
      <c r="AY17" s="53">
        <v>2.3377366309556552E-4</v>
      </c>
      <c r="AZ17" s="53">
        <v>2.3143592646460986E-4</v>
      </c>
      <c r="BA17" s="53">
        <v>2.2912156719996375E-4</v>
      </c>
      <c r="BB17" s="53">
        <v>2.2683035152796409E-4</v>
      </c>
      <c r="BC17" s="53">
        <v>2.2456204801268444E-4</v>
      </c>
      <c r="BD17" s="53">
        <v>2.2231642753255761E-4</v>
      </c>
      <c r="BE17" s="53">
        <v>2.2009326325723202E-4</v>
      </c>
      <c r="BF17" s="53">
        <v>2.178923306246597E-4</v>
      </c>
      <c r="BG17" s="53">
        <v>2.157134073184131E-4</v>
      </c>
      <c r="BH17" s="53">
        <v>2.1355627324522896E-4</v>
      </c>
      <c r="BI17" s="53">
        <v>2.1142071051277666E-4</v>
      </c>
      <c r="BJ17" s="53">
        <v>2.0930650340764888E-4</v>
      </c>
      <c r="BK17" s="53">
        <v>2.072134383735724E-4</v>
      </c>
      <c r="BL17" s="53">
        <v>2.0514130398983666E-4</v>
      </c>
      <c r="BM17" s="53">
        <v>2.030898909499383E-4</v>
      </c>
      <c r="BN17" s="53">
        <v>2.0105899204043892E-4</v>
      </c>
      <c r="BO17" s="53">
        <v>1.9904840212003452E-4</v>
      </c>
      <c r="BP17" s="53">
        <v>1.9705791809883417E-4</v>
      </c>
      <c r="BQ17" s="53">
        <v>1.9508733891784584E-4</v>
      </c>
      <c r="BR17" s="53">
        <v>1.9313646552866737E-4</v>
      </c>
      <c r="BS17" s="53">
        <v>1.912051008733807E-4</v>
      </c>
      <c r="BT17" s="53">
        <v>1.8929304986464688E-4</v>
      </c>
      <c r="BU17" s="53">
        <v>1.874001193660004E-4</v>
      </c>
      <c r="BV17" s="53">
        <v>1.8552611817234039E-4</v>
      </c>
      <c r="BW17" s="53">
        <v>1.8367085699061699E-4</v>
      </c>
      <c r="BX17" s="53">
        <v>1.8183414842071083E-4</v>
      </c>
      <c r="BY17" s="53">
        <v>1.8001580693650373E-4</v>
      </c>
      <c r="BZ17" s="53">
        <v>1.7821564886713869E-4</v>
      </c>
      <c r="CA17" s="53">
        <v>1.764334923784673E-4</v>
      </c>
      <c r="CB17" s="53">
        <v>1.7466915745468264E-4</v>
      </c>
      <c r="CC17" s="53">
        <v>1.7292246588013582E-4</v>
      </c>
      <c r="CD17" s="53">
        <v>1.7119324122133445E-4</v>
      </c>
      <c r="CE17" s="53">
        <v>1.694813088091211E-4</v>
      </c>
      <c r="CF17" s="53">
        <v>1.6778649572102988E-4</v>
      </c>
      <c r="CG17" s="53">
        <v>1.6610863076381958E-4</v>
      </c>
      <c r="CH17" s="53">
        <v>1.6444754445618139E-4</v>
      </c>
      <c r="CI17" s="53">
        <v>1.6280306901161957E-4</v>
      </c>
      <c r="CJ17" s="53">
        <v>1.6117503832150339E-4</v>
      </c>
      <c r="CK17" s="53">
        <v>1.5956328793828836E-4</v>
      </c>
      <c r="CL17" s="53">
        <v>1.5796765505890546E-4</v>
      </c>
      <c r="CM17" s="53">
        <v>1.5638797850831641E-4</v>
      </c>
      <c r="CN17" s="53">
        <v>1.5482409872323325E-4</v>
      </c>
      <c r="CO17" s="53">
        <v>1.532758577360009E-4</v>
      </c>
      <c r="CP17" s="53">
        <v>1.5174309915864088E-4</v>
      </c>
      <c r="CQ17" s="53">
        <v>1.5022566816705446E-4</v>
      </c>
      <c r="CR17" s="53">
        <v>1.4872341148538393E-4</v>
      </c>
      <c r="CS17" s="53">
        <v>1.4723617737053007E-4</v>
      </c>
      <c r="CT17" s="53">
        <v>1.4576381559682476E-4</v>
      </c>
      <c r="CU17" s="53">
        <v>1.4430617744085652E-4</v>
      </c>
      <c r="CV17" s="53">
        <v>1.4286311566644795E-4</v>
      </c>
      <c r="CW17" s="53">
        <v>1.4143448450978346E-4</v>
      </c>
      <c r="CX17" s="53">
        <v>1.4002013966468564E-4</v>
      </c>
      <c r="CY17" s="28">
        <v>1.3861993826803877E-4</v>
      </c>
    </row>
    <row r="18" spans="1:103">
      <c r="A18" s="54">
        <v>36</v>
      </c>
      <c r="B18" s="54">
        <v>2.9999999999999997E-4</v>
      </c>
      <c r="C18" s="54">
        <v>3.0962999999999997E-4</v>
      </c>
      <c r="D18" s="54">
        <v>3.1916660399999993E-4</v>
      </c>
      <c r="E18" s="54">
        <v>3.2813518557239991E-4</v>
      </c>
      <c r="F18" s="54">
        <v>3.3610887058180923E-4</v>
      </c>
      <c r="G18" s="54">
        <v>3.4276382621932906E-4</v>
      </c>
      <c r="H18" s="54">
        <v>3.4787100722999701E-4</v>
      </c>
      <c r="I18" s="54">
        <v>3.5134971730229697E-4</v>
      </c>
      <c r="J18" s="54">
        <v>3.5328214074745965E-4</v>
      </c>
      <c r="K18" s="54">
        <v>3.5391804860080507E-4</v>
      </c>
      <c r="L18" s="54">
        <v>3.536349141619244E-4</v>
      </c>
      <c r="M18" s="54">
        <v>3.526800998936872E-4</v>
      </c>
      <c r="N18" s="54">
        <v>3.5112830745415499E-4</v>
      </c>
      <c r="O18" s="54">
        <v>3.4909176327092091E-4</v>
      </c>
      <c r="P18" s="54">
        <v>3.4664812092802445E-4</v>
      </c>
      <c r="Q18" s="54">
        <v>3.4387493596060024E-4</v>
      </c>
      <c r="R18" s="54">
        <v>3.4088322401774299E-4</v>
      </c>
      <c r="S18" s="54">
        <v>3.3771301003437802E-4</v>
      </c>
      <c r="T18" s="53">
        <v>3.3443719383704454E-4</v>
      </c>
      <c r="U18" s="53">
        <v>3.3112626561805777E-4</v>
      </c>
      <c r="V18" s="53">
        <v>3.2781500296187718E-4</v>
      </c>
      <c r="W18" s="53">
        <v>3.245368529322584E-4</v>
      </c>
      <c r="X18" s="53">
        <v>3.2129148440293581E-4</v>
      </c>
      <c r="Y18" s="53">
        <v>3.1807856955890645E-4</v>
      </c>
      <c r="Z18" s="53">
        <v>3.1489778386331737E-4</v>
      </c>
      <c r="AA18" s="53">
        <v>3.1174880602468421E-4</v>
      </c>
      <c r="AB18" s="53">
        <v>3.0863131796443735E-4</v>
      </c>
      <c r="AC18" s="53">
        <v>3.0554500478479295E-4</v>
      </c>
      <c r="AD18" s="53">
        <v>3.0248955473694504E-4</v>
      </c>
      <c r="AE18" s="53">
        <v>2.9946465918957558E-4</v>
      </c>
      <c r="AF18" s="53">
        <v>2.964700125976798E-4</v>
      </c>
      <c r="AG18" s="53">
        <v>2.9350531247170297E-4</v>
      </c>
      <c r="AH18" s="53">
        <v>2.9057025934698592E-4</v>
      </c>
      <c r="AI18" s="53">
        <v>2.8766455675351604E-4</v>
      </c>
      <c r="AJ18" s="53">
        <v>2.8478791118598088E-4</v>
      </c>
      <c r="AK18" s="53">
        <v>2.8194003207412108E-4</v>
      </c>
      <c r="AL18" s="53">
        <v>2.7912063175337986E-4</v>
      </c>
      <c r="AM18" s="53">
        <v>2.7632942543584607E-4</v>
      </c>
      <c r="AN18" s="53">
        <v>2.7356613118148759E-4</v>
      </c>
      <c r="AO18" s="53">
        <v>2.7083046986967269E-4</v>
      </c>
      <c r="AP18" s="53">
        <v>2.6812216517097594E-4</v>
      </c>
      <c r="AQ18" s="53">
        <v>2.6544094351926617E-4</v>
      </c>
      <c r="AR18" s="53">
        <v>2.627865340840735E-4</v>
      </c>
      <c r="AS18" s="53">
        <v>2.6015866874323274E-4</v>
      </c>
      <c r="AT18" s="53">
        <v>2.5755708205580041E-4</v>
      </c>
      <c r="AU18" s="53">
        <v>2.5498151123524239E-4</v>
      </c>
      <c r="AV18" s="53">
        <v>2.5243169612288997E-4</v>
      </c>
      <c r="AW18" s="53">
        <v>2.4990737916166106E-4</v>
      </c>
      <c r="AX18" s="53">
        <v>2.4740830537004442E-4</v>
      </c>
      <c r="AY18" s="53">
        <v>2.4493422231634397E-4</v>
      </c>
      <c r="AZ18" s="53">
        <v>2.4248488009318052E-4</v>
      </c>
      <c r="BA18" s="53">
        <v>2.4006003129224872E-4</v>
      </c>
      <c r="BB18" s="53">
        <v>2.3765943097932624E-4</v>
      </c>
      <c r="BC18" s="53">
        <v>2.3528283666953299E-4</v>
      </c>
      <c r="BD18" s="53">
        <v>2.3293000830283765E-4</v>
      </c>
      <c r="BE18" s="53">
        <v>2.3060070821980926E-4</v>
      </c>
      <c r="BF18" s="53">
        <v>2.2829470113761117E-4</v>
      </c>
      <c r="BG18" s="53">
        <v>2.2601175412623504E-4</v>
      </c>
      <c r="BH18" s="53">
        <v>2.2375163658497268E-4</v>
      </c>
      <c r="BI18" s="53">
        <v>2.2151412021912295E-4</v>
      </c>
      <c r="BJ18" s="53">
        <v>2.1929897901693172E-4</v>
      </c>
      <c r="BK18" s="53">
        <v>2.171059892267624E-4</v>
      </c>
      <c r="BL18" s="53">
        <v>2.1493492933449476E-4</v>
      </c>
      <c r="BM18" s="53">
        <v>2.127855800411498E-4</v>
      </c>
      <c r="BN18" s="53">
        <v>2.1065772424073829E-4</v>
      </c>
      <c r="BO18" s="53">
        <v>2.085511469983309E-4</v>
      </c>
      <c r="BP18" s="53">
        <v>2.0646563552834758E-4</v>
      </c>
      <c r="BQ18" s="53">
        <v>2.0440097917306409E-4</v>
      </c>
      <c r="BR18" s="53">
        <v>2.0235696938133345E-4</v>
      </c>
      <c r="BS18" s="53">
        <v>2.0033339968752011E-4</v>
      </c>
      <c r="BT18" s="53">
        <v>1.9833006569064491E-4</v>
      </c>
      <c r="BU18" s="53">
        <v>1.9634676503373845E-4</v>
      </c>
      <c r="BV18" s="53">
        <v>1.9438329738340107E-4</v>
      </c>
      <c r="BW18" s="53">
        <v>1.9243946440956704E-4</v>
      </c>
      <c r="BX18" s="53">
        <v>1.9051506976547138E-4</v>
      </c>
      <c r="BY18" s="53">
        <v>1.8860991906781668E-4</v>
      </c>
      <c r="BZ18" s="53">
        <v>1.8672381987713851E-4</v>
      </c>
      <c r="CA18" s="53">
        <v>1.8485658167836713E-4</v>
      </c>
      <c r="CB18" s="53">
        <v>1.8300801586158344E-4</v>
      </c>
      <c r="CC18" s="53">
        <v>1.8117793570296761E-4</v>
      </c>
      <c r="CD18" s="53">
        <v>1.7936615634593794E-4</v>
      </c>
      <c r="CE18" s="53">
        <v>1.7757249478247855E-4</v>
      </c>
      <c r="CF18" s="53">
        <v>1.7579676983465377E-4</v>
      </c>
      <c r="CG18" s="53">
        <v>1.7403880213630722E-4</v>
      </c>
      <c r="CH18" s="53">
        <v>1.7229841411494414E-4</v>
      </c>
      <c r="CI18" s="53">
        <v>1.705754299737947E-4</v>
      </c>
      <c r="CJ18" s="53">
        <v>1.6886967567405676E-4</v>
      </c>
      <c r="CK18" s="53">
        <v>1.6718097891731619E-4</v>
      </c>
      <c r="CL18" s="53">
        <v>1.6550916912814304E-4</v>
      </c>
      <c r="CM18" s="53">
        <v>1.6385407743686162E-4</v>
      </c>
      <c r="CN18" s="53">
        <v>1.6221553666249299E-4</v>
      </c>
      <c r="CO18" s="53">
        <v>1.6059338129586806E-4</v>
      </c>
      <c r="CP18" s="53">
        <v>1.5898744748290937E-4</v>
      </c>
      <c r="CQ18" s="53">
        <v>1.5739757300808029E-4</v>
      </c>
      <c r="CR18" s="53">
        <v>1.5582359727799949E-4</v>
      </c>
      <c r="CS18" s="53">
        <v>1.542653613052195E-4</v>
      </c>
      <c r="CT18" s="53">
        <v>1.5272270769216731E-4</v>
      </c>
      <c r="CU18" s="53">
        <v>1.5119548061524565E-4</v>
      </c>
      <c r="CV18" s="53">
        <v>1.4968352580909319E-4</v>
      </c>
      <c r="CW18" s="53">
        <v>1.4818669055100225E-4</v>
      </c>
      <c r="CX18" s="53">
        <v>1.4670482364549222E-4</v>
      </c>
      <c r="CY18" s="28">
        <v>1.4523777540903729E-4</v>
      </c>
    </row>
    <row r="19" spans="1:103">
      <c r="A19" s="54">
        <v>37</v>
      </c>
      <c r="B19" s="54">
        <v>3.1799999999999998E-4</v>
      </c>
      <c r="C19" s="54">
        <v>3.2734920000000001E-4</v>
      </c>
      <c r="D19" s="54">
        <v>3.3671138712000002E-4</v>
      </c>
      <c r="E19" s="54">
        <v>3.4563423887868001E-4</v>
      </c>
      <c r="F19" s="54">
        <v>3.536875166445533E-4</v>
      </c>
      <c r="G19" s="54">
        <v>3.6047831696412879E-4</v>
      </c>
      <c r="H19" s="54">
        <v>3.6581339605519785E-4</v>
      </c>
      <c r="I19" s="54">
        <v>3.6954469269496088E-4</v>
      </c>
      <c r="J19" s="54">
        <v>3.7176196085113067E-4</v>
      </c>
      <c r="K19" s="54">
        <v>3.7265418955717338E-4</v>
      </c>
      <c r="L19" s="54">
        <v>3.7257965871926197E-4</v>
      </c>
      <c r="M19" s="54">
        <v>3.7175998347007961E-4</v>
      </c>
      <c r="N19" s="54">
        <v>3.7031011953454632E-4</v>
      </c>
      <c r="O19" s="54">
        <v>3.6827341387710632E-4</v>
      </c>
      <c r="P19" s="54">
        <v>3.6576915466274198E-4</v>
      </c>
      <c r="Q19" s="54">
        <v>3.6291615525637256E-4</v>
      </c>
      <c r="R19" s="54">
        <v>3.5975878470564211E-4</v>
      </c>
      <c r="S19" s="54">
        <v>3.5641302800787963E-4</v>
      </c>
      <c r="T19" s="53">
        <v>3.529558216362032E-4</v>
      </c>
      <c r="U19" s="53">
        <v>3.4946155900200481E-4</v>
      </c>
      <c r="V19" s="53">
        <v>3.4596694341198478E-4</v>
      </c>
      <c r="W19" s="53">
        <v>3.4250727397786495E-4</v>
      </c>
      <c r="X19" s="53">
        <v>3.390822012380863E-4</v>
      </c>
      <c r="Y19" s="53">
        <v>3.3569137922570541E-4</v>
      </c>
      <c r="Z19" s="53">
        <v>3.3233446543344834E-4</v>
      </c>
      <c r="AA19" s="53">
        <v>3.2901112077911385E-4</v>
      </c>
      <c r="AB19" s="53">
        <v>3.2572100957132269E-4</v>
      </c>
      <c r="AC19" s="53">
        <v>3.2246379947560946E-4</v>
      </c>
      <c r="AD19" s="53">
        <v>3.1923916148085334E-4</v>
      </c>
      <c r="AE19" s="53">
        <v>3.1604676986604483E-4</v>
      </c>
      <c r="AF19" s="53">
        <v>3.1288630216738439E-4</v>
      </c>
      <c r="AG19" s="53">
        <v>3.0975743914571054E-4</v>
      </c>
      <c r="AH19" s="53">
        <v>3.0665986475425343E-4</v>
      </c>
      <c r="AI19" s="53">
        <v>3.0359326610671089E-4</v>
      </c>
      <c r="AJ19" s="53">
        <v>3.0055733344564378E-4</v>
      </c>
      <c r="AK19" s="53">
        <v>2.9755176011118733E-4</v>
      </c>
      <c r="AL19" s="53">
        <v>2.9457624251007545E-4</v>
      </c>
      <c r="AM19" s="53">
        <v>2.9163048008497467E-4</v>
      </c>
      <c r="AN19" s="53">
        <v>2.8871417528412492E-4</v>
      </c>
      <c r="AO19" s="53">
        <v>2.8582703353128365E-4</v>
      </c>
      <c r="AP19" s="53">
        <v>2.8296876319597081E-4</v>
      </c>
      <c r="AQ19" s="53">
        <v>2.801390755640111E-4</v>
      </c>
      <c r="AR19" s="53">
        <v>2.7733768480837098E-4</v>
      </c>
      <c r="AS19" s="53">
        <v>2.745643079602873E-4</v>
      </c>
      <c r="AT19" s="53">
        <v>2.7181866488068442E-4</v>
      </c>
      <c r="AU19" s="53">
        <v>2.6910047823187758E-4</v>
      </c>
      <c r="AV19" s="53">
        <v>2.664094734495588E-4</v>
      </c>
      <c r="AW19" s="53">
        <v>2.6374537871506323E-4</v>
      </c>
      <c r="AX19" s="53">
        <v>2.6110792492791259E-4</v>
      </c>
      <c r="AY19" s="53">
        <v>2.5849684567863344E-4</v>
      </c>
      <c r="AZ19" s="53">
        <v>2.5591187722184713E-4</v>
      </c>
      <c r="BA19" s="53">
        <v>2.5335275844962866E-4</v>
      </c>
      <c r="BB19" s="53">
        <v>2.5081923086513235E-4</v>
      </c>
      <c r="BC19" s="53">
        <v>2.4831103855648101E-4</v>
      </c>
      <c r="BD19" s="53">
        <v>2.4582792817091621E-4</v>
      </c>
      <c r="BE19" s="53">
        <v>2.4336964888920705E-4</v>
      </c>
      <c r="BF19" s="53">
        <v>2.4093595240031498E-4</v>
      </c>
      <c r="BG19" s="53">
        <v>2.3852659287631182E-4</v>
      </c>
      <c r="BH19" s="53">
        <v>2.3614132694754869E-4</v>
      </c>
      <c r="BI19" s="53">
        <v>2.3377991367807321E-4</v>
      </c>
      <c r="BJ19" s="53">
        <v>2.3144211454129246E-4</v>
      </c>
      <c r="BK19" s="53">
        <v>2.2912769339587954E-4</v>
      </c>
      <c r="BL19" s="53">
        <v>2.2683641646192073E-4</v>
      </c>
      <c r="BM19" s="53">
        <v>2.2456805229730152E-4</v>
      </c>
      <c r="BN19" s="53">
        <v>2.223223717743285E-4</v>
      </c>
      <c r="BO19" s="53">
        <v>2.2009914805658522E-4</v>
      </c>
      <c r="BP19" s="53">
        <v>2.1789815657601936E-4</v>
      </c>
      <c r="BQ19" s="53">
        <v>2.1571917501025917E-4</v>
      </c>
      <c r="BR19" s="53">
        <v>2.1356198326015659E-4</v>
      </c>
      <c r="BS19" s="53">
        <v>2.1142636342755502E-4</v>
      </c>
      <c r="BT19" s="53">
        <v>2.0931209979327948E-4</v>
      </c>
      <c r="BU19" s="53">
        <v>2.0721897879534667E-4</v>
      </c>
      <c r="BV19" s="53">
        <v>2.0514678900739321E-4</v>
      </c>
      <c r="BW19" s="53">
        <v>2.0309532111731926E-4</v>
      </c>
      <c r="BX19" s="53">
        <v>2.0106436790614607E-4</v>
      </c>
      <c r="BY19" s="53">
        <v>1.9905372422708461E-4</v>
      </c>
      <c r="BZ19" s="53">
        <v>1.9706318698481376E-4</v>
      </c>
      <c r="CA19" s="53">
        <v>1.9509255511496561E-4</v>
      </c>
      <c r="CB19" s="53">
        <v>1.9314162956381596E-4</v>
      </c>
      <c r="CC19" s="53">
        <v>1.9121021326817778E-4</v>
      </c>
      <c r="CD19" s="53">
        <v>1.89298111135496E-4</v>
      </c>
      <c r="CE19" s="53">
        <v>1.8740513002414103E-4</v>
      </c>
      <c r="CF19" s="53">
        <v>1.8553107872389961E-4</v>
      </c>
      <c r="CG19" s="53">
        <v>1.8367576793666061E-4</v>
      </c>
      <c r="CH19" s="53">
        <v>1.81839010257294E-4</v>
      </c>
      <c r="CI19" s="53">
        <v>1.8002062015472106E-4</v>
      </c>
      <c r="CJ19" s="53">
        <v>1.7822041395317386E-4</v>
      </c>
      <c r="CK19" s="53">
        <v>1.7643820981364211E-4</v>
      </c>
      <c r="CL19" s="53">
        <v>1.7467382771550567E-4</v>
      </c>
      <c r="CM19" s="53">
        <v>1.7292708943835063E-4</v>
      </c>
      <c r="CN19" s="53">
        <v>1.7119781854396711E-4</v>
      </c>
      <c r="CO19" s="53">
        <v>1.6948584035852743E-4</v>
      </c>
      <c r="CP19" s="53">
        <v>1.6779098195494215E-4</v>
      </c>
      <c r="CQ19" s="53">
        <v>1.6611307213539272E-4</v>
      </c>
      <c r="CR19" s="53">
        <v>1.6445194141403879E-4</v>
      </c>
      <c r="CS19" s="53">
        <v>1.6280742199989841E-4</v>
      </c>
      <c r="CT19" s="53">
        <v>1.6117934777989943E-4</v>
      </c>
      <c r="CU19" s="53">
        <v>1.5956755430210042E-4</v>
      </c>
      <c r="CV19" s="53">
        <v>1.5797187875907942E-4</v>
      </c>
      <c r="CW19" s="53">
        <v>1.5639215997148863E-4</v>
      </c>
      <c r="CX19" s="53">
        <v>1.5482823837177374E-4</v>
      </c>
      <c r="CY19" s="28">
        <v>1.53279955988056E-4</v>
      </c>
    </row>
    <row r="20" spans="1:103">
      <c r="A20" s="54">
        <v>38</v>
      </c>
      <c r="B20" s="54">
        <v>3.39E-4</v>
      </c>
      <c r="C20" s="54">
        <v>3.47814E-4</v>
      </c>
      <c r="D20" s="54">
        <v>3.5678760120000001E-4</v>
      </c>
      <c r="E20" s="54">
        <v>3.6545753990915999E-4</v>
      </c>
      <c r="F20" s="54">
        <v>3.733879685251888E-4</v>
      </c>
      <c r="G20" s="54">
        <v>3.8022096834919972E-4</v>
      </c>
      <c r="H20" s="54">
        <v>3.8565812819659325E-4</v>
      </c>
      <c r="I20" s="54">
        <v>3.895918411041985E-4</v>
      </c>
      <c r="J20" s="54">
        <v>3.9204626970315494E-4</v>
      </c>
      <c r="K20" s="54">
        <v>3.9318320388529403E-4</v>
      </c>
      <c r="L20" s="54">
        <v>3.9330115884645962E-4</v>
      </c>
      <c r="M20" s="54">
        <v>3.9263254687642063E-4</v>
      </c>
      <c r="N20" s="54">
        <v>3.9125833296235318E-4</v>
      </c>
      <c r="O20" s="54">
        <v>3.8922378963094896E-4</v>
      </c>
      <c r="P20" s="54">
        <v>3.8669383499834783E-4</v>
      </c>
      <c r="Q20" s="54">
        <v>3.8371629246886053E-4</v>
      </c>
      <c r="R20" s="54">
        <v>3.804163323536283E-4</v>
      </c>
      <c r="S20" s="54">
        <v>3.7691650209597491E-4</v>
      </c>
      <c r="T20" s="53">
        <v>3.7326041202564395E-4</v>
      </c>
      <c r="U20" s="53">
        <v>3.6956513394659007E-4</v>
      </c>
      <c r="V20" s="53">
        <v>3.6586948260712419E-4</v>
      </c>
      <c r="W20" s="53">
        <v>3.6221078778105292E-4</v>
      </c>
      <c r="X20" s="53">
        <v>3.5858867990324239E-4</v>
      </c>
      <c r="Y20" s="53">
        <v>3.5500279310420995E-4</v>
      </c>
      <c r="Z20" s="53">
        <v>3.5145276517316786E-4</v>
      </c>
      <c r="AA20" s="53">
        <v>3.4793823752143617E-4</v>
      </c>
      <c r="AB20" s="53">
        <v>3.4445885514622181E-4</v>
      </c>
      <c r="AC20" s="53">
        <v>3.4101426659475961E-4</v>
      </c>
      <c r="AD20" s="53">
        <v>3.3760412392881201E-4</v>
      </c>
      <c r="AE20" s="53">
        <v>3.342280826895239E-4</v>
      </c>
      <c r="AF20" s="53">
        <v>3.3088580186262865E-4</v>
      </c>
      <c r="AG20" s="53">
        <v>3.2757694384400235E-4</v>
      </c>
      <c r="AH20" s="53">
        <v>3.2430117440556235E-4</v>
      </c>
      <c r="AI20" s="53">
        <v>3.210581626615067E-4</v>
      </c>
      <c r="AJ20" s="53">
        <v>3.1784758103489165E-4</v>
      </c>
      <c r="AK20" s="53">
        <v>3.1466910522454273E-4</v>
      </c>
      <c r="AL20" s="53">
        <v>3.1152241417229732E-4</v>
      </c>
      <c r="AM20" s="53">
        <v>3.0840719003057436E-4</v>
      </c>
      <c r="AN20" s="53">
        <v>3.0532311813026862E-4</v>
      </c>
      <c r="AO20" s="53">
        <v>3.0226988694896591E-4</v>
      </c>
      <c r="AP20" s="53">
        <v>2.9924718807947624E-4</v>
      </c>
      <c r="AQ20" s="53">
        <v>2.962547161986815E-4</v>
      </c>
      <c r="AR20" s="53">
        <v>2.932921690366947E-4</v>
      </c>
      <c r="AS20" s="53">
        <v>2.9035924734632774E-4</v>
      </c>
      <c r="AT20" s="53">
        <v>2.8745565487286448E-4</v>
      </c>
      <c r="AU20" s="53">
        <v>2.8458109832413584E-4</v>
      </c>
      <c r="AV20" s="53">
        <v>2.8173528734089448E-4</v>
      </c>
      <c r="AW20" s="53">
        <v>2.7891793446748554E-4</v>
      </c>
      <c r="AX20" s="53">
        <v>2.7612875512281069E-4</v>
      </c>
      <c r="AY20" s="53">
        <v>2.7336746757158258E-4</v>
      </c>
      <c r="AZ20" s="53">
        <v>2.7063379289586674E-4</v>
      </c>
      <c r="BA20" s="53">
        <v>2.6792745496690806E-4</v>
      </c>
      <c r="BB20" s="53">
        <v>2.6524818041723897E-4</v>
      </c>
      <c r="BC20" s="53">
        <v>2.6259569861306661E-4</v>
      </c>
      <c r="BD20" s="53">
        <v>2.5996974162693595E-4</v>
      </c>
      <c r="BE20" s="53">
        <v>2.5737004421066658E-4</v>
      </c>
      <c r="BF20" s="53">
        <v>2.547963437685599E-4</v>
      </c>
      <c r="BG20" s="53">
        <v>2.5224838033087433E-4</v>
      </c>
      <c r="BH20" s="53">
        <v>2.4972589652756558E-4</v>
      </c>
      <c r="BI20" s="53">
        <v>2.4722863756228991E-4</v>
      </c>
      <c r="BJ20" s="53">
        <v>2.4475635118666699E-4</v>
      </c>
      <c r="BK20" s="53">
        <v>2.423087876748003E-4</v>
      </c>
      <c r="BL20" s="53">
        <v>2.3988569979805231E-4</v>
      </c>
      <c r="BM20" s="53">
        <v>2.3748684280007178E-4</v>
      </c>
      <c r="BN20" s="53">
        <v>2.3511197437207107E-4</v>
      </c>
      <c r="BO20" s="53">
        <v>2.3276085462835036E-4</v>
      </c>
      <c r="BP20" s="53">
        <v>2.3043324608206685E-4</v>
      </c>
      <c r="BQ20" s="53">
        <v>2.2812891362124617E-4</v>
      </c>
      <c r="BR20" s="53">
        <v>2.2584762448503372E-4</v>
      </c>
      <c r="BS20" s="53">
        <v>2.2358914824018337E-4</v>
      </c>
      <c r="BT20" s="53">
        <v>2.2135325675778155E-4</v>
      </c>
      <c r="BU20" s="53">
        <v>2.1913972419020374E-4</v>
      </c>
      <c r="BV20" s="53">
        <v>2.1694832694830169E-4</v>
      </c>
      <c r="BW20" s="53">
        <v>2.1477884367881867E-4</v>
      </c>
      <c r="BX20" s="53">
        <v>2.1263105524203048E-4</v>
      </c>
      <c r="BY20" s="53">
        <v>2.1050474468961016E-4</v>
      </c>
      <c r="BZ20" s="53">
        <v>2.0839969724271407E-4</v>
      </c>
      <c r="CA20" s="53">
        <v>2.0631570027028693E-4</v>
      </c>
      <c r="CB20" s="53">
        <v>2.0425254326758406E-4</v>
      </c>
      <c r="CC20" s="53">
        <v>2.0221001783490822E-4</v>
      </c>
      <c r="CD20" s="53">
        <v>2.0018791765655914E-4</v>
      </c>
      <c r="CE20" s="53">
        <v>1.9818603847999354E-4</v>
      </c>
      <c r="CF20" s="53">
        <v>1.962041780951936E-4</v>
      </c>
      <c r="CG20" s="53">
        <v>1.9424213631424167E-4</v>
      </c>
      <c r="CH20" s="53">
        <v>1.9229971495109927E-4</v>
      </c>
      <c r="CI20" s="53">
        <v>1.9037671780158826E-4</v>
      </c>
      <c r="CJ20" s="53">
        <v>1.8847295062357237E-4</v>
      </c>
      <c r="CK20" s="53">
        <v>1.8658822111733664E-4</v>
      </c>
      <c r="CL20" s="53">
        <v>1.8472233890616326E-4</v>
      </c>
      <c r="CM20" s="53">
        <v>1.8287511551710162E-4</v>
      </c>
      <c r="CN20" s="53">
        <v>1.810463643619306E-4</v>
      </c>
      <c r="CO20" s="53">
        <v>1.792359007183113E-4</v>
      </c>
      <c r="CP20" s="53">
        <v>1.7744354171112819E-4</v>
      </c>
      <c r="CQ20" s="53">
        <v>1.756691062940169E-4</v>
      </c>
      <c r="CR20" s="53">
        <v>1.7391241523107673E-4</v>
      </c>
      <c r="CS20" s="53">
        <v>1.7217329107876596E-4</v>
      </c>
      <c r="CT20" s="53">
        <v>1.7045155816797829E-4</v>
      </c>
      <c r="CU20" s="53">
        <v>1.6874704258629852E-4</v>
      </c>
      <c r="CV20" s="53">
        <v>1.6705957216043554E-4</v>
      </c>
      <c r="CW20" s="53">
        <v>1.6538897643883119E-4</v>
      </c>
      <c r="CX20" s="53">
        <v>1.6373508667444288E-4</v>
      </c>
      <c r="CY20" s="28">
        <v>1.6209773580769845E-4</v>
      </c>
    </row>
    <row r="21" spans="1:103">
      <c r="A21" s="54">
        <v>39</v>
      </c>
      <c r="B21" s="54">
        <v>3.6499999999999998E-4</v>
      </c>
      <c r="C21" s="54">
        <v>3.7306649999999998E-4</v>
      </c>
      <c r="D21" s="54">
        <v>3.8142318959999996E-4</v>
      </c>
      <c r="E21" s="54">
        <v>3.8962378817639998E-4</v>
      </c>
      <c r="F21" s="54">
        <v>3.9726041442465743E-4</v>
      </c>
      <c r="G21" s="54">
        <v>4.039741154284341E-4</v>
      </c>
      <c r="H21" s="54">
        <v>4.0946816339826081E-4</v>
      </c>
      <c r="I21" s="54">
        <v>4.1356284503224342E-4</v>
      </c>
      <c r="J21" s="54">
        <v>4.1625100352495298E-4</v>
      </c>
      <c r="K21" s="54">
        <v>4.1762463183658534E-4</v>
      </c>
      <c r="L21" s="54">
        <v>4.1795873154205459E-4</v>
      </c>
      <c r="M21" s="54">
        <v>4.1745718106420414E-4</v>
      </c>
      <c r="N21" s="54">
        <v>4.1616306380290512E-4</v>
      </c>
      <c r="O21" s="54">
        <v>4.1416548109665115E-4</v>
      </c>
      <c r="P21" s="54">
        <v>4.1155623856574229E-4</v>
      </c>
      <c r="Q21" s="54">
        <v>4.0846956677649922E-4</v>
      </c>
      <c r="R21" s="54">
        <v>4.0503842241557662E-4</v>
      </c>
      <c r="S21" s="54">
        <v>4.013120689293533E-4</v>
      </c>
      <c r="T21" s="53">
        <v>3.9745947306763147E-4</v>
      </c>
      <c r="U21" s="53">
        <v>3.9352462428426189E-4</v>
      </c>
      <c r="V21" s="53">
        <v>3.8958937804141927E-4</v>
      </c>
      <c r="W21" s="53">
        <v>3.856934842610051E-4</v>
      </c>
      <c r="X21" s="53">
        <v>3.8183654941839504E-4</v>
      </c>
      <c r="Y21" s="53">
        <v>3.7801818392421108E-4</v>
      </c>
      <c r="Z21" s="53">
        <v>3.7423800208496896E-4</v>
      </c>
      <c r="AA21" s="53">
        <v>3.7049562206411927E-4</v>
      </c>
      <c r="AB21" s="53">
        <v>3.6679066584347809E-4</v>
      </c>
      <c r="AC21" s="53">
        <v>3.6312275918504329E-4</v>
      </c>
      <c r="AD21" s="53">
        <v>3.5949153159319284E-4</v>
      </c>
      <c r="AE21" s="53">
        <v>3.5589661627726091E-4</v>
      </c>
      <c r="AF21" s="53">
        <v>3.5233765011448827E-4</v>
      </c>
      <c r="AG21" s="53">
        <v>3.4881427361334338E-4</v>
      </c>
      <c r="AH21" s="53">
        <v>3.4532613087720997E-4</v>
      </c>
      <c r="AI21" s="53">
        <v>3.4187286956843788E-4</v>
      </c>
      <c r="AJ21" s="53">
        <v>3.3845414087275348E-4</v>
      </c>
      <c r="AK21" s="53">
        <v>3.3506959946402596E-4</v>
      </c>
      <c r="AL21" s="53">
        <v>3.3171890346938567E-4</v>
      </c>
      <c r="AM21" s="53">
        <v>3.2840171443469183E-4</v>
      </c>
      <c r="AN21" s="53">
        <v>3.2511769729034491E-4</v>
      </c>
      <c r="AO21" s="53">
        <v>3.2186652031744145E-4</v>
      </c>
      <c r="AP21" s="53">
        <v>3.1864785511426702E-4</v>
      </c>
      <c r="AQ21" s="53">
        <v>3.1546137656312433E-4</v>
      </c>
      <c r="AR21" s="53">
        <v>3.1230676279749307E-4</v>
      </c>
      <c r="AS21" s="53">
        <v>3.0918369516951813E-4</v>
      </c>
      <c r="AT21" s="53">
        <v>3.0609185821782296E-4</v>
      </c>
      <c r="AU21" s="53">
        <v>3.0303093963564471E-4</v>
      </c>
      <c r="AV21" s="53">
        <v>3.0000063023928825E-4</v>
      </c>
      <c r="AW21" s="53">
        <v>2.9700062393689538E-4</v>
      </c>
      <c r="AX21" s="53">
        <v>2.940306176975264E-4</v>
      </c>
      <c r="AY21" s="53">
        <v>2.9109031152055114E-4</v>
      </c>
      <c r="AZ21" s="53">
        <v>2.8817940840534563E-4</v>
      </c>
      <c r="BA21" s="53">
        <v>2.8529761432129219E-4</v>
      </c>
      <c r="BB21" s="53">
        <v>2.8244463817807925E-4</v>
      </c>
      <c r="BC21" s="53">
        <v>2.7962019179629847E-4</v>
      </c>
      <c r="BD21" s="53">
        <v>2.7682398987833548E-4</v>
      </c>
      <c r="BE21" s="53">
        <v>2.7405574997955214E-4</v>
      </c>
      <c r="BF21" s="53">
        <v>2.7131519247975663E-4</v>
      </c>
      <c r="BG21" s="53">
        <v>2.6860204055495908E-4</v>
      </c>
      <c r="BH21" s="53">
        <v>2.6591602014940948E-4</v>
      </c>
      <c r="BI21" s="53">
        <v>2.6325685994791536E-4</v>
      </c>
      <c r="BJ21" s="53">
        <v>2.606242913484362E-4</v>
      </c>
      <c r="BK21" s="53">
        <v>2.5801804843495185E-4</v>
      </c>
      <c r="BL21" s="53">
        <v>2.554378679506023E-4</v>
      </c>
      <c r="BM21" s="53">
        <v>2.5288348927109626E-4</v>
      </c>
      <c r="BN21" s="53">
        <v>2.503546543783853E-4</v>
      </c>
      <c r="BO21" s="53">
        <v>2.4785110783460143E-4</v>
      </c>
      <c r="BP21" s="53">
        <v>2.4537259675625541E-4</v>
      </c>
      <c r="BQ21" s="53">
        <v>2.4291887078869284E-4</v>
      </c>
      <c r="BR21" s="53">
        <v>2.4048968208080591E-4</v>
      </c>
      <c r="BS21" s="53">
        <v>2.3808478525999785E-4</v>
      </c>
      <c r="BT21" s="53">
        <v>2.3570393740739786E-4</v>
      </c>
      <c r="BU21" s="53">
        <v>2.3334689803332386E-4</v>
      </c>
      <c r="BV21" s="53">
        <v>2.3101342905299061E-4</v>
      </c>
      <c r="BW21" s="53">
        <v>2.2870329476246069E-4</v>
      </c>
      <c r="BX21" s="53">
        <v>2.264162618148361E-4</v>
      </c>
      <c r="BY21" s="53">
        <v>2.2415209919668773E-4</v>
      </c>
      <c r="BZ21" s="53">
        <v>2.2191057820472086E-4</v>
      </c>
      <c r="CA21" s="53">
        <v>2.1969147242267365E-4</v>
      </c>
      <c r="CB21" s="53">
        <v>2.174945576984469E-4</v>
      </c>
      <c r="CC21" s="53">
        <v>2.1531961212146243E-4</v>
      </c>
      <c r="CD21" s="53">
        <v>2.131664160002478E-4</v>
      </c>
      <c r="CE21" s="53">
        <v>2.1103475184024531E-4</v>
      </c>
      <c r="CF21" s="53">
        <v>2.0892440432184286E-4</v>
      </c>
      <c r="CG21" s="53">
        <v>2.0683516027862443E-4</v>
      </c>
      <c r="CH21" s="53">
        <v>2.0476680867583818E-4</v>
      </c>
      <c r="CI21" s="53">
        <v>2.0271914058907979E-4</v>
      </c>
      <c r="CJ21" s="53">
        <v>2.0069194918318899E-4</v>
      </c>
      <c r="CK21" s="53">
        <v>1.9868502969135711E-4</v>
      </c>
      <c r="CL21" s="53">
        <v>1.9669817939444353E-4</v>
      </c>
      <c r="CM21" s="53">
        <v>1.947311976004991E-4</v>
      </c>
      <c r="CN21" s="53">
        <v>1.9278388562449412E-4</v>
      </c>
      <c r="CO21" s="53">
        <v>1.9085604676824918E-4</v>
      </c>
      <c r="CP21" s="53">
        <v>1.8894748630056667E-4</v>
      </c>
      <c r="CQ21" s="53">
        <v>1.8705801143756101E-4</v>
      </c>
      <c r="CR21" s="53">
        <v>1.8518743132318538E-4</v>
      </c>
      <c r="CS21" s="53">
        <v>1.8333555700995353E-4</v>
      </c>
      <c r="CT21" s="53">
        <v>1.81502201439854E-4</v>
      </c>
      <c r="CU21" s="53">
        <v>1.7968717942545547E-4</v>
      </c>
      <c r="CV21" s="53">
        <v>1.7789030763120091E-4</v>
      </c>
      <c r="CW21" s="53">
        <v>1.7611140455488889E-4</v>
      </c>
      <c r="CX21" s="53">
        <v>1.7435029050934001E-4</v>
      </c>
      <c r="CY21" s="28">
        <v>1.7260678760424661E-4</v>
      </c>
    </row>
    <row r="22" spans="1:103">
      <c r="A22" s="54">
        <v>40</v>
      </c>
      <c r="B22" s="54">
        <v>3.9599999999999998E-4</v>
      </c>
      <c r="C22" s="54">
        <v>4.0304879999999998E-4</v>
      </c>
      <c r="D22" s="54">
        <v>4.1050520279999997E-4</v>
      </c>
      <c r="E22" s="54">
        <v>4.1801744801123994E-4</v>
      </c>
      <c r="F22" s="54">
        <v>4.251655463722321E-4</v>
      </c>
      <c r="G22" s="54">
        <v>4.3158554612245277E-4</v>
      </c>
      <c r="H22" s="54">
        <v>4.3698036544898342E-4</v>
      </c>
      <c r="I22" s="54">
        <v>4.4113167892074876E-4</v>
      </c>
      <c r="J22" s="54">
        <v>4.4395492166584156E-4</v>
      </c>
      <c r="K22" s="54">
        <v>4.455531593838386E-4</v>
      </c>
      <c r="L22" s="54">
        <v>4.4608782317509922E-4</v>
      </c>
      <c r="M22" s="54">
        <v>4.4573095291655911E-4</v>
      </c>
      <c r="N22" s="54">
        <v>4.4452747934368438E-4</v>
      </c>
      <c r="O22" s="54">
        <v>4.4252710568663784E-4</v>
      </c>
      <c r="P22" s="54">
        <v>4.3987194305251801E-4</v>
      </c>
      <c r="Q22" s="54">
        <v>4.3666087786823466E-4</v>
      </c>
      <c r="R22" s="54">
        <v>4.3303659258192833E-4</v>
      </c>
      <c r="S22" s="54">
        <v>4.2909595958943276E-4</v>
      </c>
      <c r="T22" s="53">
        <v>4.2497663837737416E-4</v>
      </c>
      <c r="U22" s="53">
        <v>4.2076936965743816E-4</v>
      </c>
      <c r="V22" s="53">
        <v>4.1656167596086375E-4</v>
      </c>
      <c r="W22" s="53">
        <v>4.123960592012551E-4</v>
      </c>
      <c r="X22" s="53">
        <v>4.0827209860924257E-4</v>
      </c>
      <c r="Y22" s="53">
        <v>4.0418937762315015E-4</v>
      </c>
      <c r="Z22" s="53">
        <v>4.0014748384691864E-4</v>
      </c>
      <c r="AA22" s="53">
        <v>3.9614600900844947E-4</v>
      </c>
      <c r="AB22" s="53">
        <v>3.9218454891836498E-4</v>
      </c>
      <c r="AC22" s="53">
        <v>3.8826270342918134E-4</v>
      </c>
      <c r="AD22" s="53">
        <v>3.8438007639488952E-4</v>
      </c>
      <c r="AE22" s="53">
        <v>3.805362756309406E-4</v>
      </c>
      <c r="AF22" s="53">
        <v>3.7673091287463117E-4</v>
      </c>
      <c r="AG22" s="53">
        <v>3.7296360374588486E-4</v>
      </c>
      <c r="AH22" s="53">
        <v>3.6923396770842599E-4</v>
      </c>
      <c r="AI22" s="53">
        <v>3.6554162803134171E-4</v>
      </c>
      <c r="AJ22" s="53">
        <v>3.6188621175102829E-4</v>
      </c>
      <c r="AK22" s="53">
        <v>3.58267349633518E-4</v>
      </c>
      <c r="AL22" s="53">
        <v>3.5468467613718283E-4</v>
      </c>
      <c r="AM22" s="53">
        <v>3.5113782937581099E-4</v>
      </c>
      <c r="AN22" s="53">
        <v>3.4762645108205286E-4</v>
      </c>
      <c r="AO22" s="53">
        <v>3.4415018657123236E-4</v>
      </c>
      <c r="AP22" s="53">
        <v>3.4070868470552004E-4</v>
      </c>
      <c r="AQ22" s="53">
        <v>3.3730159785846486E-4</v>
      </c>
      <c r="AR22" s="53">
        <v>3.3392858187988021E-4</v>
      </c>
      <c r="AS22" s="53">
        <v>3.3058929606108141E-4</v>
      </c>
      <c r="AT22" s="53">
        <v>3.2728340310047058E-4</v>
      </c>
      <c r="AU22" s="53">
        <v>3.2401056906946588E-4</v>
      </c>
      <c r="AV22" s="53">
        <v>3.2077046337877123E-4</v>
      </c>
      <c r="AW22" s="53">
        <v>3.1756275874498353E-4</v>
      </c>
      <c r="AX22" s="53">
        <v>3.1438713115753368E-4</v>
      </c>
      <c r="AY22" s="53">
        <v>3.1124325984595834E-4</v>
      </c>
      <c r="AZ22" s="53">
        <v>3.0813082724749874E-4</v>
      </c>
      <c r="BA22" s="53">
        <v>3.0504951897502376E-4</v>
      </c>
      <c r="BB22" s="53">
        <v>3.0199902378527351E-4</v>
      </c>
      <c r="BC22" s="53">
        <v>2.9897903354742075E-4</v>
      </c>
      <c r="BD22" s="53">
        <v>2.9598924321194654E-4</v>
      </c>
      <c r="BE22" s="53">
        <v>2.9302935077982705E-4</v>
      </c>
      <c r="BF22" s="53">
        <v>2.900990572720288E-4</v>
      </c>
      <c r="BG22" s="53">
        <v>2.8719806669930852E-4</v>
      </c>
      <c r="BH22" s="53">
        <v>2.8432608603231544E-4</v>
      </c>
      <c r="BI22" s="53">
        <v>2.8148282517199226E-4</v>
      </c>
      <c r="BJ22" s="53">
        <v>2.7866799692027232E-4</v>
      </c>
      <c r="BK22" s="53">
        <v>2.7588131695106962E-4</v>
      </c>
      <c r="BL22" s="53">
        <v>2.7312250378155894E-4</v>
      </c>
      <c r="BM22" s="53">
        <v>2.7039127874374334E-4</v>
      </c>
      <c r="BN22" s="53">
        <v>2.6768736595630591E-4</v>
      </c>
      <c r="BO22" s="53">
        <v>2.6501049229674285E-4</v>
      </c>
      <c r="BP22" s="53">
        <v>2.6236038737377542E-4</v>
      </c>
      <c r="BQ22" s="53">
        <v>2.5973678350003768E-4</v>
      </c>
      <c r="BR22" s="53">
        <v>2.5713941566503731E-4</v>
      </c>
      <c r="BS22" s="53">
        <v>2.5456802150838692E-4</v>
      </c>
      <c r="BT22" s="53">
        <v>2.5202234129330305E-4</v>
      </c>
      <c r="BU22" s="53">
        <v>2.4950211788037004E-4</v>
      </c>
      <c r="BV22" s="53">
        <v>2.4700709670156634E-4</v>
      </c>
      <c r="BW22" s="53">
        <v>2.4453702573455069E-4</v>
      </c>
      <c r="BX22" s="53">
        <v>2.4209165547720517E-4</v>
      </c>
      <c r="BY22" s="53">
        <v>2.3967073892243313E-4</v>
      </c>
      <c r="BZ22" s="53">
        <v>2.3727403153320879E-4</v>
      </c>
      <c r="CA22" s="53">
        <v>2.349012912178767E-4</v>
      </c>
      <c r="CB22" s="53">
        <v>2.3255227830569792E-4</v>
      </c>
      <c r="CC22" s="53">
        <v>2.3022675552264094E-4</v>
      </c>
      <c r="CD22" s="53">
        <v>2.2792448796741453E-4</v>
      </c>
      <c r="CE22" s="53">
        <v>2.2564524308774038E-4</v>
      </c>
      <c r="CF22" s="53">
        <v>2.2338879065686296E-4</v>
      </c>
      <c r="CG22" s="53">
        <v>2.2115490275029432E-4</v>
      </c>
      <c r="CH22" s="53">
        <v>2.1894335372279138E-4</v>
      </c>
      <c r="CI22" s="53">
        <v>2.1675392018556346E-4</v>
      </c>
      <c r="CJ22" s="53">
        <v>2.1458638098370783E-4</v>
      </c>
      <c r="CK22" s="53">
        <v>2.1244051717387075E-4</v>
      </c>
      <c r="CL22" s="53">
        <v>2.1031611200213204E-4</v>
      </c>
      <c r="CM22" s="53">
        <v>2.0821295088211073E-4</v>
      </c>
      <c r="CN22" s="53">
        <v>2.0613082137328962E-4</v>
      </c>
      <c r="CO22" s="53">
        <v>2.0406951315955673E-4</v>
      </c>
      <c r="CP22" s="53">
        <v>2.0202881802796116E-4</v>
      </c>
      <c r="CQ22" s="53">
        <v>2.0000852984768154E-4</v>
      </c>
      <c r="CR22" s="53">
        <v>1.9800844454920472E-4</v>
      </c>
      <c r="CS22" s="53">
        <v>1.9602836010371266E-4</v>
      </c>
      <c r="CT22" s="53">
        <v>1.9406807650267555E-4</v>
      </c>
      <c r="CU22" s="53">
        <v>1.9212739573764879E-4</v>
      </c>
      <c r="CV22" s="53">
        <v>1.9020612178027228E-4</v>
      </c>
      <c r="CW22" s="53">
        <v>1.8830406056246957E-4</v>
      </c>
      <c r="CX22" s="53">
        <v>1.8642101995684486E-4</v>
      </c>
      <c r="CY22" s="28">
        <v>1.8455680975727642E-4</v>
      </c>
    </row>
    <row r="23" spans="1:103">
      <c r="A23" s="54">
        <v>41</v>
      </c>
      <c r="B23" s="54">
        <v>4.3300000000000001E-4</v>
      </c>
      <c r="C23" s="54">
        <v>4.3875890000000007E-4</v>
      </c>
      <c r="D23" s="54">
        <v>4.4507702816000004E-4</v>
      </c>
      <c r="E23" s="54">
        <v>4.5161966047395201E-4</v>
      </c>
      <c r="F23" s="54">
        <v>4.5803265965268212E-4</v>
      </c>
      <c r="G23" s="54">
        <v>4.6394128096220169E-4</v>
      </c>
      <c r="H23" s="54">
        <v>4.6904463505278586E-4</v>
      </c>
      <c r="I23" s="54">
        <v>4.7312532337774507E-4</v>
      </c>
      <c r="J23" s="54">
        <v>4.7605870038268708E-4</v>
      </c>
      <c r="K23" s="54">
        <v>4.7782011757410302E-4</v>
      </c>
      <c r="L23" s="54">
        <v>4.7853684775046418E-4</v>
      </c>
      <c r="M23" s="54">
        <v>4.7829757932658896E-4</v>
      </c>
      <c r="N23" s="54">
        <v>4.7714966513620518E-4</v>
      </c>
      <c r="O23" s="54">
        <v>4.7514563654263312E-4</v>
      </c>
      <c r="P23" s="54">
        <v>4.723897918506858E-4</v>
      </c>
      <c r="Q23" s="54">
        <v>4.6903582432854593E-4</v>
      </c>
      <c r="R23" s="54">
        <v>4.6518973056905184E-4</v>
      </c>
      <c r="S23" s="54">
        <v>4.6100302299393036E-4</v>
      </c>
      <c r="T23" s="53">
        <v>4.565773939731886E-4</v>
      </c>
      <c r="U23" s="53">
        <v>4.5205727777285405E-4</v>
      </c>
      <c r="V23" s="53">
        <v>4.4753670499512549E-4</v>
      </c>
      <c r="W23" s="53">
        <v>4.4306133794517425E-4</v>
      </c>
      <c r="X23" s="53">
        <v>4.3863072456572249E-4</v>
      </c>
      <c r="Y23" s="53">
        <v>4.3424441732006525E-4</v>
      </c>
      <c r="Z23" s="53">
        <v>4.2990197314686458E-4</v>
      </c>
      <c r="AA23" s="53">
        <v>4.2560295341539592E-4</v>
      </c>
      <c r="AB23" s="53">
        <v>4.2134692388124198E-4</v>
      </c>
      <c r="AC23" s="53">
        <v>4.1713345464242953E-4</v>
      </c>
      <c r="AD23" s="53">
        <v>4.1296212009600525E-4</v>
      </c>
      <c r="AE23" s="53">
        <v>4.0883249889504521E-4</v>
      </c>
      <c r="AF23" s="53">
        <v>4.0474417390609478E-4</v>
      </c>
      <c r="AG23" s="53">
        <v>4.0069673216703384E-4</v>
      </c>
      <c r="AH23" s="53">
        <v>3.9668976484536351E-4</v>
      </c>
      <c r="AI23" s="53">
        <v>3.9272286719690985E-4</v>
      </c>
      <c r="AJ23" s="53">
        <v>3.8879563852494076E-4</v>
      </c>
      <c r="AK23" s="53">
        <v>3.8490768213969134E-4</v>
      </c>
      <c r="AL23" s="53">
        <v>3.8105860531829444E-4</v>
      </c>
      <c r="AM23" s="53">
        <v>3.7724801926511148E-4</v>
      </c>
      <c r="AN23" s="53">
        <v>3.7347553907246035E-4</v>
      </c>
      <c r="AO23" s="53">
        <v>3.6974078368173574E-4</v>
      </c>
      <c r="AP23" s="53">
        <v>3.6604337584491837E-4</v>
      </c>
      <c r="AQ23" s="53">
        <v>3.6238294208646918E-4</v>
      </c>
      <c r="AR23" s="53">
        <v>3.5875911266560449E-4</v>
      </c>
      <c r="AS23" s="53">
        <v>3.5517152153894847E-4</v>
      </c>
      <c r="AT23" s="53">
        <v>3.5161980632355898E-4</v>
      </c>
      <c r="AU23" s="53">
        <v>3.481036082603234E-4</v>
      </c>
      <c r="AV23" s="53">
        <v>3.4462257217772018E-4</v>
      </c>
      <c r="AW23" s="53">
        <v>3.4117634645594298E-4</v>
      </c>
      <c r="AX23" s="53">
        <v>3.3776458299138358E-4</v>
      </c>
      <c r="AY23" s="53">
        <v>3.3438693716146973E-4</v>
      </c>
      <c r="AZ23" s="53">
        <v>3.3104306778985505E-4</v>
      </c>
      <c r="BA23" s="53">
        <v>3.2773263711195652E-4</v>
      </c>
      <c r="BB23" s="53">
        <v>3.2445531074083695E-4</v>
      </c>
      <c r="BC23" s="53">
        <v>3.2121075763342859E-4</v>
      </c>
      <c r="BD23" s="53">
        <v>3.1799865005709431E-4</v>
      </c>
      <c r="BE23" s="53">
        <v>3.1481866355652339E-4</v>
      </c>
      <c r="BF23" s="53">
        <v>3.1167047692095813E-4</v>
      </c>
      <c r="BG23" s="53">
        <v>3.0855377215174856E-4</v>
      </c>
      <c r="BH23" s="53">
        <v>3.0546823443023107E-4</v>
      </c>
      <c r="BI23" s="53">
        <v>3.0241355208592875E-4</v>
      </c>
      <c r="BJ23" s="53">
        <v>2.9938941656506944E-4</v>
      </c>
      <c r="BK23" s="53">
        <v>2.9639552239941872E-4</v>
      </c>
      <c r="BL23" s="53">
        <v>2.9343156717542455E-4</v>
      </c>
      <c r="BM23" s="53">
        <v>2.9049725150367029E-4</v>
      </c>
      <c r="BN23" s="53">
        <v>2.8759227898863361E-4</v>
      </c>
      <c r="BO23" s="53">
        <v>2.8471635619874727E-4</v>
      </c>
      <c r="BP23" s="53">
        <v>2.8186919263675981E-4</v>
      </c>
      <c r="BQ23" s="53">
        <v>2.7905050071039224E-4</v>
      </c>
      <c r="BR23" s="53">
        <v>2.7625999570328832E-4</v>
      </c>
      <c r="BS23" s="53">
        <v>2.7349739574625541E-4</v>
      </c>
      <c r="BT23" s="53">
        <v>2.7076242178879288E-4</v>
      </c>
      <c r="BU23" s="53">
        <v>2.6805479757090493E-4</v>
      </c>
      <c r="BV23" s="53">
        <v>2.6537424959519588E-4</v>
      </c>
      <c r="BW23" s="53">
        <v>2.6272050709924392E-4</v>
      </c>
      <c r="BX23" s="53">
        <v>2.6009330202825145E-4</v>
      </c>
      <c r="BY23" s="53">
        <v>2.5749236900796894E-4</v>
      </c>
      <c r="BZ23" s="53">
        <v>2.5491744531788924E-4</v>
      </c>
      <c r="CA23" s="53">
        <v>2.5236827086471032E-4</v>
      </c>
      <c r="CB23" s="53">
        <v>2.4984458815606323E-4</v>
      </c>
      <c r="CC23" s="53">
        <v>2.4734614227450258E-4</v>
      </c>
      <c r="CD23" s="53">
        <v>2.4487268085175755E-4</v>
      </c>
      <c r="CE23" s="53">
        <v>2.4242395404323996E-4</v>
      </c>
      <c r="CF23" s="53">
        <v>2.3999971450280755E-4</v>
      </c>
      <c r="CG23" s="53">
        <v>2.3759971735777947E-4</v>
      </c>
      <c r="CH23" s="53">
        <v>2.3522372018420167E-4</v>
      </c>
      <c r="CI23" s="53">
        <v>2.3287148298235965E-4</v>
      </c>
      <c r="CJ23" s="53">
        <v>2.3054276815253605E-4</v>
      </c>
      <c r="CK23" s="53">
        <v>2.2823734047101068E-4</v>
      </c>
      <c r="CL23" s="53">
        <v>2.2595496706630057E-4</v>
      </c>
      <c r="CM23" s="53">
        <v>2.2369541739563758E-4</v>
      </c>
      <c r="CN23" s="53">
        <v>2.2145846322168121E-4</v>
      </c>
      <c r="CO23" s="53">
        <v>2.1924387858946438E-4</v>
      </c>
      <c r="CP23" s="53">
        <v>2.1705143980356974E-4</v>
      </c>
      <c r="CQ23" s="53">
        <v>2.1488092540553402E-4</v>
      </c>
      <c r="CR23" s="53">
        <v>2.1273211615147869E-4</v>
      </c>
      <c r="CS23" s="53">
        <v>2.1060479498996389E-4</v>
      </c>
      <c r="CT23" s="53">
        <v>2.0849874704006424E-4</v>
      </c>
      <c r="CU23" s="53">
        <v>2.0641375956966359E-4</v>
      </c>
      <c r="CV23" s="53">
        <v>2.0434962197396695E-4</v>
      </c>
      <c r="CW23" s="53">
        <v>2.0230612575422729E-4</v>
      </c>
      <c r="CX23" s="53">
        <v>2.00283064496685E-4</v>
      </c>
      <c r="CY23" s="28">
        <v>1.9828023385171816E-4</v>
      </c>
    </row>
    <row r="24" spans="1:103">
      <c r="A24" s="54">
        <v>42</v>
      </c>
      <c r="B24" s="54">
        <v>4.7699999999999999E-4</v>
      </c>
      <c r="C24" s="54">
        <v>4.8124529999999993E-4</v>
      </c>
      <c r="D24" s="54">
        <v>4.8620212658999991E-4</v>
      </c>
      <c r="E24" s="54">
        <v>4.9155034998248982E-4</v>
      </c>
      <c r="F24" s="54">
        <v>4.9700655886729546E-4</v>
      </c>
      <c r="G24" s="54">
        <v>5.0222512773540203E-4</v>
      </c>
      <c r="H24" s="54">
        <v>5.0689582142334128E-4</v>
      </c>
      <c r="I24" s="54">
        <v>5.1079891924830098E-4</v>
      </c>
      <c r="J24" s="54">
        <v>5.1371047308801637E-4</v>
      </c>
      <c r="K24" s="54">
        <v>5.1555983079113322E-4</v>
      </c>
      <c r="L24" s="54">
        <v>5.1638472652039901E-4</v>
      </c>
      <c r="M24" s="54">
        <v>5.1628144957509498E-4</v>
      </c>
      <c r="N24" s="54">
        <v>5.1519725853098732E-4</v>
      </c>
      <c r="O24" s="54">
        <v>5.1318798922271645E-4</v>
      </c>
      <c r="P24" s="54">
        <v>5.1036545528199151E-4</v>
      </c>
      <c r="Q24" s="54">
        <v>5.0684393364054572E-4</v>
      </c>
      <c r="R24" s="54">
        <v>5.0273849777805735E-4</v>
      </c>
      <c r="S24" s="54">
        <v>4.9821385129805479E-4</v>
      </c>
      <c r="T24" s="53">
        <v>4.9343099832559341E-4</v>
      </c>
      <c r="U24" s="53">
        <v>4.8854603144217002E-4</v>
      </c>
      <c r="V24" s="53">
        <v>4.836605711277483E-4</v>
      </c>
      <c r="W24" s="53">
        <v>4.788239654164708E-4</v>
      </c>
      <c r="X24" s="53">
        <v>4.7403572576230609E-4</v>
      </c>
      <c r="Y24" s="53">
        <v>4.6929536850468304E-4</v>
      </c>
      <c r="Z24" s="53">
        <v>4.6460241481963621E-4</v>
      </c>
      <c r="AA24" s="53">
        <v>4.5995639067143983E-4</v>
      </c>
      <c r="AB24" s="53">
        <v>4.5535682676472544E-4</v>
      </c>
      <c r="AC24" s="53">
        <v>4.5080325849707818E-4</v>
      </c>
      <c r="AD24" s="53">
        <v>4.4629522591210742E-4</v>
      </c>
      <c r="AE24" s="53">
        <v>4.4183227365298636E-4</v>
      </c>
      <c r="AF24" s="53">
        <v>4.3741395091645647E-4</v>
      </c>
      <c r="AG24" s="53">
        <v>4.3303981140729191E-4</v>
      </c>
      <c r="AH24" s="53">
        <v>4.2870941329321898E-4</v>
      </c>
      <c r="AI24" s="53">
        <v>4.2442231916028678E-4</v>
      </c>
      <c r="AJ24" s="53">
        <v>4.201780959686839E-4</v>
      </c>
      <c r="AK24" s="53">
        <v>4.1597631500899705E-4</v>
      </c>
      <c r="AL24" s="53">
        <v>4.1181655185890706E-4</v>
      </c>
      <c r="AM24" s="53">
        <v>4.0769838634031799E-4</v>
      </c>
      <c r="AN24" s="53">
        <v>4.0362140247691481E-4</v>
      </c>
      <c r="AO24" s="53">
        <v>3.9958518845214564E-4</v>
      </c>
      <c r="AP24" s="53">
        <v>3.955893365676242E-4</v>
      </c>
      <c r="AQ24" s="53">
        <v>3.9163344320194797E-4</v>
      </c>
      <c r="AR24" s="53">
        <v>3.8771710876992849E-4</v>
      </c>
      <c r="AS24" s="53">
        <v>3.8383993768222919E-4</v>
      </c>
      <c r="AT24" s="53">
        <v>3.8000153830540691E-4</v>
      </c>
      <c r="AU24" s="53">
        <v>3.7620152292235282E-4</v>
      </c>
      <c r="AV24" s="53">
        <v>3.7243950769312931E-4</v>
      </c>
      <c r="AW24" s="53">
        <v>3.6871511261619803E-4</v>
      </c>
      <c r="AX24" s="53">
        <v>3.6502796149003605E-4</v>
      </c>
      <c r="AY24" s="53">
        <v>3.6137768187513569E-4</v>
      </c>
      <c r="AZ24" s="53">
        <v>3.5776390505638431E-4</v>
      </c>
      <c r="BA24" s="53">
        <v>3.5418626600582049E-4</v>
      </c>
      <c r="BB24" s="53">
        <v>3.5064440334576228E-4</v>
      </c>
      <c r="BC24" s="53">
        <v>3.4713795931230464E-4</v>
      </c>
      <c r="BD24" s="53">
        <v>3.4366657971918158E-4</v>
      </c>
      <c r="BE24" s="53">
        <v>3.4022991392198979E-4</v>
      </c>
      <c r="BF24" s="53">
        <v>3.3682761478276988E-4</v>
      </c>
      <c r="BG24" s="53">
        <v>3.3345933863494217E-4</v>
      </c>
      <c r="BH24" s="53">
        <v>3.3012474524859276E-4</v>
      </c>
      <c r="BI24" s="53">
        <v>3.2682349779610681E-4</v>
      </c>
      <c r="BJ24" s="53">
        <v>3.2355526281814572E-4</v>
      </c>
      <c r="BK24" s="53">
        <v>3.2031971018996424E-4</v>
      </c>
      <c r="BL24" s="53">
        <v>3.1711651308806459E-4</v>
      </c>
      <c r="BM24" s="53">
        <v>3.1394534795718394E-4</v>
      </c>
      <c r="BN24" s="53">
        <v>3.1080589447761209E-4</v>
      </c>
      <c r="BO24" s="53">
        <v>3.0769783553283596E-4</v>
      </c>
      <c r="BP24" s="53">
        <v>3.046208571775076E-4</v>
      </c>
      <c r="BQ24" s="53">
        <v>3.0157464860573253E-4</v>
      </c>
      <c r="BR24" s="53">
        <v>2.9855890211967522E-4</v>
      </c>
      <c r="BS24" s="53">
        <v>2.9557331309847844E-4</v>
      </c>
      <c r="BT24" s="53">
        <v>2.9261757996749363E-4</v>
      </c>
      <c r="BU24" s="53">
        <v>2.8969140416781869E-4</v>
      </c>
      <c r="BV24" s="53">
        <v>2.8679449012614051E-4</v>
      </c>
      <c r="BW24" s="53">
        <v>2.8392654522487913E-4</v>
      </c>
      <c r="BX24" s="53">
        <v>2.8108727977263032E-4</v>
      </c>
      <c r="BY24" s="53">
        <v>2.7827640697490402E-4</v>
      </c>
      <c r="BZ24" s="53">
        <v>2.7549364290515498E-4</v>
      </c>
      <c r="CA24" s="53">
        <v>2.7273870647610344E-4</v>
      </c>
      <c r="CB24" s="53">
        <v>2.7001131941134239E-4</v>
      </c>
      <c r="CC24" s="53">
        <v>2.6731120621722895E-4</v>
      </c>
      <c r="CD24" s="53">
        <v>2.6463809415505667E-4</v>
      </c>
      <c r="CE24" s="53">
        <v>2.619917132135061E-4</v>
      </c>
      <c r="CF24" s="53">
        <v>2.5937179608137101E-4</v>
      </c>
      <c r="CG24" s="53">
        <v>2.5677807812055732E-4</v>
      </c>
      <c r="CH24" s="53">
        <v>2.5421029733935176E-4</v>
      </c>
      <c r="CI24" s="53">
        <v>2.5166819436595825E-4</v>
      </c>
      <c r="CJ24" s="53">
        <v>2.4915151242229869E-4</v>
      </c>
      <c r="CK24" s="53">
        <v>2.466599972980757E-4</v>
      </c>
      <c r="CL24" s="53">
        <v>2.4419339732509494E-4</v>
      </c>
      <c r="CM24" s="53">
        <v>2.4175146335184399E-4</v>
      </c>
      <c r="CN24" s="53">
        <v>2.3933394871832555E-4</v>
      </c>
      <c r="CO24" s="53">
        <v>2.3694060923114228E-4</v>
      </c>
      <c r="CP24" s="53">
        <v>2.3457120313883086E-4</v>
      </c>
      <c r="CQ24" s="53">
        <v>2.3222549110744255E-4</v>
      </c>
      <c r="CR24" s="53">
        <v>2.2990323619636813E-4</v>
      </c>
      <c r="CS24" s="53">
        <v>2.2760420383440445E-4</v>
      </c>
      <c r="CT24" s="53">
        <v>2.2532816179606039E-4</v>
      </c>
      <c r="CU24" s="53">
        <v>2.2307488017809978E-4</v>
      </c>
      <c r="CV24" s="53">
        <v>2.2084413137631877E-4</v>
      </c>
      <c r="CW24" s="53">
        <v>2.1863569006255558E-4</v>
      </c>
      <c r="CX24" s="53">
        <v>2.1644933316193002E-4</v>
      </c>
      <c r="CY24" s="28">
        <v>2.1428483983031073E-4</v>
      </c>
    </row>
    <row r="25" spans="1:103">
      <c r="A25" s="54">
        <v>43</v>
      </c>
      <c r="B25" s="54">
        <v>5.2899999999999996E-4</v>
      </c>
      <c r="C25" s="54">
        <v>5.3159209999999993E-4</v>
      </c>
      <c r="D25" s="54">
        <v>5.3494113022999989E-4</v>
      </c>
      <c r="E25" s="54">
        <v>5.3889969459370191E-4</v>
      </c>
      <c r="F25" s="54">
        <v>5.4315700218099221E-4</v>
      </c>
      <c r="G25" s="54">
        <v>5.474479424982221E-4</v>
      </c>
      <c r="H25" s="54">
        <v>5.5149905727270904E-4</v>
      </c>
      <c r="I25" s="54">
        <v>5.5502865123925431E-4</v>
      </c>
      <c r="J25" s="54">
        <v>5.577482916303266E-4</v>
      </c>
      <c r="K25" s="54">
        <v>5.5958886099270668E-4</v>
      </c>
      <c r="L25" s="54">
        <v>5.6048420317029502E-4</v>
      </c>
      <c r="M25" s="54">
        <v>5.6042815474997799E-4</v>
      </c>
      <c r="N25" s="54">
        <v>5.5936334125595308E-4</v>
      </c>
      <c r="O25" s="54">
        <v>5.5729369689330602E-4</v>
      </c>
      <c r="P25" s="54">
        <v>5.543400402997715E-4</v>
      </c>
      <c r="Q25" s="54">
        <v>5.5057052802573306E-4</v>
      </c>
      <c r="R25" s="54">
        <v>5.4616596380152723E-4</v>
      </c>
      <c r="S25" s="54">
        <v>5.4130508672369361E-4</v>
      </c>
      <c r="T25" s="53">
        <v>5.3616268839981856E-4</v>
      </c>
      <c r="U25" s="53">
        <v>5.308546777846603E-4</v>
      </c>
      <c r="V25" s="53">
        <v>5.2554613100681369E-4</v>
      </c>
      <c r="W25" s="53">
        <v>5.2029066969674551E-4</v>
      </c>
      <c r="X25" s="53">
        <v>5.1508776299977806E-4</v>
      </c>
      <c r="Y25" s="53">
        <v>5.0993688536978032E-4</v>
      </c>
      <c r="Z25" s="53">
        <v>5.0483751651608246E-4</v>
      </c>
      <c r="AA25" s="53">
        <v>4.9978914135092158E-4</v>
      </c>
      <c r="AB25" s="53">
        <v>4.9479124993741231E-4</v>
      </c>
      <c r="AC25" s="53">
        <v>4.8984333743803813E-4</v>
      </c>
      <c r="AD25" s="53">
        <v>4.8494490406365777E-4</v>
      </c>
      <c r="AE25" s="53">
        <v>4.8009545502302121E-4</v>
      </c>
      <c r="AF25" s="53">
        <v>4.75294500472791E-4</v>
      </c>
      <c r="AG25" s="53">
        <v>4.7054155546806309E-4</v>
      </c>
      <c r="AH25" s="53">
        <v>4.6583613991338244E-4</v>
      </c>
      <c r="AI25" s="53">
        <v>4.6117777851424862E-4</v>
      </c>
      <c r="AJ25" s="53">
        <v>4.5656600072910611E-4</v>
      </c>
      <c r="AK25" s="53">
        <v>4.5200034072181506E-4</v>
      </c>
      <c r="AL25" s="53">
        <v>4.4748033731459693E-4</v>
      </c>
      <c r="AM25" s="53">
        <v>4.4300553394145095E-4</v>
      </c>
      <c r="AN25" s="53">
        <v>4.3857547860203644E-4</v>
      </c>
      <c r="AO25" s="53">
        <v>4.3418972381601605E-4</v>
      </c>
      <c r="AP25" s="53">
        <v>4.2984782657785588E-4</v>
      </c>
      <c r="AQ25" s="53">
        <v>4.2554934831207732E-4</v>
      </c>
      <c r="AR25" s="53">
        <v>4.2129385482895653E-4</v>
      </c>
      <c r="AS25" s="53">
        <v>4.1708091628066697E-4</v>
      </c>
      <c r="AT25" s="53">
        <v>4.1291010711786032E-4</v>
      </c>
      <c r="AU25" s="53">
        <v>4.087810060466817E-4</v>
      </c>
      <c r="AV25" s="53">
        <v>4.0469319598621486E-4</v>
      </c>
      <c r="AW25" s="53">
        <v>4.006462640263527E-4</v>
      </c>
      <c r="AX25" s="53">
        <v>3.9663980138608917E-4</v>
      </c>
      <c r="AY25" s="53">
        <v>3.9267340337222826E-4</v>
      </c>
      <c r="AZ25" s="53">
        <v>3.8874666933850599E-4</v>
      </c>
      <c r="BA25" s="53">
        <v>3.8485920264512094E-4</v>
      </c>
      <c r="BB25" s="53">
        <v>3.8101061061866971E-4</v>
      </c>
      <c r="BC25" s="53">
        <v>3.7720050451248301E-4</v>
      </c>
      <c r="BD25" s="53">
        <v>3.7342849946735818E-4</v>
      </c>
      <c r="BE25" s="53">
        <v>3.6969421447268462E-4</v>
      </c>
      <c r="BF25" s="53">
        <v>3.6599727232795778E-4</v>
      </c>
      <c r="BG25" s="53">
        <v>3.6233729960467821E-4</v>
      </c>
      <c r="BH25" s="53">
        <v>3.5871392660863144E-4</v>
      </c>
      <c r="BI25" s="53">
        <v>3.551267873425451E-4</v>
      </c>
      <c r="BJ25" s="53">
        <v>3.5157551946911965E-4</v>
      </c>
      <c r="BK25" s="53">
        <v>3.4805976427442848E-4</v>
      </c>
      <c r="BL25" s="53">
        <v>3.4457916663168417E-4</v>
      </c>
      <c r="BM25" s="53">
        <v>3.4113337496536732E-4</v>
      </c>
      <c r="BN25" s="53">
        <v>3.3772204121571367E-4</v>
      </c>
      <c r="BO25" s="53">
        <v>3.3434482080355651E-4</v>
      </c>
      <c r="BP25" s="53">
        <v>3.3100137259552094E-4</v>
      </c>
      <c r="BQ25" s="53">
        <v>3.276913588695657E-4</v>
      </c>
      <c r="BR25" s="53">
        <v>3.2441444528087004E-4</v>
      </c>
      <c r="BS25" s="53">
        <v>3.2117030082806132E-4</v>
      </c>
      <c r="BT25" s="53">
        <v>3.1795859781978068E-4</v>
      </c>
      <c r="BU25" s="53">
        <v>3.1477901184158289E-4</v>
      </c>
      <c r="BV25" s="53">
        <v>3.1163122172316705E-4</v>
      </c>
      <c r="BW25" s="53">
        <v>3.0851490950593538E-4</v>
      </c>
      <c r="BX25" s="53">
        <v>3.05429760410876E-4</v>
      </c>
      <c r="BY25" s="53">
        <v>3.0237546280676721E-4</v>
      </c>
      <c r="BZ25" s="53">
        <v>2.9935170817869955E-4</v>
      </c>
      <c r="CA25" s="53">
        <v>2.9635819109691253E-4</v>
      </c>
      <c r="CB25" s="53">
        <v>2.9339460918594338E-4</v>
      </c>
      <c r="CC25" s="53">
        <v>2.9046066309408396E-4</v>
      </c>
      <c r="CD25" s="53">
        <v>2.8755605646314314E-4</v>
      </c>
      <c r="CE25" s="53">
        <v>2.846804958985117E-4</v>
      </c>
      <c r="CF25" s="53">
        <v>2.8183369093952656E-4</v>
      </c>
      <c r="CG25" s="53">
        <v>2.790153540301313E-4</v>
      </c>
      <c r="CH25" s="53">
        <v>2.7622520048982998E-4</v>
      </c>
      <c r="CI25" s="53">
        <v>2.7346294848493169E-4</v>
      </c>
      <c r="CJ25" s="53">
        <v>2.7072831900008234E-4</v>
      </c>
      <c r="CK25" s="53">
        <v>2.6802103581008153E-4</v>
      </c>
      <c r="CL25" s="53">
        <v>2.6534082545198073E-4</v>
      </c>
      <c r="CM25" s="53">
        <v>2.6268741719746093E-4</v>
      </c>
      <c r="CN25" s="53">
        <v>2.6006054302548634E-4</v>
      </c>
      <c r="CO25" s="53">
        <v>2.5745993759523146E-4</v>
      </c>
      <c r="CP25" s="53">
        <v>2.5488533821927913E-4</v>
      </c>
      <c r="CQ25" s="53">
        <v>2.5233648483708636E-4</v>
      </c>
      <c r="CR25" s="53">
        <v>2.4981311998871551E-4</v>
      </c>
      <c r="CS25" s="53">
        <v>2.4731498878882837E-4</v>
      </c>
      <c r="CT25" s="53">
        <v>2.4484183890094007E-4</v>
      </c>
      <c r="CU25" s="53">
        <v>2.4239342051193068E-4</v>
      </c>
      <c r="CV25" s="53">
        <v>2.3996948630681137E-4</v>
      </c>
      <c r="CW25" s="53">
        <v>2.3756979144374325E-4</v>
      </c>
      <c r="CX25" s="53">
        <v>2.3519409352930581E-4</v>
      </c>
      <c r="CY25" s="28">
        <v>2.3284215259401276E-4</v>
      </c>
    </row>
    <row r="26" spans="1:103">
      <c r="A26" s="54">
        <v>44</v>
      </c>
      <c r="B26" s="54">
        <v>5.8900000000000001E-4</v>
      </c>
      <c r="C26" s="54">
        <v>5.8976570000000004E-4</v>
      </c>
      <c r="D26" s="54">
        <v>5.9135806738999999E-4</v>
      </c>
      <c r="E26" s="54">
        <v>5.9366436385282096E-4</v>
      </c>
      <c r="F26" s="54">
        <v>5.965139527993145E-4</v>
      </c>
      <c r="G26" s="54">
        <v>5.9967547674915093E-4</v>
      </c>
      <c r="H26" s="54">
        <v>6.0285375677592153E-4</v>
      </c>
      <c r="I26" s="54">
        <v>6.058077401841235E-4</v>
      </c>
      <c r="J26" s="54">
        <v>6.0823097114486003E-4</v>
      </c>
      <c r="K26" s="54">
        <v>6.0993401786406561E-4</v>
      </c>
      <c r="L26" s="54">
        <v>6.1078792548907536E-4</v>
      </c>
      <c r="M26" s="54">
        <v>6.107268466965265E-4</v>
      </c>
      <c r="N26" s="54">
        <v>6.0962753837247275E-4</v>
      </c>
      <c r="O26" s="54">
        <v>6.0749384198816915E-4</v>
      </c>
      <c r="P26" s="54">
        <v>6.0433487400983065E-4</v>
      </c>
      <c r="Q26" s="54">
        <v>6.0034626384136572E-4</v>
      </c>
      <c r="R26" s="54">
        <v>5.9560352835701894E-4</v>
      </c>
      <c r="S26" s="54">
        <v>5.9036221730747712E-4</v>
      </c>
      <c r="T26" s="53">
        <v>5.8475377624305608E-4</v>
      </c>
      <c r="U26" s="53">
        <v>5.7896471385824981E-4</v>
      </c>
      <c r="V26" s="53">
        <v>5.7317506671966732E-4</v>
      </c>
      <c r="W26" s="53">
        <v>5.6744331605247059E-4</v>
      </c>
      <c r="X26" s="53">
        <v>5.6176888289194589E-4</v>
      </c>
      <c r="Y26" s="53">
        <v>5.5615119406302645E-4</v>
      </c>
      <c r="Z26" s="53">
        <v>5.505896821223962E-4</v>
      </c>
      <c r="AA26" s="53">
        <v>5.4508378530117221E-4</v>
      </c>
      <c r="AB26" s="53">
        <v>5.3963294744816047E-4</v>
      </c>
      <c r="AC26" s="53">
        <v>5.3423661797367885E-4</v>
      </c>
      <c r="AD26" s="53">
        <v>5.2889425179394206E-4</v>
      </c>
      <c r="AE26" s="53">
        <v>5.2360530927600261E-4</v>
      </c>
      <c r="AF26" s="53">
        <v>5.1836925618324256E-4</v>
      </c>
      <c r="AG26" s="53">
        <v>5.1318556362141016E-4</v>
      </c>
      <c r="AH26" s="53">
        <v>5.0805370798519603E-4</v>
      </c>
      <c r="AI26" s="53">
        <v>5.0297317090534411E-4</v>
      </c>
      <c r="AJ26" s="53">
        <v>4.979434391962907E-4</v>
      </c>
      <c r="AK26" s="53">
        <v>4.9296400480432776E-4</v>
      </c>
      <c r="AL26" s="53">
        <v>4.8803436475628446E-4</v>
      </c>
      <c r="AM26" s="53">
        <v>4.8315402110872161E-4</v>
      </c>
      <c r="AN26" s="53">
        <v>4.7832248089763437E-4</v>
      </c>
      <c r="AO26" s="53">
        <v>4.7353925608865802E-4</v>
      </c>
      <c r="AP26" s="53">
        <v>4.6880386352777143E-4</v>
      </c>
      <c r="AQ26" s="53">
        <v>4.6411582489249369E-4</v>
      </c>
      <c r="AR26" s="53">
        <v>4.5947466664356877E-4</v>
      </c>
      <c r="AS26" s="53">
        <v>4.548799199771331E-4</v>
      </c>
      <c r="AT26" s="53">
        <v>4.5033112077736174E-4</v>
      </c>
      <c r="AU26" s="53">
        <v>4.4582780956958811E-4</v>
      </c>
      <c r="AV26" s="53">
        <v>4.4136953147389223E-4</v>
      </c>
      <c r="AW26" s="53">
        <v>4.369558361591533E-4</v>
      </c>
      <c r="AX26" s="53">
        <v>4.3258627779756175E-4</v>
      </c>
      <c r="AY26" s="53">
        <v>4.282604150195861E-4</v>
      </c>
      <c r="AZ26" s="53">
        <v>4.2397781086939021E-4</v>
      </c>
      <c r="BA26" s="53">
        <v>4.1973803276069629E-4</v>
      </c>
      <c r="BB26" s="53">
        <v>4.1554065243308932E-4</v>
      </c>
      <c r="BC26" s="53">
        <v>4.1138524590875842E-4</v>
      </c>
      <c r="BD26" s="53">
        <v>4.0727139344967086E-4</v>
      </c>
      <c r="BE26" s="53">
        <v>4.0319867951517412E-4</v>
      </c>
      <c r="BF26" s="53">
        <v>3.9916669272002236E-4</v>
      </c>
      <c r="BG26" s="53">
        <v>3.9517502579282214E-4</v>
      </c>
      <c r="BH26" s="53">
        <v>3.912232755348939E-4</v>
      </c>
      <c r="BI26" s="53">
        <v>3.8731104277954498E-4</v>
      </c>
      <c r="BJ26" s="53">
        <v>3.8343793235174955E-4</v>
      </c>
      <c r="BK26" s="53">
        <v>3.7960355302823205E-4</v>
      </c>
      <c r="BL26" s="53">
        <v>3.7580751749794974E-4</v>
      </c>
      <c r="BM26" s="53">
        <v>3.7204944232297024E-4</v>
      </c>
      <c r="BN26" s="53">
        <v>3.6832894789974054E-4</v>
      </c>
      <c r="BO26" s="53">
        <v>3.6464565842074314E-4</v>
      </c>
      <c r="BP26" s="53">
        <v>3.6099920183653569E-4</v>
      </c>
      <c r="BQ26" s="53">
        <v>3.5738920981817033E-4</v>
      </c>
      <c r="BR26" s="53">
        <v>3.5381531771998861E-4</v>
      </c>
      <c r="BS26" s="53">
        <v>3.502771645427887E-4</v>
      </c>
      <c r="BT26" s="53">
        <v>3.467743928973608E-4</v>
      </c>
      <c r="BU26" s="53">
        <v>3.433066489683872E-4</v>
      </c>
      <c r="BV26" s="53">
        <v>3.3987358247870332E-4</v>
      </c>
      <c r="BW26" s="53">
        <v>3.3647484665391626E-4</v>
      </c>
      <c r="BX26" s="53">
        <v>3.3311009818737708E-4</v>
      </c>
      <c r="BY26" s="53">
        <v>3.2977899720550331E-4</v>
      </c>
      <c r="BZ26" s="53">
        <v>3.2648120723344828E-4</v>
      </c>
      <c r="CA26" s="53">
        <v>3.2321639516111377E-4</v>
      </c>
      <c r="CB26" s="53">
        <v>3.1998423120950265E-4</v>
      </c>
      <c r="CC26" s="53">
        <v>3.1678438889740763E-4</v>
      </c>
      <c r="CD26" s="53">
        <v>3.1361654500843353E-4</v>
      </c>
      <c r="CE26" s="53">
        <v>3.1048037955834918E-4</v>
      </c>
      <c r="CF26" s="53">
        <v>3.0737557576276567E-4</v>
      </c>
      <c r="CG26" s="53">
        <v>3.04301820005138E-4</v>
      </c>
      <c r="CH26" s="53">
        <v>3.0125880180508662E-4</v>
      </c>
      <c r="CI26" s="53">
        <v>2.9824621378703577E-4</v>
      </c>
      <c r="CJ26" s="53">
        <v>2.9526375164916542E-4</v>
      </c>
      <c r="CK26" s="53">
        <v>2.9231111413267376E-4</v>
      </c>
      <c r="CL26" s="53">
        <v>2.8938800299134704E-4</v>
      </c>
      <c r="CM26" s="53">
        <v>2.8649412296143355E-4</v>
      </c>
      <c r="CN26" s="53">
        <v>2.8362918173181924E-4</v>
      </c>
      <c r="CO26" s="53">
        <v>2.8079288991450106E-4</v>
      </c>
      <c r="CP26" s="53">
        <v>2.7798496101535605E-4</v>
      </c>
      <c r="CQ26" s="53">
        <v>2.7520511140520249E-4</v>
      </c>
      <c r="CR26" s="53">
        <v>2.7245306029115046E-4</v>
      </c>
      <c r="CS26" s="53">
        <v>2.6972852968823897E-4</v>
      </c>
      <c r="CT26" s="53">
        <v>2.6703124439135658E-4</v>
      </c>
      <c r="CU26" s="53">
        <v>2.6436093194744304E-4</v>
      </c>
      <c r="CV26" s="53">
        <v>2.6171732262796863E-4</v>
      </c>
      <c r="CW26" s="53">
        <v>2.5910014940168895E-4</v>
      </c>
      <c r="CX26" s="53">
        <v>2.5650914790767204E-4</v>
      </c>
      <c r="CY26" s="28">
        <v>2.5394405642859534E-4</v>
      </c>
    </row>
    <row r="27" spans="1:103">
      <c r="A27" s="54">
        <v>45</v>
      </c>
      <c r="B27" s="54">
        <v>6.5700000000000003E-4</v>
      </c>
      <c r="C27" s="54">
        <v>6.559488E-4</v>
      </c>
      <c r="D27" s="54">
        <v>6.5568642048000004E-4</v>
      </c>
      <c r="E27" s="54">
        <v>6.5627653825843198E-4</v>
      </c>
      <c r="F27" s="54">
        <v>6.5752346368112304E-4</v>
      </c>
      <c r="G27" s="54">
        <v>6.5936452937943011E-4</v>
      </c>
      <c r="H27" s="54">
        <v>6.6147449587344431E-4</v>
      </c>
      <c r="I27" s="54">
        <v>6.6359121426023938E-4</v>
      </c>
      <c r="J27" s="54">
        <v>6.6544926966016803E-4</v>
      </c>
      <c r="K27" s="54">
        <v>6.6684671312645439E-4</v>
      </c>
      <c r="L27" s="54">
        <v>6.6751355983958073E-4</v>
      </c>
      <c r="M27" s="54">
        <v>6.6731330577162883E-4</v>
      </c>
      <c r="N27" s="54">
        <v>6.6611214182123993E-4</v>
      </c>
      <c r="O27" s="54">
        <v>6.6384736053904769E-4</v>
      </c>
      <c r="P27" s="54">
        <v>6.605281237363524E-4</v>
      </c>
      <c r="Q27" s="54">
        <v>6.5623469093206612E-4</v>
      </c>
      <c r="R27" s="54">
        <v>6.5111606034279595E-4</v>
      </c>
      <c r="S27" s="54">
        <v>6.4545135061781355E-4</v>
      </c>
      <c r="T27" s="53">
        <v>6.3931956278694439E-4</v>
      </c>
      <c r="U27" s="53">
        <v>6.3299029911535363E-4</v>
      </c>
      <c r="V27" s="53">
        <v>6.2666039612420009E-4</v>
      </c>
      <c r="W27" s="53">
        <v>6.2039379216295807E-4</v>
      </c>
      <c r="X27" s="53">
        <v>6.1418985424132851E-4</v>
      </c>
      <c r="Y27" s="53">
        <v>6.080479556989152E-4</v>
      </c>
      <c r="Z27" s="53">
        <v>6.0196747614192604E-4</v>
      </c>
      <c r="AA27" s="53">
        <v>5.9594780138050676E-4</v>
      </c>
      <c r="AB27" s="53">
        <v>5.8998832336670164E-4</v>
      </c>
      <c r="AC27" s="53">
        <v>5.8408844013303459E-4</v>
      </c>
      <c r="AD27" s="53">
        <v>5.7824755573170419E-4</v>
      </c>
      <c r="AE27" s="53">
        <v>5.7246508017438718E-4</v>
      </c>
      <c r="AF27" s="53">
        <v>5.6674042937264327E-4</v>
      </c>
      <c r="AG27" s="53">
        <v>5.6107302507891685E-4</v>
      </c>
      <c r="AH27" s="53">
        <v>5.5546229482812768E-4</v>
      </c>
      <c r="AI27" s="53">
        <v>5.4990767187984644E-4</v>
      </c>
      <c r="AJ27" s="53">
        <v>5.4440859516104796E-4</v>
      </c>
      <c r="AK27" s="53">
        <v>5.3896450920943749E-4</v>
      </c>
      <c r="AL27" s="53">
        <v>5.3357486411734309E-4</v>
      </c>
      <c r="AM27" s="53">
        <v>5.2823911547616965E-4</v>
      </c>
      <c r="AN27" s="53">
        <v>5.2295672432140796E-4</v>
      </c>
      <c r="AO27" s="53">
        <v>5.1772715707819382E-4</v>
      </c>
      <c r="AP27" s="53">
        <v>5.1254988550741192E-4</v>
      </c>
      <c r="AQ27" s="53">
        <v>5.0742438665233778E-4</v>
      </c>
      <c r="AR27" s="53">
        <v>5.0235014278581435E-4</v>
      </c>
      <c r="AS27" s="53">
        <v>4.9732664135795619E-4</v>
      </c>
      <c r="AT27" s="53">
        <v>4.9235337494437661E-4</v>
      </c>
      <c r="AU27" s="53">
        <v>4.8742984119493283E-4</v>
      </c>
      <c r="AV27" s="53">
        <v>4.8255554278298351E-4</v>
      </c>
      <c r="AW27" s="53">
        <v>4.7772998735515367E-4</v>
      </c>
      <c r="AX27" s="53">
        <v>4.7295268748160214E-4</v>
      </c>
      <c r="AY27" s="53">
        <v>4.682231606067861E-4</v>
      </c>
      <c r="AZ27" s="53">
        <v>4.6354092900071823E-4</v>
      </c>
      <c r="BA27" s="53">
        <v>4.5890551971071106E-4</v>
      </c>
      <c r="BB27" s="53">
        <v>4.5431646451360392E-4</v>
      </c>
      <c r="BC27" s="53">
        <v>4.4977329986846788E-4</v>
      </c>
      <c r="BD27" s="53">
        <v>4.4527556686978318E-4</v>
      </c>
      <c r="BE27" s="53">
        <v>4.4082281120108536E-4</v>
      </c>
      <c r="BF27" s="53">
        <v>4.3641458308907451E-4</v>
      </c>
      <c r="BG27" s="53">
        <v>4.3205043725818377E-4</v>
      </c>
      <c r="BH27" s="53">
        <v>4.2772993288560195E-4</v>
      </c>
      <c r="BI27" s="53">
        <v>4.2345263355674591E-4</v>
      </c>
      <c r="BJ27" s="53">
        <v>4.1921810722117845E-4</v>
      </c>
      <c r="BK27" s="53">
        <v>4.1502592614896667E-4</v>
      </c>
      <c r="BL27" s="53">
        <v>4.1087566688747699E-4</v>
      </c>
      <c r="BM27" s="53">
        <v>4.0676691021860223E-4</v>
      </c>
      <c r="BN27" s="53">
        <v>4.0269924111641618E-4</v>
      </c>
      <c r="BO27" s="53">
        <v>3.9867224870525201E-4</v>
      </c>
      <c r="BP27" s="53">
        <v>3.9468552621819947E-4</v>
      </c>
      <c r="BQ27" s="53">
        <v>3.9073867095601748E-4</v>
      </c>
      <c r="BR27" s="53">
        <v>3.8683128424645729E-4</v>
      </c>
      <c r="BS27" s="53">
        <v>3.8296297140399271E-4</v>
      </c>
      <c r="BT27" s="53">
        <v>3.7913334168995278E-4</v>
      </c>
      <c r="BU27" s="53">
        <v>3.7534200827305328E-4</v>
      </c>
      <c r="BV27" s="53">
        <v>3.7158858819032274E-4</v>
      </c>
      <c r="BW27" s="53">
        <v>3.6787270230841953E-4</v>
      </c>
      <c r="BX27" s="53">
        <v>3.6419397528533531E-4</v>
      </c>
      <c r="BY27" s="53">
        <v>3.6055203553248195E-4</v>
      </c>
      <c r="BZ27" s="53">
        <v>3.5694651517715714E-4</v>
      </c>
      <c r="CA27" s="53">
        <v>3.5337705002538557E-4</v>
      </c>
      <c r="CB27" s="53">
        <v>3.4984327952513168E-4</v>
      </c>
      <c r="CC27" s="53">
        <v>3.4634484672988039E-4</v>
      </c>
      <c r="CD27" s="53">
        <v>3.4288139826258156E-4</v>
      </c>
      <c r="CE27" s="53">
        <v>3.3945258427995576E-4</v>
      </c>
      <c r="CF27" s="53">
        <v>3.3605805843715618E-4</v>
      </c>
      <c r="CG27" s="53">
        <v>3.3269747785278459E-4</v>
      </c>
      <c r="CH27" s="53">
        <v>3.2937050307425673E-4</v>
      </c>
      <c r="CI27" s="53">
        <v>3.2607679804351415E-4</v>
      </c>
      <c r="CJ27" s="53">
        <v>3.22816030063079E-4</v>
      </c>
      <c r="CK27" s="53">
        <v>3.1958786976244818E-4</v>
      </c>
      <c r="CL27" s="53">
        <v>3.163919910648237E-4</v>
      </c>
      <c r="CM27" s="53">
        <v>3.1322807115417546E-4</v>
      </c>
      <c r="CN27" s="53">
        <v>3.1009579044263369E-4</v>
      </c>
      <c r="CO27" s="53">
        <v>3.0699483253820737E-4</v>
      </c>
      <c r="CP27" s="53">
        <v>3.0392488421282531E-4</v>
      </c>
      <c r="CQ27" s="53">
        <v>3.0088563537069706E-4</v>
      </c>
      <c r="CR27" s="53">
        <v>2.9787677901699011E-4</v>
      </c>
      <c r="CS27" s="53">
        <v>2.9489801122682018E-4</v>
      </c>
      <c r="CT27" s="53">
        <v>2.9194903111455197E-4</v>
      </c>
      <c r="CU27" s="53">
        <v>2.8902954080340645E-4</v>
      </c>
      <c r="CV27" s="53">
        <v>2.861392453953724E-4</v>
      </c>
      <c r="CW27" s="53">
        <v>2.8327785294141868E-4</v>
      </c>
      <c r="CX27" s="53">
        <v>2.8044507441200449E-4</v>
      </c>
      <c r="CY27" s="28">
        <v>2.7764062366788443E-4</v>
      </c>
    </row>
    <row r="28" spans="1:103">
      <c r="A28" s="54">
        <v>46</v>
      </c>
      <c r="B28" s="54">
        <v>7.3300000000000004E-4</v>
      </c>
      <c r="C28" s="54">
        <v>7.3028790000000002E-4</v>
      </c>
      <c r="D28" s="54">
        <v>7.2824309387999997E-4</v>
      </c>
      <c r="E28" s="54">
        <v>7.2700508062040398E-4</v>
      </c>
      <c r="F28" s="54">
        <v>7.2664157808009387E-4</v>
      </c>
      <c r="G28" s="54">
        <v>7.2693223471132591E-4</v>
      </c>
      <c r="H28" s="54">
        <v>7.2780455339297953E-4</v>
      </c>
      <c r="I28" s="54">
        <v>7.2889626022306904E-4</v>
      </c>
      <c r="J28" s="54">
        <v>7.2998960461340373E-4</v>
      </c>
      <c r="K28" s="54">
        <v>7.3079259317847852E-4</v>
      </c>
      <c r="L28" s="54">
        <v>7.3108491021574989E-4</v>
      </c>
      <c r="M28" s="54">
        <v>7.3064625926962036E-4</v>
      </c>
      <c r="N28" s="54">
        <v>7.2918496675108112E-4</v>
      </c>
      <c r="O28" s="54">
        <v>7.2663281936745242E-4</v>
      </c>
      <c r="P28" s="54">
        <v>7.2299965527061511E-4</v>
      </c>
      <c r="Q28" s="54">
        <v>7.183724574768832E-4</v>
      </c>
      <c r="R28" s="54">
        <v>7.1284098955431117E-4</v>
      </c>
      <c r="S28" s="54">
        <v>7.0663927294518859E-4</v>
      </c>
      <c r="T28" s="53">
        <v>6.999968637795038E-4</v>
      </c>
      <c r="U28" s="53">
        <v>6.9306689482808673E-4</v>
      </c>
      <c r="V28" s="53">
        <v>6.861362258798058E-4</v>
      </c>
      <c r="W28" s="53">
        <v>6.7927486362100772E-4</v>
      </c>
      <c r="X28" s="53">
        <v>6.7248211498479769E-4</v>
      </c>
      <c r="Y28" s="53">
        <v>6.6575729383494976E-4</v>
      </c>
      <c r="Z28" s="53">
        <v>6.5909972089660024E-4</v>
      </c>
      <c r="AA28" s="53">
        <v>6.5250872368763423E-4</v>
      </c>
      <c r="AB28" s="53">
        <v>6.4598363645075791E-4</v>
      </c>
      <c r="AC28" s="53">
        <v>6.3952380008625031E-4</v>
      </c>
      <c r="AD28" s="53">
        <v>6.3312856208538784E-4</v>
      </c>
      <c r="AE28" s="53">
        <v>6.26797276464534E-4</v>
      </c>
      <c r="AF28" s="53">
        <v>6.2052930369988868E-4</v>
      </c>
      <c r="AG28" s="53">
        <v>6.1432401066288981E-4</v>
      </c>
      <c r="AH28" s="53">
        <v>6.0818077055626088E-4</v>
      </c>
      <c r="AI28" s="53">
        <v>6.0209896285069828E-4</v>
      </c>
      <c r="AJ28" s="53">
        <v>5.9607797322219129E-4</v>
      </c>
      <c r="AK28" s="53">
        <v>5.9011719348996941E-4</v>
      </c>
      <c r="AL28" s="53">
        <v>5.8421602155506972E-4</v>
      </c>
      <c r="AM28" s="53">
        <v>5.78373861339519E-4</v>
      </c>
      <c r="AN28" s="53">
        <v>5.7259012272612385E-4</v>
      </c>
      <c r="AO28" s="53">
        <v>5.6686422149886259E-4</v>
      </c>
      <c r="AP28" s="53">
        <v>5.6119557928387392E-4</v>
      </c>
      <c r="AQ28" s="53">
        <v>5.5558362349103518E-4</v>
      </c>
      <c r="AR28" s="53">
        <v>5.5002778725612479E-4</v>
      </c>
      <c r="AS28" s="53">
        <v>5.4452750938356349E-4</v>
      </c>
      <c r="AT28" s="53">
        <v>5.3908223428972789E-4</v>
      </c>
      <c r="AU28" s="53">
        <v>5.3369141194683058E-4</v>
      </c>
      <c r="AV28" s="53">
        <v>5.2835449782736232E-4</v>
      </c>
      <c r="AW28" s="53">
        <v>5.2307095284908874E-4</v>
      </c>
      <c r="AX28" s="53">
        <v>5.1784024332059782E-4</v>
      </c>
      <c r="AY28" s="53">
        <v>5.1266184088739181E-4</v>
      </c>
      <c r="AZ28" s="53">
        <v>5.0753522247851785E-4</v>
      </c>
      <c r="BA28" s="53">
        <v>5.0245987025373271E-4</v>
      </c>
      <c r="BB28" s="53">
        <v>4.9743527155119533E-4</v>
      </c>
      <c r="BC28" s="53">
        <v>4.9246091883568333E-4</v>
      </c>
      <c r="BD28" s="53">
        <v>4.875363096473265E-4</v>
      </c>
      <c r="BE28" s="53">
        <v>4.826609465508532E-4</v>
      </c>
      <c r="BF28" s="53">
        <v>4.7783433708534467E-4</v>
      </c>
      <c r="BG28" s="53">
        <v>4.7305599371449123E-4</v>
      </c>
      <c r="BH28" s="53">
        <v>4.683254337773463E-4</v>
      </c>
      <c r="BI28" s="53">
        <v>4.6364217943957285E-4</v>
      </c>
      <c r="BJ28" s="53">
        <v>4.5900575764517713E-4</v>
      </c>
      <c r="BK28" s="53">
        <v>4.5441570006872538E-4</v>
      </c>
      <c r="BL28" s="53">
        <v>4.4987154306803815E-4</v>
      </c>
      <c r="BM28" s="53">
        <v>4.4537282763735777E-4</v>
      </c>
      <c r="BN28" s="53">
        <v>4.4091909936098419E-4</v>
      </c>
      <c r="BO28" s="53">
        <v>4.3650990836737434E-4</v>
      </c>
      <c r="BP28" s="53">
        <v>4.3214480928370057E-4</v>
      </c>
      <c r="BQ28" s="53">
        <v>4.2782336119086354E-4</v>
      </c>
      <c r="BR28" s="53">
        <v>4.2354512757895489E-4</v>
      </c>
      <c r="BS28" s="53">
        <v>4.1930967630316536E-4</v>
      </c>
      <c r="BT28" s="53">
        <v>4.151165795401337E-4</v>
      </c>
      <c r="BU28" s="53">
        <v>4.1096541374473238E-4</v>
      </c>
      <c r="BV28" s="53">
        <v>4.0685575960728508E-4</v>
      </c>
      <c r="BW28" s="53">
        <v>4.0278720201121222E-4</v>
      </c>
      <c r="BX28" s="53">
        <v>3.9875932999110009E-4</v>
      </c>
      <c r="BY28" s="53">
        <v>3.947717366911891E-4</v>
      </c>
      <c r="BZ28" s="53">
        <v>3.9082401932427722E-4</v>
      </c>
      <c r="CA28" s="53">
        <v>3.8691577913103442E-4</v>
      </c>
      <c r="CB28" s="53">
        <v>3.8304662133972409E-4</v>
      </c>
      <c r="CC28" s="53">
        <v>3.7921615512632686E-4</v>
      </c>
      <c r="CD28" s="53">
        <v>3.7542399357506359E-4</v>
      </c>
      <c r="CE28" s="53">
        <v>3.7166975363931294E-4</v>
      </c>
      <c r="CF28" s="53">
        <v>3.679530561029198E-4</v>
      </c>
      <c r="CG28" s="53">
        <v>3.6427352554189058E-4</v>
      </c>
      <c r="CH28" s="53">
        <v>3.6063079028647165E-4</v>
      </c>
      <c r="CI28" s="53">
        <v>3.5702448238360691E-4</v>
      </c>
      <c r="CJ28" s="53">
        <v>3.5345423755977085E-4</v>
      </c>
      <c r="CK28" s="53">
        <v>3.4991969518417316E-4</v>
      </c>
      <c r="CL28" s="53">
        <v>3.4642049823233143E-4</v>
      </c>
      <c r="CM28" s="53">
        <v>3.429562932500081E-4</v>
      </c>
      <c r="CN28" s="53">
        <v>3.3952673031750801E-4</v>
      </c>
      <c r="CO28" s="53">
        <v>3.3613146301433291E-4</v>
      </c>
      <c r="CP28" s="53">
        <v>3.3277014838418957E-4</v>
      </c>
      <c r="CQ28" s="53">
        <v>3.2944244690034767E-4</v>
      </c>
      <c r="CR28" s="53">
        <v>3.2614802243134417E-4</v>
      </c>
      <c r="CS28" s="53">
        <v>3.2288654220703072E-4</v>
      </c>
      <c r="CT28" s="53">
        <v>3.1965767678496042E-4</v>
      </c>
      <c r="CU28" s="53">
        <v>3.1646110001711084E-4</v>
      </c>
      <c r="CV28" s="53">
        <v>3.132964890169397E-4</v>
      </c>
      <c r="CW28" s="53">
        <v>3.1016352412677032E-4</v>
      </c>
      <c r="CX28" s="53">
        <v>3.070618888855026E-4</v>
      </c>
      <c r="CY28" s="28">
        <v>3.0399126999664758E-4</v>
      </c>
    </row>
    <row r="29" spans="1:103">
      <c r="A29" s="54">
        <v>47</v>
      </c>
      <c r="B29" s="54">
        <v>8.1599999999999999E-4</v>
      </c>
      <c r="C29" s="54">
        <v>8.1200160000000001E-4</v>
      </c>
      <c r="D29" s="54">
        <v>8.0850999311999998E-4</v>
      </c>
      <c r="E29" s="54">
        <v>8.0568020814408001E-4</v>
      </c>
      <c r="F29" s="54">
        <v>8.035854396029054E-4</v>
      </c>
      <c r="G29" s="54">
        <v>8.0229970289954068E-4</v>
      </c>
      <c r="H29" s="54">
        <v>8.0173809310751093E-4</v>
      </c>
      <c r="I29" s="54">
        <v>8.0165791929820017E-4</v>
      </c>
      <c r="J29" s="54">
        <v>8.0173808509013001E-4</v>
      </c>
      <c r="K29" s="54">
        <v>8.0173808509013001E-4</v>
      </c>
      <c r="L29" s="54">
        <v>8.0141738985609404E-4</v>
      </c>
      <c r="M29" s="54">
        <v>8.0053583072725229E-4</v>
      </c>
      <c r="N29" s="54">
        <v>7.9869459831657962E-4</v>
      </c>
      <c r="O29" s="54">
        <v>7.9581929776263987E-4</v>
      </c>
      <c r="P29" s="54">
        <v>7.9184020127382663E-4</v>
      </c>
      <c r="Q29" s="54">
        <v>7.8677242398567419E-4</v>
      </c>
      <c r="R29" s="54">
        <v>7.8079295356338297E-4</v>
      </c>
      <c r="S29" s="54">
        <v>7.7407813416273787E-4</v>
      </c>
      <c r="T29" s="53">
        <v>7.6680179970160811E-4</v>
      </c>
      <c r="U29" s="53">
        <v>7.5921046188456214E-4</v>
      </c>
      <c r="V29" s="53">
        <v>7.5161835726571648E-4</v>
      </c>
      <c r="W29" s="53">
        <v>7.4410217369305935E-4</v>
      </c>
      <c r="X29" s="53">
        <v>7.3666115195612878E-4</v>
      </c>
      <c r="Y29" s="53">
        <v>7.2929454043656747E-4</v>
      </c>
      <c r="Z29" s="53">
        <v>7.2200159503220179E-4</v>
      </c>
      <c r="AA29" s="53">
        <v>7.1478157908187972E-4</v>
      </c>
      <c r="AB29" s="53">
        <v>7.0763376329106094E-4</v>
      </c>
      <c r="AC29" s="53">
        <v>7.0055742565815031E-4</v>
      </c>
      <c r="AD29" s="53">
        <v>6.9355185140156875E-4</v>
      </c>
      <c r="AE29" s="53">
        <v>6.8661633288755305E-4</v>
      </c>
      <c r="AF29" s="53">
        <v>6.7975016955867755E-4</v>
      </c>
      <c r="AG29" s="53">
        <v>6.7295266786309078E-4</v>
      </c>
      <c r="AH29" s="53">
        <v>6.6622314118445982E-4</v>
      </c>
      <c r="AI29" s="53">
        <v>6.5956090977261521E-4</v>
      </c>
      <c r="AJ29" s="53">
        <v>6.529653006748891E-4</v>
      </c>
      <c r="AK29" s="53">
        <v>6.4643564766814026E-4</v>
      </c>
      <c r="AL29" s="53">
        <v>6.3997129119145889E-4</v>
      </c>
      <c r="AM29" s="53">
        <v>6.3357157827954424E-4</v>
      </c>
      <c r="AN29" s="53">
        <v>6.2723586249674879E-4</v>
      </c>
      <c r="AO29" s="53">
        <v>6.2096350387178131E-4</v>
      </c>
      <c r="AP29" s="53">
        <v>6.1475386883306344E-4</v>
      </c>
      <c r="AQ29" s="53">
        <v>6.0860633014473277E-4</v>
      </c>
      <c r="AR29" s="53">
        <v>6.0252026684328548E-4</v>
      </c>
      <c r="AS29" s="53">
        <v>5.9649506417485266E-4</v>
      </c>
      <c r="AT29" s="53">
        <v>5.9053011353310417E-4</v>
      </c>
      <c r="AU29" s="53">
        <v>5.8462481239777314E-4</v>
      </c>
      <c r="AV29" s="53">
        <v>5.7877856427379539E-4</v>
      </c>
      <c r="AW29" s="53">
        <v>5.7299077863105742E-4</v>
      </c>
      <c r="AX29" s="53">
        <v>5.6726087084474689E-4</v>
      </c>
      <c r="AY29" s="53">
        <v>5.6158826213629945E-4</v>
      </c>
      <c r="AZ29" s="53">
        <v>5.5597237951493647E-4</v>
      </c>
      <c r="BA29" s="53">
        <v>5.5041265571978708E-4</v>
      </c>
      <c r="BB29" s="53">
        <v>5.4490852916258916E-4</v>
      </c>
      <c r="BC29" s="53">
        <v>5.3945944387096326E-4</v>
      </c>
      <c r="BD29" s="53">
        <v>5.340648494322536E-4</v>
      </c>
      <c r="BE29" s="53">
        <v>5.2872420093793106E-4</v>
      </c>
      <c r="BF29" s="53">
        <v>5.2343695892855175E-4</v>
      </c>
      <c r="BG29" s="53">
        <v>5.1820258933926624E-4</v>
      </c>
      <c r="BH29" s="53">
        <v>5.1302056344587361E-4</v>
      </c>
      <c r="BI29" s="53">
        <v>5.0789035781141482E-4</v>
      </c>
      <c r="BJ29" s="53">
        <v>5.0281145423330064E-4</v>
      </c>
      <c r="BK29" s="53">
        <v>4.9778333969096764E-4</v>
      </c>
      <c r="BL29" s="53">
        <v>4.9280550629405792E-4</v>
      </c>
      <c r="BM29" s="53">
        <v>4.8787745123111731E-4</v>
      </c>
      <c r="BN29" s="53">
        <v>4.8299867671880615E-4</v>
      </c>
      <c r="BO29" s="53">
        <v>4.7816868995161809E-4</v>
      </c>
      <c r="BP29" s="53">
        <v>4.7338700305210189E-4</v>
      </c>
      <c r="BQ29" s="53">
        <v>4.6865313302158087E-4</v>
      </c>
      <c r="BR29" s="53">
        <v>4.6396660169136504E-4</v>
      </c>
      <c r="BS29" s="53">
        <v>4.5932693567445136E-4</v>
      </c>
      <c r="BT29" s="53">
        <v>4.5473366631770682E-4</v>
      </c>
      <c r="BU29" s="53">
        <v>4.5018632965452974E-4</v>
      </c>
      <c r="BV29" s="53">
        <v>4.4568446635798441E-4</v>
      </c>
      <c r="BW29" s="53">
        <v>4.4122762169440454E-4</v>
      </c>
      <c r="BX29" s="53">
        <v>4.3681534547746051E-4</v>
      </c>
      <c r="BY29" s="53">
        <v>4.3244719202268592E-4</v>
      </c>
      <c r="BZ29" s="53">
        <v>4.2812272010245907E-4</v>
      </c>
      <c r="CA29" s="53">
        <v>4.2384149290143445E-4</v>
      </c>
      <c r="CB29" s="53">
        <v>4.1960307797242008E-4</v>
      </c>
      <c r="CC29" s="53">
        <v>4.1540704719269589E-4</v>
      </c>
      <c r="CD29" s="53">
        <v>4.1125297672076891E-4</v>
      </c>
      <c r="CE29" s="53">
        <v>4.0714044695356119E-4</v>
      </c>
      <c r="CF29" s="53">
        <v>4.0306904248402556E-4</v>
      </c>
      <c r="CG29" s="53">
        <v>3.990383520591853E-4</v>
      </c>
      <c r="CH29" s="53">
        <v>3.9504796853859344E-4</v>
      </c>
      <c r="CI29" s="53">
        <v>3.9109748885320751E-4</v>
      </c>
      <c r="CJ29" s="53">
        <v>3.8718651396467543E-4</v>
      </c>
      <c r="CK29" s="53">
        <v>3.8331464882502869E-4</v>
      </c>
      <c r="CL29" s="53">
        <v>3.7948150233677838E-4</v>
      </c>
      <c r="CM29" s="53">
        <v>3.7568668731341058E-4</v>
      </c>
      <c r="CN29" s="53">
        <v>3.7192982044027649E-4</v>
      </c>
      <c r="CO29" s="53">
        <v>3.6821052223587374E-4</v>
      </c>
      <c r="CP29" s="53">
        <v>3.64528417013515E-4</v>
      </c>
      <c r="CQ29" s="53">
        <v>3.6088313284337984E-4</v>
      </c>
      <c r="CR29" s="53">
        <v>3.5727430151494602E-4</v>
      </c>
      <c r="CS29" s="53">
        <v>3.5370155849979653E-4</v>
      </c>
      <c r="CT29" s="53">
        <v>3.5016454291479854E-4</v>
      </c>
      <c r="CU29" s="53">
        <v>3.4666289748565054E-4</v>
      </c>
      <c r="CV29" s="53">
        <v>3.4319626851079404E-4</v>
      </c>
      <c r="CW29" s="53">
        <v>3.3976430582568611E-4</v>
      </c>
      <c r="CX29" s="53">
        <v>3.3636666276742926E-4</v>
      </c>
      <c r="CY29" s="28">
        <v>3.3300299613975499E-4</v>
      </c>
    </row>
    <row r="30" spans="1:103">
      <c r="A30" s="54">
        <v>48</v>
      </c>
      <c r="B30" s="54">
        <v>9.0600000000000001E-4</v>
      </c>
      <c r="C30" s="54">
        <v>9.0137940000000003E-4</v>
      </c>
      <c r="D30" s="54">
        <v>8.96872503E-4</v>
      </c>
      <c r="E30" s="54">
        <v>8.9274688948620001E-4</v>
      </c>
      <c r="F30" s="54">
        <v>8.8917590192825525E-4</v>
      </c>
      <c r="G30" s="54">
        <v>8.863305390420849E-4</v>
      </c>
      <c r="H30" s="54">
        <v>8.8420334574838388E-4</v>
      </c>
      <c r="I30" s="54">
        <v>8.8270020006061157E-4</v>
      </c>
      <c r="J30" s="54">
        <v>8.8155268980053285E-4</v>
      </c>
      <c r="K30" s="54">
        <v>8.8049482657277225E-4</v>
      </c>
      <c r="L30" s="54">
        <v>8.7935018329822771E-4</v>
      </c>
      <c r="M30" s="54">
        <v>8.7776735296829088E-4</v>
      </c>
      <c r="N30" s="54">
        <v>8.7539738111527647E-4</v>
      </c>
      <c r="O30" s="54">
        <v>8.7207087106703845E-4</v>
      </c>
      <c r="P30" s="54">
        <v>8.6762330962459656E-4</v>
      </c>
      <c r="Q30" s="54">
        <v>8.6207052044299918E-4</v>
      </c>
      <c r="R30" s="54">
        <v>8.5551878448763229E-4</v>
      </c>
      <c r="S30" s="54">
        <v>8.4816132294103866E-4</v>
      </c>
      <c r="T30" s="53">
        <v>8.4018860650539296E-4</v>
      </c>
      <c r="U30" s="53">
        <v>8.3195475816164011E-4</v>
      </c>
      <c r="V30" s="53">
        <v>8.2363521058002366E-4</v>
      </c>
      <c r="W30" s="53">
        <v>8.1539885847422341E-4</v>
      </c>
      <c r="X30" s="53">
        <v>8.0724486988948112E-4</v>
      </c>
      <c r="Y30" s="53">
        <v>7.9917242119058633E-4</v>
      </c>
      <c r="Z30" s="53">
        <v>7.9118069697868044E-4</v>
      </c>
      <c r="AA30" s="53">
        <v>7.8326889000889367E-4</v>
      </c>
      <c r="AB30" s="53">
        <v>7.7543620110880475E-4</v>
      </c>
      <c r="AC30" s="53">
        <v>7.6768183909771664E-4</v>
      </c>
      <c r="AD30" s="53">
        <v>7.600050207067395E-4</v>
      </c>
      <c r="AE30" s="53">
        <v>7.5240497049967208E-4</v>
      </c>
      <c r="AF30" s="53">
        <v>7.4488092079467538E-4</v>
      </c>
      <c r="AG30" s="53">
        <v>7.3743211158672857E-4</v>
      </c>
      <c r="AH30" s="53">
        <v>7.3005779047086129E-4</v>
      </c>
      <c r="AI30" s="53">
        <v>7.227572125661527E-4</v>
      </c>
      <c r="AJ30" s="53">
        <v>7.1552964044049113E-4</v>
      </c>
      <c r="AK30" s="53">
        <v>7.0837434403608619E-4</v>
      </c>
      <c r="AL30" s="53">
        <v>7.0129060059572531E-4</v>
      </c>
      <c r="AM30" s="53">
        <v>6.9427769458976806E-4</v>
      </c>
      <c r="AN30" s="53">
        <v>6.8733491764387034E-4</v>
      </c>
      <c r="AO30" s="53">
        <v>6.8046156846743159E-4</v>
      </c>
      <c r="AP30" s="53">
        <v>6.7365695278275722E-4</v>
      </c>
      <c r="AQ30" s="53">
        <v>6.6692038325492963E-4</v>
      </c>
      <c r="AR30" s="53">
        <v>6.6025117942238032E-4</v>
      </c>
      <c r="AS30" s="53">
        <v>6.5364866762815648E-4</v>
      </c>
      <c r="AT30" s="53">
        <v>6.4711218095187494E-4</v>
      </c>
      <c r="AU30" s="53">
        <v>6.4064105914235622E-4</v>
      </c>
      <c r="AV30" s="53">
        <v>6.342346485509327E-4</v>
      </c>
      <c r="AW30" s="53">
        <v>6.2789230206542336E-4</v>
      </c>
      <c r="AX30" s="53">
        <v>6.2161337904476912E-4</v>
      </c>
      <c r="AY30" s="53">
        <v>6.1539724525432147E-4</v>
      </c>
      <c r="AZ30" s="53">
        <v>6.0924327280177822E-4</v>
      </c>
      <c r="BA30" s="53">
        <v>6.0315084007376044E-4</v>
      </c>
      <c r="BB30" s="53">
        <v>5.9711933167302283E-4</v>
      </c>
      <c r="BC30" s="53">
        <v>5.9114813835629257E-4</v>
      </c>
      <c r="BD30" s="53">
        <v>5.8523665697272963E-4</v>
      </c>
      <c r="BE30" s="53">
        <v>5.7938429040300238E-4</v>
      </c>
      <c r="BF30" s="53">
        <v>5.7359044749897236E-4</v>
      </c>
      <c r="BG30" s="53">
        <v>5.6785454302398267E-4</v>
      </c>
      <c r="BH30" s="53">
        <v>5.6217599759374279E-4</v>
      </c>
      <c r="BI30" s="53">
        <v>5.5655423761780533E-4</v>
      </c>
      <c r="BJ30" s="53">
        <v>5.5098869524162727E-4</v>
      </c>
      <c r="BK30" s="53">
        <v>5.4547880828921102E-4</v>
      </c>
      <c r="BL30" s="53">
        <v>5.4002402020631888E-4</v>
      </c>
      <c r="BM30" s="53">
        <v>5.3462378000425565E-4</v>
      </c>
      <c r="BN30" s="53">
        <v>5.2927754220421304E-4</v>
      </c>
      <c r="BO30" s="53">
        <v>5.2398476678217087E-4</v>
      </c>
      <c r="BP30" s="53">
        <v>5.187449191143491E-4</v>
      </c>
      <c r="BQ30" s="53">
        <v>5.1355746992320559E-4</v>
      </c>
      <c r="BR30" s="53">
        <v>5.0842189522397351E-4</v>
      </c>
      <c r="BS30" s="53">
        <v>5.0333767627173379E-4</v>
      </c>
      <c r="BT30" s="53">
        <v>4.9830429950901642E-4</v>
      </c>
      <c r="BU30" s="53">
        <v>4.9332125651392622E-4</v>
      </c>
      <c r="BV30" s="53">
        <v>4.8838804394878697E-4</v>
      </c>
      <c r="BW30" s="53">
        <v>4.8350416350929909E-4</v>
      </c>
      <c r="BX30" s="53">
        <v>4.7866912187420607E-4</v>
      </c>
      <c r="BY30" s="53">
        <v>4.73882430655464E-4</v>
      </c>
      <c r="BZ30" s="53">
        <v>4.6914360634890933E-4</v>
      </c>
      <c r="CA30" s="53">
        <v>4.6445217028542022E-4</v>
      </c>
      <c r="CB30" s="53">
        <v>4.5980764858256603E-4</v>
      </c>
      <c r="CC30" s="53">
        <v>4.5520957209674035E-4</v>
      </c>
      <c r="CD30" s="53">
        <v>4.5065747637577295E-4</v>
      </c>
      <c r="CE30" s="53">
        <v>4.4615090161201522E-4</v>
      </c>
      <c r="CF30" s="53">
        <v>4.4168939259589508E-4</v>
      </c>
      <c r="CG30" s="53">
        <v>4.3727249866993612E-4</v>
      </c>
      <c r="CH30" s="53">
        <v>4.3289977368323677E-4</v>
      </c>
      <c r="CI30" s="53">
        <v>4.2857077594640438E-4</v>
      </c>
      <c r="CJ30" s="53">
        <v>4.2428506818694035E-4</v>
      </c>
      <c r="CK30" s="53">
        <v>4.2004221750507095E-4</v>
      </c>
      <c r="CL30" s="53">
        <v>4.1584179533002023E-4</v>
      </c>
      <c r="CM30" s="53">
        <v>4.1168337737672002E-4</v>
      </c>
      <c r="CN30" s="53">
        <v>4.0756654360295285E-4</v>
      </c>
      <c r="CO30" s="53">
        <v>4.0349087816692329E-4</v>
      </c>
      <c r="CP30" s="53">
        <v>3.9945596938525404E-4</v>
      </c>
      <c r="CQ30" s="53">
        <v>3.9546140969140152E-4</v>
      </c>
      <c r="CR30" s="53">
        <v>3.915067955944875E-4</v>
      </c>
      <c r="CS30" s="53">
        <v>3.8759172763854264E-4</v>
      </c>
      <c r="CT30" s="53">
        <v>3.8371581036215723E-4</v>
      </c>
      <c r="CU30" s="53">
        <v>3.7987865225853565E-4</v>
      </c>
      <c r="CV30" s="53">
        <v>3.760798657359503E-4</v>
      </c>
      <c r="CW30" s="53">
        <v>3.7231906707859081E-4</v>
      </c>
      <c r="CX30" s="53">
        <v>3.6859587640780488E-4</v>
      </c>
      <c r="CY30" s="28">
        <v>3.6490991764372681E-4</v>
      </c>
    </row>
    <row r="31" spans="1:103">
      <c r="A31" s="54">
        <v>49</v>
      </c>
      <c r="B31" s="54">
        <v>1.0009999999999999E-3</v>
      </c>
      <c r="C31" s="54">
        <v>9.9649549999999997E-4</v>
      </c>
      <c r="D31" s="54">
        <v>9.9161267204999986E-4</v>
      </c>
      <c r="E31" s="54">
        <v>9.8665460868974987E-4</v>
      </c>
      <c r="F31" s="54">
        <v>9.8191866656803907E-4</v>
      </c>
      <c r="G31" s="54">
        <v>9.7769641630179654E-4</v>
      </c>
      <c r="H31" s="54">
        <v>9.7398116991984974E-4</v>
      </c>
      <c r="I31" s="54">
        <v>9.7086443017610621E-4</v>
      </c>
      <c r="J31" s="54">
        <v>9.682430962146307E-4</v>
      </c>
      <c r="K31" s="54">
        <v>9.6591931278371557E-4</v>
      </c>
      <c r="L31" s="54">
        <v>9.6360110643303471E-4</v>
      </c>
      <c r="M31" s="54">
        <v>9.6109574355630878E-4</v>
      </c>
      <c r="N31" s="54">
        <v>9.5802023717692856E-4</v>
      </c>
      <c r="O31" s="54">
        <v>9.5409235420450321E-4</v>
      </c>
      <c r="P31" s="54">
        <v>9.4913107396263981E-4</v>
      </c>
      <c r="Q31" s="54">
        <v>9.4305663508927897E-4</v>
      </c>
      <c r="R31" s="54">
        <v>9.3588940466260038E-4</v>
      </c>
      <c r="S31" s="54">
        <v>9.2784075578250199E-4</v>
      </c>
      <c r="T31" s="53">
        <v>9.1911905267814649E-4</v>
      </c>
      <c r="U31" s="53">
        <v>9.1011168596190058E-4</v>
      </c>
      <c r="V31" s="53">
        <v>9.0101056910228152E-4</v>
      </c>
      <c r="W31" s="53">
        <v>8.9200046341125869E-4</v>
      </c>
      <c r="X31" s="53">
        <v>8.8308045877714611E-4</v>
      </c>
      <c r="Y31" s="53">
        <v>8.7424965418937467E-4</v>
      </c>
      <c r="Z31" s="53">
        <v>8.6550715764748096E-4</v>
      </c>
      <c r="AA31" s="53">
        <v>8.5685208607100619E-4</v>
      </c>
      <c r="AB31" s="53">
        <v>8.4828356521029612E-4</v>
      </c>
      <c r="AC31" s="53">
        <v>8.3980072955819318E-4</v>
      </c>
      <c r="AD31" s="53">
        <v>8.3140272226261123E-4</v>
      </c>
      <c r="AE31" s="53">
        <v>8.2308869503998512E-4</v>
      </c>
      <c r="AF31" s="53">
        <v>8.1485780808958526E-4</v>
      </c>
      <c r="AG31" s="53">
        <v>8.0670923000868936E-4</v>
      </c>
      <c r="AH31" s="53">
        <v>7.9864213770860246E-4</v>
      </c>
      <c r="AI31" s="53">
        <v>7.9065571633151637E-4</v>
      </c>
      <c r="AJ31" s="53">
        <v>7.827491591682012E-4</v>
      </c>
      <c r="AK31" s="53">
        <v>7.7492166757651916E-4</v>
      </c>
      <c r="AL31" s="53">
        <v>7.6717245090075401E-4</v>
      </c>
      <c r="AM31" s="53">
        <v>7.5950072639174642E-4</v>
      </c>
      <c r="AN31" s="53">
        <v>7.5190571912782899E-4</v>
      </c>
      <c r="AO31" s="53">
        <v>7.443866619365507E-4</v>
      </c>
      <c r="AP31" s="53">
        <v>7.3694279531718514E-4</v>
      </c>
      <c r="AQ31" s="53">
        <v>7.295733673640133E-4</v>
      </c>
      <c r="AR31" s="53">
        <v>7.2227763369037319E-4</v>
      </c>
      <c r="AS31" s="53">
        <v>7.1505485735346948E-4</v>
      </c>
      <c r="AT31" s="53">
        <v>7.0790430877993476E-4</v>
      </c>
      <c r="AU31" s="53">
        <v>7.0082526569213537E-4</v>
      </c>
      <c r="AV31" s="53">
        <v>6.9381701303521397E-4</v>
      </c>
      <c r="AW31" s="53">
        <v>6.8687884290486183E-4</v>
      </c>
      <c r="AX31" s="53">
        <v>6.8001005447581317E-4</v>
      </c>
      <c r="AY31" s="53">
        <v>6.7320995393105505E-4</v>
      </c>
      <c r="AZ31" s="53">
        <v>6.6647785439174448E-4</v>
      </c>
      <c r="BA31" s="53">
        <v>6.5981307584782702E-4</v>
      </c>
      <c r="BB31" s="53">
        <v>6.5321494508934874E-4</v>
      </c>
      <c r="BC31" s="53">
        <v>6.4668279563845528E-4</v>
      </c>
      <c r="BD31" s="53">
        <v>6.4021596768207073E-4</v>
      </c>
      <c r="BE31" s="53">
        <v>6.3381380800525005E-4</v>
      </c>
      <c r="BF31" s="53">
        <v>6.2747566992519752E-4</v>
      </c>
      <c r="BG31" s="53">
        <v>6.2120091322594552E-4</v>
      </c>
      <c r="BH31" s="53">
        <v>6.1498890409368611E-4</v>
      </c>
      <c r="BI31" s="53">
        <v>6.0883901505274921E-4</v>
      </c>
      <c r="BJ31" s="53">
        <v>6.0275062490222175E-4</v>
      </c>
      <c r="BK31" s="53">
        <v>5.9672311865319953E-4</v>
      </c>
      <c r="BL31" s="53">
        <v>5.9075588746666753E-4</v>
      </c>
      <c r="BM31" s="53">
        <v>5.8484832859200084E-4</v>
      </c>
      <c r="BN31" s="53">
        <v>5.7899984530608085E-4</v>
      </c>
      <c r="BO31" s="53">
        <v>5.7320984685301998E-4</v>
      </c>
      <c r="BP31" s="53">
        <v>5.6747774838448973E-4</v>
      </c>
      <c r="BQ31" s="53">
        <v>5.6180297090064485E-4</v>
      </c>
      <c r="BR31" s="53">
        <v>5.5618494119163845E-4</v>
      </c>
      <c r="BS31" s="53">
        <v>5.5062309177972204E-4</v>
      </c>
      <c r="BT31" s="53">
        <v>5.4511686086192483E-4</v>
      </c>
      <c r="BU31" s="53">
        <v>5.3966569225330561E-4</v>
      </c>
      <c r="BV31" s="53">
        <v>5.3426903533077257E-4</v>
      </c>
      <c r="BW31" s="53">
        <v>5.2892634497746487E-4</v>
      </c>
      <c r="BX31" s="53">
        <v>5.2363708152769017E-4</v>
      </c>
      <c r="BY31" s="53">
        <v>5.1840071071241332E-4</v>
      </c>
      <c r="BZ31" s="53">
        <v>5.132167036052892E-4</v>
      </c>
      <c r="CA31" s="53">
        <v>5.0808453656923632E-4</v>
      </c>
      <c r="CB31" s="53">
        <v>5.0300369120354397E-4</v>
      </c>
      <c r="CC31" s="53">
        <v>4.9797365429150853E-4</v>
      </c>
      <c r="CD31" s="53">
        <v>4.9299391774859343E-4</v>
      </c>
      <c r="CE31" s="53">
        <v>4.8806397857110751E-4</v>
      </c>
      <c r="CF31" s="53">
        <v>4.8318333878539642E-4</v>
      </c>
      <c r="CG31" s="53">
        <v>4.7835150539754246E-4</v>
      </c>
      <c r="CH31" s="53">
        <v>4.7356799034356701E-4</v>
      </c>
      <c r="CI31" s="53">
        <v>4.6883231044013136E-4</v>
      </c>
      <c r="CJ31" s="53">
        <v>4.6414398733573002E-4</v>
      </c>
      <c r="CK31" s="53">
        <v>4.5950254746237272E-4</v>
      </c>
      <c r="CL31" s="53">
        <v>4.5490752198774898E-4</v>
      </c>
      <c r="CM31" s="53">
        <v>4.5035844676787149E-4</v>
      </c>
      <c r="CN31" s="53">
        <v>4.4585486230019276E-4</v>
      </c>
      <c r="CO31" s="53">
        <v>4.4139631367719082E-4</v>
      </c>
      <c r="CP31" s="53">
        <v>4.3698235054041889E-4</v>
      </c>
      <c r="CQ31" s="53">
        <v>4.3261252703501472E-4</v>
      </c>
      <c r="CR31" s="53">
        <v>4.2828640176466456E-4</v>
      </c>
      <c r="CS31" s="53">
        <v>4.2400353774701792E-4</v>
      </c>
      <c r="CT31" s="53">
        <v>4.1976350236954773E-4</v>
      </c>
      <c r="CU31" s="53">
        <v>4.1556586734585227E-4</v>
      </c>
      <c r="CV31" s="53">
        <v>4.1141020867239373E-4</v>
      </c>
      <c r="CW31" s="53">
        <v>4.0729610658566979E-4</v>
      </c>
      <c r="CX31" s="53">
        <v>4.0322314551981308E-4</v>
      </c>
      <c r="CY31" s="28">
        <v>3.9919091406461496E-4</v>
      </c>
    </row>
    <row r="32" spans="1:103">
      <c r="A32" s="54">
        <v>50</v>
      </c>
      <c r="B32" s="54">
        <v>2.7680000000000001E-3</v>
      </c>
      <c r="C32" s="54">
        <v>2.7596959999999999E-3</v>
      </c>
      <c r="D32" s="54">
        <v>2.7489331855999996E-3</v>
      </c>
      <c r="E32" s="54">
        <v>2.7362880929462396E-3</v>
      </c>
      <c r="F32" s="54">
        <v>2.7228802812908032E-3</v>
      </c>
      <c r="G32" s="54">
        <v>2.7092658798843492E-3</v>
      </c>
      <c r="H32" s="54">
        <v>2.6962614036609043E-3</v>
      </c>
      <c r="I32" s="54">
        <v>2.6843978534847966E-3</v>
      </c>
      <c r="J32" s="54">
        <v>2.6736602620708572E-3</v>
      </c>
      <c r="K32" s="54">
        <v>2.6637677191011949E-3</v>
      </c>
      <c r="L32" s="54">
        <v>2.6544445320843407E-3</v>
      </c>
      <c r="M32" s="54">
        <v>2.6451539762220458E-3</v>
      </c>
      <c r="N32" s="54">
        <v>2.6348378757147799E-3</v>
      </c>
      <c r="O32" s="54">
        <v>2.6227176214864917E-3</v>
      </c>
      <c r="P32" s="54">
        <v>2.608292674568316E-3</v>
      </c>
      <c r="Q32" s="54">
        <v>2.5910779429161651E-3</v>
      </c>
      <c r="R32" s="54">
        <v>2.5713857505500022E-3</v>
      </c>
      <c r="S32" s="54">
        <v>2.5492718330952721E-3</v>
      </c>
      <c r="T32" s="53">
        <v>2.5255636050474863E-3</v>
      </c>
      <c r="U32" s="53">
        <v>2.500813081718021E-3</v>
      </c>
      <c r="V32" s="53">
        <v>2.4758049509008406E-3</v>
      </c>
      <c r="W32" s="53">
        <v>2.451046901391832E-3</v>
      </c>
      <c r="X32" s="53">
        <v>2.4265364323779138E-3</v>
      </c>
      <c r="Y32" s="53">
        <v>2.4022710680541345E-3</v>
      </c>
      <c r="Z32" s="53">
        <v>2.3782483573735933E-3</v>
      </c>
      <c r="AA32" s="53">
        <v>2.3544658737998572E-3</v>
      </c>
      <c r="AB32" s="53">
        <v>2.3309212150618586E-3</v>
      </c>
      <c r="AC32" s="53">
        <v>2.3076120029112399E-3</v>
      </c>
      <c r="AD32" s="53">
        <v>2.2845358828821275E-3</v>
      </c>
      <c r="AE32" s="53">
        <v>2.2616905240533062E-3</v>
      </c>
      <c r="AF32" s="53">
        <v>2.239073618812773E-3</v>
      </c>
      <c r="AG32" s="53">
        <v>2.2166828826246454E-3</v>
      </c>
      <c r="AH32" s="53">
        <v>2.194516053798399E-3</v>
      </c>
      <c r="AI32" s="53">
        <v>2.1725708932604148E-3</v>
      </c>
      <c r="AJ32" s="53">
        <v>2.1508451843278106E-3</v>
      </c>
      <c r="AK32" s="53">
        <v>2.1293367324845326E-3</v>
      </c>
      <c r="AL32" s="53">
        <v>2.1080433651596872E-3</v>
      </c>
      <c r="AM32" s="53">
        <v>2.0869629315080902E-3</v>
      </c>
      <c r="AN32" s="53">
        <v>2.0660933021930091E-3</v>
      </c>
      <c r="AO32" s="53">
        <v>2.0454323691710789E-3</v>
      </c>
      <c r="AP32" s="53">
        <v>2.0249780454793683E-3</v>
      </c>
      <c r="AQ32" s="53">
        <v>2.0047282650245747E-3</v>
      </c>
      <c r="AR32" s="53">
        <v>1.984680982374329E-3</v>
      </c>
      <c r="AS32" s="53">
        <v>1.9648341725505857E-3</v>
      </c>
      <c r="AT32" s="53">
        <v>1.9451858308250798E-3</v>
      </c>
      <c r="AU32" s="53">
        <v>1.925733972516829E-3</v>
      </c>
      <c r="AV32" s="53">
        <v>1.9064766327916607E-3</v>
      </c>
      <c r="AW32" s="53">
        <v>1.8874118664637441E-3</v>
      </c>
      <c r="AX32" s="53">
        <v>1.8685377477991067E-3</v>
      </c>
      <c r="AY32" s="53">
        <v>1.8498523703211157E-3</v>
      </c>
      <c r="AZ32" s="53">
        <v>1.8313538466179044E-3</v>
      </c>
      <c r="BA32" s="53">
        <v>1.8130403081517254E-3</v>
      </c>
      <c r="BB32" s="53">
        <v>1.7949099050702081E-3</v>
      </c>
      <c r="BC32" s="53">
        <v>1.7769608060195061E-3</v>
      </c>
      <c r="BD32" s="53">
        <v>1.7591911979593111E-3</v>
      </c>
      <c r="BE32" s="53">
        <v>1.7415992859797179E-3</v>
      </c>
      <c r="BF32" s="53">
        <v>1.7241832931199207E-3</v>
      </c>
      <c r="BG32" s="53">
        <v>1.7069414601887216E-3</v>
      </c>
      <c r="BH32" s="53">
        <v>1.6898720455868343E-3</v>
      </c>
      <c r="BI32" s="53">
        <v>1.6729733251309659E-3</v>
      </c>
      <c r="BJ32" s="53">
        <v>1.6562435918796561E-3</v>
      </c>
      <c r="BK32" s="53">
        <v>1.6396811559608595E-3</v>
      </c>
      <c r="BL32" s="53">
        <v>1.6232843444012508E-3</v>
      </c>
      <c r="BM32" s="53">
        <v>1.6070515009572383E-3</v>
      </c>
      <c r="BN32" s="53">
        <v>1.5909809859476658E-3</v>
      </c>
      <c r="BO32" s="53">
        <v>1.5750711760881891E-3</v>
      </c>
      <c r="BP32" s="53">
        <v>1.5593204643273072E-3</v>
      </c>
      <c r="BQ32" s="53">
        <v>1.543727259684034E-3</v>
      </c>
      <c r="BR32" s="53">
        <v>1.5282899870871936E-3</v>
      </c>
      <c r="BS32" s="53">
        <v>1.5130070872163216E-3</v>
      </c>
      <c r="BT32" s="53">
        <v>1.4978770163441583E-3</v>
      </c>
      <c r="BU32" s="53">
        <v>1.4828982461807167E-3</v>
      </c>
      <c r="BV32" s="53">
        <v>1.4680692637189096E-3</v>
      </c>
      <c r="BW32" s="53">
        <v>1.4533885710817204E-3</v>
      </c>
      <c r="BX32" s="53">
        <v>1.4388546853709033E-3</v>
      </c>
      <c r="BY32" s="53">
        <v>1.4244661385171943E-3</v>
      </c>
      <c r="BZ32" s="53">
        <v>1.4102214771320224E-3</v>
      </c>
      <c r="CA32" s="53">
        <v>1.3961192623607021E-3</v>
      </c>
      <c r="CB32" s="53">
        <v>1.3821580697370951E-3</v>
      </c>
      <c r="CC32" s="53">
        <v>1.368336489039724E-3</v>
      </c>
      <c r="CD32" s="53">
        <v>1.3546531241493268E-3</v>
      </c>
      <c r="CE32" s="53">
        <v>1.3411065929078336E-3</v>
      </c>
      <c r="CF32" s="53">
        <v>1.3276955269787552E-3</v>
      </c>
      <c r="CG32" s="53">
        <v>1.3144185717089676E-3</v>
      </c>
      <c r="CH32" s="53">
        <v>1.3012743859918781E-3</v>
      </c>
      <c r="CI32" s="53">
        <v>1.2882616421319593E-3</v>
      </c>
      <c r="CJ32" s="53">
        <v>1.2753790257106397E-3</v>
      </c>
      <c r="CK32" s="53">
        <v>1.2626252354535333E-3</v>
      </c>
      <c r="CL32" s="53">
        <v>1.2499989830989978E-3</v>
      </c>
      <c r="CM32" s="53">
        <v>1.2374989932680078E-3</v>
      </c>
      <c r="CN32" s="53">
        <v>1.2251240033353279E-3</v>
      </c>
      <c r="CO32" s="53">
        <v>1.2128727633019746E-3</v>
      </c>
      <c r="CP32" s="53">
        <v>1.2007440356689549E-3</v>
      </c>
      <c r="CQ32" s="53">
        <v>1.1887365953122653E-3</v>
      </c>
      <c r="CR32" s="53">
        <v>1.1768492293591426E-3</v>
      </c>
      <c r="CS32" s="53">
        <v>1.1650807370655511E-3</v>
      </c>
      <c r="CT32" s="53">
        <v>1.1534299296948956E-3</v>
      </c>
      <c r="CU32" s="53">
        <v>1.1418956303979467E-3</v>
      </c>
      <c r="CV32" s="53">
        <v>1.1304766740939673E-3</v>
      </c>
      <c r="CW32" s="53">
        <v>1.1191719073530277E-3</v>
      </c>
      <c r="CX32" s="53">
        <v>1.1079801882794974E-3</v>
      </c>
      <c r="CY32" s="28">
        <v>1.0969003863967024E-3</v>
      </c>
    </row>
    <row r="33" spans="1:103">
      <c r="A33" s="54">
        <v>51</v>
      </c>
      <c r="B33" s="54">
        <v>2.905E-3</v>
      </c>
      <c r="C33" s="54">
        <v>2.9020949999999999E-3</v>
      </c>
      <c r="D33" s="54">
        <v>2.8951299720000002E-3</v>
      </c>
      <c r="E33" s="54">
        <v>2.8847075041008E-3</v>
      </c>
      <c r="F33" s="54">
        <v>2.8717263203323464E-3</v>
      </c>
      <c r="G33" s="54">
        <v>2.8570805160986514E-3</v>
      </c>
      <c r="H33" s="54">
        <v>2.8419379893633288E-3</v>
      </c>
      <c r="I33" s="54">
        <v>2.8265915242207669E-3</v>
      </c>
      <c r="J33" s="54">
        <v>2.8118932482948189E-3</v>
      </c>
      <c r="K33" s="54">
        <v>2.7981149713781745E-3</v>
      </c>
      <c r="L33" s="54">
        <v>2.7852436425098346E-3</v>
      </c>
      <c r="M33" s="54">
        <v>2.7727100461185403E-3</v>
      </c>
      <c r="N33" s="54">
        <v>2.7599555799063947E-3</v>
      </c>
      <c r="O33" s="54">
        <v>2.7458798064488722E-3</v>
      </c>
      <c r="P33" s="54">
        <v>2.7299537035714687E-3</v>
      </c>
      <c r="Q33" s="54">
        <v>2.7116630137575398E-3</v>
      </c>
      <c r="R33" s="54">
        <v>2.6907832085516065E-3</v>
      </c>
      <c r="S33" s="54">
        <v>2.6676424729580625E-3</v>
      </c>
      <c r="T33" s="53">
        <v>2.6428333979595527E-3</v>
      </c>
      <c r="U33" s="53">
        <v>2.616933630659549E-3</v>
      </c>
      <c r="V33" s="53">
        <v>2.5907642943529536E-3</v>
      </c>
      <c r="W33" s="53">
        <v>2.5648566514094241E-3</v>
      </c>
      <c r="X33" s="53">
        <v>2.5392080848953297E-3</v>
      </c>
      <c r="Y33" s="53">
        <v>2.5138160040463764E-3</v>
      </c>
      <c r="Z33" s="53">
        <v>2.4886778440059128E-3</v>
      </c>
      <c r="AA33" s="53">
        <v>2.4637910655658539E-3</v>
      </c>
      <c r="AB33" s="53">
        <v>2.4391531549101952E-3</v>
      </c>
      <c r="AC33" s="53">
        <v>2.4147616233610933E-3</v>
      </c>
      <c r="AD33" s="53">
        <v>2.3906140071274823E-3</v>
      </c>
      <c r="AE33" s="53">
        <v>2.3667078670562077E-3</v>
      </c>
      <c r="AF33" s="53">
        <v>2.3430407883856456E-3</v>
      </c>
      <c r="AG33" s="53">
        <v>2.3196103805017891E-3</v>
      </c>
      <c r="AH33" s="53">
        <v>2.2964142766967711E-3</v>
      </c>
      <c r="AI33" s="53">
        <v>2.2734501339298032E-3</v>
      </c>
      <c r="AJ33" s="53">
        <v>2.2507156325905051E-3</v>
      </c>
      <c r="AK33" s="53">
        <v>2.2282084762646E-3</v>
      </c>
      <c r="AL33" s="53">
        <v>2.2059263915019541E-3</v>
      </c>
      <c r="AM33" s="53">
        <v>2.1838671275869344E-3</v>
      </c>
      <c r="AN33" s="53">
        <v>2.1620284563110652E-3</v>
      </c>
      <c r="AO33" s="53">
        <v>2.1404081717479547E-3</v>
      </c>
      <c r="AP33" s="53">
        <v>2.1190040900304751E-3</v>
      </c>
      <c r="AQ33" s="53">
        <v>2.0978140491301703E-3</v>
      </c>
      <c r="AR33" s="53">
        <v>2.0768359086388685E-3</v>
      </c>
      <c r="AS33" s="53">
        <v>2.0560675495524799E-3</v>
      </c>
      <c r="AT33" s="53">
        <v>2.0355068740569551E-3</v>
      </c>
      <c r="AU33" s="53">
        <v>2.0151518053163854E-3</v>
      </c>
      <c r="AV33" s="53">
        <v>1.9950002872632217E-3</v>
      </c>
      <c r="AW33" s="53">
        <v>1.9750502843905895E-3</v>
      </c>
      <c r="AX33" s="53">
        <v>1.9552997815466835E-3</v>
      </c>
      <c r="AY33" s="53">
        <v>1.9357467837312166E-3</v>
      </c>
      <c r="AZ33" s="53">
        <v>1.9163893158939045E-3</v>
      </c>
      <c r="BA33" s="53">
        <v>1.8972254227349653E-3</v>
      </c>
      <c r="BB33" s="53">
        <v>1.8782531685076157E-3</v>
      </c>
      <c r="BC33" s="53">
        <v>1.8594706368225396E-3</v>
      </c>
      <c r="BD33" s="53">
        <v>1.8408759304543141E-3</v>
      </c>
      <c r="BE33" s="53">
        <v>1.8224671711497709E-3</v>
      </c>
      <c r="BF33" s="53">
        <v>1.8042424994382732E-3</v>
      </c>
      <c r="BG33" s="53">
        <v>1.7862000744438904E-3</v>
      </c>
      <c r="BH33" s="53">
        <v>1.7683380736994514E-3</v>
      </c>
      <c r="BI33" s="53">
        <v>1.7506546929624569E-3</v>
      </c>
      <c r="BJ33" s="53">
        <v>1.7331481460328322E-3</v>
      </c>
      <c r="BK33" s="53">
        <v>1.7158166645725038E-3</v>
      </c>
      <c r="BL33" s="53">
        <v>1.6986584979267788E-3</v>
      </c>
      <c r="BM33" s="53">
        <v>1.681671912947511E-3</v>
      </c>
      <c r="BN33" s="53">
        <v>1.6648551938180359E-3</v>
      </c>
      <c r="BO33" s="53">
        <v>1.6482066418798554E-3</v>
      </c>
      <c r="BP33" s="53">
        <v>1.6317245754610568E-3</v>
      </c>
      <c r="BQ33" s="53">
        <v>1.6154073297064463E-3</v>
      </c>
      <c r="BR33" s="53">
        <v>1.5992532564093819E-3</v>
      </c>
      <c r="BS33" s="53">
        <v>1.5832607238452881E-3</v>
      </c>
      <c r="BT33" s="53">
        <v>1.5674281166068353E-3</v>
      </c>
      <c r="BU33" s="53">
        <v>1.551753835440767E-3</v>
      </c>
      <c r="BV33" s="53">
        <v>1.5362362970863593E-3</v>
      </c>
      <c r="BW33" s="53">
        <v>1.5208739341154957E-3</v>
      </c>
      <c r="BX33" s="53">
        <v>1.5056651947743408E-3</v>
      </c>
      <c r="BY33" s="53">
        <v>1.4906085428265973E-3</v>
      </c>
      <c r="BZ33" s="53">
        <v>1.4757024573983314E-3</v>
      </c>
      <c r="CA33" s="53">
        <v>1.4609454328243481E-3</v>
      </c>
      <c r="CB33" s="53">
        <v>1.4463359784961047E-3</v>
      </c>
      <c r="CC33" s="53">
        <v>1.4318726187111436E-3</v>
      </c>
      <c r="CD33" s="53">
        <v>1.4175538925240321E-3</v>
      </c>
      <c r="CE33" s="53">
        <v>1.4033783535987918E-3</v>
      </c>
      <c r="CF33" s="53">
        <v>1.3893445700628039E-3</v>
      </c>
      <c r="CG33" s="53">
        <v>1.3754511243621759E-3</v>
      </c>
      <c r="CH33" s="53">
        <v>1.3616966131185541E-3</v>
      </c>
      <c r="CI33" s="53">
        <v>1.3480796469873685E-3</v>
      </c>
      <c r="CJ33" s="53">
        <v>1.3345988505174947E-3</v>
      </c>
      <c r="CK33" s="53">
        <v>1.3212528620123198E-3</v>
      </c>
      <c r="CL33" s="53">
        <v>1.3080403333921966E-3</v>
      </c>
      <c r="CM33" s="53">
        <v>1.2949599300582746E-3</v>
      </c>
      <c r="CN33" s="53">
        <v>1.2820103307576917E-3</v>
      </c>
      <c r="CO33" s="53">
        <v>1.2691902274501149E-3</v>
      </c>
      <c r="CP33" s="53">
        <v>1.2564983251756136E-3</v>
      </c>
      <c r="CQ33" s="53">
        <v>1.2439333419238575E-3</v>
      </c>
      <c r="CR33" s="53">
        <v>1.231494008504619E-3</v>
      </c>
      <c r="CS33" s="53">
        <v>1.2191790684195727E-3</v>
      </c>
      <c r="CT33" s="53">
        <v>1.2069872777353769E-3</v>
      </c>
      <c r="CU33" s="53">
        <v>1.194917404958023E-3</v>
      </c>
      <c r="CV33" s="53">
        <v>1.1829682309084427E-3</v>
      </c>
      <c r="CW33" s="53">
        <v>1.1711385485993582E-3</v>
      </c>
      <c r="CX33" s="53">
        <v>1.1594271631133646E-3</v>
      </c>
      <c r="CY33" s="28">
        <v>1.147832891482231E-3</v>
      </c>
    </row>
    <row r="34" spans="1:103">
      <c r="A34" s="54">
        <v>52</v>
      </c>
      <c r="B34" s="54">
        <v>3.0569999999999998E-3</v>
      </c>
      <c r="C34" s="54">
        <v>3.0615855000000001E-3</v>
      </c>
      <c r="D34" s="54">
        <v>3.0606670243500003E-3</v>
      </c>
      <c r="E34" s="54">
        <v>3.0545456903013002E-3</v>
      </c>
      <c r="F34" s="54">
        <v>3.0438547803852459E-3</v>
      </c>
      <c r="G34" s="54">
        <v>3.0295486629174353E-3</v>
      </c>
      <c r="H34" s="54">
        <v>3.0128861452713897E-3</v>
      </c>
      <c r="I34" s="54">
        <v>2.9948088283997614E-3</v>
      </c>
      <c r="J34" s="54">
        <v>2.9762410136636827E-3</v>
      </c>
      <c r="K34" s="54">
        <v>2.9583835675817006E-3</v>
      </c>
      <c r="L34" s="54">
        <v>2.9415207812464846E-3</v>
      </c>
      <c r="M34" s="54">
        <v>2.9256365690277539E-3</v>
      </c>
      <c r="N34" s="54">
        <v>2.909838131555004E-3</v>
      </c>
      <c r="O34" s="54">
        <v>2.8932520542051402E-3</v>
      </c>
      <c r="P34" s="54">
        <v>2.8750245662636478E-3</v>
      </c>
      <c r="Q34" s="54">
        <v>2.8548993942998022E-3</v>
      </c>
      <c r="R34" s="54">
        <v>2.8326311790242637E-3</v>
      </c>
      <c r="S34" s="54">
        <v>2.8079872877667523E-3</v>
      </c>
      <c r="T34" s="53">
        <v>2.7815922072617449E-3</v>
      </c>
      <c r="U34" s="53">
        <v>2.7543326036305799E-3</v>
      </c>
      <c r="V34" s="53">
        <v>2.7267892775942743E-3</v>
      </c>
      <c r="W34" s="53">
        <v>2.6995213848183316E-3</v>
      </c>
      <c r="X34" s="53">
        <v>2.6725261709701484E-3</v>
      </c>
      <c r="Y34" s="53">
        <v>2.6458009092604467E-3</v>
      </c>
      <c r="Z34" s="53">
        <v>2.6193429001678424E-3</v>
      </c>
      <c r="AA34" s="53">
        <v>2.5931494711661641E-3</v>
      </c>
      <c r="AB34" s="53">
        <v>2.5672179764545024E-3</v>
      </c>
      <c r="AC34" s="53">
        <v>2.5415457966899576E-3</v>
      </c>
      <c r="AD34" s="53">
        <v>2.516130338723058E-3</v>
      </c>
      <c r="AE34" s="53">
        <v>2.4909690353358271E-3</v>
      </c>
      <c r="AF34" s="53">
        <v>2.4660593449824689E-3</v>
      </c>
      <c r="AG34" s="53">
        <v>2.4413987515326443E-3</v>
      </c>
      <c r="AH34" s="53">
        <v>2.4169847640173178E-3</v>
      </c>
      <c r="AI34" s="53">
        <v>2.3928149163771448E-3</v>
      </c>
      <c r="AJ34" s="53">
        <v>2.3688867672133733E-3</v>
      </c>
      <c r="AK34" s="53">
        <v>2.3451978995412395E-3</v>
      </c>
      <c r="AL34" s="53">
        <v>2.3217459205458271E-3</v>
      </c>
      <c r="AM34" s="53">
        <v>2.2985284613403689E-3</v>
      </c>
      <c r="AN34" s="53">
        <v>2.2755431767269652E-3</v>
      </c>
      <c r="AO34" s="53">
        <v>2.2527877449596955E-3</v>
      </c>
      <c r="AP34" s="53">
        <v>2.2302598675100985E-3</v>
      </c>
      <c r="AQ34" s="53">
        <v>2.2079572688349976E-3</v>
      </c>
      <c r="AR34" s="53">
        <v>2.1858776961466478E-3</v>
      </c>
      <c r="AS34" s="53">
        <v>2.1640189191851813E-3</v>
      </c>
      <c r="AT34" s="53">
        <v>2.1423787299933296E-3</v>
      </c>
      <c r="AU34" s="53">
        <v>2.1209549426933964E-3</v>
      </c>
      <c r="AV34" s="53">
        <v>2.0997453932664624E-3</v>
      </c>
      <c r="AW34" s="53">
        <v>2.078747939333798E-3</v>
      </c>
      <c r="AX34" s="53">
        <v>2.05796045994046E-3</v>
      </c>
      <c r="AY34" s="53">
        <v>2.0373808553410555E-3</v>
      </c>
      <c r="AZ34" s="53">
        <v>2.0170070467876449E-3</v>
      </c>
      <c r="BA34" s="53">
        <v>1.9968369763197682E-3</v>
      </c>
      <c r="BB34" s="53">
        <v>1.9768686065565703E-3</v>
      </c>
      <c r="BC34" s="53">
        <v>1.9570999204910045E-3</v>
      </c>
      <c r="BD34" s="53">
        <v>1.9375289212860945E-3</v>
      </c>
      <c r="BE34" s="53">
        <v>1.9181536320732335E-3</v>
      </c>
      <c r="BF34" s="53">
        <v>1.8989720957525011E-3</v>
      </c>
      <c r="BG34" s="53">
        <v>1.879982374794976E-3</v>
      </c>
      <c r="BH34" s="53">
        <v>1.8611825510470262E-3</v>
      </c>
      <c r="BI34" s="53">
        <v>1.8425707255365559E-3</v>
      </c>
      <c r="BJ34" s="53">
        <v>1.8241450182811903E-3</v>
      </c>
      <c r="BK34" s="53">
        <v>1.8059035680983784E-3</v>
      </c>
      <c r="BL34" s="53">
        <v>1.7878445324173947E-3</v>
      </c>
      <c r="BM34" s="53">
        <v>1.7699660870932206E-3</v>
      </c>
      <c r="BN34" s="53">
        <v>1.7522664262222885E-3</v>
      </c>
      <c r="BO34" s="53">
        <v>1.7347437619600655E-3</v>
      </c>
      <c r="BP34" s="53">
        <v>1.7173963243404648E-3</v>
      </c>
      <c r="BQ34" s="53">
        <v>1.7002223610970602E-3</v>
      </c>
      <c r="BR34" s="53">
        <v>1.6832201374860896E-3</v>
      </c>
      <c r="BS34" s="53">
        <v>1.6663879361112288E-3</v>
      </c>
      <c r="BT34" s="53">
        <v>1.6497240567501165E-3</v>
      </c>
      <c r="BU34" s="53">
        <v>1.6332268161826154E-3</v>
      </c>
      <c r="BV34" s="53">
        <v>1.6168945480207891E-3</v>
      </c>
      <c r="BW34" s="53">
        <v>1.6007256025405811E-3</v>
      </c>
      <c r="BX34" s="53">
        <v>1.5847183465151752E-3</v>
      </c>
      <c r="BY34" s="53">
        <v>1.5688711630500235E-3</v>
      </c>
      <c r="BZ34" s="53">
        <v>1.5531824514195232E-3</v>
      </c>
      <c r="CA34" s="53">
        <v>1.537650626905328E-3</v>
      </c>
      <c r="CB34" s="53">
        <v>1.5222741206362747E-3</v>
      </c>
      <c r="CC34" s="53">
        <v>1.5070513794299119E-3</v>
      </c>
      <c r="CD34" s="53">
        <v>1.4919808656356128E-3</v>
      </c>
      <c r="CE34" s="53">
        <v>1.4770610569792566E-3</v>
      </c>
      <c r="CF34" s="53">
        <v>1.4622904464094641E-3</v>
      </c>
      <c r="CG34" s="53">
        <v>1.4476675419453694E-3</v>
      </c>
      <c r="CH34" s="53">
        <v>1.4331908665259157E-3</v>
      </c>
      <c r="CI34" s="53">
        <v>1.4188589578606565E-3</v>
      </c>
      <c r="CJ34" s="53">
        <v>1.40467036828205E-3</v>
      </c>
      <c r="CK34" s="53">
        <v>1.3906236645992295E-3</v>
      </c>
      <c r="CL34" s="53">
        <v>1.3767174279532373E-3</v>
      </c>
      <c r="CM34" s="53">
        <v>1.3629502536737048E-3</v>
      </c>
      <c r="CN34" s="53">
        <v>1.3493207511369677E-3</v>
      </c>
      <c r="CO34" s="53">
        <v>1.335827543625598E-3</v>
      </c>
      <c r="CP34" s="53">
        <v>1.322469268189342E-3</v>
      </c>
      <c r="CQ34" s="53">
        <v>1.3092445755074485E-3</v>
      </c>
      <c r="CR34" s="53">
        <v>1.2961521297523741E-3</v>
      </c>
      <c r="CS34" s="53">
        <v>1.2831906084548503E-3</v>
      </c>
      <c r="CT34" s="53">
        <v>1.2703587023703018E-3</v>
      </c>
      <c r="CU34" s="53">
        <v>1.2576551153465987E-3</v>
      </c>
      <c r="CV34" s="53">
        <v>1.2450785641931327E-3</v>
      </c>
      <c r="CW34" s="53">
        <v>1.2326277785512014E-3</v>
      </c>
      <c r="CX34" s="53">
        <v>1.2203015007656894E-3</v>
      </c>
      <c r="CY34" s="28">
        <v>1.2080984857580324E-3</v>
      </c>
    </row>
    <row r="35" spans="1:103">
      <c r="A35" s="54">
        <v>53</v>
      </c>
      <c r="B35" s="54">
        <v>3.225E-3</v>
      </c>
      <c r="C35" s="54">
        <v>3.2385449999999998E-3</v>
      </c>
      <c r="D35" s="54">
        <v>3.2453459444999997E-3</v>
      </c>
      <c r="E35" s="54">
        <v>3.2453459444999997E-3</v>
      </c>
      <c r="F35" s="54">
        <v>3.2385307180165497E-3</v>
      </c>
      <c r="G35" s="54">
        <v>3.2259004482162851E-3</v>
      </c>
      <c r="H35" s="54">
        <v>3.2088031758407388E-3</v>
      </c>
      <c r="I35" s="54">
        <v>3.1885877158329421E-3</v>
      </c>
      <c r="J35" s="54">
        <v>3.166905319365278E-3</v>
      </c>
      <c r="K35" s="54">
        <v>3.1447369821297208E-3</v>
      </c>
      <c r="L35" s="54">
        <v>3.1236672443494514E-3</v>
      </c>
      <c r="M35" s="54">
        <v>3.1036757739856149E-3</v>
      </c>
      <c r="N35" s="54">
        <v>3.0844329841869041E-3</v>
      </c>
      <c r="O35" s="54">
        <v>3.0650010563865269E-3</v>
      </c>
      <c r="P35" s="54">
        <v>3.0444655493087371E-3</v>
      </c>
      <c r="Q35" s="54">
        <v>3.0222409507987833E-3</v>
      </c>
      <c r="R35" s="54">
        <v>2.9980630231923929E-3</v>
      </c>
      <c r="S35" s="54">
        <v>2.9719798748906192E-3</v>
      </c>
      <c r="T35" s="53">
        <v>2.9440432640666474E-3</v>
      </c>
      <c r="U35" s="53">
        <v>2.9151916400787939E-3</v>
      </c>
      <c r="V35" s="53">
        <v>2.8860397236780059E-3</v>
      </c>
      <c r="W35" s="53">
        <v>2.8571793264412257E-3</v>
      </c>
      <c r="X35" s="53">
        <v>2.8286075331768134E-3</v>
      </c>
      <c r="Y35" s="53">
        <v>2.800321457845045E-3</v>
      </c>
      <c r="Z35" s="53">
        <v>2.7723182432665945E-3</v>
      </c>
      <c r="AA35" s="53">
        <v>2.7445950608339285E-3</v>
      </c>
      <c r="AB35" s="53">
        <v>2.7171491102255889E-3</v>
      </c>
      <c r="AC35" s="53">
        <v>2.689977619123333E-3</v>
      </c>
      <c r="AD35" s="53">
        <v>2.6630778429320998E-3</v>
      </c>
      <c r="AE35" s="53">
        <v>2.6364470645027786E-3</v>
      </c>
      <c r="AF35" s="53">
        <v>2.6100825938577508E-3</v>
      </c>
      <c r="AG35" s="53">
        <v>2.5839817679191735E-3</v>
      </c>
      <c r="AH35" s="53">
        <v>2.5581419502399816E-3</v>
      </c>
      <c r="AI35" s="53">
        <v>2.5325605307375816E-3</v>
      </c>
      <c r="AJ35" s="53">
        <v>2.5072349254302057E-3</v>
      </c>
      <c r="AK35" s="53">
        <v>2.4821625761759034E-3</v>
      </c>
      <c r="AL35" s="53">
        <v>2.4573409504141442E-3</v>
      </c>
      <c r="AM35" s="53">
        <v>2.4327675409100027E-3</v>
      </c>
      <c r="AN35" s="53">
        <v>2.4084398655009028E-3</v>
      </c>
      <c r="AO35" s="53">
        <v>2.3843554668458939E-3</v>
      </c>
      <c r="AP35" s="53">
        <v>2.3605119121774347E-3</v>
      </c>
      <c r="AQ35" s="53">
        <v>2.3369067930556603E-3</v>
      </c>
      <c r="AR35" s="53">
        <v>2.3135377251251037E-3</v>
      </c>
      <c r="AS35" s="53">
        <v>2.2904023478738525E-3</v>
      </c>
      <c r="AT35" s="53">
        <v>2.2674983243951138E-3</v>
      </c>
      <c r="AU35" s="53">
        <v>2.2448233411511628E-3</v>
      </c>
      <c r="AV35" s="53">
        <v>2.2223751077396514E-3</v>
      </c>
      <c r="AW35" s="53">
        <v>2.2001513566622549E-3</v>
      </c>
      <c r="AX35" s="53">
        <v>2.1781498430956323E-3</v>
      </c>
      <c r="AY35" s="53">
        <v>2.1563683446646758E-3</v>
      </c>
      <c r="AZ35" s="53">
        <v>2.1348046612180288E-3</v>
      </c>
      <c r="BA35" s="53">
        <v>2.1134566146058485E-3</v>
      </c>
      <c r="BB35" s="53">
        <v>2.0923220484597902E-3</v>
      </c>
      <c r="BC35" s="53">
        <v>2.0713988279751922E-3</v>
      </c>
      <c r="BD35" s="53">
        <v>2.0506848396954405E-3</v>
      </c>
      <c r="BE35" s="53">
        <v>2.0301779912984862E-3</v>
      </c>
      <c r="BF35" s="53">
        <v>2.0098762113855014E-3</v>
      </c>
      <c r="BG35" s="53">
        <v>1.9897774492716462E-3</v>
      </c>
      <c r="BH35" s="53">
        <v>1.9698796747789297E-3</v>
      </c>
      <c r="BI35" s="53">
        <v>1.9501808780311403E-3</v>
      </c>
      <c r="BJ35" s="53">
        <v>1.9306790692508288E-3</v>
      </c>
      <c r="BK35" s="53">
        <v>1.9113722785583204E-3</v>
      </c>
      <c r="BL35" s="53">
        <v>1.8922585557727373E-3</v>
      </c>
      <c r="BM35" s="53">
        <v>1.87333597021501E-3</v>
      </c>
      <c r="BN35" s="53">
        <v>1.8546026105128598E-3</v>
      </c>
      <c r="BO35" s="53">
        <v>1.8360565844077312E-3</v>
      </c>
      <c r="BP35" s="53">
        <v>1.8176960185636538E-3</v>
      </c>
      <c r="BQ35" s="53">
        <v>1.7995190583780173E-3</v>
      </c>
      <c r="BR35" s="53">
        <v>1.7815238677942372E-3</v>
      </c>
      <c r="BS35" s="53">
        <v>1.7637086291162948E-3</v>
      </c>
      <c r="BT35" s="53">
        <v>1.7460715428251317E-3</v>
      </c>
      <c r="BU35" s="53">
        <v>1.7286108273968804E-3</v>
      </c>
      <c r="BV35" s="53">
        <v>1.7113247191229116E-3</v>
      </c>
      <c r="BW35" s="53">
        <v>1.6942114719316825E-3</v>
      </c>
      <c r="BX35" s="53">
        <v>1.6772693572123657E-3</v>
      </c>
      <c r="BY35" s="53">
        <v>1.660496663640242E-3</v>
      </c>
      <c r="BZ35" s="53">
        <v>1.6438916970038396E-3</v>
      </c>
      <c r="CA35" s="53">
        <v>1.6274527800338012E-3</v>
      </c>
      <c r="CB35" s="53">
        <v>1.6111782522334631E-3</v>
      </c>
      <c r="CC35" s="53">
        <v>1.5950664697111285E-3</v>
      </c>
      <c r="CD35" s="53">
        <v>1.5791158050140171E-3</v>
      </c>
      <c r="CE35" s="53">
        <v>1.5633246469638768E-3</v>
      </c>
      <c r="CF35" s="53">
        <v>1.5476914004942382E-3</v>
      </c>
      <c r="CG35" s="53">
        <v>1.5322144864892957E-3</v>
      </c>
      <c r="CH35" s="53">
        <v>1.5168923416244027E-3</v>
      </c>
      <c r="CI35" s="53">
        <v>1.5017234182081588E-3</v>
      </c>
      <c r="CJ35" s="53">
        <v>1.4867061840260771E-3</v>
      </c>
      <c r="CK35" s="53">
        <v>1.4718391221858163E-3</v>
      </c>
      <c r="CL35" s="53">
        <v>1.4571207309639581E-3</v>
      </c>
      <c r="CM35" s="53">
        <v>1.4425495236543185E-3</v>
      </c>
      <c r="CN35" s="53">
        <v>1.4281240284177753E-3</v>
      </c>
      <c r="CO35" s="53">
        <v>1.4138427881335975E-3</v>
      </c>
      <c r="CP35" s="53">
        <v>1.3997043602522615E-3</v>
      </c>
      <c r="CQ35" s="53">
        <v>1.3857073166497389E-3</v>
      </c>
      <c r="CR35" s="53">
        <v>1.3718502434832416E-3</v>
      </c>
      <c r="CS35" s="53">
        <v>1.3581317410484091E-3</v>
      </c>
      <c r="CT35" s="53">
        <v>1.344550423637925E-3</v>
      </c>
      <c r="CU35" s="53">
        <v>1.3311049194015458E-3</v>
      </c>
      <c r="CV35" s="53">
        <v>1.3177938702075304E-3</v>
      </c>
      <c r="CW35" s="53">
        <v>1.3046159315054551E-3</v>
      </c>
      <c r="CX35" s="53">
        <v>1.2915697721904006E-3</v>
      </c>
      <c r="CY35" s="28">
        <v>1.2786540744684966E-3</v>
      </c>
    </row>
    <row r="36" spans="1:103">
      <c r="A36" s="54">
        <v>54</v>
      </c>
      <c r="B36" s="54">
        <v>3.4120000000000001E-3</v>
      </c>
      <c r="C36" s="54">
        <v>3.4352015999999999E-3</v>
      </c>
      <c r="D36" s="54">
        <v>3.4510035273599996E-3</v>
      </c>
      <c r="E36" s="54">
        <v>3.4582506347674556E-3</v>
      </c>
      <c r="F36" s="54">
        <v>3.4565215094500721E-3</v>
      </c>
      <c r="G36" s="54">
        <v>3.446843249223612E-3</v>
      </c>
      <c r="H36" s="54">
        <v>3.4302984016273386E-3</v>
      </c>
      <c r="I36" s="54">
        <v>3.4086875216970867E-3</v>
      </c>
      <c r="J36" s="54">
        <v>3.3841449715408677E-3</v>
      </c>
      <c r="K36" s="54">
        <v>3.3580870552600028E-3</v>
      </c>
      <c r="L36" s="54">
        <v>3.3325655936400265E-3</v>
      </c>
      <c r="M36" s="54">
        <v>3.3085711213658182E-3</v>
      </c>
      <c r="N36" s="54">
        <v>3.2854111235162574E-3</v>
      </c>
      <c r="O36" s="54">
        <v>3.2624132456516436E-3</v>
      </c>
      <c r="P36" s="54">
        <v>3.2389238702829519E-3</v>
      </c>
      <c r="Q36" s="54">
        <v>3.2143080488688013E-3</v>
      </c>
      <c r="R36" s="54">
        <v>3.1879507228680772E-3</v>
      </c>
      <c r="S36" s="54">
        <v>3.1598967565068382E-3</v>
      </c>
      <c r="T36" s="53">
        <v>3.130193726995674E-3</v>
      </c>
      <c r="U36" s="53">
        <v>3.0995178284711163E-3</v>
      </c>
      <c r="V36" s="53">
        <v>3.0685226501864053E-3</v>
      </c>
      <c r="W36" s="53">
        <v>3.0378374236845413E-3</v>
      </c>
      <c r="X36" s="53">
        <v>3.007459049447696E-3</v>
      </c>
      <c r="Y36" s="53">
        <v>2.9773844589532192E-3</v>
      </c>
      <c r="Z36" s="53">
        <v>2.9476106143636869E-3</v>
      </c>
      <c r="AA36" s="53">
        <v>2.91813450822005E-3</v>
      </c>
      <c r="AB36" s="53">
        <v>2.8889531631378497E-3</v>
      </c>
      <c r="AC36" s="53">
        <v>2.8600636315064712E-3</v>
      </c>
      <c r="AD36" s="53">
        <v>2.8314629951914066E-3</v>
      </c>
      <c r="AE36" s="53">
        <v>2.8031483652394924E-3</v>
      </c>
      <c r="AF36" s="53">
        <v>2.7751168815870974E-3</v>
      </c>
      <c r="AG36" s="53">
        <v>2.7473657127712265E-3</v>
      </c>
      <c r="AH36" s="53">
        <v>2.7198920556435143E-3</v>
      </c>
      <c r="AI36" s="53">
        <v>2.692693135087079E-3</v>
      </c>
      <c r="AJ36" s="53">
        <v>2.665766203736208E-3</v>
      </c>
      <c r="AK36" s="53">
        <v>2.6391085416988458E-3</v>
      </c>
      <c r="AL36" s="53">
        <v>2.6127174562818574E-3</v>
      </c>
      <c r="AM36" s="53">
        <v>2.5865902817190389E-3</v>
      </c>
      <c r="AN36" s="53">
        <v>2.5607243789018486E-3</v>
      </c>
      <c r="AO36" s="53">
        <v>2.5351171351128301E-3</v>
      </c>
      <c r="AP36" s="53">
        <v>2.5097659637617017E-3</v>
      </c>
      <c r="AQ36" s="53">
        <v>2.4846683041240846E-3</v>
      </c>
      <c r="AR36" s="53">
        <v>2.4598216210828436E-3</v>
      </c>
      <c r="AS36" s="53">
        <v>2.4352234048720151E-3</v>
      </c>
      <c r="AT36" s="53">
        <v>2.4108711708232949E-3</v>
      </c>
      <c r="AU36" s="53">
        <v>2.3867624591150621E-3</v>
      </c>
      <c r="AV36" s="53">
        <v>2.3628948345239113E-3</v>
      </c>
      <c r="AW36" s="53">
        <v>2.3392658861786722E-3</v>
      </c>
      <c r="AX36" s="53">
        <v>2.3158732273168853E-3</v>
      </c>
      <c r="AY36" s="53">
        <v>2.2927144950437165E-3</v>
      </c>
      <c r="AZ36" s="53">
        <v>2.2697873500932791E-3</v>
      </c>
      <c r="BA36" s="53">
        <v>2.2470894765923462E-3</v>
      </c>
      <c r="BB36" s="53">
        <v>2.2246185818264228E-3</v>
      </c>
      <c r="BC36" s="53">
        <v>2.2023723960081587E-3</v>
      </c>
      <c r="BD36" s="53">
        <v>2.1803486720480773E-3</v>
      </c>
      <c r="BE36" s="53">
        <v>2.1585451853275966E-3</v>
      </c>
      <c r="BF36" s="53">
        <v>2.1369597334743207E-3</v>
      </c>
      <c r="BG36" s="53">
        <v>2.1155901361395776E-3</v>
      </c>
      <c r="BH36" s="53">
        <v>2.0944342347781818E-3</v>
      </c>
      <c r="BI36" s="53">
        <v>2.0734898924304E-3</v>
      </c>
      <c r="BJ36" s="53">
        <v>2.0527549935060959E-3</v>
      </c>
      <c r="BK36" s="53">
        <v>2.0322274435710351E-3</v>
      </c>
      <c r="BL36" s="53">
        <v>2.0119051691353247E-3</v>
      </c>
      <c r="BM36" s="53">
        <v>1.9917861174439714E-3</v>
      </c>
      <c r="BN36" s="53">
        <v>1.9718682562695315E-3</v>
      </c>
      <c r="BO36" s="53">
        <v>1.9521495737068362E-3</v>
      </c>
      <c r="BP36" s="53">
        <v>1.9326280779697678E-3</v>
      </c>
      <c r="BQ36" s="53">
        <v>1.9133017971900701E-3</v>
      </c>
      <c r="BR36" s="53">
        <v>1.8941687792181695E-3</v>
      </c>
      <c r="BS36" s="53">
        <v>1.8752270914259878E-3</v>
      </c>
      <c r="BT36" s="53">
        <v>1.8564748205117279E-3</v>
      </c>
      <c r="BU36" s="53">
        <v>1.8379100723066107E-3</v>
      </c>
      <c r="BV36" s="53">
        <v>1.8195309715835445E-3</v>
      </c>
      <c r="BW36" s="53">
        <v>1.8013356618677091E-3</v>
      </c>
      <c r="BX36" s="53">
        <v>1.7833223052490319E-3</v>
      </c>
      <c r="BY36" s="53">
        <v>1.7654890821965415E-3</v>
      </c>
      <c r="BZ36" s="53">
        <v>1.7478341913745761E-3</v>
      </c>
      <c r="CA36" s="53">
        <v>1.7303558494608303E-3</v>
      </c>
      <c r="CB36" s="53">
        <v>1.7130522909662219E-3</v>
      </c>
      <c r="CC36" s="53">
        <v>1.6959217680565597E-3</v>
      </c>
      <c r="CD36" s="53">
        <v>1.6789625503759941E-3</v>
      </c>
      <c r="CE36" s="53">
        <v>1.6621729248722341E-3</v>
      </c>
      <c r="CF36" s="53">
        <v>1.6455511956235118E-3</v>
      </c>
      <c r="CG36" s="53">
        <v>1.6290956836672768E-3</v>
      </c>
      <c r="CH36" s="53">
        <v>1.612804726830604E-3</v>
      </c>
      <c r="CI36" s="53">
        <v>1.5966766795622979E-3</v>
      </c>
      <c r="CJ36" s="53">
        <v>1.580709912766675E-3</v>
      </c>
      <c r="CK36" s="53">
        <v>1.5649028136390081E-3</v>
      </c>
      <c r="CL36" s="53">
        <v>1.549253785502618E-3</v>
      </c>
      <c r="CM36" s="53">
        <v>1.5337612476475919E-3</v>
      </c>
      <c r="CN36" s="53">
        <v>1.5184236351711159E-3</v>
      </c>
      <c r="CO36" s="53">
        <v>1.5032393988194048E-3</v>
      </c>
      <c r="CP36" s="53">
        <v>1.4882070048312108E-3</v>
      </c>
      <c r="CQ36" s="53">
        <v>1.4733249347828987E-3</v>
      </c>
      <c r="CR36" s="53">
        <v>1.4585916854350698E-3</v>
      </c>
      <c r="CS36" s="53">
        <v>1.444005768580719E-3</v>
      </c>
      <c r="CT36" s="53">
        <v>1.4295657108949118E-3</v>
      </c>
      <c r="CU36" s="53">
        <v>1.4152700537859626E-3</v>
      </c>
      <c r="CV36" s="53">
        <v>1.401117353248103E-3</v>
      </c>
      <c r="CW36" s="53">
        <v>1.3871061797156219E-3</v>
      </c>
      <c r="CX36" s="53">
        <v>1.3732351179184656E-3</v>
      </c>
      <c r="CY36" s="28">
        <v>1.3595027667392809E-3</v>
      </c>
    </row>
    <row r="37" spans="1:103">
      <c r="A37" s="54">
        <v>55</v>
      </c>
      <c r="B37" s="54">
        <v>3.6219999999999998E-3</v>
      </c>
      <c r="C37" s="54">
        <v>3.6549602000000001E-3</v>
      </c>
      <c r="D37" s="54">
        <v>3.6801794253799999E-3</v>
      </c>
      <c r="E37" s="54">
        <v>3.6956361789665959E-3</v>
      </c>
      <c r="F37" s="54">
        <v>3.7004405059992526E-3</v>
      </c>
      <c r="G37" s="54">
        <v>3.6948898452402539E-3</v>
      </c>
      <c r="H37" s="54">
        <v>3.6801102858592927E-3</v>
      </c>
      <c r="I37" s="54">
        <v>3.6580296241441371E-3</v>
      </c>
      <c r="J37" s="54">
        <v>3.6309602049254706E-3</v>
      </c>
      <c r="K37" s="54">
        <v>3.6015494272655744E-3</v>
      </c>
      <c r="L37" s="54">
        <v>3.5720167219619966E-3</v>
      </c>
      <c r="M37" s="54">
        <v>3.5437977898584968E-3</v>
      </c>
      <c r="N37" s="54">
        <v>3.5165105468765862E-3</v>
      </c>
      <c r="O37" s="54">
        <v>3.4897850667203237E-3</v>
      </c>
      <c r="P37" s="54">
        <v>3.4629137217065771E-3</v>
      </c>
      <c r="Q37" s="54">
        <v>3.4352104119329246E-3</v>
      </c>
      <c r="R37" s="54">
        <v>3.4063546444726882E-3</v>
      </c>
      <c r="S37" s="54">
        <v>3.3760380881368811E-3</v>
      </c>
      <c r="T37" s="53">
        <v>3.3439657262995808E-3</v>
      </c>
      <c r="U37" s="53">
        <v>3.311194862181845E-3</v>
      </c>
      <c r="V37" s="53">
        <v>3.2780829135600265E-3</v>
      </c>
      <c r="W37" s="53">
        <v>3.245302084424426E-3</v>
      </c>
      <c r="X37" s="53">
        <v>3.2128490635801817E-3</v>
      </c>
      <c r="Y37" s="53">
        <v>3.18072057294438E-3</v>
      </c>
      <c r="Z37" s="53">
        <v>3.1489133672149361E-3</v>
      </c>
      <c r="AA37" s="53">
        <v>3.1174242335427868E-3</v>
      </c>
      <c r="AB37" s="53">
        <v>3.0862499912073589E-3</v>
      </c>
      <c r="AC37" s="53">
        <v>3.0553874912952854E-3</v>
      </c>
      <c r="AD37" s="53">
        <v>3.0248336163823325E-3</v>
      </c>
      <c r="AE37" s="53">
        <v>2.9945852802185091E-3</v>
      </c>
      <c r="AF37" s="53">
        <v>2.9646394274163239E-3</v>
      </c>
      <c r="AG37" s="53">
        <v>2.9349930331421608E-3</v>
      </c>
      <c r="AH37" s="53">
        <v>2.9056431028107389E-3</v>
      </c>
      <c r="AI37" s="53">
        <v>2.8765866717826317E-3</v>
      </c>
      <c r="AJ37" s="53">
        <v>2.8478208050648052E-3</v>
      </c>
      <c r="AK37" s="53">
        <v>2.8193425970141572E-3</v>
      </c>
      <c r="AL37" s="53">
        <v>2.7911491710440155E-3</v>
      </c>
      <c r="AM37" s="53">
        <v>2.7632376793335755E-3</v>
      </c>
      <c r="AN37" s="53">
        <v>2.7356053025402397E-3</v>
      </c>
      <c r="AO37" s="53">
        <v>2.7082492495148374E-3</v>
      </c>
      <c r="AP37" s="53">
        <v>2.6811667570196891E-3</v>
      </c>
      <c r="AQ37" s="53">
        <v>2.6543550894494923E-3</v>
      </c>
      <c r="AR37" s="53">
        <v>2.6278115385549973E-3</v>
      </c>
      <c r="AS37" s="53">
        <v>2.6015334231694475E-3</v>
      </c>
      <c r="AT37" s="53">
        <v>2.5755180889377532E-3</v>
      </c>
      <c r="AU37" s="53">
        <v>2.5497629080483758E-3</v>
      </c>
      <c r="AV37" s="53">
        <v>2.5242652789678921E-3</v>
      </c>
      <c r="AW37" s="53">
        <v>2.4990226261782131E-3</v>
      </c>
      <c r="AX37" s="53">
        <v>2.4740323999164308E-3</v>
      </c>
      <c r="AY37" s="53">
        <v>2.4492920759172664E-3</v>
      </c>
      <c r="AZ37" s="53">
        <v>2.4247991551580939E-3</v>
      </c>
      <c r="BA37" s="53">
        <v>2.4005511636065128E-3</v>
      </c>
      <c r="BB37" s="53">
        <v>2.3765456519704476E-3</v>
      </c>
      <c r="BC37" s="53">
        <v>2.3527801954507429E-3</v>
      </c>
      <c r="BD37" s="53">
        <v>2.3292523934962356E-3</v>
      </c>
      <c r="BE37" s="53">
        <v>2.305959869561273E-3</v>
      </c>
      <c r="BF37" s="53">
        <v>2.2829002708656602E-3</v>
      </c>
      <c r="BG37" s="53">
        <v>2.2600712681570038E-3</v>
      </c>
      <c r="BH37" s="53">
        <v>2.2374705554754335E-3</v>
      </c>
      <c r="BI37" s="53">
        <v>2.2150958499206792E-3</v>
      </c>
      <c r="BJ37" s="53">
        <v>2.1929448914214723E-3</v>
      </c>
      <c r="BK37" s="53">
        <v>2.1710154425072575E-3</v>
      </c>
      <c r="BL37" s="53">
        <v>2.1493052880821851E-3</v>
      </c>
      <c r="BM37" s="53">
        <v>2.1278122352013634E-3</v>
      </c>
      <c r="BN37" s="53">
        <v>2.1065341128493498E-3</v>
      </c>
      <c r="BO37" s="53">
        <v>2.0854687717208565E-3</v>
      </c>
      <c r="BP37" s="53">
        <v>2.064614084003648E-3</v>
      </c>
      <c r="BQ37" s="53">
        <v>2.0439679431636113E-3</v>
      </c>
      <c r="BR37" s="53">
        <v>2.0235282637319752E-3</v>
      </c>
      <c r="BS37" s="53">
        <v>2.0032929810946554E-3</v>
      </c>
      <c r="BT37" s="53">
        <v>1.9832600512837088E-3</v>
      </c>
      <c r="BU37" s="53">
        <v>1.9634274507708718E-3</v>
      </c>
      <c r="BV37" s="53">
        <v>1.943793176263163E-3</v>
      </c>
      <c r="BW37" s="53">
        <v>1.9243552445005314E-3</v>
      </c>
      <c r="BX37" s="53">
        <v>1.9051116920555261E-3</v>
      </c>
      <c r="BY37" s="53">
        <v>1.8860605751349708E-3</v>
      </c>
      <c r="BZ37" s="53">
        <v>1.8671999693836211E-3</v>
      </c>
      <c r="CA37" s="53">
        <v>1.8485279696897848E-3</v>
      </c>
      <c r="CB37" s="53">
        <v>1.8300426899928869E-3</v>
      </c>
      <c r="CC37" s="53">
        <v>1.8117422630929579E-3</v>
      </c>
      <c r="CD37" s="53">
        <v>1.7936248404620283E-3</v>
      </c>
      <c r="CE37" s="53">
        <v>1.775688592057408E-3</v>
      </c>
      <c r="CF37" s="53">
        <v>1.7579317061368338E-3</v>
      </c>
      <c r="CG37" s="53">
        <v>1.7403523890754656E-3</v>
      </c>
      <c r="CH37" s="53">
        <v>1.722948865184711E-3</v>
      </c>
      <c r="CI37" s="53">
        <v>1.7057193765328638E-3</v>
      </c>
      <c r="CJ37" s="53">
        <v>1.6886621827675351E-3</v>
      </c>
      <c r="CK37" s="53">
        <v>1.6717755609398598E-3</v>
      </c>
      <c r="CL37" s="53">
        <v>1.6550578053304611E-3</v>
      </c>
      <c r="CM37" s="53">
        <v>1.6385072272771565E-3</v>
      </c>
      <c r="CN37" s="53">
        <v>1.6221221550043849E-3</v>
      </c>
      <c r="CO37" s="53">
        <v>1.6059009334543411E-3</v>
      </c>
      <c r="CP37" s="53">
        <v>1.5898419241197977E-3</v>
      </c>
      <c r="CQ37" s="53">
        <v>1.5739435048785996E-3</v>
      </c>
      <c r="CR37" s="53">
        <v>1.5582040698298137E-3</v>
      </c>
      <c r="CS37" s="53">
        <v>1.5426220291315156E-3</v>
      </c>
      <c r="CT37" s="53">
        <v>1.5271958088402004E-3</v>
      </c>
      <c r="CU37" s="53">
        <v>1.5119238507517983E-3</v>
      </c>
      <c r="CV37" s="53">
        <v>1.4968046122442802E-3</v>
      </c>
      <c r="CW37" s="53">
        <v>1.4818365661218374E-3</v>
      </c>
      <c r="CX37" s="53">
        <v>1.4670182004606191E-3</v>
      </c>
      <c r="CY37" s="28">
        <v>1.4523480184560128E-3</v>
      </c>
    </row>
    <row r="38" spans="1:103">
      <c r="A38" s="54">
        <v>56</v>
      </c>
      <c r="B38" s="54">
        <v>3.8579999999999999E-3</v>
      </c>
      <c r="C38" s="54">
        <v>3.9004379999999996E-3</v>
      </c>
      <c r="D38" s="54">
        <v>3.9351518981999992E-3</v>
      </c>
      <c r="E38" s="54">
        <v>3.9591563247790189E-3</v>
      </c>
      <c r="F38" s="54">
        <v>3.9710337937533553E-3</v>
      </c>
      <c r="G38" s="54">
        <v>3.9706366903739798E-3</v>
      </c>
      <c r="H38" s="54">
        <v>3.9587247803028582E-3</v>
      </c>
      <c r="I38" s="54">
        <v>3.9373476664892231E-3</v>
      </c>
      <c r="J38" s="54">
        <v>3.9089987632905006E-3</v>
      </c>
      <c r="K38" s="54">
        <v>3.8765540735551897E-3</v>
      </c>
      <c r="L38" s="54">
        <v>3.8432157085226148E-3</v>
      </c>
      <c r="M38" s="54">
        <v>3.8105483750001728E-3</v>
      </c>
      <c r="N38" s="54">
        <v>3.7789208234876716E-3</v>
      </c>
      <c r="O38" s="54">
        <v>3.7479336727350727E-3</v>
      </c>
      <c r="P38" s="54">
        <v>3.717200616618645E-3</v>
      </c>
      <c r="Q38" s="54">
        <v>3.6863478515007102E-3</v>
      </c>
      <c r="R38" s="54">
        <v>3.6546452599778038E-3</v>
      </c>
      <c r="S38" s="54">
        <v>3.6213879881120056E-3</v>
      </c>
      <c r="T38" s="53">
        <v>3.586984802224942E-3</v>
      </c>
      <c r="U38" s="53">
        <v>3.551473652682915E-3</v>
      </c>
      <c r="V38" s="53">
        <v>3.5159589161560859E-3</v>
      </c>
      <c r="W38" s="53">
        <v>3.4807993269945249E-3</v>
      </c>
      <c r="X38" s="53">
        <v>3.4459913337245795E-3</v>
      </c>
      <c r="Y38" s="53">
        <v>3.4115314203873336E-3</v>
      </c>
      <c r="Z38" s="53">
        <v>3.3774161061834603E-3</v>
      </c>
      <c r="AA38" s="53">
        <v>3.3436419451216256E-3</v>
      </c>
      <c r="AB38" s="53">
        <v>3.3102055256704092E-3</v>
      </c>
      <c r="AC38" s="53">
        <v>3.2771034704137049E-3</v>
      </c>
      <c r="AD38" s="53">
        <v>3.2443324357095678E-3</v>
      </c>
      <c r="AE38" s="53">
        <v>3.2118891113524723E-3</v>
      </c>
      <c r="AF38" s="53">
        <v>3.1797702202389475E-3</v>
      </c>
      <c r="AG38" s="53">
        <v>3.1479725180365578E-3</v>
      </c>
      <c r="AH38" s="53">
        <v>3.1164927928561924E-3</v>
      </c>
      <c r="AI38" s="53">
        <v>3.0853278649276305E-3</v>
      </c>
      <c r="AJ38" s="53">
        <v>3.0544745862783542E-3</v>
      </c>
      <c r="AK38" s="53">
        <v>3.0239298404155708E-3</v>
      </c>
      <c r="AL38" s="53">
        <v>2.9936905420114152E-3</v>
      </c>
      <c r="AM38" s="53">
        <v>2.9637536365913009E-3</v>
      </c>
      <c r="AN38" s="53">
        <v>2.934116100225388E-3</v>
      </c>
      <c r="AO38" s="53">
        <v>2.9047749392231339E-3</v>
      </c>
      <c r="AP38" s="53">
        <v>2.8757271898309025E-3</v>
      </c>
      <c r="AQ38" s="53">
        <v>2.8469699179325936E-3</v>
      </c>
      <c r="AR38" s="53">
        <v>2.8185002187532675E-3</v>
      </c>
      <c r="AS38" s="53">
        <v>2.7903152165657348E-3</v>
      </c>
      <c r="AT38" s="53">
        <v>2.7624120644000774E-3</v>
      </c>
      <c r="AU38" s="53">
        <v>2.7347879437560766E-3</v>
      </c>
      <c r="AV38" s="53">
        <v>2.707440064318516E-3</v>
      </c>
      <c r="AW38" s="53">
        <v>2.6803656636753309E-3</v>
      </c>
      <c r="AX38" s="53">
        <v>2.6535620070385776E-3</v>
      </c>
      <c r="AY38" s="53">
        <v>2.6270263869681916E-3</v>
      </c>
      <c r="AZ38" s="53">
        <v>2.6007561230985098E-3</v>
      </c>
      <c r="BA38" s="53">
        <v>2.5747485618675247E-3</v>
      </c>
      <c r="BB38" s="53">
        <v>2.5490010762488496E-3</v>
      </c>
      <c r="BC38" s="53">
        <v>2.5235110654863611E-3</v>
      </c>
      <c r="BD38" s="53">
        <v>2.4982759548314976E-3</v>
      </c>
      <c r="BE38" s="53">
        <v>2.4732931952831825E-3</v>
      </c>
      <c r="BF38" s="53">
        <v>2.4485602633303508E-3</v>
      </c>
      <c r="BG38" s="53">
        <v>2.4240746606970474E-3</v>
      </c>
      <c r="BH38" s="53">
        <v>2.3998339140900772E-3</v>
      </c>
      <c r="BI38" s="53">
        <v>2.3758355749491766E-3</v>
      </c>
      <c r="BJ38" s="53">
        <v>2.3520772191996846E-3</v>
      </c>
      <c r="BK38" s="53">
        <v>2.3285564470076877E-3</v>
      </c>
      <c r="BL38" s="53">
        <v>2.3052708825376106E-3</v>
      </c>
      <c r="BM38" s="53">
        <v>2.2822181737122346E-3</v>
      </c>
      <c r="BN38" s="53">
        <v>2.2593959919751123E-3</v>
      </c>
      <c r="BO38" s="53">
        <v>2.2368020320553609E-3</v>
      </c>
      <c r="BP38" s="53">
        <v>2.2144340117348075E-3</v>
      </c>
      <c r="BQ38" s="53">
        <v>2.1922896716174596E-3</v>
      </c>
      <c r="BR38" s="53">
        <v>2.170366774901285E-3</v>
      </c>
      <c r="BS38" s="53">
        <v>2.1486631071522722E-3</v>
      </c>
      <c r="BT38" s="53">
        <v>2.1271764760807496E-3</v>
      </c>
      <c r="BU38" s="53">
        <v>2.1059047113199422E-3</v>
      </c>
      <c r="BV38" s="53">
        <v>2.0848456642067427E-3</v>
      </c>
      <c r="BW38" s="53">
        <v>2.0639972075646752E-3</v>
      </c>
      <c r="BX38" s="53">
        <v>2.0433572354890284E-3</v>
      </c>
      <c r="BY38" s="53">
        <v>2.0229236631341381E-3</v>
      </c>
      <c r="BZ38" s="53">
        <v>2.0026944265027968E-3</v>
      </c>
      <c r="CA38" s="53">
        <v>1.9826674822377688E-3</v>
      </c>
      <c r="CB38" s="53">
        <v>1.962840807415391E-3</v>
      </c>
      <c r="CC38" s="53">
        <v>1.9432123993412371E-3</v>
      </c>
      <c r="CD38" s="53">
        <v>1.9237802753478248E-3</v>
      </c>
      <c r="CE38" s="53">
        <v>1.9045424725943464E-3</v>
      </c>
      <c r="CF38" s="53">
        <v>1.8854970478684029E-3</v>
      </c>
      <c r="CG38" s="53">
        <v>1.8666420773897189E-3</v>
      </c>
      <c r="CH38" s="53">
        <v>1.8479756566158218E-3</v>
      </c>
      <c r="CI38" s="53">
        <v>1.8294959000496635E-3</v>
      </c>
      <c r="CJ38" s="53">
        <v>1.8112009410491668E-3</v>
      </c>
      <c r="CK38" s="53">
        <v>1.793088931638675E-3</v>
      </c>
      <c r="CL38" s="53">
        <v>1.7751580423222882E-3</v>
      </c>
      <c r="CM38" s="53">
        <v>1.7574064618990654E-3</v>
      </c>
      <c r="CN38" s="53">
        <v>1.7398323972800747E-3</v>
      </c>
      <c r="CO38" s="53">
        <v>1.722434073307274E-3</v>
      </c>
      <c r="CP38" s="53">
        <v>1.7052097325742012E-3</v>
      </c>
      <c r="CQ38" s="53">
        <v>1.6881576352484591E-3</v>
      </c>
      <c r="CR38" s="53">
        <v>1.6712760588959744E-3</v>
      </c>
      <c r="CS38" s="53">
        <v>1.6545632983070147E-3</v>
      </c>
      <c r="CT38" s="53">
        <v>1.6380176653239445E-3</v>
      </c>
      <c r="CU38" s="53">
        <v>1.621637488670705E-3</v>
      </c>
      <c r="CV38" s="53">
        <v>1.605421113783998E-3</v>
      </c>
      <c r="CW38" s="53">
        <v>1.5893669026461579E-3</v>
      </c>
      <c r="CX38" s="53">
        <v>1.5734732336196964E-3</v>
      </c>
      <c r="CY38" s="28">
        <v>1.5577385012834994E-3</v>
      </c>
    </row>
    <row r="39" spans="1:103">
      <c r="A39" s="54">
        <v>57</v>
      </c>
      <c r="B39" s="54">
        <v>4.1279999999999997E-3</v>
      </c>
      <c r="C39" s="54">
        <v>4.1783615999999996E-3</v>
      </c>
      <c r="D39" s="54">
        <v>4.2213987244799998E-3</v>
      </c>
      <c r="E39" s="54">
        <v>4.2534813547860477E-3</v>
      </c>
      <c r="F39" s="54">
        <v>4.2726220208825849E-3</v>
      </c>
      <c r="G39" s="54">
        <v>4.2777491673076443E-3</v>
      </c>
      <c r="H39" s="54">
        <v>4.2696214438897595E-3</v>
      </c>
      <c r="I39" s="54">
        <v>4.2499811852478664E-3</v>
      </c>
      <c r="J39" s="54">
        <v>4.2210813131881809E-3</v>
      </c>
      <c r="K39" s="54">
        <v>4.1864684464200377E-3</v>
      </c>
      <c r="L39" s="54">
        <v>4.1496275240915413E-3</v>
      </c>
      <c r="M39" s="54">
        <v>4.1131108018795355E-3</v>
      </c>
      <c r="N39" s="54">
        <v>4.077326737903183E-3</v>
      </c>
      <c r="O39" s="54">
        <v>4.0422617279572155E-3</v>
      </c>
      <c r="P39" s="54">
        <v>4.007498277096783E-3</v>
      </c>
      <c r="Q39" s="54">
        <v>3.972633042086041E-3</v>
      </c>
      <c r="R39" s="54">
        <v>3.9372766080114753E-3</v>
      </c>
      <c r="S39" s="54">
        <v>3.90105366321777E-3</v>
      </c>
      <c r="T39" s="53">
        <v>3.8636035480508792E-3</v>
      </c>
      <c r="U39" s="53">
        <v>3.8253538729251754E-3</v>
      </c>
      <c r="V39" s="53">
        <v>3.7871003341959234E-3</v>
      </c>
      <c r="W39" s="53">
        <v>3.7492293308539642E-3</v>
      </c>
      <c r="X39" s="53">
        <v>3.7117370375454243E-3</v>
      </c>
      <c r="Y39" s="53">
        <v>3.6746196671699699E-3</v>
      </c>
      <c r="Z39" s="53">
        <v>3.6378734704982704E-3</v>
      </c>
      <c r="AA39" s="53">
        <v>3.6014947357932876E-3</v>
      </c>
      <c r="AB39" s="53">
        <v>3.5654797884353546E-3</v>
      </c>
      <c r="AC39" s="53">
        <v>3.529824990551001E-3</v>
      </c>
      <c r="AD39" s="53">
        <v>3.4945267406454911E-3</v>
      </c>
      <c r="AE39" s="53">
        <v>3.4595814732390363E-3</v>
      </c>
      <c r="AF39" s="53">
        <v>3.4249856585066457E-3</v>
      </c>
      <c r="AG39" s="53">
        <v>3.3907358019215792E-3</v>
      </c>
      <c r="AH39" s="53">
        <v>3.3568284439023633E-3</v>
      </c>
      <c r="AI39" s="53">
        <v>3.3232601594633394E-3</v>
      </c>
      <c r="AJ39" s="53">
        <v>3.2900275578687061E-3</v>
      </c>
      <c r="AK39" s="53">
        <v>3.2571272822900189E-3</v>
      </c>
      <c r="AL39" s="53">
        <v>3.2245560094671189E-3</v>
      </c>
      <c r="AM39" s="53">
        <v>3.1923104493724475E-3</v>
      </c>
      <c r="AN39" s="53">
        <v>3.160387344878723E-3</v>
      </c>
      <c r="AO39" s="53">
        <v>3.1287834714299359E-3</v>
      </c>
      <c r="AP39" s="53">
        <v>3.0974956367156364E-3</v>
      </c>
      <c r="AQ39" s="53">
        <v>3.0665206803484799E-3</v>
      </c>
      <c r="AR39" s="53">
        <v>3.0358554735449949E-3</v>
      </c>
      <c r="AS39" s="53">
        <v>3.0054969188095448E-3</v>
      </c>
      <c r="AT39" s="53">
        <v>2.9754419496214493E-3</v>
      </c>
      <c r="AU39" s="53">
        <v>2.9456875301252347E-3</v>
      </c>
      <c r="AV39" s="53">
        <v>2.9162306548239825E-3</v>
      </c>
      <c r="AW39" s="53">
        <v>2.8870683482757425E-3</v>
      </c>
      <c r="AX39" s="53">
        <v>2.8581976647929848E-3</v>
      </c>
      <c r="AY39" s="53">
        <v>2.829615688145055E-3</v>
      </c>
      <c r="AZ39" s="53">
        <v>2.8013195312636043E-3</v>
      </c>
      <c r="BA39" s="53">
        <v>2.7733063359509681E-3</v>
      </c>
      <c r="BB39" s="53">
        <v>2.7455732725914584E-3</v>
      </c>
      <c r="BC39" s="53">
        <v>2.7181175398655437E-3</v>
      </c>
      <c r="BD39" s="53">
        <v>2.6909363644668882E-3</v>
      </c>
      <c r="BE39" s="53">
        <v>2.6640270008222193E-3</v>
      </c>
      <c r="BF39" s="53">
        <v>2.6373867308139972E-3</v>
      </c>
      <c r="BG39" s="53">
        <v>2.6110128635058573E-3</v>
      </c>
      <c r="BH39" s="53">
        <v>2.5849027348707988E-3</v>
      </c>
      <c r="BI39" s="53">
        <v>2.5590537075220908E-3</v>
      </c>
      <c r="BJ39" s="53">
        <v>2.5334631704468698E-3</v>
      </c>
      <c r="BK39" s="53">
        <v>2.508128538742401E-3</v>
      </c>
      <c r="BL39" s="53">
        <v>2.4830472533549771E-3</v>
      </c>
      <c r="BM39" s="53">
        <v>2.4582167808214275E-3</v>
      </c>
      <c r="BN39" s="53">
        <v>2.4336346130132132E-3</v>
      </c>
      <c r="BO39" s="53">
        <v>2.409298266883081E-3</v>
      </c>
      <c r="BP39" s="53">
        <v>2.3852052842142503E-3</v>
      </c>
      <c r="BQ39" s="53">
        <v>2.3613532313721077E-3</v>
      </c>
      <c r="BR39" s="53">
        <v>2.3377396990583868E-3</v>
      </c>
      <c r="BS39" s="53">
        <v>2.314362302067803E-3</v>
      </c>
      <c r="BT39" s="53">
        <v>2.2912186790471248E-3</v>
      </c>
      <c r="BU39" s="53">
        <v>2.2683064922566533E-3</v>
      </c>
      <c r="BV39" s="53">
        <v>2.2456234273340869E-3</v>
      </c>
      <c r="BW39" s="53">
        <v>2.2231671930607461E-3</v>
      </c>
      <c r="BX39" s="53">
        <v>2.2009355211301384E-3</v>
      </c>
      <c r="BY39" s="53">
        <v>2.1789261659188371E-3</v>
      </c>
      <c r="BZ39" s="53">
        <v>2.1571369042596485E-3</v>
      </c>
      <c r="CA39" s="53">
        <v>2.135565535217052E-3</v>
      </c>
      <c r="CB39" s="53">
        <v>2.1142098798648816E-3</v>
      </c>
      <c r="CC39" s="53">
        <v>2.0930677810662326E-3</v>
      </c>
      <c r="CD39" s="53">
        <v>2.0721371032555703E-3</v>
      </c>
      <c r="CE39" s="53">
        <v>2.0514157322230144E-3</v>
      </c>
      <c r="CF39" s="53">
        <v>2.0309015749007844E-3</v>
      </c>
      <c r="CG39" s="53">
        <v>2.0105925591517764E-3</v>
      </c>
      <c r="CH39" s="53">
        <v>1.9904866335602586E-3</v>
      </c>
      <c r="CI39" s="53">
        <v>1.9705817672246561E-3</v>
      </c>
      <c r="CJ39" s="53">
        <v>1.9508759495524095E-3</v>
      </c>
      <c r="CK39" s="53">
        <v>1.9313671900568854E-3</v>
      </c>
      <c r="CL39" s="53">
        <v>1.9120535181563166E-3</v>
      </c>
      <c r="CM39" s="53">
        <v>1.8929329829747534E-3</v>
      </c>
      <c r="CN39" s="53">
        <v>1.8740036531450059E-3</v>
      </c>
      <c r="CO39" s="53">
        <v>1.8552636166135558E-3</v>
      </c>
      <c r="CP39" s="53">
        <v>1.8367109804474202E-3</v>
      </c>
      <c r="CQ39" s="53">
        <v>1.818343870642946E-3</v>
      </c>
      <c r="CR39" s="53">
        <v>1.8001604319365166E-3</v>
      </c>
      <c r="CS39" s="53">
        <v>1.7821588276171515E-3</v>
      </c>
      <c r="CT39" s="53">
        <v>1.7643372393409799E-3</v>
      </c>
      <c r="CU39" s="53">
        <v>1.7466938669475701E-3</v>
      </c>
      <c r="CV39" s="53">
        <v>1.7292269282780943E-3</v>
      </c>
      <c r="CW39" s="53">
        <v>1.7119346589953134E-3</v>
      </c>
      <c r="CX39" s="53">
        <v>1.6948153124053602E-3</v>
      </c>
      <c r="CY39" s="28">
        <v>1.6778671592813064E-3</v>
      </c>
    </row>
    <row r="40" spans="1:103">
      <c r="A40" s="54">
        <v>58</v>
      </c>
      <c r="B40" s="54">
        <v>4.4359999999999998E-3</v>
      </c>
      <c r="C40" s="54">
        <v>4.4914499999999993E-3</v>
      </c>
      <c r="D40" s="54">
        <v>4.5408559499999987E-3</v>
      </c>
      <c r="E40" s="54">
        <v>4.5803613967649983E-3</v>
      </c>
      <c r="F40" s="54">
        <v>4.6064694567265587E-3</v>
      </c>
      <c r="G40" s="54">
        <v>4.6175249834227022E-3</v>
      </c>
      <c r="H40" s="54">
        <v>4.6133692109376215E-3</v>
      </c>
      <c r="I40" s="54">
        <v>4.5958384079360587E-3</v>
      </c>
      <c r="J40" s="54">
        <v>4.5673442098068551E-3</v>
      </c>
      <c r="K40" s="54">
        <v>4.5312621905493813E-3</v>
      </c>
      <c r="L40" s="54">
        <v>4.4918402094916016E-3</v>
      </c>
      <c r="M40" s="54">
        <v>4.4514136476061774E-3</v>
      </c>
      <c r="N40" s="54">
        <v>4.4113509247777219E-3</v>
      </c>
      <c r="O40" s="54">
        <v>4.3716487664547223E-3</v>
      </c>
      <c r="P40" s="54">
        <v>4.3327410924332748E-3</v>
      </c>
      <c r="Q40" s="54">
        <v>4.2937464226013751E-3</v>
      </c>
      <c r="R40" s="54">
        <v>4.2546733301557027E-3</v>
      </c>
      <c r="S40" s="54">
        <v>4.2151048681852545E-3</v>
      </c>
      <c r="T40" s="53">
        <v>4.1746398614506755E-3</v>
      </c>
      <c r="U40" s="53">
        <v>4.1333109268223136E-3</v>
      </c>
      <c r="V40" s="53">
        <v>4.0919778175540905E-3</v>
      </c>
      <c r="W40" s="53">
        <v>4.0510580393785496E-3</v>
      </c>
      <c r="X40" s="53">
        <v>4.010547458984764E-3</v>
      </c>
      <c r="Y40" s="53">
        <v>3.9704419843949162E-3</v>
      </c>
      <c r="Z40" s="53">
        <v>3.9307375645509669E-3</v>
      </c>
      <c r="AA40" s="53">
        <v>3.8914301889054572E-3</v>
      </c>
      <c r="AB40" s="53">
        <v>3.8525158870164025E-3</v>
      </c>
      <c r="AC40" s="53">
        <v>3.8139907281462384E-3</v>
      </c>
      <c r="AD40" s="53">
        <v>3.7758508208647758E-3</v>
      </c>
      <c r="AE40" s="53">
        <v>3.7380923126561281E-3</v>
      </c>
      <c r="AF40" s="53">
        <v>3.7007113895295668E-3</v>
      </c>
      <c r="AG40" s="53">
        <v>3.6637042756342709E-3</v>
      </c>
      <c r="AH40" s="53">
        <v>3.6270672328779282E-3</v>
      </c>
      <c r="AI40" s="53">
        <v>3.590796560549149E-3</v>
      </c>
      <c r="AJ40" s="53">
        <v>3.5548885949436577E-3</v>
      </c>
      <c r="AK40" s="53">
        <v>3.5193397089942212E-3</v>
      </c>
      <c r="AL40" s="53">
        <v>3.4841463119042789E-3</v>
      </c>
      <c r="AM40" s="53">
        <v>3.4493048487852359E-3</v>
      </c>
      <c r="AN40" s="53">
        <v>3.4148118002973837E-3</v>
      </c>
      <c r="AO40" s="53">
        <v>3.3806636822944097E-3</v>
      </c>
      <c r="AP40" s="53">
        <v>3.3468570454714655E-3</v>
      </c>
      <c r="AQ40" s="53">
        <v>3.3133884750167508E-3</v>
      </c>
      <c r="AR40" s="53">
        <v>3.2802545902665832E-3</v>
      </c>
      <c r="AS40" s="53">
        <v>3.2474520443639176E-3</v>
      </c>
      <c r="AT40" s="53">
        <v>3.2149775239202782E-3</v>
      </c>
      <c r="AU40" s="53">
        <v>3.1828277486810755E-3</v>
      </c>
      <c r="AV40" s="53">
        <v>3.1509994711942648E-3</v>
      </c>
      <c r="AW40" s="53">
        <v>3.1194894764823224E-3</v>
      </c>
      <c r="AX40" s="53">
        <v>3.0882945817174989E-3</v>
      </c>
      <c r="AY40" s="53">
        <v>3.057411635900324E-3</v>
      </c>
      <c r="AZ40" s="53">
        <v>3.0268375195413207E-3</v>
      </c>
      <c r="BA40" s="53">
        <v>2.9965691443459073E-3</v>
      </c>
      <c r="BB40" s="53">
        <v>2.9666034529024481E-3</v>
      </c>
      <c r="BC40" s="53">
        <v>2.9369374183734237E-3</v>
      </c>
      <c r="BD40" s="53">
        <v>2.9075680441896894E-3</v>
      </c>
      <c r="BE40" s="53">
        <v>2.8784923637477926E-3</v>
      </c>
      <c r="BF40" s="53">
        <v>2.8497074401103144E-3</v>
      </c>
      <c r="BG40" s="53">
        <v>2.8212103657092114E-3</v>
      </c>
      <c r="BH40" s="53">
        <v>2.7929982620521192E-3</v>
      </c>
      <c r="BI40" s="53">
        <v>2.765068279431598E-3</v>
      </c>
      <c r="BJ40" s="53">
        <v>2.7374175966372819E-3</v>
      </c>
      <c r="BK40" s="53">
        <v>2.7100434206709092E-3</v>
      </c>
      <c r="BL40" s="53">
        <v>2.6829429864642E-3</v>
      </c>
      <c r="BM40" s="53">
        <v>2.656113556599558E-3</v>
      </c>
      <c r="BN40" s="53">
        <v>2.6295524210335625E-3</v>
      </c>
      <c r="BO40" s="53">
        <v>2.6032568968232268E-3</v>
      </c>
      <c r="BP40" s="53">
        <v>2.5772243278549944E-3</v>
      </c>
      <c r="BQ40" s="53">
        <v>2.5514520845764444E-3</v>
      </c>
      <c r="BR40" s="53">
        <v>2.52593756373068E-3</v>
      </c>
      <c r="BS40" s="53">
        <v>2.500678188093373E-3</v>
      </c>
      <c r="BT40" s="53">
        <v>2.4756714062124392E-3</v>
      </c>
      <c r="BU40" s="53">
        <v>2.4509146921503147E-3</v>
      </c>
      <c r="BV40" s="53">
        <v>2.4264055452288117E-3</v>
      </c>
      <c r="BW40" s="53">
        <v>2.4021414897765236E-3</v>
      </c>
      <c r="BX40" s="53">
        <v>2.3781200748787582E-3</v>
      </c>
      <c r="BY40" s="53">
        <v>2.3543388741299708E-3</v>
      </c>
      <c r="BZ40" s="53">
        <v>2.3307954853886712E-3</v>
      </c>
      <c r="CA40" s="53">
        <v>2.3074875305347845E-3</v>
      </c>
      <c r="CB40" s="53">
        <v>2.2844126552294367E-3</v>
      </c>
      <c r="CC40" s="53">
        <v>2.2615685286771423E-3</v>
      </c>
      <c r="CD40" s="53">
        <v>2.2389528433903708E-3</v>
      </c>
      <c r="CE40" s="53">
        <v>2.2165633149564671E-3</v>
      </c>
      <c r="CF40" s="53">
        <v>2.1943976818069024E-3</v>
      </c>
      <c r="CG40" s="53">
        <v>2.1724537049888333E-3</v>
      </c>
      <c r="CH40" s="53">
        <v>2.150729167938945E-3</v>
      </c>
      <c r="CI40" s="53">
        <v>2.1292218762595555E-3</v>
      </c>
      <c r="CJ40" s="53">
        <v>2.1079296574969598E-3</v>
      </c>
      <c r="CK40" s="53">
        <v>2.0868503609219901E-3</v>
      </c>
      <c r="CL40" s="53">
        <v>2.0659818573127704E-3</v>
      </c>
      <c r="CM40" s="53">
        <v>2.0453220387396426E-3</v>
      </c>
      <c r="CN40" s="53">
        <v>2.0248688183522462E-3</v>
      </c>
      <c r="CO40" s="53">
        <v>2.0046201301687238E-3</v>
      </c>
      <c r="CP40" s="53">
        <v>1.9845739288670366E-3</v>
      </c>
      <c r="CQ40" s="53">
        <v>1.9647281895783662E-3</v>
      </c>
      <c r="CR40" s="53">
        <v>1.9450809076825826E-3</v>
      </c>
      <c r="CS40" s="53">
        <v>1.9256300986057568E-3</v>
      </c>
      <c r="CT40" s="53">
        <v>1.9063737976196993E-3</v>
      </c>
      <c r="CU40" s="53">
        <v>1.8873100596435023E-3</v>
      </c>
      <c r="CV40" s="53">
        <v>1.8684369590470673E-3</v>
      </c>
      <c r="CW40" s="53">
        <v>1.8497525894565965E-3</v>
      </c>
      <c r="CX40" s="53">
        <v>1.8312550635620306E-3</v>
      </c>
      <c r="CY40" s="28">
        <v>1.8129425129264102E-3</v>
      </c>
    </row>
    <row r="41" spans="1:103">
      <c r="A41" s="54">
        <v>59</v>
      </c>
      <c r="B41" s="54">
        <v>4.7889999999999999E-3</v>
      </c>
      <c r="C41" s="54">
        <v>4.8469468999999994E-3</v>
      </c>
      <c r="D41" s="54">
        <v>4.9002633158999991E-3</v>
      </c>
      <c r="E41" s="54">
        <v>4.9443656857430986E-3</v>
      </c>
      <c r="F41" s="54">
        <v>4.9760096261318547E-3</v>
      </c>
      <c r="G41" s="54">
        <v>4.9924304578980901E-3</v>
      </c>
      <c r="H41" s="54">
        <v>4.9929297009438794E-3</v>
      </c>
      <c r="I41" s="54">
        <v>4.9784502048111417E-3</v>
      </c>
      <c r="J41" s="54">
        <v>4.9510687286846806E-3</v>
      </c>
      <c r="K41" s="54">
        <v>4.9144308200924141E-3</v>
      </c>
      <c r="L41" s="54">
        <v>4.8726581581216288E-3</v>
      </c>
      <c r="M41" s="54">
        <v>4.8292915005143464E-3</v>
      </c>
      <c r="N41" s="54">
        <v>4.7853449478596662E-3</v>
      </c>
      <c r="O41" s="54">
        <v>4.7413197743393573E-3</v>
      </c>
      <c r="P41" s="54">
        <v>4.6976996324154356E-3</v>
      </c>
      <c r="Q41" s="54">
        <v>4.6544807957972136E-3</v>
      </c>
      <c r="R41" s="54">
        <v>4.6111941243962996E-3</v>
      </c>
      <c r="S41" s="54">
        <v>4.5673877802145353E-3</v>
      </c>
      <c r="T41" s="53">
        <v>4.5230841187464538E-3</v>
      </c>
      <c r="U41" s="53">
        <v>4.478305585970864E-3</v>
      </c>
      <c r="V41" s="53">
        <v>4.4335225301111551E-3</v>
      </c>
      <c r="W41" s="53">
        <v>4.3891873048100436E-3</v>
      </c>
      <c r="X41" s="53">
        <v>4.3452954317619429E-3</v>
      </c>
      <c r="Y41" s="53">
        <v>4.3018424774443238E-3</v>
      </c>
      <c r="Z41" s="53">
        <v>4.2588240526698802E-3</v>
      </c>
      <c r="AA41" s="53">
        <v>4.2162358121431813E-3</v>
      </c>
      <c r="AB41" s="53">
        <v>4.1740734540217494E-3</v>
      </c>
      <c r="AC41" s="53">
        <v>4.1323327194815315E-3</v>
      </c>
      <c r="AD41" s="53">
        <v>4.0910093922867157E-3</v>
      </c>
      <c r="AE41" s="53">
        <v>4.050099298363849E-3</v>
      </c>
      <c r="AF41" s="53">
        <v>4.0095983053802103E-3</v>
      </c>
      <c r="AG41" s="53">
        <v>3.9695023223264084E-3</v>
      </c>
      <c r="AH41" s="53">
        <v>3.9298072991031446E-3</v>
      </c>
      <c r="AI41" s="53">
        <v>3.8905092261121133E-3</v>
      </c>
      <c r="AJ41" s="53">
        <v>3.8516041338509921E-3</v>
      </c>
      <c r="AK41" s="53">
        <v>3.8130880925124821E-3</v>
      </c>
      <c r="AL41" s="53">
        <v>3.7749572115873572E-3</v>
      </c>
      <c r="AM41" s="53">
        <v>3.7372076394714838E-3</v>
      </c>
      <c r="AN41" s="53">
        <v>3.6998355630767691E-3</v>
      </c>
      <c r="AO41" s="53">
        <v>3.6628372074460013E-3</v>
      </c>
      <c r="AP41" s="53">
        <v>3.6262088353715412E-3</v>
      </c>
      <c r="AQ41" s="53">
        <v>3.5899467470178257E-3</v>
      </c>
      <c r="AR41" s="53">
        <v>3.5540472795476475E-3</v>
      </c>
      <c r="AS41" s="53">
        <v>3.5185068067521709E-3</v>
      </c>
      <c r="AT41" s="53">
        <v>3.4833217386846492E-3</v>
      </c>
      <c r="AU41" s="53">
        <v>3.4484885212978027E-3</v>
      </c>
      <c r="AV41" s="53">
        <v>3.4140036360848247E-3</v>
      </c>
      <c r="AW41" s="53">
        <v>3.3798635997239765E-3</v>
      </c>
      <c r="AX41" s="53">
        <v>3.3460649637267366E-3</v>
      </c>
      <c r="AY41" s="53">
        <v>3.3126043140894691E-3</v>
      </c>
      <c r="AZ41" s="53">
        <v>3.2794782709485745E-3</v>
      </c>
      <c r="BA41" s="53">
        <v>3.2466834882390887E-3</v>
      </c>
      <c r="BB41" s="53">
        <v>3.2142166533566979E-3</v>
      </c>
      <c r="BC41" s="53">
        <v>3.1820744868231309E-3</v>
      </c>
      <c r="BD41" s="53">
        <v>3.1502537419548994E-3</v>
      </c>
      <c r="BE41" s="53">
        <v>3.1187512045353504E-3</v>
      </c>
      <c r="BF41" s="53">
        <v>3.087563692489997E-3</v>
      </c>
      <c r="BG41" s="53">
        <v>3.0566880555650969E-3</v>
      </c>
      <c r="BH41" s="53">
        <v>3.0261211750094458E-3</v>
      </c>
      <c r="BI41" s="53">
        <v>2.9958599632593512E-3</v>
      </c>
      <c r="BJ41" s="53">
        <v>2.9659013636267576E-3</v>
      </c>
      <c r="BK41" s="53">
        <v>2.9362423499904901E-3</v>
      </c>
      <c r="BL41" s="53">
        <v>2.906879926490585E-3</v>
      </c>
      <c r="BM41" s="53">
        <v>2.8778111272256793E-3</v>
      </c>
      <c r="BN41" s="53">
        <v>2.8490330159534226E-3</v>
      </c>
      <c r="BO41" s="53">
        <v>2.8205426857938884E-3</v>
      </c>
      <c r="BP41" s="53">
        <v>2.7923372589359493E-3</v>
      </c>
      <c r="BQ41" s="53">
        <v>2.7644138863465897E-3</v>
      </c>
      <c r="BR41" s="53">
        <v>2.736769747483124E-3</v>
      </c>
      <c r="BS41" s="53">
        <v>2.7094020500082927E-3</v>
      </c>
      <c r="BT41" s="53">
        <v>2.6823080295082097E-3</v>
      </c>
      <c r="BU41" s="53">
        <v>2.6554849492131274E-3</v>
      </c>
      <c r="BV41" s="53">
        <v>2.628930099720996E-3</v>
      </c>
      <c r="BW41" s="53">
        <v>2.6026407987237861E-3</v>
      </c>
      <c r="BX41" s="53">
        <v>2.5766143907365482E-3</v>
      </c>
      <c r="BY41" s="53">
        <v>2.5508482468291826E-3</v>
      </c>
      <c r="BZ41" s="53">
        <v>2.5253397643608907E-3</v>
      </c>
      <c r="CA41" s="53">
        <v>2.5000863667172819E-3</v>
      </c>
      <c r="CB41" s="53">
        <v>2.4750855030501091E-3</v>
      </c>
      <c r="CC41" s="53">
        <v>2.4503346480196078E-3</v>
      </c>
      <c r="CD41" s="53">
        <v>2.4258313015394118E-3</v>
      </c>
      <c r="CE41" s="53">
        <v>2.4015729885240177E-3</v>
      </c>
      <c r="CF41" s="53">
        <v>2.3775572586387777E-3</v>
      </c>
      <c r="CG41" s="53">
        <v>2.3537816860523899E-3</v>
      </c>
      <c r="CH41" s="53">
        <v>2.3302438691918661E-3</v>
      </c>
      <c r="CI41" s="53">
        <v>2.3069414304999476E-3</v>
      </c>
      <c r="CJ41" s="53">
        <v>2.2838720161949483E-3</v>
      </c>
      <c r="CK41" s="53">
        <v>2.2610332960329989E-3</v>
      </c>
      <c r="CL41" s="53">
        <v>2.2384229630726688E-3</v>
      </c>
      <c r="CM41" s="53">
        <v>2.2160387334419422E-3</v>
      </c>
      <c r="CN41" s="53">
        <v>2.1938783461075227E-3</v>
      </c>
      <c r="CO41" s="53">
        <v>2.1719395626464476E-3</v>
      </c>
      <c r="CP41" s="53">
        <v>2.1502201670199829E-3</v>
      </c>
      <c r="CQ41" s="53">
        <v>2.1287179653497832E-3</v>
      </c>
      <c r="CR41" s="53">
        <v>2.1074307856962854E-3</v>
      </c>
      <c r="CS41" s="53">
        <v>2.0863564778393225E-3</v>
      </c>
      <c r="CT41" s="53">
        <v>2.0654929130609293E-3</v>
      </c>
      <c r="CU41" s="53">
        <v>2.0448379839303199E-3</v>
      </c>
      <c r="CV41" s="53">
        <v>2.0243896040910165E-3</v>
      </c>
      <c r="CW41" s="53">
        <v>2.0041457080501061E-3</v>
      </c>
      <c r="CX41" s="53">
        <v>1.9841042509696049E-3</v>
      </c>
      <c r="CY41" s="28">
        <v>1.964263208459909E-3</v>
      </c>
    </row>
    <row r="42" spans="1:103">
      <c r="A42" s="54">
        <v>60</v>
      </c>
      <c r="B42" s="54">
        <v>5.1910000000000003E-3</v>
      </c>
      <c r="C42" s="54">
        <v>5.2470627999999997E-3</v>
      </c>
      <c r="D42" s="54">
        <v>5.3011075468399997E-3</v>
      </c>
      <c r="E42" s="54">
        <v>5.3477572932521915E-3</v>
      </c>
      <c r="F42" s="54">
        <v>5.3825177156583302E-3</v>
      </c>
      <c r="G42" s="54">
        <v>5.4029712829778316E-3</v>
      </c>
      <c r="H42" s="54">
        <v>5.4072936600042133E-3</v>
      </c>
      <c r="I42" s="54">
        <v>5.3959383433182049E-3</v>
      </c>
      <c r="J42" s="54">
        <v>5.3705774331046091E-3</v>
      </c>
      <c r="K42" s="54">
        <v>5.3345945643028083E-3</v>
      </c>
      <c r="L42" s="54">
        <v>5.2919178077883858E-3</v>
      </c>
      <c r="M42" s="54">
        <v>5.2458781228606269E-3</v>
      </c>
      <c r="N42" s="54">
        <v>5.198140631942595E-3</v>
      </c>
      <c r="O42" s="54">
        <v>5.1497979240655292E-3</v>
      </c>
      <c r="P42" s="54">
        <v>5.1013898235793137E-3</v>
      </c>
      <c r="Q42" s="54">
        <v>5.0534367592376681E-3</v>
      </c>
      <c r="R42" s="54">
        <v>5.0054291100249107E-3</v>
      </c>
      <c r="S42" s="54">
        <v>4.9573769905686717E-3</v>
      </c>
      <c r="T42" s="53">
        <v>4.9087946960610987E-3</v>
      </c>
      <c r="U42" s="53">
        <v>4.8601976285700937E-3</v>
      </c>
      <c r="V42" s="53">
        <v>4.8115956522843924E-3</v>
      </c>
      <c r="W42" s="53">
        <v>4.7634796957615484E-3</v>
      </c>
      <c r="X42" s="53">
        <v>4.7158448988039326E-3</v>
      </c>
      <c r="Y42" s="53">
        <v>4.6686864498158929E-3</v>
      </c>
      <c r="Z42" s="53">
        <v>4.6219995853177343E-3</v>
      </c>
      <c r="AA42" s="53">
        <v>4.5757795894645573E-3</v>
      </c>
      <c r="AB42" s="53">
        <v>4.5300217935699116E-3</v>
      </c>
      <c r="AC42" s="53">
        <v>4.4847215756342127E-3</v>
      </c>
      <c r="AD42" s="53">
        <v>4.4398743598778705E-3</v>
      </c>
      <c r="AE42" s="53">
        <v>4.3954756162790914E-3</v>
      </c>
      <c r="AF42" s="53">
        <v>4.3515208601163004E-3</v>
      </c>
      <c r="AG42" s="53">
        <v>4.3080056515151371E-3</v>
      </c>
      <c r="AH42" s="53">
        <v>4.2649255949999861E-3</v>
      </c>
      <c r="AI42" s="53">
        <v>4.2222763390499865E-3</v>
      </c>
      <c r="AJ42" s="53">
        <v>4.1800535756594866E-3</v>
      </c>
      <c r="AK42" s="53">
        <v>4.1382530399028915E-3</v>
      </c>
      <c r="AL42" s="53">
        <v>4.0968705095038626E-3</v>
      </c>
      <c r="AM42" s="53">
        <v>4.0559018044088241E-3</v>
      </c>
      <c r="AN42" s="53">
        <v>4.0153427863647354E-3</v>
      </c>
      <c r="AO42" s="53">
        <v>3.9751893585010878E-3</v>
      </c>
      <c r="AP42" s="53">
        <v>3.935437464916077E-3</v>
      </c>
      <c r="AQ42" s="53">
        <v>3.8960830902669162E-3</v>
      </c>
      <c r="AR42" s="53">
        <v>3.8571222593642468E-3</v>
      </c>
      <c r="AS42" s="53">
        <v>3.8185510367706042E-3</v>
      </c>
      <c r="AT42" s="53">
        <v>3.7803655264028982E-3</v>
      </c>
      <c r="AU42" s="53">
        <v>3.7425618711388691E-3</v>
      </c>
      <c r="AV42" s="53">
        <v>3.7051362524274803E-3</v>
      </c>
      <c r="AW42" s="53">
        <v>3.6680848899032057E-3</v>
      </c>
      <c r="AX42" s="53">
        <v>3.6314040410041735E-3</v>
      </c>
      <c r="AY42" s="53">
        <v>3.595090000594132E-3</v>
      </c>
      <c r="AZ42" s="53">
        <v>3.5591391005881908E-3</v>
      </c>
      <c r="BA42" s="53">
        <v>3.5235477095823088E-3</v>
      </c>
      <c r="BB42" s="53">
        <v>3.4883122324864857E-3</v>
      </c>
      <c r="BC42" s="53">
        <v>3.4534291101616208E-3</v>
      </c>
      <c r="BD42" s="53">
        <v>3.4188948190600047E-3</v>
      </c>
      <c r="BE42" s="53">
        <v>3.3847058708694048E-3</v>
      </c>
      <c r="BF42" s="53">
        <v>3.3508588121607106E-3</v>
      </c>
      <c r="BG42" s="53">
        <v>3.3173502240391034E-3</v>
      </c>
      <c r="BH42" s="53">
        <v>3.2841767217987121E-3</v>
      </c>
      <c r="BI42" s="53">
        <v>3.2513349545807251E-3</v>
      </c>
      <c r="BJ42" s="53">
        <v>3.2188216050349177E-3</v>
      </c>
      <c r="BK42" s="53">
        <v>3.1866333889845684E-3</v>
      </c>
      <c r="BL42" s="53">
        <v>3.1547670550947228E-3</v>
      </c>
      <c r="BM42" s="53">
        <v>3.1232193845437757E-3</v>
      </c>
      <c r="BN42" s="53">
        <v>3.0919871906983378E-3</v>
      </c>
      <c r="BO42" s="53">
        <v>3.0610673187913542E-3</v>
      </c>
      <c r="BP42" s="53">
        <v>3.0304566456034404E-3</v>
      </c>
      <c r="BQ42" s="53">
        <v>3.0001520791474059E-3</v>
      </c>
      <c r="BR42" s="53">
        <v>2.9701505583559318E-3</v>
      </c>
      <c r="BS42" s="53">
        <v>2.9404490527723723E-3</v>
      </c>
      <c r="BT42" s="53">
        <v>2.9110445622446486E-3</v>
      </c>
      <c r="BU42" s="53">
        <v>2.881934116622202E-3</v>
      </c>
      <c r="BV42" s="53">
        <v>2.8531147754559797E-3</v>
      </c>
      <c r="BW42" s="53">
        <v>2.8245836277014198E-3</v>
      </c>
      <c r="BX42" s="53">
        <v>2.7963377914244055E-3</v>
      </c>
      <c r="BY42" s="53">
        <v>2.7683744135101615E-3</v>
      </c>
      <c r="BZ42" s="53">
        <v>2.7406906693750598E-3</v>
      </c>
      <c r="CA42" s="53">
        <v>2.7132837626813091E-3</v>
      </c>
      <c r="CB42" s="53">
        <v>2.6861509250544961E-3</v>
      </c>
      <c r="CC42" s="53">
        <v>2.6592894158039512E-3</v>
      </c>
      <c r="CD42" s="53">
        <v>2.6326965216459117E-3</v>
      </c>
      <c r="CE42" s="53">
        <v>2.6063695564294527E-3</v>
      </c>
      <c r="CF42" s="53">
        <v>2.580305860865158E-3</v>
      </c>
      <c r="CG42" s="53">
        <v>2.5545028022565062E-3</v>
      </c>
      <c r="CH42" s="53">
        <v>2.5289577742339409E-3</v>
      </c>
      <c r="CI42" s="53">
        <v>2.5036681964916013E-3</v>
      </c>
      <c r="CJ42" s="53">
        <v>2.4786315145266854E-3</v>
      </c>
      <c r="CK42" s="53">
        <v>2.4538451993814186E-3</v>
      </c>
      <c r="CL42" s="53">
        <v>2.4293067473876045E-3</v>
      </c>
      <c r="CM42" s="53">
        <v>2.4050136799137283E-3</v>
      </c>
      <c r="CN42" s="53">
        <v>2.3809635431145909E-3</v>
      </c>
      <c r="CO42" s="53">
        <v>2.3571539076834448E-3</v>
      </c>
      <c r="CP42" s="53">
        <v>2.3335823686066104E-3</v>
      </c>
      <c r="CQ42" s="53">
        <v>2.3102465449205442E-3</v>
      </c>
      <c r="CR42" s="53">
        <v>2.2871440794713389E-3</v>
      </c>
      <c r="CS42" s="53">
        <v>2.2642726386766254E-3</v>
      </c>
      <c r="CT42" s="53">
        <v>2.2416299122898593E-3</v>
      </c>
      <c r="CU42" s="53">
        <v>2.2192136131669606E-3</v>
      </c>
      <c r="CV42" s="53">
        <v>2.197021477035291E-3</v>
      </c>
      <c r="CW42" s="53">
        <v>2.175051262264938E-3</v>
      </c>
      <c r="CX42" s="53">
        <v>2.1533007496422887E-3</v>
      </c>
      <c r="CY42" s="28">
        <v>2.1317677421458657E-3</v>
      </c>
    </row>
    <row r="43" spans="1:103">
      <c r="A43" s="54">
        <v>61</v>
      </c>
      <c r="B43" s="54">
        <v>5.646E-3</v>
      </c>
      <c r="C43" s="54">
        <v>5.6962493999999997E-3</v>
      </c>
      <c r="D43" s="54">
        <v>5.746376394719999E-3</v>
      </c>
      <c r="E43" s="54">
        <v>5.7911981305988148E-3</v>
      </c>
      <c r="F43" s="54">
        <v>5.8265244391954678E-3</v>
      </c>
      <c r="G43" s="54">
        <v>5.8492478845083304E-3</v>
      </c>
      <c r="H43" s="54">
        <v>5.8562669819697414E-3</v>
      </c>
      <c r="I43" s="54">
        <v>5.8480682081949844E-3</v>
      </c>
      <c r="J43" s="54">
        <v>5.8252607421830239E-3</v>
      </c>
      <c r="K43" s="54">
        <v>5.7903091777299258E-3</v>
      </c>
      <c r="L43" s="54">
        <v>5.7474608898147247E-3</v>
      </c>
      <c r="M43" s="54">
        <v>5.6997569644292624E-3</v>
      </c>
      <c r="N43" s="54">
        <v>5.6490291274458419E-3</v>
      </c>
      <c r="O43" s="54">
        <v>5.5964931565605953E-3</v>
      </c>
      <c r="P43" s="54">
        <v>5.5433264715732703E-3</v>
      </c>
      <c r="Q43" s="54">
        <v>5.4901105374461669E-3</v>
      </c>
      <c r="R43" s="54">
        <v>5.437405476286683E-3</v>
      </c>
      <c r="S43" s="54">
        <v>5.3846626431667023E-3</v>
      </c>
      <c r="T43" s="53">
        <v>5.3318929492636681E-3</v>
      </c>
      <c r="U43" s="53">
        <v>5.279107209065958E-3</v>
      </c>
      <c r="V43" s="53">
        <v>5.2263161369752982E-3</v>
      </c>
      <c r="W43" s="53">
        <v>5.1740529756055453E-3</v>
      </c>
      <c r="X43" s="53">
        <v>5.1223124458494897E-3</v>
      </c>
      <c r="Y43" s="53">
        <v>5.0710893213909945E-3</v>
      </c>
      <c r="Z43" s="53">
        <v>5.0203784281770848E-3</v>
      </c>
      <c r="AA43" s="53">
        <v>4.9701746438953137E-3</v>
      </c>
      <c r="AB43" s="53">
        <v>4.9204728974563605E-3</v>
      </c>
      <c r="AC43" s="53">
        <v>4.8712681684817969E-3</v>
      </c>
      <c r="AD43" s="53">
        <v>4.8225554867969787E-3</v>
      </c>
      <c r="AE43" s="53">
        <v>4.7743299319290087E-3</v>
      </c>
      <c r="AF43" s="53">
        <v>4.7265866326097186E-3</v>
      </c>
      <c r="AG43" s="53">
        <v>4.6793207662836215E-3</v>
      </c>
      <c r="AH43" s="53">
        <v>4.632527558620785E-3</v>
      </c>
      <c r="AI43" s="53">
        <v>4.5862022830345768E-3</v>
      </c>
      <c r="AJ43" s="53">
        <v>4.5403402602042309E-3</v>
      </c>
      <c r="AK43" s="53">
        <v>4.4949368576021886E-3</v>
      </c>
      <c r="AL43" s="53">
        <v>4.4499874890261666E-3</v>
      </c>
      <c r="AM43" s="53">
        <v>4.4054876141359049E-3</v>
      </c>
      <c r="AN43" s="53">
        <v>4.3614327379945458E-3</v>
      </c>
      <c r="AO43" s="53">
        <v>4.3178184106146007E-3</v>
      </c>
      <c r="AP43" s="53">
        <v>4.2746402265084549E-3</v>
      </c>
      <c r="AQ43" s="53">
        <v>4.2318938242433702E-3</v>
      </c>
      <c r="AR43" s="53">
        <v>4.1895748860009364E-3</v>
      </c>
      <c r="AS43" s="53">
        <v>4.1476791371409267E-3</v>
      </c>
      <c r="AT43" s="53">
        <v>4.106202345769517E-3</v>
      </c>
      <c r="AU43" s="53">
        <v>4.0651403223118214E-3</v>
      </c>
      <c r="AV43" s="53">
        <v>4.0244889190887033E-3</v>
      </c>
      <c r="AW43" s="53">
        <v>3.9842440298978165E-3</v>
      </c>
      <c r="AX43" s="53">
        <v>3.9444015895988387E-3</v>
      </c>
      <c r="AY43" s="53">
        <v>3.9049575737028501E-3</v>
      </c>
      <c r="AZ43" s="53">
        <v>3.8659079979658215E-3</v>
      </c>
      <c r="BA43" s="53">
        <v>3.8272489179861633E-3</v>
      </c>
      <c r="BB43" s="53">
        <v>3.7889764288063016E-3</v>
      </c>
      <c r="BC43" s="53">
        <v>3.7510866645182384E-3</v>
      </c>
      <c r="BD43" s="53">
        <v>3.713575797873056E-3</v>
      </c>
      <c r="BE43" s="53">
        <v>3.6764400398943253E-3</v>
      </c>
      <c r="BF43" s="53">
        <v>3.6396756394953818E-3</v>
      </c>
      <c r="BG43" s="53">
        <v>3.603278883100428E-3</v>
      </c>
      <c r="BH43" s="53">
        <v>3.5672460942694235E-3</v>
      </c>
      <c r="BI43" s="53">
        <v>3.5315736333267293E-3</v>
      </c>
      <c r="BJ43" s="53">
        <v>3.4962578969934617E-3</v>
      </c>
      <c r="BK43" s="53">
        <v>3.4612953180235269E-3</v>
      </c>
      <c r="BL43" s="53">
        <v>3.4266823648432918E-3</v>
      </c>
      <c r="BM43" s="53">
        <v>3.3924155411948586E-3</v>
      </c>
      <c r="BN43" s="53">
        <v>3.3584913857829099E-3</v>
      </c>
      <c r="BO43" s="53">
        <v>3.3249064719250809E-3</v>
      </c>
      <c r="BP43" s="53">
        <v>3.2916574072058302E-3</v>
      </c>
      <c r="BQ43" s="53">
        <v>3.258740833133772E-3</v>
      </c>
      <c r="BR43" s="53">
        <v>3.2261534248024344E-3</v>
      </c>
      <c r="BS43" s="53">
        <v>3.1938918905544101E-3</v>
      </c>
      <c r="BT43" s="53">
        <v>3.161952971648866E-3</v>
      </c>
      <c r="BU43" s="53">
        <v>3.1303334419323773E-3</v>
      </c>
      <c r="BV43" s="53">
        <v>3.0990301075130536E-3</v>
      </c>
      <c r="BW43" s="53">
        <v>3.0680398064379232E-3</v>
      </c>
      <c r="BX43" s="53">
        <v>3.0373594083735441E-3</v>
      </c>
      <c r="BY43" s="53">
        <v>3.0069858142898085E-3</v>
      </c>
      <c r="BZ43" s="53">
        <v>2.9769159561469105E-3</v>
      </c>
      <c r="CA43" s="53">
        <v>2.9471467965854412E-3</v>
      </c>
      <c r="CB43" s="53">
        <v>2.9176753286195866E-3</v>
      </c>
      <c r="CC43" s="53">
        <v>2.8884985753333909E-3</v>
      </c>
      <c r="CD43" s="53">
        <v>2.8596135895800571E-3</v>
      </c>
      <c r="CE43" s="53">
        <v>2.8310174536842563E-3</v>
      </c>
      <c r="CF43" s="53">
        <v>2.8027072791474137E-3</v>
      </c>
      <c r="CG43" s="53">
        <v>2.7746802063559396E-3</v>
      </c>
      <c r="CH43" s="53">
        <v>2.74693340429238E-3</v>
      </c>
      <c r="CI43" s="53">
        <v>2.719464070249456E-3</v>
      </c>
      <c r="CJ43" s="53">
        <v>2.6922694295469615E-3</v>
      </c>
      <c r="CK43" s="53">
        <v>2.6653467352514919E-3</v>
      </c>
      <c r="CL43" s="53">
        <v>2.638693267898977E-3</v>
      </c>
      <c r="CM43" s="53">
        <v>2.6123063352199872E-3</v>
      </c>
      <c r="CN43" s="53">
        <v>2.5861832718677871E-3</v>
      </c>
      <c r="CO43" s="53">
        <v>2.5603214391491094E-3</v>
      </c>
      <c r="CP43" s="53">
        <v>2.5347182247576184E-3</v>
      </c>
      <c r="CQ43" s="53">
        <v>2.5093710425100422E-3</v>
      </c>
      <c r="CR43" s="53">
        <v>2.4842773320849416E-3</v>
      </c>
      <c r="CS43" s="53">
        <v>2.4594345587640922E-3</v>
      </c>
      <c r="CT43" s="53">
        <v>2.4348402131764511E-3</v>
      </c>
      <c r="CU43" s="53">
        <v>2.4104918110446866E-3</v>
      </c>
      <c r="CV43" s="53">
        <v>2.3863868929342395E-3</v>
      </c>
      <c r="CW43" s="53">
        <v>2.3625230240048971E-3</v>
      </c>
      <c r="CX43" s="53">
        <v>2.3388977937648481E-3</v>
      </c>
      <c r="CY43" s="28">
        <v>2.3155088158271996E-3</v>
      </c>
    </row>
    <row r="44" spans="1:103">
      <c r="A44" s="54">
        <v>62</v>
      </c>
      <c r="B44" s="54">
        <v>6.156E-3</v>
      </c>
      <c r="C44" s="54">
        <v>6.1953983999999997E-3</v>
      </c>
      <c r="D44" s="54">
        <v>6.2369075692799989E-3</v>
      </c>
      <c r="E44" s="54">
        <v>6.2762000869664627E-3</v>
      </c>
      <c r="F44" s="54">
        <v>6.3088363274186885E-3</v>
      </c>
      <c r="G44" s="54">
        <v>6.3309172545646542E-3</v>
      </c>
      <c r="H44" s="54">
        <v>6.3397805387210449E-3</v>
      </c>
      <c r="I44" s="54">
        <v>6.3334407581823243E-3</v>
      </c>
      <c r="J44" s="54">
        <v>6.3131737477561409E-3</v>
      </c>
      <c r="K44" s="54">
        <v>6.2803452442678088E-3</v>
      </c>
      <c r="L44" s="54">
        <v>6.2382669311312139E-3</v>
      </c>
      <c r="M44" s="54">
        <v>6.1896084490683902E-3</v>
      </c>
      <c r="N44" s="54">
        <v>6.1363778164064018E-3</v>
      </c>
      <c r="O44" s="54">
        <v>6.0805367782771035E-3</v>
      </c>
      <c r="P44" s="54">
        <v>6.0227716788834717E-3</v>
      </c>
      <c r="Q44" s="54">
        <v>5.9649530707661901E-3</v>
      </c>
      <c r="R44" s="54">
        <v>5.9070930259797578E-3</v>
      </c>
      <c r="S44" s="54">
        <v>5.8492035143251561E-3</v>
      </c>
      <c r="T44" s="53">
        <v>5.7912963995333366E-3</v>
      </c>
      <c r="U44" s="53">
        <v>5.7333834355380031E-3</v>
      </c>
      <c r="V44" s="53">
        <v>5.6760496011826226E-3</v>
      </c>
      <c r="W44" s="53">
        <v>5.6192891051707961E-3</v>
      </c>
      <c r="X44" s="53">
        <v>5.5630962141190879E-3</v>
      </c>
      <c r="Y44" s="53">
        <v>5.5074652519778973E-3</v>
      </c>
      <c r="Z44" s="53">
        <v>5.4523905994581182E-3</v>
      </c>
      <c r="AA44" s="53">
        <v>5.3978666934635369E-3</v>
      </c>
      <c r="AB44" s="53">
        <v>5.3438880265289012E-3</v>
      </c>
      <c r="AC44" s="53">
        <v>5.2904491462636124E-3</v>
      </c>
      <c r="AD44" s="53">
        <v>5.2375446548009758E-3</v>
      </c>
      <c r="AE44" s="53">
        <v>5.185169208252966E-3</v>
      </c>
      <c r="AF44" s="53">
        <v>5.1333175161704363E-3</v>
      </c>
      <c r="AG44" s="53">
        <v>5.081984341008732E-3</v>
      </c>
      <c r="AH44" s="53">
        <v>5.0311644975986449E-3</v>
      </c>
      <c r="AI44" s="53">
        <v>4.9808528526226583E-3</v>
      </c>
      <c r="AJ44" s="53">
        <v>4.9310443240964319E-3</v>
      </c>
      <c r="AK44" s="53">
        <v>4.8817338808554676E-3</v>
      </c>
      <c r="AL44" s="53">
        <v>4.832916542046913E-3</v>
      </c>
      <c r="AM44" s="53">
        <v>4.7845873766264434E-3</v>
      </c>
      <c r="AN44" s="53">
        <v>4.7367415028601789E-3</v>
      </c>
      <c r="AO44" s="53">
        <v>4.6893740878315767E-3</v>
      </c>
      <c r="AP44" s="53">
        <v>4.6424803469532613E-3</v>
      </c>
      <c r="AQ44" s="53">
        <v>4.5960555434837284E-3</v>
      </c>
      <c r="AR44" s="53">
        <v>4.5500949880488912E-3</v>
      </c>
      <c r="AS44" s="53">
        <v>4.5045940381684023E-3</v>
      </c>
      <c r="AT44" s="53">
        <v>4.4595480977867178E-3</v>
      </c>
      <c r="AU44" s="53">
        <v>4.4149526168088503E-3</v>
      </c>
      <c r="AV44" s="53">
        <v>4.3708030906407618E-3</v>
      </c>
      <c r="AW44" s="53">
        <v>4.3270950597343542E-3</v>
      </c>
      <c r="AX44" s="53">
        <v>4.2838241091370105E-3</v>
      </c>
      <c r="AY44" s="53">
        <v>4.2409858680456406E-3</v>
      </c>
      <c r="AZ44" s="53">
        <v>4.1985760093651838E-3</v>
      </c>
      <c r="BA44" s="53">
        <v>4.1565902492715322E-3</v>
      </c>
      <c r="BB44" s="53">
        <v>4.1150243467788167E-3</v>
      </c>
      <c r="BC44" s="53">
        <v>4.0738741033110289E-3</v>
      </c>
      <c r="BD44" s="53">
        <v>4.0331353622779188E-3</v>
      </c>
      <c r="BE44" s="53">
        <v>3.9928040086551399E-3</v>
      </c>
      <c r="BF44" s="53">
        <v>3.9528759685685888E-3</v>
      </c>
      <c r="BG44" s="53">
        <v>3.9133472088829033E-3</v>
      </c>
      <c r="BH44" s="53">
        <v>3.8742137367940742E-3</v>
      </c>
      <c r="BI44" s="53">
        <v>3.8354715994261333E-3</v>
      </c>
      <c r="BJ44" s="53">
        <v>3.797116883431872E-3</v>
      </c>
      <c r="BK44" s="53">
        <v>3.7591457145975532E-3</v>
      </c>
      <c r="BL44" s="53">
        <v>3.7215542574515776E-3</v>
      </c>
      <c r="BM44" s="53">
        <v>3.6843387148770617E-3</v>
      </c>
      <c r="BN44" s="53">
        <v>3.6474953277282913E-3</v>
      </c>
      <c r="BO44" s="53">
        <v>3.6110203744510083E-3</v>
      </c>
      <c r="BP44" s="53">
        <v>3.5749101707064981E-3</v>
      </c>
      <c r="BQ44" s="53">
        <v>3.5391610689994332E-3</v>
      </c>
      <c r="BR44" s="53">
        <v>3.5037694583094389E-3</v>
      </c>
      <c r="BS44" s="53">
        <v>3.4687317637263444E-3</v>
      </c>
      <c r="BT44" s="53">
        <v>3.4340444460890809E-3</v>
      </c>
      <c r="BU44" s="53">
        <v>3.3997040016281901E-3</v>
      </c>
      <c r="BV44" s="53">
        <v>3.3657069616119081E-3</v>
      </c>
      <c r="BW44" s="53">
        <v>3.332049891995789E-3</v>
      </c>
      <c r="BX44" s="53">
        <v>3.2987293930758312E-3</v>
      </c>
      <c r="BY44" s="53">
        <v>3.2657420991450731E-3</v>
      </c>
      <c r="BZ44" s="53">
        <v>3.2330846781536225E-3</v>
      </c>
      <c r="CA44" s="53">
        <v>3.2007538313720864E-3</v>
      </c>
      <c r="CB44" s="53">
        <v>3.1687462930583654E-3</v>
      </c>
      <c r="CC44" s="53">
        <v>3.1370588301277819E-3</v>
      </c>
      <c r="CD44" s="53">
        <v>3.1056882418265042E-3</v>
      </c>
      <c r="CE44" s="53">
        <v>3.0746313594082393E-3</v>
      </c>
      <c r="CF44" s="53">
        <v>3.0438850458141568E-3</v>
      </c>
      <c r="CG44" s="53">
        <v>3.0134461953560151E-3</v>
      </c>
      <c r="CH44" s="53">
        <v>2.9833117334024549E-3</v>
      </c>
      <c r="CI44" s="53">
        <v>2.9534786160684305E-3</v>
      </c>
      <c r="CJ44" s="53">
        <v>2.9239438299077463E-3</v>
      </c>
      <c r="CK44" s="53">
        <v>2.8947043916086688E-3</v>
      </c>
      <c r="CL44" s="53">
        <v>2.8657573476925822E-3</v>
      </c>
      <c r="CM44" s="53">
        <v>2.8370997742156565E-3</v>
      </c>
      <c r="CN44" s="53">
        <v>2.8087287764735E-3</v>
      </c>
      <c r="CO44" s="53">
        <v>2.7806414887087648E-3</v>
      </c>
      <c r="CP44" s="53">
        <v>2.752835073821677E-3</v>
      </c>
      <c r="CQ44" s="53">
        <v>2.7253067230834601E-3</v>
      </c>
      <c r="CR44" s="53">
        <v>2.6980536558526254E-3</v>
      </c>
      <c r="CS44" s="53">
        <v>2.6710731192940993E-3</v>
      </c>
      <c r="CT44" s="53">
        <v>2.6443623881011583E-3</v>
      </c>
      <c r="CU44" s="53">
        <v>2.6179187642201467E-3</v>
      </c>
      <c r="CV44" s="53">
        <v>2.5917395765779451E-3</v>
      </c>
      <c r="CW44" s="53">
        <v>2.5658221808121657E-3</v>
      </c>
      <c r="CX44" s="53">
        <v>2.5401639590040439E-3</v>
      </c>
      <c r="CY44" s="28">
        <v>2.5147623194140033E-3</v>
      </c>
    </row>
    <row r="45" spans="1:103">
      <c r="A45" s="54">
        <v>63</v>
      </c>
      <c r="B45" s="54">
        <v>6.7229999999999998E-3</v>
      </c>
      <c r="C45" s="54">
        <v>6.7465305000000003E-3</v>
      </c>
      <c r="D45" s="54">
        <v>6.7755405811500006E-3</v>
      </c>
      <c r="E45" s="54">
        <v>6.8053529597070601E-3</v>
      </c>
      <c r="F45" s="54">
        <v>6.8312133009539467E-3</v>
      </c>
      <c r="G45" s="54">
        <v>6.8496575768665219E-3</v>
      </c>
      <c r="H45" s="54">
        <v>6.8578771659587624E-3</v>
      </c>
      <c r="I45" s="54">
        <v>6.8530766519425907E-3</v>
      </c>
      <c r="J45" s="54">
        <v>6.8345733449823457E-3</v>
      </c>
      <c r="K45" s="54">
        <v>6.8038177649299252E-3</v>
      </c>
      <c r="L45" s="54">
        <v>6.7629948583403455E-3</v>
      </c>
      <c r="M45" s="54">
        <v>6.714301295360295E-3</v>
      </c>
      <c r="N45" s="54">
        <v>6.6592440247383406E-3</v>
      </c>
      <c r="O45" s="54">
        <v>6.5999767529181692E-3</v>
      </c>
      <c r="P45" s="54">
        <v>6.5385969691160303E-3</v>
      </c>
      <c r="Q45" s="54">
        <v>6.4758264382125163E-3</v>
      </c>
      <c r="R45" s="54">
        <v>6.4130109217618546E-3</v>
      </c>
      <c r="S45" s="54">
        <v>6.3501634147285881E-3</v>
      </c>
      <c r="T45" s="53">
        <v>6.2872967969227747E-3</v>
      </c>
      <c r="U45" s="53">
        <v>6.2244238289535471E-3</v>
      </c>
      <c r="V45" s="53">
        <v>6.1621795906640119E-3</v>
      </c>
      <c r="W45" s="53">
        <v>6.1005577947573714E-3</v>
      </c>
      <c r="X45" s="53">
        <v>6.0395522168097977E-3</v>
      </c>
      <c r="Y45" s="53">
        <v>5.9791566946416994E-3</v>
      </c>
      <c r="Z45" s="53">
        <v>5.9193651276952825E-3</v>
      </c>
      <c r="AA45" s="53">
        <v>5.8601714764183292E-3</v>
      </c>
      <c r="AB45" s="53">
        <v>5.8015697616541455E-3</v>
      </c>
      <c r="AC45" s="53">
        <v>5.7435540640376039E-3</v>
      </c>
      <c r="AD45" s="53">
        <v>5.6861185233972279E-3</v>
      </c>
      <c r="AE45" s="53">
        <v>5.6292573381632556E-3</v>
      </c>
      <c r="AF45" s="53">
        <v>5.5729647647816231E-3</v>
      </c>
      <c r="AG45" s="53">
        <v>5.5172351171338067E-3</v>
      </c>
      <c r="AH45" s="53">
        <v>5.462062765962469E-3</v>
      </c>
      <c r="AI45" s="53">
        <v>5.4074421383028442E-3</v>
      </c>
      <c r="AJ45" s="53">
        <v>5.3533677169198155E-3</v>
      </c>
      <c r="AK45" s="53">
        <v>5.2998340397506175E-3</v>
      </c>
      <c r="AL45" s="53">
        <v>5.2468356993531111E-3</v>
      </c>
      <c r="AM45" s="53">
        <v>5.19436734235958E-3</v>
      </c>
      <c r="AN45" s="53">
        <v>5.142423668935984E-3</v>
      </c>
      <c r="AO45" s="53">
        <v>5.0909994322466245E-3</v>
      </c>
      <c r="AP45" s="53">
        <v>5.0400894379241581E-3</v>
      </c>
      <c r="AQ45" s="53">
        <v>4.9896885435449165E-3</v>
      </c>
      <c r="AR45" s="53">
        <v>4.9397916581094669E-3</v>
      </c>
      <c r="AS45" s="53">
        <v>4.8903937415283724E-3</v>
      </c>
      <c r="AT45" s="53">
        <v>4.8414898041130887E-3</v>
      </c>
      <c r="AU45" s="53">
        <v>4.7930749060719575E-3</v>
      </c>
      <c r="AV45" s="53">
        <v>4.745144157011238E-3</v>
      </c>
      <c r="AW45" s="53">
        <v>4.6976927154411255E-3</v>
      </c>
      <c r="AX45" s="53">
        <v>4.6507157882867143E-3</v>
      </c>
      <c r="AY45" s="53">
        <v>4.6042086304038474E-3</v>
      </c>
      <c r="AZ45" s="53">
        <v>4.5581665440998093E-3</v>
      </c>
      <c r="BA45" s="53">
        <v>4.5125848786588115E-3</v>
      </c>
      <c r="BB45" s="53">
        <v>4.4674590298722236E-3</v>
      </c>
      <c r="BC45" s="53">
        <v>4.4227844395735016E-3</v>
      </c>
      <c r="BD45" s="53">
        <v>4.3785565951777669E-3</v>
      </c>
      <c r="BE45" s="53">
        <v>4.3347710292259891E-3</v>
      </c>
      <c r="BF45" s="53">
        <v>4.2914233189337292E-3</v>
      </c>
      <c r="BG45" s="53">
        <v>4.2485090857443918E-3</v>
      </c>
      <c r="BH45" s="53">
        <v>4.2060239948869477E-3</v>
      </c>
      <c r="BI45" s="53">
        <v>4.1639637549380779E-3</v>
      </c>
      <c r="BJ45" s="53">
        <v>4.122324117388697E-3</v>
      </c>
      <c r="BK45" s="53">
        <v>4.0811008762148097E-3</v>
      </c>
      <c r="BL45" s="53">
        <v>4.0402898674526616E-3</v>
      </c>
      <c r="BM45" s="53">
        <v>3.9998869687781352E-3</v>
      </c>
      <c r="BN45" s="53">
        <v>3.9598880990903539E-3</v>
      </c>
      <c r="BO45" s="53">
        <v>3.9202892180994504E-3</v>
      </c>
      <c r="BP45" s="53">
        <v>3.881086325918456E-3</v>
      </c>
      <c r="BQ45" s="53">
        <v>3.8422754626592716E-3</v>
      </c>
      <c r="BR45" s="53">
        <v>3.8038527080326789E-3</v>
      </c>
      <c r="BS45" s="53">
        <v>3.7658141809523522E-3</v>
      </c>
      <c r="BT45" s="53">
        <v>3.7281560391428286E-3</v>
      </c>
      <c r="BU45" s="53">
        <v>3.6908744787514003E-3</v>
      </c>
      <c r="BV45" s="53">
        <v>3.6539657339638861E-3</v>
      </c>
      <c r="BW45" s="53">
        <v>3.6174260766242473E-3</v>
      </c>
      <c r="BX45" s="53">
        <v>3.581251815858005E-3</v>
      </c>
      <c r="BY45" s="53">
        <v>3.5454392976994251E-3</v>
      </c>
      <c r="BZ45" s="53">
        <v>3.5099849047224309E-3</v>
      </c>
      <c r="CA45" s="53">
        <v>3.4748850556752067E-3</v>
      </c>
      <c r="CB45" s="53">
        <v>3.4401362051184547E-3</v>
      </c>
      <c r="CC45" s="53">
        <v>3.4057348430672702E-3</v>
      </c>
      <c r="CD45" s="53">
        <v>3.3716774946365973E-3</v>
      </c>
      <c r="CE45" s="53">
        <v>3.3379607196902315E-3</v>
      </c>
      <c r="CF45" s="53">
        <v>3.3045811124933293E-3</v>
      </c>
      <c r="CG45" s="53">
        <v>3.2715353013683958E-3</v>
      </c>
      <c r="CH45" s="53">
        <v>3.238819948354712E-3</v>
      </c>
      <c r="CI45" s="53">
        <v>3.2064317488711648E-3</v>
      </c>
      <c r="CJ45" s="53">
        <v>3.1743674313824532E-3</v>
      </c>
      <c r="CK45" s="53">
        <v>3.1426237570686285E-3</v>
      </c>
      <c r="CL45" s="53">
        <v>3.1111975194979421E-3</v>
      </c>
      <c r="CM45" s="53">
        <v>3.0800855443029627E-3</v>
      </c>
      <c r="CN45" s="53">
        <v>3.0492846888599333E-3</v>
      </c>
      <c r="CO45" s="53">
        <v>3.0187918419713341E-3</v>
      </c>
      <c r="CP45" s="53">
        <v>2.9886039235516209E-3</v>
      </c>
      <c r="CQ45" s="53">
        <v>2.9587178843161047E-3</v>
      </c>
      <c r="CR45" s="53">
        <v>2.9291307054729438E-3</v>
      </c>
      <c r="CS45" s="53">
        <v>2.8998393984182142E-3</v>
      </c>
      <c r="CT45" s="53">
        <v>2.870841004434032E-3</v>
      </c>
      <c r="CU45" s="53">
        <v>2.8421325943896918E-3</v>
      </c>
      <c r="CV45" s="53">
        <v>2.8137112684457947E-3</v>
      </c>
      <c r="CW45" s="53">
        <v>2.7855741557613369E-3</v>
      </c>
      <c r="CX45" s="53">
        <v>2.7577184142037236E-3</v>
      </c>
      <c r="CY45" s="28">
        <v>2.7301412300616864E-3</v>
      </c>
    </row>
    <row r="46" spans="1:103">
      <c r="A46" s="54">
        <v>64</v>
      </c>
      <c r="B46" s="54">
        <v>7.352E-3</v>
      </c>
      <c r="C46" s="54">
        <v>7.3564111999999994E-3</v>
      </c>
      <c r="D46" s="54">
        <v>7.3681814579199994E-3</v>
      </c>
      <c r="E46" s="54">
        <v>7.3836546389816314E-3</v>
      </c>
      <c r="F46" s="54">
        <v>7.3991603137234926E-3</v>
      </c>
      <c r="G46" s="54">
        <v>7.4109989702254506E-3</v>
      </c>
      <c r="H46" s="54">
        <v>7.4154455696075856E-3</v>
      </c>
      <c r="I46" s="54">
        <v>7.4095132131518993E-3</v>
      </c>
      <c r="J46" s="54">
        <v>7.3924713327616501E-3</v>
      </c>
      <c r="K46" s="54">
        <v>7.3629014474306037E-3</v>
      </c>
      <c r="L46" s="54">
        <v>7.3231417796144789E-3</v>
      </c>
      <c r="M46" s="54">
        <v>7.2748090438690231E-3</v>
      </c>
      <c r="N46" s="54">
        <v>7.218793014231231E-3</v>
      </c>
      <c r="O46" s="54">
        <v>7.1574332736102659E-3</v>
      </c>
      <c r="P46" s="54">
        <v>7.0923006308204126E-3</v>
      </c>
      <c r="Q46" s="54">
        <v>7.0249237748276194E-3</v>
      </c>
      <c r="R46" s="54">
        <v>6.9567820142117914E-3</v>
      </c>
      <c r="S46" s="54">
        <v>6.8879098722710941E-3</v>
      </c>
      <c r="T46" s="53">
        <v>6.8197195645356102E-3</v>
      </c>
      <c r="U46" s="53">
        <v>6.7515223688902537E-3</v>
      </c>
      <c r="V46" s="53">
        <v>6.6840071452013514E-3</v>
      </c>
      <c r="W46" s="53">
        <v>6.6171670737493376E-3</v>
      </c>
      <c r="X46" s="53">
        <v>6.5509954030118439E-3</v>
      </c>
      <c r="Y46" s="53">
        <v>6.4854854489817251E-3</v>
      </c>
      <c r="Z46" s="53">
        <v>6.420630594491908E-3</v>
      </c>
      <c r="AA46" s="53">
        <v>6.3564242885469887E-3</v>
      </c>
      <c r="AB46" s="53">
        <v>6.2928600456615188E-3</v>
      </c>
      <c r="AC46" s="53">
        <v>6.2299314452049035E-3</v>
      </c>
      <c r="AD46" s="53">
        <v>6.167632130752854E-3</v>
      </c>
      <c r="AE46" s="53">
        <v>6.1059558094453256E-3</v>
      </c>
      <c r="AF46" s="53">
        <v>6.0448962513508725E-3</v>
      </c>
      <c r="AG46" s="53">
        <v>5.9844472888373641E-3</v>
      </c>
      <c r="AH46" s="53">
        <v>5.9246028159489908E-3</v>
      </c>
      <c r="AI46" s="53">
        <v>5.8653567877895007E-3</v>
      </c>
      <c r="AJ46" s="53">
        <v>5.8067032199116053E-3</v>
      </c>
      <c r="AK46" s="53">
        <v>5.7486361877124893E-3</v>
      </c>
      <c r="AL46" s="53">
        <v>5.691149825835364E-3</v>
      </c>
      <c r="AM46" s="53">
        <v>5.6342383275770104E-3</v>
      </c>
      <c r="AN46" s="53">
        <v>5.5778959443012399E-3</v>
      </c>
      <c r="AO46" s="53">
        <v>5.5221169848582276E-3</v>
      </c>
      <c r="AP46" s="53">
        <v>5.4668958150096451E-3</v>
      </c>
      <c r="AQ46" s="53">
        <v>5.4122268568595486E-3</v>
      </c>
      <c r="AR46" s="53">
        <v>5.3581045882909531E-3</v>
      </c>
      <c r="AS46" s="53">
        <v>5.3045235424080432E-3</v>
      </c>
      <c r="AT46" s="53">
        <v>5.251478306983963E-3</v>
      </c>
      <c r="AU46" s="53">
        <v>5.198963523914123E-3</v>
      </c>
      <c r="AV46" s="53">
        <v>5.1469738886749817E-3</v>
      </c>
      <c r="AW46" s="53">
        <v>5.095504149788232E-3</v>
      </c>
      <c r="AX46" s="53">
        <v>5.0445491082903495E-3</v>
      </c>
      <c r="AY46" s="53">
        <v>4.9941036172074463E-3</v>
      </c>
      <c r="AZ46" s="53">
        <v>4.9441625810353719E-3</v>
      </c>
      <c r="BA46" s="53">
        <v>4.894720955225018E-3</v>
      </c>
      <c r="BB46" s="53">
        <v>4.8457737456727677E-3</v>
      </c>
      <c r="BC46" s="53">
        <v>4.7973160082160401E-3</v>
      </c>
      <c r="BD46" s="53">
        <v>4.7493428481338792E-3</v>
      </c>
      <c r="BE46" s="53">
        <v>4.7018494196525403E-3</v>
      </c>
      <c r="BF46" s="53">
        <v>4.6548309254560152E-3</v>
      </c>
      <c r="BG46" s="53">
        <v>4.6082826162014553E-3</v>
      </c>
      <c r="BH46" s="53">
        <v>4.5621997900394404E-3</v>
      </c>
      <c r="BI46" s="53">
        <v>4.5165777921390461E-3</v>
      </c>
      <c r="BJ46" s="53">
        <v>4.4714120142176558E-3</v>
      </c>
      <c r="BK46" s="53">
        <v>4.4266978940754789E-3</v>
      </c>
      <c r="BL46" s="53">
        <v>4.3824309151347237E-3</v>
      </c>
      <c r="BM46" s="53">
        <v>4.3386066059833764E-3</v>
      </c>
      <c r="BN46" s="53">
        <v>4.2952205399235423E-3</v>
      </c>
      <c r="BO46" s="53">
        <v>4.2522683345243067E-3</v>
      </c>
      <c r="BP46" s="53">
        <v>4.2097456511790638E-3</v>
      </c>
      <c r="BQ46" s="53">
        <v>4.1676481946672731E-3</v>
      </c>
      <c r="BR46" s="53">
        <v>4.1259717127206004E-3</v>
      </c>
      <c r="BS46" s="53">
        <v>4.0847119955933946E-3</v>
      </c>
      <c r="BT46" s="53">
        <v>4.0438648756374604E-3</v>
      </c>
      <c r="BU46" s="53">
        <v>4.003426226881086E-3</v>
      </c>
      <c r="BV46" s="53">
        <v>3.9633919646122747E-3</v>
      </c>
      <c r="BW46" s="53">
        <v>3.9237580449661517E-3</v>
      </c>
      <c r="BX46" s="53">
        <v>3.8845204645164902E-3</v>
      </c>
      <c r="BY46" s="53">
        <v>3.8456752598713252E-3</v>
      </c>
      <c r="BZ46" s="53">
        <v>3.8072185072726117E-3</v>
      </c>
      <c r="CA46" s="53">
        <v>3.7691463221998854E-3</v>
      </c>
      <c r="CB46" s="53">
        <v>3.7314548589778866E-3</v>
      </c>
      <c r="CC46" s="53">
        <v>3.6941403103881078E-3</v>
      </c>
      <c r="CD46" s="53">
        <v>3.6571989072842269E-3</v>
      </c>
      <c r="CE46" s="53">
        <v>3.6206269182113846E-3</v>
      </c>
      <c r="CF46" s="53">
        <v>3.5844206490292709E-3</v>
      </c>
      <c r="CG46" s="53">
        <v>3.548576442538978E-3</v>
      </c>
      <c r="CH46" s="53">
        <v>3.5130906781135882E-3</v>
      </c>
      <c r="CI46" s="53">
        <v>3.4779597713324524E-3</v>
      </c>
      <c r="CJ46" s="53">
        <v>3.4431801736191279E-3</v>
      </c>
      <c r="CK46" s="53">
        <v>3.4087483718829364E-3</v>
      </c>
      <c r="CL46" s="53">
        <v>3.3746608881641072E-3</v>
      </c>
      <c r="CM46" s="53">
        <v>3.340914279282466E-3</v>
      </c>
      <c r="CN46" s="53">
        <v>3.3075051364896413E-3</v>
      </c>
      <c r="CO46" s="53">
        <v>3.274430085124745E-3</v>
      </c>
      <c r="CP46" s="53">
        <v>3.2416857842734975E-3</v>
      </c>
      <c r="CQ46" s="53">
        <v>3.2092689264307623E-3</v>
      </c>
      <c r="CR46" s="53">
        <v>3.1771762371664547E-3</v>
      </c>
      <c r="CS46" s="53">
        <v>3.1454044747947904E-3</v>
      </c>
      <c r="CT46" s="53">
        <v>3.1139504300468426E-3</v>
      </c>
      <c r="CU46" s="53">
        <v>3.0828109257463742E-3</v>
      </c>
      <c r="CV46" s="53">
        <v>3.0519828164889103E-3</v>
      </c>
      <c r="CW46" s="53">
        <v>3.0214629883240211E-3</v>
      </c>
      <c r="CX46" s="53">
        <v>2.9912483584407807E-3</v>
      </c>
      <c r="CY46" s="28">
        <v>2.9613358748563729E-3</v>
      </c>
    </row>
    <row r="47" spans="1:103">
      <c r="A47" s="54">
        <v>65</v>
      </c>
      <c r="B47" s="54">
        <v>8.0479999999999996E-3</v>
      </c>
      <c r="C47" s="54">
        <v>8.0302944000000005E-3</v>
      </c>
      <c r="D47" s="54">
        <v>8.0214610761600007E-3</v>
      </c>
      <c r="E47" s="54">
        <v>8.0190546378371523E-3</v>
      </c>
      <c r="F47" s="54">
        <v>8.0206584487647198E-3</v>
      </c>
      <c r="G47" s="54">
        <v>8.0222625804544732E-3</v>
      </c>
      <c r="H47" s="54">
        <v>8.0206581279383821E-3</v>
      </c>
      <c r="I47" s="54">
        <v>8.0118354039976497E-3</v>
      </c>
      <c r="J47" s="54">
        <v>7.9942093661088554E-3</v>
      </c>
      <c r="K47" s="54">
        <v>7.9662296333274756E-3</v>
      </c>
      <c r="L47" s="54">
        <v>7.9271951081241708E-3</v>
      </c>
      <c r="M47" s="54">
        <v>7.8788392179646137E-3</v>
      </c>
      <c r="N47" s="54">
        <v>7.822111575595269E-3</v>
      </c>
      <c r="O47" s="54">
        <v>7.7579702606753878E-3</v>
      </c>
      <c r="P47" s="54">
        <v>7.6889243253553769E-3</v>
      </c>
      <c r="Q47" s="54">
        <v>7.6166484366970363E-3</v>
      </c>
      <c r="R47" s="54">
        <v>7.542766946861075E-3</v>
      </c>
      <c r="S47" s="54">
        <v>7.4688478307818364E-3</v>
      </c>
      <c r="T47" s="53">
        <v>7.3949062372570956E-3</v>
      </c>
      <c r="U47" s="53">
        <v>7.3209571748845247E-3</v>
      </c>
      <c r="V47" s="53">
        <v>7.2477476031356791E-3</v>
      </c>
      <c r="W47" s="53">
        <v>7.1752701271043219E-3</v>
      </c>
      <c r="X47" s="53">
        <v>7.1035174258332785E-3</v>
      </c>
      <c r="Y47" s="53">
        <v>7.0324822515749454E-3</v>
      </c>
      <c r="Z47" s="53">
        <v>6.9621574290591962E-3</v>
      </c>
      <c r="AA47" s="53">
        <v>6.892535854768604E-3</v>
      </c>
      <c r="AB47" s="53">
        <v>6.8236104962209176E-3</v>
      </c>
      <c r="AC47" s="53">
        <v>6.7553743912587083E-3</v>
      </c>
      <c r="AD47" s="53">
        <v>6.6878206473461209E-3</v>
      </c>
      <c r="AE47" s="53">
        <v>6.6209424408726599E-3</v>
      </c>
      <c r="AF47" s="53">
        <v>6.5547330164639336E-3</v>
      </c>
      <c r="AG47" s="53">
        <v>6.489185686299294E-3</v>
      </c>
      <c r="AH47" s="53">
        <v>6.4242938294363011E-3</v>
      </c>
      <c r="AI47" s="53">
        <v>6.3600508911419379E-3</v>
      </c>
      <c r="AJ47" s="53">
        <v>6.2964503822305184E-3</v>
      </c>
      <c r="AK47" s="53">
        <v>6.2334858784082129E-3</v>
      </c>
      <c r="AL47" s="53">
        <v>6.171151019624131E-3</v>
      </c>
      <c r="AM47" s="53">
        <v>6.10943950942789E-3</v>
      </c>
      <c r="AN47" s="53">
        <v>6.0483451143336113E-3</v>
      </c>
      <c r="AO47" s="53">
        <v>5.987861663190275E-3</v>
      </c>
      <c r="AP47" s="53">
        <v>5.9279830465583721E-3</v>
      </c>
      <c r="AQ47" s="53">
        <v>5.868703216092788E-3</v>
      </c>
      <c r="AR47" s="53">
        <v>5.8100161839318605E-3</v>
      </c>
      <c r="AS47" s="53">
        <v>5.7519160220925415E-3</v>
      </c>
      <c r="AT47" s="53">
        <v>5.6943968618716157E-3</v>
      </c>
      <c r="AU47" s="53">
        <v>5.6374528932528999E-3</v>
      </c>
      <c r="AV47" s="53">
        <v>5.5810783643203705E-3</v>
      </c>
      <c r="AW47" s="53">
        <v>5.5252675806771664E-3</v>
      </c>
      <c r="AX47" s="53">
        <v>5.4700149048703944E-3</v>
      </c>
      <c r="AY47" s="53">
        <v>5.41531475582169E-3</v>
      </c>
      <c r="AZ47" s="53">
        <v>5.3611616082634731E-3</v>
      </c>
      <c r="BA47" s="53">
        <v>5.3075499921808383E-3</v>
      </c>
      <c r="BB47" s="53">
        <v>5.2544744922590298E-3</v>
      </c>
      <c r="BC47" s="53">
        <v>5.2019297473364394E-3</v>
      </c>
      <c r="BD47" s="53">
        <v>5.1499104498630753E-3</v>
      </c>
      <c r="BE47" s="53">
        <v>5.0984113453644442E-3</v>
      </c>
      <c r="BF47" s="53">
        <v>5.0474272319107998E-3</v>
      </c>
      <c r="BG47" s="53">
        <v>4.9969529595916915E-3</v>
      </c>
      <c r="BH47" s="53">
        <v>4.9469834299957745E-3</v>
      </c>
      <c r="BI47" s="53">
        <v>4.8975135956958165E-3</v>
      </c>
      <c r="BJ47" s="53">
        <v>4.8485384597388584E-3</v>
      </c>
      <c r="BK47" s="53">
        <v>4.8000530751414697E-3</v>
      </c>
      <c r="BL47" s="53">
        <v>4.7520525443900553E-3</v>
      </c>
      <c r="BM47" s="53">
        <v>4.7045320189461545E-3</v>
      </c>
      <c r="BN47" s="53">
        <v>4.6574866987566929E-3</v>
      </c>
      <c r="BO47" s="53">
        <v>4.6109118317691263E-3</v>
      </c>
      <c r="BP47" s="53">
        <v>4.5648027134514348E-3</v>
      </c>
      <c r="BQ47" s="53">
        <v>4.51915468631692E-3</v>
      </c>
      <c r="BR47" s="53">
        <v>4.4739631394537507E-3</v>
      </c>
      <c r="BS47" s="53">
        <v>4.4292235080592131E-3</v>
      </c>
      <c r="BT47" s="53">
        <v>4.3849312729786214E-3</v>
      </c>
      <c r="BU47" s="53">
        <v>4.3410819602488354E-3</v>
      </c>
      <c r="BV47" s="53">
        <v>4.2976711406463473E-3</v>
      </c>
      <c r="BW47" s="53">
        <v>4.2546944292398839E-3</v>
      </c>
      <c r="BX47" s="53">
        <v>4.2121474849474852E-3</v>
      </c>
      <c r="BY47" s="53">
        <v>4.1700260100980104E-3</v>
      </c>
      <c r="BZ47" s="53">
        <v>4.1283257499970302E-3</v>
      </c>
      <c r="CA47" s="53">
        <v>4.0870424924970596E-3</v>
      </c>
      <c r="CB47" s="53">
        <v>4.0461720675720892E-3</v>
      </c>
      <c r="CC47" s="53">
        <v>4.0057103468963684E-3</v>
      </c>
      <c r="CD47" s="53">
        <v>3.9656532434274045E-3</v>
      </c>
      <c r="CE47" s="53">
        <v>3.92599671099313E-3</v>
      </c>
      <c r="CF47" s="53">
        <v>3.8867367438831985E-3</v>
      </c>
      <c r="CG47" s="53">
        <v>3.8478693764443664E-3</v>
      </c>
      <c r="CH47" s="53">
        <v>3.8093906826799227E-3</v>
      </c>
      <c r="CI47" s="53">
        <v>3.7712967758531234E-3</v>
      </c>
      <c r="CJ47" s="53">
        <v>3.7335838080945921E-3</v>
      </c>
      <c r="CK47" s="53">
        <v>3.696247970013646E-3</v>
      </c>
      <c r="CL47" s="53">
        <v>3.6592854903135094E-3</v>
      </c>
      <c r="CM47" s="53">
        <v>3.6226926354103743E-3</v>
      </c>
      <c r="CN47" s="53">
        <v>3.5864657090562703E-3</v>
      </c>
      <c r="CO47" s="53">
        <v>3.5506010519657078E-3</v>
      </c>
      <c r="CP47" s="53">
        <v>3.5150950414460508E-3</v>
      </c>
      <c r="CQ47" s="53">
        <v>3.4799440910315903E-3</v>
      </c>
      <c r="CR47" s="53">
        <v>3.4451446501212743E-3</v>
      </c>
      <c r="CS47" s="53">
        <v>3.4106932036200616E-3</v>
      </c>
      <c r="CT47" s="53">
        <v>3.3765862715838609E-3</v>
      </c>
      <c r="CU47" s="53">
        <v>3.3428204088680222E-3</v>
      </c>
      <c r="CV47" s="53">
        <v>3.3093922047793419E-3</v>
      </c>
      <c r="CW47" s="53">
        <v>3.2762982827315486E-3</v>
      </c>
      <c r="CX47" s="53">
        <v>3.243535299904233E-3</v>
      </c>
      <c r="CY47" s="28">
        <v>3.2110999469051908E-3</v>
      </c>
    </row>
    <row r="48" spans="1:103">
      <c r="A48" s="54">
        <v>66</v>
      </c>
      <c r="B48" s="54">
        <v>8.8210000000000007E-3</v>
      </c>
      <c r="C48" s="54">
        <v>8.7795413000000006E-3</v>
      </c>
      <c r="D48" s="54">
        <v>8.7479349513200008E-3</v>
      </c>
      <c r="E48" s="54">
        <v>8.7251903204465676E-3</v>
      </c>
      <c r="F48" s="54">
        <v>8.7094849778697643E-3</v>
      </c>
      <c r="G48" s="54">
        <v>8.6981626473985347E-3</v>
      </c>
      <c r="H48" s="54">
        <v>8.6868550359569165E-3</v>
      </c>
      <c r="I48" s="54">
        <v>8.6729560678993848E-3</v>
      </c>
      <c r="J48" s="54">
        <v>8.6521409733364262E-3</v>
      </c>
      <c r="K48" s="54">
        <v>8.6235889081244157E-3</v>
      </c>
      <c r="L48" s="54">
        <v>8.5847827580378556E-3</v>
      </c>
      <c r="M48" s="54">
        <v>8.5367079745928432E-3</v>
      </c>
      <c r="N48" s="54">
        <v>8.4786583603656124E-3</v>
      </c>
      <c r="O48" s="54">
        <v>8.4125248251547598E-3</v>
      </c>
      <c r="P48" s="54">
        <v>8.340177111658428E-3</v>
      </c>
      <c r="Q48" s="54">
        <v>8.2634474822311701E-3</v>
      </c>
      <c r="R48" s="54">
        <v>8.1841183864017498E-3</v>
      </c>
      <c r="S48" s="54">
        <v>8.1039140262150131E-3</v>
      </c>
      <c r="T48" s="53">
        <v>8.023685277355485E-3</v>
      </c>
      <c r="U48" s="53">
        <v>7.9434484245819292E-3</v>
      </c>
      <c r="V48" s="53">
        <v>7.8640139403361106E-3</v>
      </c>
      <c r="W48" s="53">
        <v>7.7853738009327498E-3</v>
      </c>
      <c r="X48" s="53">
        <v>7.7075200629234224E-3</v>
      </c>
      <c r="Y48" s="53">
        <v>7.6304448622941884E-3</v>
      </c>
      <c r="Z48" s="53">
        <v>7.5541404136712465E-3</v>
      </c>
      <c r="AA48" s="53">
        <v>7.4785990095345336E-3</v>
      </c>
      <c r="AB48" s="53">
        <v>7.4038130194391885E-3</v>
      </c>
      <c r="AC48" s="53">
        <v>7.3297748892447966E-3</v>
      </c>
      <c r="AD48" s="53">
        <v>7.2564771403523486E-3</v>
      </c>
      <c r="AE48" s="53">
        <v>7.1839123689488252E-3</v>
      </c>
      <c r="AF48" s="53">
        <v>7.1120732452593372E-3</v>
      </c>
      <c r="AG48" s="53">
        <v>7.0409525128067437E-3</v>
      </c>
      <c r="AH48" s="53">
        <v>6.9705429876786764E-3</v>
      </c>
      <c r="AI48" s="53">
        <v>6.9008375578018897E-3</v>
      </c>
      <c r="AJ48" s="53">
        <v>6.8318291822238707E-3</v>
      </c>
      <c r="AK48" s="53">
        <v>6.7635108904016321E-3</v>
      </c>
      <c r="AL48" s="53">
        <v>6.6958757814976153E-3</v>
      </c>
      <c r="AM48" s="53">
        <v>6.628917023682639E-3</v>
      </c>
      <c r="AN48" s="53">
        <v>6.5626278534458128E-3</v>
      </c>
      <c r="AO48" s="53">
        <v>6.4970015749113543E-3</v>
      </c>
      <c r="AP48" s="53">
        <v>6.4320315591622403E-3</v>
      </c>
      <c r="AQ48" s="53">
        <v>6.3677112435706175E-3</v>
      </c>
      <c r="AR48" s="53">
        <v>6.3040341311349111E-3</v>
      </c>
      <c r="AS48" s="53">
        <v>6.2409937898235618E-3</v>
      </c>
      <c r="AT48" s="53">
        <v>6.1785838519253259E-3</v>
      </c>
      <c r="AU48" s="53">
        <v>6.1167980134060728E-3</v>
      </c>
      <c r="AV48" s="53">
        <v>6.0556300332720121E-3</v>
      </c>
      <c r="AW48" s="53">
        <v>5.9950737329392918E-3</v>
      </c>
      <c r="AX48" s="53">
        <v>5.9351229956098985E-3</v>
      </c>
      <c r="AY48" s="53">
        <v>5.8757717656537992E-3</v>
      </c>
      <c r="AZ48" s="53">
        <v>5.8170140479972612E-3</v>
      </c>
      <c r="BA48" s="53">
        <v>5.7588439075172883E-3</v>
      </c>
      <c r="BB48" s="53">
        <v>5.7012554684421155E-3</v>
      </c>
      <c r="BC48" s="53">
        <v>5.6442429137576943E-3</v>
      </c>
      <c r="BD48" s="53">
        <v>5.587800484620117E-3</v>
      </c>
      <c r="BE48" s="53">
        <v>5.5319224797739158E-3</v>
      </c>
      <c r="BF48" s="53">
        <v>5.4766032549761765E-3</v>
      </c>
      <c r="BG48" s="53">
        <v>5.4218372224264146E-3</v>
      </c>
      <c r="BH48" s="53">
        <v>5.3676188502021502E-3</v>
      </c>
      <c r="BI48" s="53">
        <v>5.313942661700129E-3</v>
      </c>
      <c r="BJ48" s="53">
        <v>5.260803235083128E-3</v>
      </c>
      <c r="BK48" s="53">
        <v>5.2081952027322968E-3</v>
      </c>
      <c r="BL48" s="53">
        <v>5.1561132507049736E-3</v>
      </c>
      <c r="BM48" s="53">
        <v>5.1045521181979237E-3</v>
      </c>
      <c r="BN48" s="53">
        <v>5.0535065970159446E-3</v>
      </c>
      <c r="BO48" s="53">
        <v>5.0029715310457848E-3</v>
      </c>
      <c r="BP48" s="53">
        <v>4.9529418157353271E-3</v>
      </c>
      <c r="BQ48" s="53">
        <v>4.9034123975779742E-3</v>
      </c>
      <c r="BR48" s="53">
        <v>4.8543782736021942E-3</v>
      </c>
      <c r="BS48" s="53">
        <v>4.8058344908661725E-3</v>
      </c>
      <c r="BT48" s="53">
        <v>4.7577761459575109E-3</v>
      </c>
      <c r="BU48" s="53">
        <v>4.7101983844979357E-3</v>
      </c>
      <c r="BV48" s="53">
        <v>4.6630964006529564E-3</v>
      </c>
      <c r="BW48" s="53">
        <v>4.6164654366464266E-3</v>
      </c>
      <c r="BX48" s="53">
        <v>4.5703007822799624E-3</v>
      </c>
      <c r="BY48" s="53">
        <v>4.5245977744571625E-3</v>
      </c>
      <c r="BZ48" s="53">
        <v>4.4793517967125912E-3</v>
      </c>
      <c r="CA48" s="53">
        <v>4.434558278745465E-3</v>
      </c>
      <c r="CB48" s="53">
        <v>4.3902126959580101E-3</v>
      </c>
      <c r="CC48" s="53">
        <v>4.3463105689984299E-3</v>
      </c>
      <c r="CD48" s="53">
        <v>4.3028474633084457E-3</v>
      </c>
      <c r="CE48" s="53">
        <v>4.2598189886753615E-3</v>
      </c>
      <c r="CF48" s="53">
        <v>4.217220798788608E-3</v>
      </c>
      <c r="CG48" s="53">
        <v>4.1750485908007215E-3</v>
      </c>
      <c r="CH48" s="53">
        <v>4.133298104892714E-3</v>
      </c>
      <c r="CI48" s="53">
        <v>4.0919651238437871E-3</v>
      </c>
      <c r="CJ48" s="53">
        <v>4.0510454726053495E-3</v>
      </c>
      <c r="CK48" s="53">
        <v>4.0105350178792961E-3</v>
      </c>
      <c r="CL48" s="53">
        <v>3.9704296677005027E-3</v>
      </c>
      <c r="CM48" s="53">
        <v>3.9307253710234979E-3</v>
      </c>
      <c r="CN48" s="53">
        <v>3.8914181173132631E-3</v>
      </c>
      <c r="CO48" s="53">
        <v>3.8525039361401304E-3</v>
      </c>
      <c r="CP48" s="53">
        <v>3.813978896778729E-3</v>
      </c>
      <c r="CQ48" s="53">
        <v>3.7758391078109416E-3</v>
      </c>
      <c r="CR48" s="53">
        <v>3.7380807167328323E-3</v>
      </c>
      <c r="CS48" s="53">
        <v>3.7006999095655041E-3</v>
      </c>
      <c r="CT48" s="53">
        <v>3.6636929104698489E-3</v>
      </c>
      <c r="CU48" s="53">
        <v>3.6270559813651503E-3</v>
      </c>
      <c r="CV48" s="53">
        <v>3.5907854215514986E-3</v>
      </c>
      <c r="CW48" s="53">
        <v>3.5548775673359834E-3</v>
      </c>
      <c r="CX48" s="53">
        <v>3.5193287916626234E-3</v>
      </c>
      <c r="CY48" s="28">
        <v>3.4841355037459974E-3</v>
      </c>
    </row>
    <row r="49" spans="1:103">
      <c r="A49" s="54">
        <v>67</v>
      </c>
      <c r="B49" s="54">
        <v>9.6790000000000001E-3</v>
      </c>
      <c r="C49" s="54">
        <v>9.6141506999999991E-3</v>
      </c>
      <c r="D49" s="54">
        <v>9.5593500410099987E-3</v>
      </c>
      <c r="E49" s="54">
        <v>9.514421095817252E-3</v>
      </c>
      <c r="F49" s="54">
        <v>9.4792177377627275E-3</v>
      </c>
      <c r="G49" s="54">
        <v>9.4507800845494393E-3</v>
      </c>
      <c r="H49" s="54">
        <v>9.4271531343380656E-3</v>
      </c>
      <c r="I49" s="54">
        <v>9.4045279668156546E-3</v>
      </c>
      <c r="J49" s="54">
        <v>9.3791357413052518E-3</v>
      </c>
      <c r="K49" s="54">
        <v>9.3472466797848135E-3</v>
      </c>
      <c r="L49" s="54">
        <v>9.3070535190617389E-3</v>
      </c>
      <c r="M49" s="54">
        <v>9.2577261354107113E-3</v>
      </c>
      <c r="N49" s="54">
        <v>9.1984766881440822E-3</v>
      </c>
      <c r="O49" s="54">
        <v>9.1304079606518169E-3</v>
      </c>
      <c r="P49" s="54">
        <v>9.0546255745784076E-3</v>
      </c>
      <c r="Q49" s="54">
        <v>8.9731339444072012E-3</v>
      </c>
      <c r="R49" s="54">
        <v>8.8878891719353335E-3</v>
      </c>
      <c r="S49" s="54">
        <v>8.8007878580503678E-3</v>
      </c>
      <c r="T49" s="53">
        <v>8.7136600582556692E-3</v>
      </c>
      <c r="U49" s="53">
        <v>8.6265234576731117E-3</v>
      </c>
      <c r="V49" s="53">
        <v>8.5402582230963801E-3</v>
      </c>
      <c r="W49" s="53">
        <v>8.454855640865417E-3</v>
      </c>
      <c r="X49" s="53">
        <v>8.3703070844567632E-3</v>
      </c>
      <c r="Y49" s="53">
        <v>8.2866040136121959E-3</v>
      </c>
      <c r="Z49" s="53">
        <v>8.2037379734760732E-3</v>
      </c>
      <c r="AA49" s="53">
        <v>8.1217005937413121E-3</v>
      </c>
      <c r="AB49" s="53">
        <v>8.0404835878038986E-3</v>
      </c>
      <c r="AC49" s="53">
        <v>7.960078751925859E-3</v>
      </c>
      <c r="AD49" s="53">
        <v>7.8804779644066E-3</v>
      </c>
      <c r="AE49" s="53">
        <v>7.8016731847625337E-3</v>
      </c>
      <c r="AF49" s="53">
        <v>7.7236564529149085E-3</v>
      </c>
      <c r="AG49" s="53">
        <v>7.6464198883857597E-3</v>
      </c>
      <c r="AH49" s="53">
        <v>7.5699556895019024E-3</v>
      </c>
      <c r="AI49" s="53">
        <v>7.4942561326068833E-3</v>
      </c>
      <c r="AJ49" s="53">
        <v>7.4193135712808146E-3</v>
      </c>
      <c r="AK49" s="53">
        <v>7.3451204355680063E-3</v>
      </c>
      <c r="AL49" s="53">
        <v>7.2716692312123259E-3</v>
      </c>
      <c r="AM49" s="53">
        <v>7.1989525389002029E-3</v>
      </c>
      <c r="AN49" s="53">
        <v>7.1269630135112009E-3</v>
      </c>
      <c r="AO49" s="53">
        <v>7.0556933833760887E-3</v>
      </c>
      <c r="AP49" s="53">
        <v>6.9851364495423281E-3</v>
      </c>
      <c r="AQ49" s="53">
        <v>6.9152850850469046E-3</v>
      </c>
      <c r="AR49" s="53">
        <v>6.8461322341964352E-3</v>
      </c>
      <c r="AS49" s="53">
        <v>6.7776709118544708E-3</v>
      </c>
      <c r="AT49" s="53">
        <v>6.7098942027359262E-3</v>
      </c>
      <c r="AU49" s="53">
        <v>6.6427952607085667E-3</v>
      </c>
      <c r="AV49" s="53">
        <v>6.5763673081014806E-3</v>
      </c>
      <c r="AW49" s="53">
        <v>6.5106036350204661E-3</v>
      </c>
      <c r="AX49" s="53">
        <v>6.4454975986702615E-3</v>
      </c>
      <c r="AY49" s="53">
        <v>6.3810426226835592E-3</v>
      </c>
      <c r="AZ49" s="53">
        <v>6.3172321964567232E-3</v>
      </c>
      <c r="BA49" s="53">
        <v>6.254059874492156E-3</v>
      </c>
      <c r="BB49" s="53">
        <v>6.1915192757472344E-3</v>
      </c>
      <c r="BC49" s="53">
        <v>6.1296040829897621E-3</v>
      </c>
      <c r="BD49" s="53">
        <v>6.0683080421598647E-3</v>
      </c>
      <c r="BE49" s="53">
        <v>6.0076249617382659E-3</v>
      </c>
      <c r="BF49" s="53">
        <v>5.9475487121208835E-3</v>
      </c>
      <c r="BG49" s="53">
        <v>5.8880732249996749E-3</v>
      </c>
      <c r="BH49" s="53">
        <v>5.8291924927496783E-3</v>
      </c>
      <c r="BI49" s="53">
        <v>5.7709005678221814E-3</v>
      </c>
      <c r="BJ49" s="53">
        <v>5.7131915621439593E-3</v>
      </c>
      <c r="BK49" s="53">
        <v>5.6560596465225193E-3</v>
      </c>
      <c r="BL49" s="53">
        <v>5.5994990500572942E-3</v>
      </c>
      <c r="BM49" s="53">
        <v>5.543504059556721E-3</v>
      </c>
      <c r="BN49" s="53">
        <v>5.4880690189611538E-3</v>
      </c>
      <c r="BO49" s="53">
        <v>5.4331883287715424E-3</v>
      </c>
      <c r="BP49" s="53">
        <v>5.3788564454838265E-3</v>
      </c>
      <c r="BQ49" s="53">
        <v>5.3250678810289878E-3</v>
      </c>
      <c r="BR49" s="53">
        <v>5.2718172022186982E-3</v>
      </c>
      <c r="BS49" s="53">
        <v>5.2190990301965116E-3</v>
      </c>
      <c r="BT49" s="53">
        <v>5.1669080398945464E-3</v>
      </c>
      <c r="BU49" s="53">
        <v>5.1152389594956013E-3</v>
      </c>
      <c r="BV49" s="53">
        <v>5.0640865699006455E-3</v>
      </c>
      <c r="BW49" s="53">
        <v>5.0134457042016389E-3</v>
      </c>
      <c r="BX49" s="53">
        <v>4.9633112471596224E-3</v>
      </c>
      <c r="BY49" s="53">
        <v>4.9136781346880258E-3</v>
      </c>
      <c r="BZ49" s="53">
        <v>4.8645413533411454E-3</v>
      </c>
      <c r="CA49" s="53">
        <v>4.815895939807734E-3</v>
      </c>
      <c r="CB49" s="53">
        <v>4.767736980409657E-3</v>
      </c>
      <c r="CC49" s="53">
        <v>4.7200596106055604E-3</v>
      </c>
      <c r="CD49" s="53">
        <v>4.6728590144995046E-3</v>
      </c>
      <c r="CE49" s="53">
        <v>4.6261304243545099E-3</v>
      </c>
      <c r="CF49" s="53">
        <v>4.5798691201109649E-3</v>
      </c>
      <c r="CG49" s="53">
        <v>4.534070428909855E-3</v>
      </c>
      <c r="CH49" s="53">
        <v>4.4887297246207561E-3</v>
      </c>
      <c r="CI49" s="53">
        <v>4.4438424273745489E-3</v>
      </c>
      <c r="CJ49" s="53">
        <v>4.3994040031008035E-3</v>
      </c>
      <c r="CK49" s="53">
        <v>4.3554099630697951E-3</v>
      </c>
      <c r="CL49" s="53">
        <v>4.311855863439097E-3</v>
      </c>
      <c r="CM49" s="53">
        <v>4.2687373048047057E-3</v>
      </c>
      <c r="CN49" s="53">
        <v>4.2260499317566588E-3</v>
      </c>
      <c r="CO49" s="53">
        <v>4.1837894324390917E-3</v>
      </c>
      <c r="CP49" s="53">
        <v>4.1419515381147009E-3</v>
      </c>
      <c r="CQ49" s="53">
        <v>4.1005320227335542E-3</v>
      </c>
      <c r="CR49" s="53">
        <v>4.0595267025062189E-3</v>
      </c>
      <c r="CS49" s="53">
        <v>4.0189314354811571E-3</v>
      </c>
      <c r="CT49" s="53">
        <v>3.9787421211263455E-3</v>
      </c>
      <c r="CU49" s="53">
        <v>3.9389546999150822E-3</v>
      </c>
      <c r="CV49" s="53">
        <v>3.8995651529159315E-3</v>
      </c>
      <c r="CW49" s="53">
        <v>3.8605695013867723E-3</v>
      </c>
      <c r="CX49" s="53">
        <v>3.8219638063729045E-3</v>
      </c>
      <c r="CY49" s="28">
        <v>3.7837441683091755E-3</v>
      </c>
    </row>
    <row r="50" spans="1:103">
      <c r="A50" s="54">
        <v>68</v>
      </c>
      <c r="B50" s="54">
        <v>1.0633E-2</v>
      </c>
      <c r="C50" s="54">
        <v>1.05458094E-2</v>
      </c>
      <c r="D50" s="54">
        <v>1.0467770410440001E-2</v>
      </c>
      <c r="E50" s="54">
        <v>1.0400776679813185E-2</v>
      </c>
      <c r="F50" s="54">
        <v>1.0344612485742194E-2</v>
      </c>
      <c r="G50" s="54">
        <v>1.0298061729556355E-2</v>
      </c>
      <c r="H50" s="54">
        <v>1.0258929094984041E-2</v>
      </c>
      <c r="I50" s="54">
        <v>1.0224048736061097E-2</v>
      </c>
      <c r="J50" s="54">
        <v>1.0190309375232095E-2</v>
      </c>
      <c r="K50" s="54">
        <v>1.0152605230543735E-2</v>
      </c>
      <c r="L50" s="54">
        <v>1.0108949028052398E-2</v>
      </c>
      <c r="M50" s="54">
        <v>1.0057393388009331E-2</v>
      </c>
      <c r="N50" s="54">
        <v>9.9960432883424745E-3</v>
      </c>
      <c r="O50" s="54">
        <v>9.9250713809952429E-3</v>
      </c>
      <c r="P50" s="54">
        <v>9.8456708099472802E-3</v>
      </c>
      <c r="Q50" s="54">
        <v>9.7590289068197437E-3</v>
      </c>
      <c r="R50" s="54">
        <v>9.6682699379863207E-3</v>
      </c>
      <c r="S50" s="54">
        <v>9.5744877195878524E-3</v>
      </c>
      <c r="T50" s="53">
        <v>9.4797002911639321E-3</v>
      </c>
      <c r="U50" s="53">
        <v>9.3849032882522936E-3</v>
      </c>
      <c r="V50" s="53">
        <v>9.2910542553697704E-3</v>
      </c>
      <c r="W50" s="53">
        <v>9.1981437128160724E-3</v>
      </c>
      <c r="X50" s="53">
        <v>9.106162275687911E-3</v>
      </c>
      <c r="Y50" s="53">
        <v>9.015100652931032E-3</v>
      </c>
      <c r="Z50" s="53">
        <v>8.9249496464017218E-3</v>
      </c>
      <c r="AA50" s="53">
        <v>8.8357001499377048E-3</v>
      </c>
      <c r="AB50" s="53">
        <v>8.747343148438327E-3</v>
      </c>
      <c r="AC50" s="53">
        <v>8.659869716953943E-3</v>
      </c>
      <c r="AD50" s="53">
        <v>8.5732710197844036E-3</v>
      </c>
      <c r="AE50" s="53">
        <v>8.4875383095865588E-3</v>
      </c>
      <c r="AF50" s="53">
        <v>8.4026629264906932E-3</v>
      </c>
      <c r="AG50" s="53">
        <v>8.3186362972257864E-3</v>
      </c>
      <c r="AH50" s="53">
        <v>8.2354499342535293E-3</v>
      </c>
      <c r="AI50" s="53">
        <v>8.1530954349109935E-3</v>
      </c>
      <c r="AJ50" s="53">
        <v>8.0715644805618835E-3</v>
      </c>
      <c r="AK50" s="53">
        <v>7.9908488357562646E-3</v>
      </c>
      <c r="AL50" s="53">
        <v>7.9109403473987018E-3</v>
      </c>
      <c r="AM50" s="53">
        <v>7.8318309439247141E-3</v>
      </c>
      <c r="AN50" s="53">
        <v>7.7535126344854665E-3</v>
      </c>
      <c r="AO50" s="53">
        <v>7.6759775081406117E-3</v>
      </c>
      <c r="AP50" s="53">
        <v>7.5992177330592055E-3</v>
      </c>
      <c r="AQ50" s="53">
        <v>7.523225555728613E-3</v>
      </c>
      <c r="AR50" s="53">
        <v>7.447993300171327E-3</v>
      </c>
      <c r="AS50" s="53">
        <v>7.3735133671696141E-3</v>
      </c>
      <c r="AT50" s="53">
        <v>7.2997782334979179E-3</v>
      </c>
      <c r="AU50" s="53">
        <v>7.226780451162939E-3</v>
      </c>
      <c r="AV50" s="53">
        <v>7.1545126466513098E-3</v>
      </c>
      <c r="AW50" s="53">
        <v>7.0829675201847962E-3</v>
      </c>
      <c r="AX50" s="53">
        <v>7.0121378449829481E-3</v>
      </c>
      <c r="AY50" s="53">
        <v>6.9420164665331182E-3</v>
      </c>
      <c r="AZ50" s="53">
        <v>6.8725963018677868E-3</v>
      </c>
      <c r="BA50" s="53">
        <v>6.8038703388491086E-3</v>
      </c>
      <c r="BB50" s="53">
        <v>6.7358316354606176E-3</v>
      </c>
      <c r="BC50" s="53">
        <v>6.668473319106011E-3</v>
      </c>
      <c r="BD50" s="53">
        <v>6.601788585914951E-3</v>
      </c>
      <c r="BE50" s="53">
        <v>6.5357707000558013E-3</v>
      </c>
      <c r="BF50" s="53">
        <v>6.4704129930552431E-3</v>
      </c>
      <c r="BG50" s="53">
        <v>6.4057088631246911E-3</v>
      </c>
      <c r="BH50" s="53">
        <v>6.3416517744934444E-3</v>
      </c>
      <c r="BI50" s="53">
        <v>6.2782352567485097E-3</v>
      </c>
      <c r="BJ50" s="53">
        <v>6.2154529041810241E-3</v>
      </c>
      <c r="BK50" s="53">
        <v>6.1532983751392137E-3</v>
      </c>
      <c r="BL50" s="53">
        <v>6.0917653913878213E-3</v>
      </c>
      <c r="BM50" s="53">
        <v>6.0308477374739428E-3</v>
      </c>
      <c r="BN50" s="53">
        <v>5.970539260099203E-3</v>
      </c>
      <c r="BO50" s="53">
        <v>5.9108338674982112E-3</v>
      </c>
      <c r="BP50" s="53">
        <v>5.8517255288232286E-3</v>
      </c>
      <c r="BQ50" s="53">
        <v>5.7932082735349961E-3</v>
      </c>
      <c r="BR50" s="53">
        <v>5.7352761907996461E-3</v>
      </c>
      <c r="BS50" s="53">
        <v>5.6779234288916493E-3</v>
      </c>
      <c r="BT50" s="53">
        <v>5.621144194602733E-3</v>
      </c>
      <c r="BU50" s="53">
        <v>5.5649327526567059E-3</v>
      </c>
      <c r="BV50" s="53">
        <v>5.5092834251301388E-3</v>
      </c>
      <c r="BW50" s="53">
        <v>5.4541905908788374E-3</v>
      </c>
      <c r="BX50" s="53">
        <v>5.3996486849700494E-3</v>
      </c>
      <c r="BY50" s="53">
        <v>5.3456521981203485E-3</v>
      </c>
      <c r="BZ50" s="53">
        <v>5.2921956761391451E-3</v>
      </c>
      <c r="CA50" s="53">
        <v>5.2392737193777536E-3</v>
      </c>
      <c r="CB50" s="53">
        <v>5.1868809821839761E-3</v>
      </c>
      <c r="CC50" s="53">
        <v>5.1350121723621363E-3</v>
      </c>
      <c r="CD50" s="53">
        <v>5.0836620506385152E-3</v>
      </c>
      <c r="CE50" s="53">
        <v>5.0328254301321299E-3</v>
      </c>
      <c r="CF50" s="53">
        <v>4.9824971758308089E-3</v>
      </c>
      <c r="CG50" s="53">
        <v>4.932672204072501E-3</v>
      </c>
      <c r="CH50" s="53">
        <v>4.8833454820317763E-3</v>
      </c>
      <c r="CI50" s="53">
        <v>4.8345120272114588E-3</v>
      </c>
      <c r="CJ50" s="53">
        <v>4.7861669069393445E-3</v>
      </c>
      <c r="CK50" s="53">
        <v>4.7383052378699511E-3</v>
      </c>
      <c r="CL50" s="53">
        <v>4.6909221854912518E-3</v>
      </c>
      <c r="CM50" s="53">
        <v>4.6440129636363394E-3</v>
      </c>
      <c r="CN50" s="53">
        <v>4.5975728339999761E-3</v>
      </c>
      <c r="CO50" s="53">
        <v>4.5515971056599765E-3</v>
      </c>
      <c r="CP50" s="53">
        <v>4.5060811346033765E-3</v>
      </c>
      <c r="CQ50" s="53">
        <v>4.4610203232573423E-3</v>
      </c>
      <c r="CR50" s="53">
        <v>4.4164101200247687E-3</v>
      </c>
      <c r="CS50" s="53">
        <v>4.3722460188245207E-3</v>
      </c>
      <c r="CT50" s="53">
        <v>4.3285235586362752E-3</v>
      </c>
      <c r="CU50" s="53">
        <v>4.2852383230499126E-3</v>
      </c>
      <c r="CV50" s="53">
        <v>4.2423859398194137E-3</v>
      </c>
      <c r="CW50" s="53">
        <v>4.1999620804212198E-3</v>
      </c>
      <c r="CX50" s="53">
        <v>4.1579624596170079E-3</v>
      </c>
      <c r="CY50" s="28">
        <v>4.1163828350208381E-3</v>
      </c>
    </row>
    <row r="51" spans="1:103">
      <c r="A51" s="54">
        <v>69</v>
      </c>
      <c r="B51" s="54">
        <v>1.1691999999999999E-2</v>
      </c>
      <c r="C51" s="54">
        <v>1.1585602799999999E-2</v>
      </c>
      <c r="D51" s="54">
        <v>1.1485966615919998E-2</v>
      </c>
      <c r="E51" s="54">
        <v>1.1396376076315821E-2</v>
      </c>
      <c r="F51" s="54">
        <v>1.1317741081389242E-2</v>
      </c>
      <c r="G51" s="54">
        <v>1.1250966409009045E-2</v>
      </c>
      <c r="H51" s="54">
        <v>1.1193586480323099E-2</v>
      </c>
      <c r="I51" s="54">
        <v>1.1143215341161646E-2</v>
      </c>
      <c r="J51" s="54">
        <v>1.1097528158262883E-2</v>
      </c>
      <c r="K51" s="54">
        <v>1.1052028292814004E-2</v>
      </c>
      <c r="L51" s="54">
        <v>1.1002294165496342E-2</v>
      </c>
      <c r="M51" s="54">
        <v>1.0946182465252311E-2</v>
      </c>
      <c r="N51" s="54">
        <v>1.0880505370460798E-2</v>
      </c>
      <c r="O51" s="54">
        <v>1.0805429883404619E-2</v>
      </c>
      <c r="P51" s="54">
        <v>1.0721147530314062E-2</v>
      </c>
      <c r="Q51" s="54">
        <v>1.062894566155336E-2</v>
      </c>
      <c r="R51" s="54">
        <v>1.053115936146707E-2</v>
      </c>
      <c r="S51" s="54">
        <v>1.0430060231596986E-2</v>
      </c>
      <c r="T51" s="53">
        <v>1.0326802635304175E-2</v>
      </c>
      <c r="U51" s="53">
        <v>1.0223534608951134E-2</v>
      </c>
      <c r="V51" s="53">
        <v>1.0121299262861622E-2</v>
      </c>
      <c r="W51" s="53">
        <v>1.0020086270233005E-2</v>
      </c>
      <c r="X51" s="53">
        <v>9.9198854075306757E-3</v>
      </c>
      <c r="Y51" s="53">
        <v>9.8206865534553687E-3</v>
      </c>
      <c r="Z51" s="53">
        <v>9.7224796879208149E-3</v>
      </c>
      <c r="AA51" s="53">
        <v>9.6252548910416066E-3</v>
      </c>
      <c r="AB51" s="53">
        <v>9.5290023421311897E-3</v>
      </c>
      <c r="AC51" s="53">
        <v>9.4337123187098783E-3</v>
      </c>
      <c r="AD51" s="53">
        <v>9.339375195522779E-3</v>
      </c>
      <c r="AE51" s="53">
        <v>9.2459814435675511E-3</v>
      </c>
      <c r="AF51" s="53">
        <v>9.1535216291318763E-3</v>
      </c>
      <c r="AG51" s="53">
        <v>9.0619864128405579E-3</v>
      </c>
      <c r="AH51" s="53">
        <v>8.9713665487121518E-3</v>
      </c>
      <c r="AI51" s="53">
        <v>8.8816528832250299E-3</v>
      </c>
      <c r="AJ51" s="53">
        <v>8.7928363543927791E-3</v>
      </c>
      <c r="AK51" s="53">
        <v>8.7049079908488505E-3</v>
      </c>
      <c r="AL51" s="53">
        <v>8.6178589109403621E-3</v>
      </c>
      <c r="AM51" s="53">
        <v>8.5316803218309593E-3</v>
      </c>
      <c r="AN51" s="53">
        <v>8.4463635186126495E-3</v>
      </c>
      <c r="AO51" s="53">
        <v>8.3618998834265237E-3</v>
      </c>
      <c r="AP51" s="53">
        <v>8.2782808845922578E-3</v>
      </c>
      <c r="AQ51" s="53">
        <v>8.1954980757463353E-3</v>
      </c>
      <c r="AR51" s="53">
        <v>8.1135430949888718E-3</v>
      </c>
      <c r="AS51" s="53">
        <v>8.0324076640389836E-3</v>
      </c>
      <c r="AT51" s="53">
        <v>7.9520835873985937E-3</v>
      </c>
      <c r="AU51" s="53">
        <v>7.8725627515246078E-3</v>
      </c>
      <c r="AV51" s="53">
        <v>7.7938371240093614E-3</v>
      </c>
      <c r="AW51" s="53">
        <v>7.7158987527692676E-3</v>
      </c>
      <c r="AX51" s="53">
        <v>7.6387397652415753E-3</v>
      </c>
      <c r="AY51" s="53">
        <v>7.5623523675891592E-3</v>
      </c>
      <c r="AZ51" s="53">
        <v>7.4867288439132672E-3</v>
      </c>
      <c r="BA51" s="53">
        <v>7.4118615554741342E-3</v>
      </c>
      <c r="BB51" s="53">
        <v>7.3377429399193927E-3</v>
      </c>
      <c r="BC51" s="53">
        <v>7.2643655105201991E-3</v>
      </c>
      <c r="BD51" s="53">
        <v>7.1917218554149974E-3</v>
      </c>
      <c r="BE51" s="53">
        <v>7.1198046368608475E-3</v>
      </c>
      <c r="BF51" s="53">
        <v>7.0486065904922391E-3</v>
      </c>
      <c r="BG51" s="53">
        <v>6.9781205245873163E-3</v>
      </c>
      <c r="BH51" s="53">
        <v>6.9083393193414434E-3</v>
      </c>
      <c r="BI51" s="53">
        <v>6.8392559261480287E-3</v>
      </c>
      <c r="BJ51" s="53">
        <v>6.7708633668865483E-3</v>
      </c>
      <c r="BK51" s="53">
        <v>6.703154733217683E-3</v>
      </c>
      <c r="BL51" s="53">
        <v>6.6361231858855065E-3</v>
      </c>
      <c r="BM51" s="53">
        <v>6.5697619540266514E-3</v>
      </c>
      <c r="BN51" s="53">
        <v>6.5040643344863851E-3</v>
      </c>
      <c r="BO51" s="53">
        <v>6.4390236911415211E-3</v>
      </c>
      <c r="BP51" s="53">
        <v>6.374633454230106E-3</v>
      </c>
      <c r="BQ51" s="53">
        <v>6.3108871196878051E-3</v>
      </c>
      <c r="BR51" s="53">
        <v>6.2477782484909273E-3</v>
      </c>
      <c r="BS51" s="53">
        <v>6.185300466006018E-3</v>
      </c>
      <c r="BT51" s="53">
        <v>6.1234474613459577E-3</v>
      </c>
      <c r="BU51" s="53">
        <v>6.0622129867324978E-3</v>
      </c>
      <c r="BV51" s="53">
        <v>6.0015908568651728E-3</v>
      </c>
      <c r="BW51" s="53">
        <v>5.941574948296521E-3</v>
      </c>
      <c r="BX51" s="53">
        <v>5.8821591988135555E-3</v>
      </c>
      <c r="BY51" s="53">
        <v>5.8233376068254203E-3</v>
      </c>
      <c r="BZ51" s="53">
        <v>5.765104230757166E-3</v>
      </c>
      <c r="CA51" s="53">
        <v>5.707453188449594E-3</v>
      </c>
      <c r="CB51" s="53">
        <v>5.6503786565650976E-3</v>
      </c>
      <c r="CC51" s="53">
        <v>5.5938748699994462E-3</v>
      </c>
      <c r="CD51" s="53">
        <v>5.5379361212994516E-3</v>
      </c>
      <c r="CE51" s="53">
        <v>5.4825567600864569E-3</v>
      </c>
      <c r="CF51" s="53">
        <v>5.4277311924855924E-3</v>
      </c>
      <c r="CG51" s="53">
        <v>5.3734538805607366E-3</v>
      </c>
      <c r="CH51" s="53">
        <v>5.3197193417551291E-3</v>
      </c>
      <c r="CI51" s="53">
        <v>5.2665221483375775E-3</v>
      </c>
      <c r="CJ51" s="53">
        <v>5.2138569268542021E-3</v>
      </c>
      <c r="CK51" s="53">
        <v>5.1617183575856599E-3</v>
      </c>
      <c r="CL51" s="53">
        <v>5.1101011740098037E-3</v>
      </c>
      <c r="CM51" s="53">
        <v>5.0590001622697056E-3</v>
      </c>
      <c r="CN51" s="53">
        <v>5.0084101606470083E-3</v>
      </c>
      <c r="CO51" s="53">
        <v>4.958326059040538E-3</v>
      </c>
      <c r="CP51" s="53">
        <v>4.9087427984501322E-3</v>
      </c>
      <c r="CQ51" s="53">
        <v>4.8596553704656304E-3</v>
      </c>
      <c r="CR51" s="53">
        <v>4.811058816760974E-3</v>
      </c>
      <c r="CS51" s="53">
        <v>4.7629482285933642E-3</v>
      </c>
      <c r="CT51" s="53">
        <v>4.7153187463074304E-3</v>
      </c>
      <c r="CU51" s="53">
        <v>4.6681655588443564E-3</v>
      </c>
      <c r="CV51" s="53">
        <v>4.6214839032559128E-3</v>
      </c>
      <c r="CW51" s="53">
        <v>4.5752690642233539E-3</v>
      </c>
      <c r="CX51" s="53">
        <v>4.52951637358112E-3</v>
      </c>
      <c r="CY51" s="28">
        <v>4.4842212098453087E-3</v>
      </c>
    </row>
    <row r="52" spans="1:103">
      <c r="A52" s="54">
        <v>70</v>
      </c>
      <c r="B52" s="54">
        <v>1.2867999999999999E-2</v>
      </c>
      <c r="C52" s="54">
        <v>1.2744467199999998E-2</v>
      </c>
      <c r="D52" s="54">
        <v>1.2627218101759999E-2</v>
      </c>
      <c r="E52" s="54">
        <v>1.2517361304274686E-2</v>
      </c>
      <c r="F52" s="54">
        <v>1.2417222413840488E-2</v>
      </c>
      <c r="G52" s="54">
        <v>1.2327818412460837E-2</v>
      </c>
      <c r="H52" s="54">
        <v>1.2250153156462334E-2</v>
      </c>
      <c r="I52" s="54">
        <v>1.2181552298786145E-2</v>
      </c>
      <c r="J52" s="54">
        <v>1.2120644537292214E-2</v>
      </c>
      <c r="K52" s="54">
        <v>1.2062465443513212E-2</v>
      </c>
      <c r="L52" s="54">
        <v>1.2003359362839998E-2</v>
      </c>
      <c r="M52" s="54">
        <v>1.1939741558216945E-2</v>
      </c>
      <c r="N52" s="54">
        <v>1.1868103108867644E-2</v>
      </c>
      <c r="O52" s="54">
        <v>1.1787400007727343E-2</v>
      </c>
      <c r="P52" s="54">
        <v>1.1697815767668615E-2</v>
      </c>
      <c r="Q52" s="54">
        <v>1.1599554115220199E-2</v>
      </c>
      <c r="R52" s="54">
        <v>1.1495158128183218E-2</v>
      </c>
      <c r="S52" s="54">
        <v>1.1385954125965478E-2</v>
      </c>
      <c r="T52" s="53">
        <v>1.1274371775531016E-2</v>
      </c>
      <c r="U52" s="53">
        <v>1.1161628057775706E-2</v>
      </c>
      <c r="V52" s="53">
        <v>1.1050011777197949E-2</v>
      </c>
      <c r="W52" s="53">
        <v>1.0939511659425969E-2</v>
      </c>
      <c r="X52" s="53">
        <v>1.0830116542831709E-2</v>
      </c>
      <c r="Y52" s="53">
        <v>1.0721815377403392E-2</v>
      </c>
      <c r="Z52" s="53">
        <v>1.0614597223629358E-2</v>
      </c>
      <c r="AA52" s="53">
        <v>1.0508451251393065E-2</v>
      </c>
      <c r="AB52" s="53">
        <v>1.0403366738879134E-2</v>
      </c>
      <c r="AC52" s="53">
        <v>1.0299333071490342E-2</v>
      </c>
      <c r="AD52" s="53">
        <v>1.0196339740775438E-2</v>
      </c>
      <c r="AE52" s="53">
        <v>1.0094376343367684E-2</v>
      </c>
      <c r="AF52" s="53">
        <v>9.9934325799340071E-3</v>
      </c>
      <c r="AG52" s="53">
        <v>9.893498254134667E-3</v>
      </c>
      <c r="AH52" s="53">
        <v>9.7945632715933199E-3</v>
      </c>
      <c r="AI52" s="53">
        <v>9.6966176388773861E-3</v>
      </c>
      <c r="AJ52" s="53">
        <v>9.5996514624886124E-3</v>
      </c>
      <c r="AK52" s="53">
        <v>9.503654947863727E-3</v>
      </c>
      <c r="AL52" s="53">
        <v>9.4086183983850893E-3</v>
      </c>
      <c r="AM52" s="53">
        <v>9.3145322144012384E-3</v>
      </c>
      <c r="AN52" s="53">
        <v>9.2213868922572263E-3</v>
      </c>
      <c r="AO52" s="53">
        <v>9.1291730233346545E-3</v>
      </c>
      <c r="AP52" s="53">
        <v>9.0378812931013082E-3</v>
      </c>
      <c r="AQ52" s="53">
        <v>8.9475024801702954E-3</v>
      </c>
      <c r="AR52" s="53">
        <v>8.8580274553685927E-3</v>
      </c>
      <c r="AS52" s="53">
        <v>8.7694471808149061E-3</v>
      </c>
      <c r="AT52" s="53">
        <v>8.681752709006757E-3</v>
      </c>
      <c r="AU52" s="53">
        <v>8.5949351819166898E-3</v>
      </c>
      <c r="AV52" s="53">
        <v>8.5089858300975221E-3</v>
      </c>
      <c r="AW52" s="53">
        <v>8.4238959717965467E-3</v>
      </c>
      <c r="AX52" s="53">
        <v>8.3396570120785815E-3</v>
      </c>
      <c r="AY52" s="53">
        <v>8.2562604419577964E-3</v>
      </c>
      <c r="AZ52" s="53">
        <v>8.1736978375382182E-3</v>
      </c>
      <c r="BA52" s="53">
        <v>8.0919608591628351E-3</v>
      </c>
      <c r="BB52" s="53">
        <v>8.0110412505712061E-3</v>
      </c>
      <c r="BC52" s="53">
        <v>7.9309308380654947E-3</v>
      </c>
      <c r="BD52" s="53">
        <v>7.851621529684839E-3</v>
      </c>
      <c r="BE52" s="53">
        <v>7.7731053143879902E-3</v>
      </c>
      <c r="BF52" s="53">
        <v>7.6953742612441102E-3</v>
      </c>
      <c r="BG52" s="53">
        <v>7.6184205186316687E-3</v>
      </c>
      <c r="BH52" s="53">
        <v>7.542236313445352E-3</v>
      </c>
      <c r="BI52" s="53">
        <v>7.4668139503108986E-3</v>
      </c>
      <c r="BJ52" s="53">
        <v>7.39214581080779E-3</v>
      </c>
      <c r="BK52" s="53">
        <v>7.3182243526997122E-3</v>
      </c>
      <c r="BL52" s="53">
        <v>7.2450421091727153E-3</v>
      </c>
      <c r="BM52" s="53">
        <v>7.1725916880809879E-3</v>
      </c>
      <c r="BN52" s="53">
        <v>7.100865771200178E-3</v>
      </c>
      <c r="BO52" s="53">
        <v>7.0298571134881759E-3</v>
      </c>
      <c r="BP52" s="53">
        <v>6.9595585423532945E-3</v>
      </c>
      <c r="BQ52" s="53">
        <v>6.8899629569297615E-3</v>
      </c>
      <c r="BR52" s="53">
        <v>6.8210633273604639E-3</v>
      </c>
      <c r="BS52" s="53">
        <v>6.7528526940868593E-3</v>
      </c>
      <c r="BT52" s="53">
        <v>6.6853241671459909E-3</v>
      </c>
      <c r="BU52" s="53">
        <v>6.6184709254745308E-3</v>
      </c>
      <c r="BV52" s="53">
        <v>6.5522862162197852E-3</v>
      </c>
      <c r="BW52" s="53">
        <v>6.4867633540575875E-3</v>
      </c>
      <c r="BX52" s="53">
        <v>6.4218957205170119E-3</v>
      </c>
      <c r="BY52" s="53">
        <v>6.3576767633118413E-3</v>
      </c>
      <c r="BZ52" s="53">
        <v>6.2940999956787227E-3</v>
      </c>
      <c r="CA52" s="53">
        <v>6.2311589957219351E-3</v>
      </c>
      <c r="CB52" s="53">
        <v>6.168847405764716E-3</v>
      </c>
      <c r="CC52" s="53">
        <v>6.1071589317070688E-3</v>
      </c>
      <c r="CD52" s="53">
        <v>6.0460873423899978E-3</v>
      </c>
      <c r="CE52" s="53">
        <v>5.9856264689660977E-3</v>
      </c>
      <c r="CF52" s="53">
        <v>5.9257702042764364E-3</v>
      </c>
      <c r="CG52" s="53">
        <v>5.8665125022336721E-3</v>
      </c>
      <c r="CH52" s="53">
        <v>5.8078473772113356E-3</v>
      </c>
      <c r="CI52" s="53">
        <v>5.7497689034392225E-3</v>
      </c>
      <c r="CJ52" s="53">
        <v>5.6922712144048303E-3</v>
      </c>
      <c r="CK52" s="53">
        <v>5.6353485022607817E-3</v>
      </c>
      <c r="CL52" s="53">
        <v>5.5789950172381742E-3</v>
      </c>
      <c r="CM52" s="53">
        <v>5.5232050670657928E-3</v>
      </c>
      <c r="CN52" s="53">
        <v>5.4679730163951345E-3</v>
      </c>
      <c r="CO52" s="53">
        <v>5.4132932862311833E-3</v>
      </c>
      <c r="CP52" s="53">
        <v>5.3591603533688715E-3</v>
      </c>
      <c r="CQ52" s="53">
        <v>5.3055687498351827E-3</v>
      </c>
      <c r="CR52" s="53">
        <v>5.2525130623368305E-3</v>
      </c>
      <c r="CS52" s="53">
        <v>5.1999879317134621E-3</v>
      </c>
      <c r="CT52" s="53">
        <v>5.1479880523963278E-3</v>
      </c>
      <c r="CU52" s="53">
        <v>5.096508171872364E-3</v>
      </c>
      <c r="CV52" s="53">
        <v>5.0455430901536402E-3</v>
      </c>
      <c r="CW52" s="53">
        <v>4.9950876592521039E-3</v>
      </c>
      <c r="CX52" s="53">
        <v>4.9451367826595831E-3</v>
      </c>
      <c r="CY52" s="28">
        <v>4.8956854148329869E-3</v>
      </c>
    </row>
    <row r="53" spans="1:103">
      <c r="A53" s="54">
        <v>71</v>
      </c>
      <c r="B53" s="54">
        <v>1.4171E-2</v>
      </c>
      <c r="C53" s="54">
        <v>1.4034958399999999E-2</v>
      </c>
      <c r="D53" s="54">
        <v>1.3901626295199998E-2</v>
      </c>
      <c r="E53" s="54">
        <v>1.3773731333284158E-2</v>
      </c>
      <c r="F53" s="54">
        <v>1.3652522497551257E-2</v>
      </c>
      <c r="G53" s="54">
        <v>1.3541937065321093E-2</v>
      </c>
      <c r="H53" s="54">
        <v>1.3441726731037718E-2</v>
      </c>
      <c r="I53" s="54">
        <v>1.3353011334612868E-2</v>
      </c>
      <c r="J53" s="54">
        <v>1.3272893266605192E-2</v>
      </c>
      <c r="K53" s="54">
        <v>1.3198565064312202E-2</v>
      </c>
      <c r="L53" s="54">
        <v>1.3125972956458485E-2</v>
      </c>
      <c r="M53" s="54">
        <v>1.3051154910606671E-2</v>
      </c>
      <c r="N53" s="54">
        <v>1.2971542865651969E-2</v>
      </c>
      <c r="O53" s="54">
        <v>1.2883336374165536E-2</v>
      </c>
      <c r="P53" s="54">
        <v>1.2786711351359295E-2</v>
      </c>
      <c r="Q53" s="54">
        <v>1.2680581647143013E-2</v>
      </c>
      <c r="R53" s="54">
        <v>1.2567724470483439E-2</v>
      </c>
      <c r="S53" s="54">
        <v>1.2449587860460895E-2</v>
      </c>
      <c r="T53" s="53">
        <v>1.2327581899428378E-2</v>
      </c>
      <c r="U53" s="53">
        <v>1.2204306080434093E-2</v>
      </c>
      <c r="V53" s="53">
        <v>1.2082263019629752E-2</v>
      </c>
      <c r="W53" s="53">
        <v>1.1961440389433455E-2</v>
      </c>
      <c r="X53" s="53">
        <v>1.1841825985539119E-2</v>
      </c>
      <c r="Y53" s="53">
        <v>1.1723407725683728E-2</v>
      </c>
      <c r="Z53" s="53">
        <v>1.1606173648426891E-2</v>
      </c>
      <c r="AA53" s="53">
        <v>1.1490111911942623E-2</v>
      </c>
      <c r="AB53" s="53">
        <v>1.1375210792823196E-2</v>
      </c>
      <c r="AC53" s="53">
        <v>1.1261458684894964E-2</v>
      </c>
      <c r="AD53" s="53">
        <v>1.1148844098046014E-2</v>
      </c>
      <c r="AE53" s="53">
        <v>1.1037355657065553E-2</v>
      </c>
      <c r="AF53" s="53">
        <v>1.0926982100494897E-2</v>
      </c>
      <c r="AG53" s="53">
        <v>1.0817712279489949E-2</v>
      </c>
      <c r="AH53" s="53">
        <v>1.0709535156695048E-2</v>
      </c>
      <c r="AI53" s="53">
        <v>1.0602439805128098E-2</v>
      </c>
      <c r="AJ53" s="53">
        <v>1.0496415407076817E-2</v>
      </c>
      <c r="AK53" s="53">
        <v>1.0391451253006048E-2</v>
      </c>
      <c r="AL53" s="53">
        <v>1.0287536740475988E-2</v>
      </c>
      <c r="AM53" s="53">
        <v>1.0184661373071228E-2</v>
      </c>
      <c r="AN53" s="53">
        <v>1.0082814759340515E-2</v>
      </c>
      <c r="AO53" s="53">
        <v>9.9819866117471096E-3</v>
      </c>
      <c r="AP53" s="53">
        <v>9.8821667456296391E-3</v>
      </c>
      <c r="AQ53" s="53">
        <v>9.7833450781733434E-3</v>
      </c>
      <c r="AR53" s="53">
        <v>9.68551162739161E-3</v>
      </c>
      <c r="AS53" s="53">
        <v>9.5886565111176943E-3</v>
      </c>
      <c r="AT53" s="53">
        <v>9.4927699460065178E-3</v>
      </c>
      <c r="AU53" s="53">
        <v>9.3978422465464517E-3</v>
      </c>
      <c r="AV53" s="53">
        <v>9.3038638240809865E-3</v>
      </c>
      <c r="AW53" s="53">
        <v>9.2108251858401772E-3</v>
      </c>
      <c r="AX53" s="53">
        <v>9.1187169339817745E-3</v>
      </c>
      <c r="AY53" s="53">
        <v>9.0275297646419568E-3</v>
      </c>
      <c r="AZ53" s="53">
        <v>8.9372544669955364E-3</v>
      </c>
      <c r="BA53" s="53">
        <v>8.8478819223255806E-3</v>
      </c>
      <c r="BB53" s="53">
        <v>8.7594031031023242E-3</v>
      </c>
      <c r="BC53" s="53">
        <v>8.6718090720713011E-3</v>
      </c>
      <c r="BD53" s="53">
        <v>8.5850909813505877E-3</v>
      </c>
      <c r="BE53" s="53">
        <v>8.4992400715370817E-3</v>
      </c>
      <c r="BF53" s="53">
        <v>8.4142476708217104E-3</v>
      </c>
      <c r="BG53" s="53">
        <v>8.3301051941134935E-3</v>
      </c>
      <c r="BH53" s="53">
        <v>8.2468041421723589E-3</v>
      </c>
      <c r="BI53" s="53">
        <v>8.1643361007506347E-3</v>
      </c>
      <c r="BJ53" s="53">
        <v>8.0826927397431286E-3</v>
      </c>
      <c r="BK53" s="53">
        <v>8.001865812345698E-3</v>
      </c>
      <c r="BL53" s="53">
        <v>7.9218471542222401E-3</v>
      </c>
      <c r="BM53" s="53">
        <v>7.8426286826800175E-3</v>
      </c>
      <c r="BN53" s="53">
        <v>7.764202395853217E-3</v>
      </c>
      <c r="BO53" s="53">
        <v>7.6865603718946846E-3</v>
      </c>
      <c r="BP53" s="53">
        <v>7.6096947681757376E-3</v>
      </c>
      <c r="BQ53" s="53">
        <v>7.5335978204939804E-3</v>
      </c>
      <c r="BR53" s="53">
        <v>7.4582618422890405E-3</v>
      </c>
      <c r="BS53" s="53">
        <v>7.3836792238661502E-3</v>
      </c>
      <c r="BT53" s="53">
        <v>7.3098424316274885E-3</v>
      </c>
      <c r="BU53" s="53">
        <v>7.2367440073112139E-3</v>
      </c>
      <c r="BV53" s="53">
        <v>7.1643765672381021E-3</v>
      </c>
      <c r="BW53" s="53">
        <v>7.0927328015657209E-3</v>
      </c>
      <c r="BX53" s="53">
        <v>7.0218054735500636E-3</v>
      </c>
      <c r="BY53" s="53">
        <v>6.9515874188145633E-3</v>
      </c>
      <c r="BZ53" s="53">
        <v>6.8820715446264178E-3</v>
      </c>
      <c r="CA53" s="53">
        <v>6.8132508291801532E-3</v>
      </c>
      <c r="CB53" s="53">
        <v>6.7451183208883519E-3</v>
      </c>
      <c r="CC53" s="53">
        <v>6.6776671376794685E-3</v>
      </c>
      <c r="CD53" s="53">
        <v>6.6108904663026739E-3</v>
      </c>
      <c r="CE53" s="53">
        <v>6.5447815616396475E-3</v>
      </c>
      <c r="CF53" s="53">
        <v>6.4793337460232513E-3</v>
      </c>
      <c r="CG53" s="53">
        <v>6.4145404085630183E-3</v>
      </c>
      <c r="CH53" s="53">
        <v>6.3503950044773881E-3</v>
      </c>
      <c r="CI53" s="53">
        <v>6.286891054432614E-3</v>
      </c>
      <c r="CJ53" s="53">
        <v>6.2240221438882876E-3</v>
      </c>
      <c r="CK53" s="53">
        <v>6.1617819224494049E-3</v>
      </c>
      <c r="CL53" s="53">
        <v>6.1001641032249112E-3</v>
      </c>
      <c r="CM53" s="53">
        <v>6.0391624621926624E-3</v>
      </c>
      <c r="CN53" s="53">
        <v>5.9787708375707354E-3</v>
      </c>
      <c r="CO53" s="53">
        <v>5.918983129195028E-3</v>
      </c>
      <c r="CP53" s="53">
        <v>5.8597932979030775E-3</v>
      </c>
      <c r="CQ53" s="53">
        <v>5.801195364924047E-3</v>
      </c>
      <c r="CR53" s="53">
        <v>5.7431834112748065E-3</v>
      </c>
      <c r="CS53" s="53">
        <v>5.6857515771620588E-3</v>
      </c>
      <c r="CT53" s="53">
        <v>5.6288940613904385E-3</v>
      </c>
      <c r="CU53" s="53">
        <v>5.5726051207765342E-3</v>
      </c>
      <c r="CV53" s="53">
        <v>5.5168790695687689E-3</v>
      </c>
      <c r="CW53" s="53">
        <v>5.4617102788730807E-3</v>
      </c>
      <c r="CX53" s="53">
        <v>5.4070931760843502E-3</v>
      </c>
      <c r="CY53" s="28">
        <v>5.3530222443235066E-3</v>
      </c>
    </row>
    <row r="54" spans="1:103">
      <c r="A54" s="54">
        <v>72</v>
      </c>
      <c r="B54" s="54">
        <v>1.5613999999999999E-2</v>
      </c>
      <c r="C54" s="54">
        <v>1.54672284E-2</v>
      </c>
      <c r="D54" s="54">
        <v>1.53202897302E-2</v>
      </c>
      <c r="E54" s="54">
        <v>1.5176279006736121E-2</v>
      </c>
      <c r="F54" s="54">
        <v>1.5036657239874148E-2</v>
      </c>
      <c r="G54" s="54">
        <v>1.4904334656163256E-2</v>
      </c>
      <c r="H54" s="54">
        <v>1.4782119111982718E-2</v>
      </c>
      <c r="I54" s="54">
        <v>1.4669775006731649E-2</v>
      </c>
      <c r="J54" s="54">
        <v>1.4567086581684529E-2</v>
      </c>
      <c r="K54" s="54">
        <v>1.447240051890358E-2</v>
      </c>
      <c r="L54" s="54">
        <v>1.4382671635686378E-2</v>
      </c>
      <c r="M54" s="54">
        <v>1.4293499071545123E-2</v>
      </c>
      <c r="N54" s="54">
        <v>1.4202020677487236E-2</v>
      </c>
      <c r="O54" s="54">
        <v>1.4104026734812574E-2</v>
      </c>
      <c r="P54" s="54">
        <v>1.399824653430148E-2</v>
      </c>
      <c r="Q54" s="54">
        <v>1.3883460912720209E-2</v>
      </c>
      <c r="R54" s="54">
        <v>1.376128645668827E-2</v>
      </c>
      <c r="S54" s="54">
        <v>1.36319303639954E-2</v>
      </c>
      <c r="T54" s="53">
        <v>1.3499700639464644E-2</v>
      </c>
      <c r="U54" s="53">
        <v>1.3366053603133945E-2</v>
      </c>
      <c r="V54" s="53">
        <v>1.3232393067102605E-2</v>
      </c>
      <c r="W54" s="53">
        <v>1.3100069136431578E-2</v>
      </c>
      <c r="X54" s="53">
        <v>1.2969068445067263E-2</v>
      </c>
      <c r="Y54" s="53">
        <v>1.283937776061659E-2</v>
      </c>
      <c r="Z54" s="53">
        <v>1.2710983983010423E-2</v>
      </c>
      <c r="AA54" s="53">
        <v>1.2583874143180318E-2</v>
      </c>
      <c r="AB54" s="53">
        <v>1.2458035401748516E-2</v>
      </c>
      <c r="AC54" s="53">
        <v>1.2333455047731031E-2</v>
      </c>
      <c r="AD54" s="53">
        <v>1.221012049725372E-2</v>
      </c>
      <c r="AE54" s="53">
        <v>1.2088019292281184E-2</v>
      </c>
      <c r="AF54" s="53">
        <v>1.1967139099358372E-2</v>
      </c>
      <c r="AG54" s="53">
        <v>1.1847467708364789E-2</v>
      </c>
      <c r="AH54" s="53">
        <v>1.1728993031281141E-2</v>
      </c>
      <c r="AI54" s="53">
        <v>1.161170310096833E-2</v>
      </c>
      <c r="AJ54" s="53">
        <v>1.1495586069958647E-2</v>
      </c>
      <c r="AK54" s="53">
        <v>1.1380630209259061E-2</v>
      </c>
      <c r="AL54" s="53">
        <v>1.1266823907166469E-2</v>
      </c>
      <c r="AM54" s="53">
        <v>1.1154155668094804E-2</v>
      </c>
      <c r="AN54" s="53">
        <v>1.1042614111413857E-2</v>
      </c>
      <c r="AO54" s="53">
        <v>1.0932187970299719E-2</v>
      </c>
      <c r="AP54" s="53">
        <v>1.0822866090596722E-2</v>
      </c>
      <c r="AQ54" s="53">
        <v>1.0714637429690754E-2</v>
      </c>
      <c r="AR54" s="53">
        <v>1.0607491055393846E-2</v>
      </c>
      <c r="AS54" s="53">
        <v>1.0501416144839907E-2</v>
      </c>
      <c r="AT54" s="53">
        <v>1.0396401983391508E-2</v>
      </c>
      <c r="AU54" s="53">
        <v>1.0292437963557593E-2</v>
      </c>
      <c r="AV54" s="53">
        <v>1.0189513583922017E-2</v>
      </c>
      <c r="AW54" s="53">
        <v>1.0087618448082798E-2</v>
      </c>
      <c r="AX54" s="53">
        <v>9.98674226360197E-3</v>
      </c>
      <c r="AY54" s="53">
        <v>9.88687484096595E-3</v>
      </c>
      <c r="AZ54" s="53">
        <v>9.7880060925562909E-3</v>
      </c>
      <c r="BA54" s="53">
        <v>9.6901260316307278E-3</v>
      </c>
      <c r="BB54" s="53">
        <v>9.5932247713144212E-3</v>
      </c>
      <c r="BC54" s="53">
        <v>9.4972925236012761E-3</v>
      </c>
      <c r="BD54" s="53">
        <v>9.4023195983652628E-3</v>
      </c>
      <c r="BE54" s="53">
        <v>9.3082964023816096E-3</v>
      </c>
      <c r="BF54" s="53">
        <v>9.2152134383577926E-3</v>
      </c>
      <c r="BG54" s="53">
        <v>9.1230613039742139E-3</v>
      </c>
      <c r="BH54" s="53">
        <v>9.0318306909344722E-3</v>
      </c>
      <c r="BI54" s="53">
        <v>8.9415123840251281E-3</v>
      </c>
      <c r="BJ54" s="53">
        <v>8.8520972601848769E-3</v>
      </c>
      <c r="BK54" s="53">
        <v>8.7635762875830272E-3</v>
      </c>
      <c r="BL54" s="53">
        <v>8.6759405247071961E-3</v>
      </c>
      <c r="BM54" s="53">
        <v>8.5891811194601236E-3</v>
      </c>
      <c r="BN54" s="53">
        <v>8.5032893082655232E-3</v>
      </c>
      <c r="BO54" s="53">
        <v>8.4182564151828679E-3</v>
      </c>
      <c r="BP54" s="53">
        <v>8.3340738510310399E-3</v>
      </c>
      <c r="BQ54" s="53">
        <v>8.2507331125207303E-3</v>
      </c>
      <c r="BR54" s="53">
        <v>8.1682257813955224E-3</v>
      </c>
      <c r="BS54" s="53">
        <v>8.0865435235815668E-3</v>
      </c>
      <c r="BT54" s="53">
        <v>8.0056780883457513E-3</v>
      </c>
      <c r="BU54" s="53">
        <v>7.9256213074622942E-3</v>
      </c>
      <c r="BV54" s="53">
        <v>7.8463650943876705E-3</v>
      </c>
      <c r="BW54" s="53">
        <v>7.7679014434437936E-3</v>
      </c>
      <c r="BX54" s="53">
        <v>7.6902224290093558E-3</v>
      </c>
      <c r="BY54" s="53">
        <v>7.6133202047192622E-3</v>
      </c>
      <c r="BZ54" s="53">
        <v>7.5371870026720699E-3</v>
      </c>
      <c r="CA54" s="53">
        <v>7.4618151326453488E-3</v>
      </c>
      <c r="CB54" s="53">
        <v>7.3871969813188955E-3</v>
      </c>
      <c r="CC54" s="53">
        <v>7.3133250115057068E-3</v>
      </c>
      <c r="CD54" s="53">
        <v>7.2401917613906493E-3</v>
      </c>
      <c r="CE54" s="53">
        <v>7.1677898437767429E-3</v>
      </c>
      <c r="CF54" s="53">
        <v>7.0961119453389751E-3</v>
      </c>
      <c r="CG54" s="53">
        <v>7.0251508258855856E-3</v>
      </c>
      <c r="CH54" s="53">
        <v>6.9548993176267292E-3</v>
      </c>
      <c r="CI54" s="53">
        <v>6.8853503244504623E-3</v>
      </c>
      <c r="CJ54" s="53">
        <v>6.8164968212059574E-3</v>
      </c>
      <c r="CK54" s="53">
        <v>6.7483318529938975E-3</v>
      </c>
      <c r="CL54" s="53">
        <v>6.6808485344639588E-3</v>
      </c>
      <c r="CM54" s="53">
        <v>6.6140400491193196E-3</v>
      </c>
      <c r="CN54" s="53">
        <v>6.5478996486281263E-3</v>
      </c>
      <c r="CO54" s="53">
        <v>6.4824206521418449E-3</v>
      </c>
      <c r="CP54" s="53">
        <v>6.4175964456204262E-3</v>
      </c>
      <c r="CQ54" s="53">
        <v>6.3534204811642216E-3</v>
      </c>
      <c r="CR54" s="53">
        <v>6.2898862763525795E-3</v>
      </c>
      <c r="CS54" s="53">
        <v>6.2269874135890534E-3</v>
      </c>
      <c r="CT54" s="53">
        <v>6.1647175394531628E-3</v>
      </c>
      <c r="CU54" s="53">
        <v>6.1030703640586308E-3</v>
      </c>
      <c r="CV54" s="53">
        <v>6.0420396604180448E-3</v>
      </c>
      <c r="CW54" s="53">
        <v>5.9816192638138645E-3</v>
      </c>
      <c r="CX54" s="53">
        <v>5.9218030711757257E-3</v>
      </c>
      <c r="CY54" s="28">
        <v>5.8625850404639681E-3</v>
      </c>
    </row>
    <row r="55" spans="1:103">
      <c r="A55" s="54">
        <v>73</v>
      </c>
      <c r="B55" s="54">
        <v>1.721E-2</v>
      </c>
      <c r="C55" s="54">
        <v>1.7055109999999998E-2</v>
      </c>
      <c r="D55" s="54">
        <v>1.6898202987999999E-2</v>
      </c>
      <c r="E55" s="54">
        <v>1.6741049700211598E-2</v>
      </c>
      <c r="F55" s="54">
        <v>1.6585357937999631E-2</v>
      </c>
      <c r="G55" s="54">
        <v>1.6434431180763834E-2</v>
      </c>
      <c r="H55" s="54">
        <v>1.6289808186373111E-2</v>
      </c>
      <c r="I55" s="54">
        <v>1.6154602778426213E-2</v>
      </c>
      <c r="J55" s="54">
        <v>1.6028596876754488E-2</v>
      </c>
      <c r="K55" s="54">
        <v>1.591158811955418E-2</v>
      </c>
      <c r="L55" s="54">
        <v>1.5801798161529254E-2</v>
      </c>
      <c r="M55" s="54">
        <v>1.5694345934030855E-2</v>
      </c>
      <c r="N55" s="54">
        <v>1.5587624381679445E-2</v>
      </c>
      <c r="O55" s="54">
        <v>1.5476952248569521E-2</v>
      </c>
      <c r="P55" s="54">
        <v>1.5359327411480392E-2</v>
      </c>
      <c r="Q55" s="54">
        <v>1.5233380926706253E-2</v>
      </c>
      <c r="R55" s="54">
        <v>1.5099327174551237E-2</v>
      </c>
      <c r="S55" s="54">
        <v>1.4958903431827911E-2</v>
      </c>
      <c r="T55" s="53">
        <v>1.481380206853918E-2</v>
      </c>
      <c r="U55" s="53">
        <v>1.4667145428060642E-2</v>
      </c>
      <c r="V55" s="53">
        <v>1.4520473973780035E-2</v>
      </c>
      <c r="W55" s="53">
        <v>1.4375269234042235E-2</v>
      </c>
      <c r="X55" s="53">
        <v>1.4231516541701811E-2</v>
      </c>
      <c r="Y55" s="53">
        <v>1.4089201376284794E-2</v>
      </c>
      <c r="Z55" s="53">
        <v>1.3948309362521946E-2</v>
      </c>
      <c r="AA55" s="53">
        <v>1.3808826268896726E-2</v>
      </c>
      <c r="AB55" s="53">
        <v>1.3670738006207758E-2</v>
      </c>
      <c r="AC55" s="53">
        <v>1.3534030626145681E-2</v>
      </c>
      <c r="AD55" s="53">
        <v>1.3398690319884225E-2</v>
      </c>
      <c r="AE55" s="53">
        <v>1.3264703416685382E-2</v>
      </c>
      <c r="AF55" s="53">
        <v>1.3132056382518527E-2</v>
      </c>
      <c r="AG55" s="53">
        <v>1.3000735818693342E-2</v>
      </c>
      <c r="AH55" s="53">
        <v>1.2870728460506409E-2</v>
      </c>
      <c r="AI55" s="53">
        <v>1.2742021175901345E-2</v>
      </c>
      <c r="AJ55" s="53">
        <v>1.2614600964142332E-2</v>
      </c>
      <c r="AK55" s="53">
        <v>1.2488454954500908E-2</v>
      </c>
      <c r="AL55" s="53">
        <v>1.2363570404955899E-2</v>
      </c>
      <c r="AM55" s="53">
        <v>1.2239934700906341E-2</v>
      </c>
      <c r="AN55" s="53">
        <v>1.2117535353897277E-2</v>
      </c>
      <c r="AO55" s="53">
        <v>1.1996360000358303E-2</v>
      </c>
      <c r="AP55" s="53">
        <v>1.1876396400354719E-2</v>
      </c>
      <c r="AQ55" s="53">
        <v>1.1757632436351171E-2</v>
      </c>
      <c r="AR55" s="53">
        <v>1.164005611198766E-2</v>
      </c>
      <c r="AS55" s="53">
        <v>1.1523655550867783E-2</v>
      </c>
      <c r="AT55" s="53">
        <v>1.1408418995359104E-2</v>
      </c>
      <c r="AU55" s="53">
        <v>1.1294334805405513E-2</v>
      </c>
      <c r="AV55" s="53">
        <v>1.1181391457351458E-2</v>
      </c>
      <c r="AW55" s="53">
        <v>1.1069577542777943E-2</v>
      </c>
      <c r="AX55" s="53">
        <v>1.0958881767350163E-2</v>
      </c>
      <c r="AY55" s="53">
        <v>1.084929294967666E-2</v>
      </c>
      <c r="AZ55" s="53">
        <v>1.0740800020179894E-2</v>
      </c>
      <c r="BA55" s="53">
        <v>1.0633392019978096E-2</v>
      </c>
      <c r="BB55" s="53">
        <v>1.0527058099778315E-2</v>
      </c>
      <c r="BC55" s="53">
        <v>1.0421787518780531E-2</v>
      </c>
      <c r="BD55" s="53">
        <v>1.0317569643592725E-2</v>
      </c>
      <c r="BE55" s="53">
        <v>1.0214393947156798E-2</v>
      </c>
      <c r="BF55" s="53">
        <v>1.0112250007685231E-2</v>
      </c>
      <c r="BG55" s="53">
        <v>1.0011127507608379E-2</v>
      </c>
      <c r="BH55" s="53">
        <v>9.9110162325322954E-3</v>
      </c>
      <c r="BI55" s="53">
        <v>9.8119060702069726E-3</v>
      </c>
      <c r="BJ55" s="53">
        <v>9.7137870095049036E-3</v>
      </c>
      <c r="BK55" s="53">
        <v>9.6166491394098549E-3</v>
      </c>
      <c r="BL55" s="53">
        <v>9.5204826480157559E-3</v>
      </c>
      <c r="BM55" s="53">
        <v>9.4252778215355975E-3</v>
      </c>
      <c r="BN55" s="53">
        <v>9.3310250433202412E-3</v>
      </c>
      <c r="BO55" s="53">
        <v>9.2377147928870383E-3</v>
      </c>
      <c r="BP55" s="53">
        <v>9.1453376449581684E-3</v>
      </c>
      <c r="BQ55" s="53">
        <v>9.0538842685085868E-3</v>
      </c>
      <c r="BR55" s="53">
        <v>8.9633454258235008E-3</v>
      </c>
      <c r="BS55" s="53">
        <v>8.8737119715652651E-3</v>
      </c>
      <c r="BT55" s="53">
        <v>8.7849748518496126E-3</v>
      </c>
      <c r="BU55" s="53">
        <v>8.6971251033311162E-3</v>
      </c>
      <c r="BV55" s="53">
        <v>8.6101538522978058E-3</v>
      </c>
      <c r="BW55" s="53">
        <v>8.524052313774828E-3</v>
      </c>
      <c r="BX55" s="53">
        <v>8.4388117906370793E-3</v>
      </c>
      <c r="BY55" s="53">
        <v>8.3544236727307077E-3</v>
      </c>
      <c r="BZ55" s="53">
        <v>8.2708794360034001E-3</v>
      </c>
      <c r="CA55" s="53">
        <v>8.1881706416433667E-3</v>
      </c>
      <c r="CB55" s="53">
        <v>8.1062889352269338E-3</v>
      </c>
      <c r="CC55" s="53">
        <v>8.0252260458746651E-3</v>
      </c>
      <c r="CD55" s="53">
        <v>7.9449737854159191E-3</v>
      </c>
      <c r="CE55" s="53">
        <v>7.8655240475617606E-3</v>
      </c>
      <c r="CF55" s="53">
        <v>7.7868688070861425E-3</v>
      </c>
      <c r="CG55" s="53">
        <v>7.7090001190152808E-3</v>
      </c>
      <c r="CH55" s="53">
        <v>7.6319101178251277E-3</v>
      </c>
      <c r="CI55" s="53">
        <v>7.5555910166468761E-3</v>
      </c>
      <c r="CJ55" s="53">
        <v>7.4800351064804073E-3</v>
      </c>
      <c r="CK55" s="53">
        <v>7.4052347554156035E-3</v>
      </c>
      <c r="CL55" s="53">
        <v>7.3311824078614472E-3</v>
      </c>
      <c r="CM55" s="53">
        <v>7.2578705837828324E-3</v>
      </c>
      <c r="CN55" s="53">
        <v>7.1852918779450039E-3</v>
      </c>
      <c r="CO55" s="53">
        <v>7.113438959165554E-3</v>
      </c>
      <c r="CP55" s="53">
        <v>7.0423045695738986E-3</v>
      </c>
      <c r="CQ55" s="53">
        <v>6.9718815238781597E-3</v>
      </c>
      <c r="CR55" s="53">
        <v>6.902162708639378E-3</v>
      </c>
      <c r="CS55" s="53">
        <v>6.833141081552984E-3</v>
      </c>
      <c r="CT55" s="53">
        <v>6.7648096707374544E-3</v>
      </c>
      <c r="CU55" s="53">
        <v>6.6971615740300796E-3</v>
      </c>
      <c r="CV55" s="53">
        <v>6.630189958289779E-3</v>
      </c>
      <c r="CW55" s="53">
        <v>6.5638880587068809E-3</v>
      </c>
      <c r="CX55" s="53">
        <v>6.4982491781198116E-3</v>
      </c>
      <c r="CY55" s="28">
        <v>6.4332666863386135E-3</v>
      </c>
    </row>
    <row r="56" spans="1:103">
      <c r="A56" s="54">
        <v>74</v>
      </c>
      <c r="B56" s="54">
        <v>1.8977000000000001E-2</v>
      </c>
      <c r="C56" s="54">
        <v>1.88156955E-2</v>
      </c>
      <c r="D56" s="54">
        <v>1.8650117379599998E-2</v>
      </c>
      <c r="E56" s="54">
        <v>1.8480401311445637E-2</v>
      </c>
      <c r="F56" s="54">
        <v>1.8310381619380336E-2</v>
      </c>
      <c r="G56" s="54">
        <v>1.8140095070320099E-2</v>
      </c>
      <c r="H56" s="54">
        <v>1.7973206195673153E-2</v>
      </c>
      <c r="I56" s="54">
        <v>1.7813244660531663E-2</v>
      </c>
      <c r="J56" s="54">
        <v>1.7661832080917143E-2</v>
      </c>
      <c r="K56" s="54">
        <v>1.7518771241061715E-2</v>
      </c>
      <c r="L56" s="54">
        <v>1.7383876702505539E-2</v>
      </c>
      <c r="M56" s="54">
        <v>1.7255236014906999E-2</v>
      </c>
      <c r="N56" s="54">
        <v>1.712927279199818E-2</v>
      </c>
      <c r="O56" s="54">
        <v>1.7000803246058193E-2</v>
      </c>
      <c r="P56" s="54">
        <v>1.686819698073894E-2</v>
      </c>
      <c r="Q56" s="54">
        <v>1.6728190945798808E-2</v>
      </c>
      <c r="R56" s="54">
        <v>1.6580982865475779E-2</v>
      </c>
      <c r="S56" s="54">
        <v>1.6426779724826854E-2</v>
      </c>
      <c r="T56" s="53">
        <v>1.6267439961496034E-2</v>
      </c>
      <c r="U56" s="53">
        <v>1.6106392305877223E-2</v>
      </c>
      <c r="V56" s="53">
        <v>1.5945328382818452E-2</v>
      </c>
      <c r="W56" s="53">
        <v>1.5785875098990269E-2</v>
      </c>
      <c r="X56" s="53">
        <v>1.5628016348000366E-2</v>
      </c>
      <c r="Y56" s="53">
        <v>1.5471736184520362E-2</v>
      </c>
      <c r="Z56" s="53">
        <v>1.5317018822675159E-2</v>
      </c>
      <c r="AA56" s="53">
        <v>1.5163848634448408E-2</v>
      </c>
      <c r="AB56" s="53">
        <v>1.5012210148103923E-2</v>
      </c>
      <c r="AC56" s="53">
        <v>1.4862088046622883E-2</v>
      </c>
      <c r="AD56" s="53">
        <v>1.4713467166156654E-2</v>
      </c>
      <c r="AE56" s="53">
        <v>1.4566332494495087E-2</v>
      </c>
      <c r="AF56" s="53">
        <v>1.4420669169550137E-2</v>
      </c>
      <c r="AG56" s="53">
        <v>1.4276462477854635E-2</v>
      </c>
      <c r="AH56" s="53">
        <v>1.4133697853076088E-2</v>
      </c>
      <c r="AI56" s="53">
        <v>1.3992360874545327E-2</v>
      </c>
      <c r="AJ56" s="53">
        <v>1.3852437265799874E-2</v>
      </c>
      <c r="AK56" s="53">
        <v>1.3713912893141875E-2</v>
      </c>
      <c r="AL56" s="53">
        <v>1.3576773764210456E-2</v>
      </c>
      <c r="AM56" s="53">
        <v>1.3441006026568352E-2</v>
      </c>
      <c r="AN56" s="53">
        <v>1.3306595966302669E-2</v>
      </c>
      <c r="AO56" s="53">
        <v>1.3173530006639643E-2</v>
      </c>
      <c r="AP56" s="53">
        <v>1.3041794706573247E-2</v>
      </c>
      <c r="AQ56" s="53">
        <v>1.2911376759507515E-2</v>
      </c>
      <c r="AR56" s="53">
        <v>1.278226299191244E-2</v>
      </c>
      <c r="AS56" s="53">
        <v>1.2654440361993315E-2</v>
      </c>
      <c r="AT56" s="53">
        <v>1.2527895958373381E-2</v>
      </c>
      <c r="AU56" s="53">
        <v>1.2402616998789648E-2</v>
      </c>
      <c r="AV56" s="53">
        <v>1.2278590828801752E-2</v>
      </c>
      <c r="AW56" s="53">
        <v>1.2155804920513734E-2</v>
      </c>
      <c r="AX56" s="53">
        <v>1.2034246871308597E-2</v>
      </c>
      <c r="AY56" s="53">
        <v>1.191390440259551E-2</v>
      </c>
      <c r="AZ56" s="53">
        <v>1.1794765358569555E-2</v>
      </c>
      <c r="BA56" s="53">
        <v>1.1676817704983859E-2</v>
      </c>
      <c r="BB56" s="53">
        <v>1.156004952793402E-2</v>
      </c>
      <c r="BC56" s="53">
        <v>1.144444903265468E-2</v>
      </c>
      <c r="BD56" s="53">
        <v>1.1330004542328133E-2</v>
      </c>
      <c r="BE56" s="53">
        <v>1.1216704496904852E-2</v>
      </c>
      <c r="BF56" s="53">
        <v>1.1104537451935802E-2</v>
      </c>
      <c r="BG56" s="53">
        <v>1.0993492077416444E-2</v>
      </c>
      <c r="BH56" s="53">
        <v>1.0883557156642279E-2</v>
      </c>
      <c r="BI56" s="53">
        <v>1.0774721585075857E-2</v>
      </c>
      <c r="BJ56" s="53">
        <v>1.0666974369225098E-2</v>
      </c>
      <c r="BK56" s="53">
        <v>1.0560304625532847E-2</v>
      </c>
      <c r="BL56" s="53">
        <v>1.0454701579277519E-2</v>
      </c>
      <c r="BM56" s="53">
        <v>1.0350154563484744E-2</v>
      </c>
      <c r="BN56" s="53">
        <v>1.0246653017849897E-2</v>
      </c>
      <c r="BO56" s="53">
        <v>1.0144186487671398E-2</v>
      </c>
      <c r="BP56" s="53">
        <v>1.0042744622794683E-2</v>
      </c>
      <c r="BQ56" s="53">
        <v>9.9423171765667361E-3</v>
      </c>
      <c r="BR56" s="53">
        <v>9.8428940048010689E-3</v>
      </c>
      <c r="BS56" s="53">
        <v>9.7444650647530578E-3</v>
      </c>
      <c r="BT56" s="53">
        <v>9.6470204141055269E-3</v>
      </c>
      <c r="BU56" s="53">
        <v>9.5505502099644708E-3</v>
      </c>
      <c r="BV56" s="53">
        <v>9.4550447078648268E-3</v>
      </c>
      <c r="BW56" s="53">
        <v>9.3604942607861778E-3</v>
      </c>
      <c r="BX56" s="53">
        <v>9.2668893181783157E-3</v>
      </c>
      <c r="BY56" s="53">
        <v>9.174220424996533E-3</v>
      </c>
      <c r="BZ56" s="53">
        <v>9.0824782207465683E-3</v>
      </c>
      <c r="CA56" s="53">
        <v>8.9916534385391031E-3</v>
      </c>
      <c r="CB56" s="53">
        <v>8.9017369041537123E-3</v>
      </c>
      <c r="CC56" s="53">
        <v>8.8127195351121752E-3</v>
      </c>
      <c r="CD56" s="53">
        <v>8.7245923397610541E-3</v>
      </c>
      <c r="CE56" s="53">
        <v>8.6373464163634443E-3</v>
      </c>
      <c r="CF56" s="53">
        <v>8.550972952199809E-3</v>
      </c>
      <c r="CG56" s="53">
        <v>8.4654632226778114E-3</v>
      </c>
      <c r="CH56" s="53">
        <v>8.3808085904510336E-3</v>
      </c>
      <c r="CI56" s="53">
        <v>8.2970005045465232E-3</v>
      </c>
      <c r="CJ56" s="53">
        <v>8.2140304995010575E-3</v>
      </c>
      <c r="CK56" s="53">
        <v>8.1318901945060477E-3</v>
      </c>
      <c r="CL56" s="53">
        <v>8.050571292560987E-3</v>
      </c>
      <c r="CM56" s="53">
        <v>7.9700655796353763E-3</v>
      </c>
      <c r="CN56" s="53">
        <v>7.890364923839023E-3</v>
      </c>
      <c r="CO56" s="53">
        <v>7.8114612746006326E-3</v>
      </c>
      <c r="CP56" s="53">
        <v>7.7333466618546261E-3</v>
      </c>
      <c r="CQ56" s="53">
        <v>7.6560131952360796E-3</v>
      </c>
      <c r="CR56" s="53">
        <v>7.5794530632837184E-3</v>
      </c>
      <c r="CS56" s="53">
        <v>7.5036585326508816E-3</v>
      </c>
      <c r="CT56" s="53">
        <v>7.4286219473243724E-3</v>
      </c>
      <c r="CU56" s="53">
        <v>7.3543357278511284E-3</v>
      </c>
      <c r="CV56" s="53">
        <v>7.2807923705726172E-3</v>
      </c>
      <c r="CW56" s="53">
        <v>7.2079844468668913E-3</v>
      </c>
      <c r="CX56" s="53">
        <v>7.1359046023982227E-3</v>
      </c>
      <c r="CY56" s="28">
        <v>7.0645455563742403E-3</v>
      </c>
    </row>
    <row r="57" spans="1:103">
      <c r="A57" s="54">
        <v>75</v>
      </c>
      <c r="B57" s="54">
        <v>2.0937999999999998E-2</v>
      </c>
      <c r="C57" s="54">
        <v>2.0770495999999999E-2</v>
      </c>
      <c r="D57" s="54">
        <v>2.05981008832E-2</v>
      </c>
      <c r="E57" s="54">
        <v>2.0418897405516161E-2</v>
      </c>
      <c r="F57" s="54">
        <v>2.0235127328866516E-2</v>
      </c>
      <c r="G57" s="54">
        <v>2.0048964157440945E-2</v>
      </c>
      <c r="H57" s="54">
        <v>1.9862508790776744E-2</v>
      </c>
      <c r="I57" s="54">
        <v>1.9679773709901597E-2</v>
      </c>
      <c r="J57" s="54">
        <v>1.9502655746512481E-2</v>
      </c>
      <c r="K57" s="54">
        <v>1.933298264151782E-2</v>
      </c>
      <c r="L57" s="54">
        <v>1.9170585587329071E-2</v>
      </c>
      <c r="M57" s="54">
        <v>1.9017220902630437E-2</v>
      </c>
      <c r="N57" s="54">
        <v>1.8868886579589919E-2</v>
      </c>
      <c r="O57" s="54">
        <v>1.8721709264269117E-2</v>
      </c>
      <c r="P57" s="54">
        <v>1.8570063419228539E-2</v>
      </c>
      <c r="Q57" s="54">
        <v>1.841407488650702E-2</v>
      </c>
      <c r="R57" s="54">
        <v>1.8250189620017107E-2</v>
      </c>
      <c r="S57" s="54">
        <v>1.8080462856550947E-2</v>
      </c>
      <c r="T57" s="53">
        <v>1.7905082366842403E-2</v>
      </c>
      <c r="U57" s="53">
        <v>1.7727822051410661E-2</v>
      </c>
      <c r="V57" s="53">
        <v>1.7550543830896555E-2</v>
      </c>
      <c r="W57" s="53">
        <v>1.737503839258759E-2</v>
      </c>
      <c r="X57" s="53">
        <v>1.7201288008661712E-2</v>
      </c>
      <c r="Y57" s="53">
        <v>1.7029275128575095E-2</v>
      </c>
      <c r="Z57" s="53">
        <v>1.6858982377289344E-2</v>
      </c>
      <c r="AA57" s="53">
        <v>1.669039255351645E-2</v>
      </c>
      <c r="AB57" s="53">
        <v>1.6523488627981284E-2</v>
      </c>
      <c r="AC57" s="53">
        <v>1.6358253741701471E-2</v>
      </c>
      <c r="AD57" s="53">
        <v>1.6194671204284455E-2</v>
      </c>
      <c r="AE57" s="53">
        <v>1.603272449224161E-2</v>
      </c>
      <c r="AF57" s="53">
        <v>1.5872397247319193E-2</v>
      </c>
      <c r="AG57" s="53">
        <v>1.5713673274846001E-2</v>
      </c>
      <c r="AH57" s="53">
        <v>1.5556536542097541E-2</v>
      </c>
      <c r="AI57" s="53">
        <v>1.5400971176676565E-2</v>
      </c>
      <c r="AJ57" s="53">
        <v>1.52469614649098E-2</v>
      </c>
      <c r="AK57" s="53">
        <v>1.5094491850260702E-2</v>
      </c>
      <c r="AL57" s="53">
        <v>1.4943546931758095E-2</v>
      </c>
      <c r="AM57" s="53">
        <v>1.4794111462440513E-2</v>
      </c>
      <c r="AN57" s="53">
        <v>1.4646170347816108E-2</v>
      </c>
      <c r="AO57" s="53">
        <v>1.4499708644337946E-2</v>
      </c>
      <c r="AP57" s="53">
        <v>1.4354711557894567E-2</v>
      </c>
      <c r="AQ57" s="53">
        <v>1.421116444231562E-2</v>
      </c>
      <c r="AR57" s="53">
        <v>1.4069052797892464E-2</v>
      </c>
      <c r="AS57" s="53">
        <v>1.3928362269913539E-2</v>
      </c>
      <c r="AT57" s="53">
        <v>1.3789078647214403E-2</v>
      </c>
      <c r="AU57" s="53">
        <v>1.3651187860742259E-2</v>
      </c>
      <c r="AV57" s="53">
        <v>1.3514675982134836E-2</v>
      </c>
      <c r="AW57" s="53">
        <v>1.3379529222313486E-2</v>
      </c>
      <c r="AX57" s="53">
        <v>1.3245733930090351E-2</v>
      </c>
      <c r="AY57" s="53">
        <v>1.3113276590789447E-2</v>
      </c>
      <c r="AZ57" s="53">
        <v>1.2982143824881552E-2</v>
      </c>
      <c r="BA57" s="53">
        <v>1.2852322386632736E-2</v>
      </c>
      <c r="BB57" s="53">
        <v>1.2723799162766409E-2</v>
      </c>
      <c r="BC57" s="53">
        <v>1.2596561171138745E-2</v>
      </c>
      <c r="BD57" s="53">
        <v>1.2470595559427358E-2</v>
      </c>
      <c r="BE57" s="53">
        <v>1.2345889603833085E-2</v>
      </c>
      <c r="BF57" s="53">
        <v>1.2222430707794755E-2</v>
      </c>
      <c r="BG57" s="53">
        <v>1.2100206400716807E-2</v>
      </c>
      <c r="BH57" s="53">
        <v>1.197920433670964E-2</v>
      </c>
      <c r="BI57" s="53">
        <v>1.1859412293342543E-2</v>
      </c>
      <c r="BJ57" s="53">
        <v>1.1740818170409117E-2</v>
      </c>
      <c r="BK57" s="53">
        <v>1.1623409988705025E-2</v>
      </c>
      <c r="BL57" s="53">
        <v>1.1507175888817976E-2</v>
      </c>
      <c r="BM57" s="53">
        <v>1.1392104129929796E-2</v>
      </c>
      <c r="BN57" s="53">
        <v>1.1278183088630498E-2</v>
      </c>
      <c r="BO57" s="53">
        <v>1.1165401257744192E-2</v>
      </c>
      <c r="BP57" s="53">
        <v>1.1053747245166751E-2</v>
      </c>
      <c r="BQ57" s="53">
        <v>1.0943209772715084E-2</v>
      </c>
      <c r="BR57" s="53">
        <v>1.0833777674987933E-2</v>
      </c>
      <c r="BS57" s="53">
        <v>1.0725439898238053E-2</v>
      </c>
      <c r="BT57" s="53">
        <v>1.0618185499255672E-2</v>
      </c>
      <c r="BU57" s="53">
        <v>1.0512003644263116E-2</v>
      </c>
      <c r="BV57" s="53">
        <v>1.0406883607820484E-2</v>
      </c>
      <c r="BW57" s="53">
        <v>1.0302814771742278E-2</v>
      </c>
      <c r="BX57" s="53">
        <v>1.0199786624024855E-2</v>
      </c>
      <c r="BY57" s="53">
        <v>1.0097788757784606E-2</v>
      </c>
      <c r="BZ57" s="53">
        <v>9.9968108702067592E-3</v>
      </c>
      <c r="CA57" s="53">
        <v>9.8968427615046921E-3</v>
      </c>
      <c r="CB57" s="53">
        <v>9.7978743338896449E-3</v>
      </c>
      <c r="CC57" s="53">
        <v>9.699895590550749E-3</v>
      </c>
      <c r="CD57" s="53">
        <v>9.6028966346452423E-3</v>
      </c>
      <c r="CE57" s="53">
        <v>9.50686766829879E-3</v>
      </c>
      <c r="CF57" s="53">
        <v>9.4117989916158024E-3</v>
      </c>
      <c r="CG57" s="53">
        <v>9.3176810016996434E-3</v>
      </c>
      <c r="CH57" s="53">
        <v>9.2245041916826469E-3</v>
      </c>
      <c r="CI57" s="53">
        <v>9.1322591497658197E-3</v>
      </c>
      <c r="CJ57" s="53">
        <v>9.040936558268162E-3</v>
      </c>
      <c r="CK57" s="53">
        <v>8.9505271926854802E-3</v>
      </c>
      <c r="CL57" s="53">
        <v>8.8610219207586258E-3</v>
      </c>
      <c r="CM57" s="53">
        <v>8.7724117015510403E-3</v>
      </c>
      <c r="CN57" s="53">
        <v>8.6846875845355293E-3</v>
      </c>
      <c r="CO57" s="53">
        <v>8.5978407086901732E-3</v>
      </c>
      <c r="CP57" s="53">
        <v>8.5118623016032721E-3</v>
      </c>
      <c r="CQ57" s="53">
        <v>8.4267436785872389E-3</v>
      </c>
      <c r="CR57" s="53">
        <v>8.3424762418013668E-3</v>
      </c>
      <c r="CS57" s="53">
        <v>8.2590514793833524E-3</v>
      </c>
      <c r="CT57" s="53">
        <v>8.1764609645895193E-3</v>
      </c>
      <c r="CU57" s="53">
        <v>8.0946963549436233E-3</v>
      </c>
      <c r="CV57" s="53">
        <v>8.0137493913941867E-3</v>
      </c>
      <c r="CW57" s="53">
        <v>7.9336118974802448E-3</v>
      </c>
      <c r="CX57" s="53">
        <v>7.8542757785054415E-3</v>
      </c>
      <c r="CY57" s="28">
        <v>7.7757330207203872E-3</v>
      </c>
    </row>
    <row r="58" spans="1:103">
      <c r="A58" s="54">
        <v>76</v>
      </c>
      <c r="B58" s="54">
        <v>2.3118E-2</v>
      </c>
      <c r="C58" s="54">
        <v>2.29469268E-2</v>
      </c>
      <c r="D58" s="54">
        <v>2.2767940770959998E-2</v>
      </c>
      <c r="E58" s="54">
        <v>2.2581243656638127E-2</v>
      </c>
      <c r="F58" s="54">
        <v>2.2387044961191038E-2</v>
      </c>
      <c r="G58" s="54">
        <v>2.218556155654032E-2</v>
      </c>
      <c r="H58" s="54">
        <v>2.1979235834064494E-2</v>
      </c>
      <c r="I58" s="54">
        <v>2.1772631017224289E-2</v>
      </c>
      <c r="J58" s="54">
        <v>2.1567968285662382E-2</v>
      </c>
      <c r="K58" s="54">
        <v>2.1369542977434288E-2</v>
      </c>
      <c r="L58" s="54">
        <v>2.1179354044935123E-2</v>
      </c>
      <c r="M58" s="54">
        <v>2.0997211600148679E-2</v>
      </c>
      <c r="N58" s="54">
        <v>2.0820835022707432E-2</v>
      </c>
      <c r="O58" s="54">
        <v>2.064802209201896E-2</v>
      </c>
      <c r="P58" s="54">
        <v>2.0474578706446003E-2</v>
      </c>
      <c r="Q58" s="54">
        <v>2.0298497329570567E-2</v>
      </c>
      <c r="R58" s="54">
        <v>2.011784070333739E-2</v>
      </c>
      <c r="S58" s="54">
        <v>1.9930744784796353E-2</v>
      </c>
      <c r="T58" s="53">
        <v>1.9737416560383827E-2</v>
      </c>
      <c r="U58" s="53">
        <v>1.9542016136436028E-2</v>
      </c>
      <c r="V58" s="53">
        <v>1.9346595975071667E-2</v>
      </c>
      <c r="W58" s="53">
        <v>1.915313001532095E-2</v>
      </c>
      <c r="X58" s="53">
        <v>1.8961598715167741E-2</v>
      </c>
      <c r="Y58" s="53">
        <v>1.8771982728016064E-2</v>
      </c>
      <c r="Z58" s="53">
        <v>1.8584262900735903E-2</v>
      </c>
      <c r="AA58" s="53">
        <v>1.8398420271728545E-2</v>
      </c>
      <c r="AB58" s="53">
        <v>1.8214436069011259E-2</v>
      </c>
      <c r="AC58" s="53">
        <v>1.8032291708321147E-2</v>
      </c>
      <c r="AD58" s="53">
        <v>1.7851968791237936E-2</v>
      </c>
      <c r="AE58" s="53">
        <v>1.7673449103325557E-2</v>
      </c>
      <c r="AF58" s="53">
        <v>1.74967146122923E-2</v>
      </c>
      <c r="AG58" s="53">
        <v>1.7321747466169376E-2</v>
      </c>
      <c r="AH58" s="53">
        <v>1.7148529991507681E-2</v>
      </c>
      <c r="AI58" s="53">
        <v>1.6977044691592603E-2</v>
      </c>
      <c r="AJ58" s="53">
        <v>1.6807274244676675E-2</v>
      </c>
      <c r="AK58" s="53">
        <v>1.663920150222991E-2</v>
      </c>
      <c r="AL58" s="53">
        <v>1.6472809487207609E-2</v>
      </c>
      <c r="AM58" s="53">
        <v>1.6308081392335534E-2</v>
      </c>
      <c r="AN58" s="53">
        <v>1.6145000578412179E-2</v>
      </c>
      <c r="AO58" s="53">
        <v>1.5983550572628055E-2</v>
      </c>
      <c r="AP58" s="53">
        <v>1.5823715066901774E-2</v>
      </c>
      <c r="AQ58" s="53">
        <v>1.5665477916232757E-2</v>
      </c>
      <c r="AR58" s="53">
        <v>1.5508823137070429E-2</v>
      </c>
      <c r="AS58" s="53">
        <v>1.5353734905699724E-2</v>
      </c>
      <c r="AT58" s="53">
        <v>1.5200197556642727E-2</v>
      </c>
      <c r="AU58" s="53">
        <v>1.50481955810763E-2</v>
      </c>
      <c r="AV58" s="53">
        <v>1.4897713625265537E-2</v>
      </c>
      <c r="AW58" s="53">
        <v>1.4748736489012882E-2</v>
      </c>
      <c r="AX58" s="53">
        <v>1.4601249124122754E-2</v>
      </c>
      <c r="AY58" s="53">
        <v>1.4455236632881526E-2</v>
      </c>
      <c r="AZ58" s="53">
        <v>1.4310684266552711E-2</v>
      </c>
      <c r="BA58" s="53">
        <v>1.4167577423887185E-2</v>
      </c>
      <c r="BB58" s="53">
        <v>1.4025901649648313E-2</v>
      </c>
      <c r="BC58" s="53">
        <v>1.388564263315183E-2</v>
      </c>
      <c r="BD58" s="53">
        <v>1.3746786206820311E-2</v>
      </c>
      <c r="BE58" s="53">
        <v>1.3609318344752108E-2</v>
      </c>
      <c r="BF58" s="53">
        <v>1.3473225161304586E-2</v>
      </c>
      <c r="BG58" s="53">
        <v>1.333849290969154E-2</v>
      </c>
      <c r="BH58" s="53">
        <v>1.3205107980594624E-2</v>
      </c>
      <c r="BI58" s="53">
        <v>1.3073056900788678E-2</v>
      </c>
      <c r="BJ58" s="53">
        <v>1.2942326331780791E-2</v>
      </c>
      <c r="BK58" s="53">
        <v>1.2812903068462982E-2</v>
      </c>
      <c r="BL58" s="53">
        <v>1.2684774037778353E-2</v>
      </c>
      <c r="BM58" s="53">
        <v>1.2557926297400568E-2</v>
      </c>
      <c r="BN58" s="53">
        <v>1.2432347034426562E-2</v>
      </c>
      <c r="BO58" s="53">
        <v>1.2308023564082296E-2</v>
      </c>
      <c r="BP58" s="53">
        <v>1.2184943328441472E-2</v>
      </c>
      <c r="BQ58" s="53">
        <v>1.2063093895157057E-2</v>
      </c>
      <c r="BR58" s="53">
        <v>1.1942462956205485E-2</v>
      </c>
      <c r="BS58" s="53">
        <v>1.182303832664343E-2</v>
      </c>
      <c r="BT58" s="53">
        <v>1.1704807943376996E-2</v>
      </c>
      <c r="BU58" s="53">
        <v>1.1587759863943226E-2</v>
      </c>
      <c r="BV58" s="53">
        <v>1.1471882265303794E-2</v>
      </c>
      <c r="BW58" s="53">
        <v>1.1357163442650756E-2</v>
      </c>
      <c r="BX58" s="53">
        <v>1.1243591808224249E-2</v>
      </c>
      <c r="BY58" s="53">
        <v>1.1131155890142005E-2</v>
      </c>
      <c r="BZ58" s="53">
        <v>1.1019844331240586E-2</v>
      </c>
      <c r="CA58" s="53">
        <v>1.090964588792818E-2</v>
      </c>
      <c r="CB58" s="53">
        <v>1.0800549429048898E-2</v>
      </c>
      <c r="CC58" s="53">
        <v>1.069254393475841E-2</v>
      </c>
      <c r="CD58" s="53">
        <v>1.0585618495410827E-2</v>
      </c>
      <c r="CE58" s="53">
        <v>1.0479762310456718E-2</v>
      </c>
      <c r="CF58" s="53">
        <v>1.0374964687352151E-2</v>
      </c>
      <c r="CG58" s="53">
        <v>1.0271215040478629E-2</v>
      </c>
      <c r="CH58" s="53">
        <v>1.0168502890073842E-2</v>
      </c>
      <c r="CI58" s="53">
        <v>1.0066817861173104E-2</v>
      </c>
      <c r="CJ58" s="53">
        <v>9.9661496825613725E-3</v>
      </c>
      <c r="CK58" s="53">
        <v>9.866488185735758E-3</v>
      </c>
      <c r="CL58" s="53">
        <v>9.7678233038784E-3</v>
      </c>
      <c r="CM58" s="53">
        <v>9.6701450708396152E-3</v>
      </c>
      <c r="CN58" s="53">
        <v>9.5734436201312181E-3</v>
      </c>
      <c r="CO58" s="53">
        <v>9.4777091839299051E-3</v>
      </c>
      <c r="CP58" s="53">
        <v>9.3829320920906061E-3</v>
      </c>
      <c r="CQ58" s="53">
        <v>9.2891027711696997E-3</v>
      </c>
      <c r="CR58" s="53">
        <v>9.1962117434580028E-3</v>
      </c>
      <c r="CS58" s="53">
        <v>9.1042496260234224E-3</v>
      </c>
      <c r="CT58" s="53">
        <v>9.0132071297631886E-3</v>
      </c>
      <c r="CU58" s="53">
        <v>8.9230750584655561E-3</v>
      </c>
      <c r="CV58" s="53">
        <v>8.8338443078809E-3</v>
      </c>
      <c r="CW58" s="53">
        <v>8.7455058648020917E-3</v>
      </c>
      <c r="CX58" s="53">
        <v>8.658050806154071E-3</v>
      </c>
      <c r="CY58" s="28">
        <v>8.571470298092531E-3</v>
      </c>
    </row>
    <row r="59" spans="1:103">
      <c r="A59" s="54">
        <v>77</v>
      </c>
      <c r="B59" s="54">
        <v>2.5554E-2</v>
      </c>
      <c r="C59" s="54">
        <v>2.5380232799999999E-2</v>
      </c>
      <c r="D59" s="54">
        <v>2.5197495123840001E-2</v>
      </c>
      <c r="E59" s="54">
        <v>2.5003474411386433E-2</v>
      </c>
      <c r="F59" s="54">
        <v>2.4798445921213063E-2</v>
      </c>
      <c r="G59" s="54">
        <v>2.4582699441698507E-2</v>
      </c>
      <c r="H59" s="54">
        <v>2.4358996876779049E-2</v>
      </c>
      <c r="I59" s="54">
        <v>2.4130022306137328E-2</v>
      </c>
      <c r="J59" s="54">
        <v>2.3900787094229024E-2</v>
      </c>
      <c r="K59" s="54">
        <v>2.3673729616833849E-2</v>
      </c>
      <c r="L59" s="54">
        <v>2.3453563931397296E-2</v>
      </c>
      <c r="M59" s="54">
        <v>2.3240136499621582E-2</v>
      </c>
      <c r="N59" s="54">
        <v>2.3035623298424911E-2</v>
      </c>
      <c r="O59" s="54">
        <v>2.2835213375728615E-2</v>
      </c>
      <c r="P59" s="54">
        <v>2.2636547019359774E-2</v>
      </c>
      <c r="Q59" s="54">
        <v>2.2437345405589407E-2</v>
      </c>
      <c r="R59" s="54">
        <v>2.2233165562398544E-2</v>
      </c>
      <c r="S59" s="54">
        <v>2.2024173806111998E-2</v>
      </c>
      <c r="T59" s="53">
        <v>2.1810539320192709E-2</v>
      </c>
      <c r="U59" s="53">
        <v>2.1594614980922803E-2</v>
      </c>
      <c r="V59" s="53">
        <v>2.1378668831113574E-2</v>
      </c>
      <c r="W59" s="53">
        <v>2.1164882142802439E-2</v>
      </c>
      <c r="X59" s="53">
        <v>2.0953233321374415E-2</v>
      </c>
      <c r="Y59" s="53">
        <v>2.0743700988160672E-2</v>
      </c>
      <c r="Z59" s="53">
        <v>2.0536263978279064E-2</v>
      </c>
      <c r="AA59" s="53">
        <v>2.0330901338496275E-2</v>
      </c>
      <c r="AB59" s="53">
        <v>2.0127592325111313E-2</v>
      </c>
      <c r="AC59" s="53">
        <v>1.9926316401860201E-2</v>
      </c>
      <c r="AD59" s="53">
        <v>1.9727053237841598E-2</v>
      </c>
      <c r="AE59" s="53">
        <v>1.9529782705463183E-2</v>
      </c>
      <c r="AF59" s="53">
        <v>1.933448487840855E-2</v>
      </c>
      <c r="AG59" s="53">
        <v>1.9141140029624464E-2</v>
      </c>
      <c r="AH59" s="53">
        <v>1.8949728629328217E-2</v>
      </c>
      <c r="AI59" s="53">
        <v>1.8760231343034936E-2</v>
      </c>
      <c r="AJ59" s="53">
        <v>1.8572629029604586E-2</v>
      </c>
      <c r="AK59" s="53">
        <v>1.8386902739308542E-2</v>
      </c>
      <c r="AL59" s="53">
        <v>1.8203033711915458E-2</v>
      </c>
      <c r="AM59" s="53">
        <v>1.8021003374796302E-2</v>
      </c>
      <c r="AN59" s="53">
        <v>1.7840793341048339E-2</v>
      </c>
      <c r="AO59" s="53">
        <v>1.7662385407637857E-2</v>
      </c>
      <c r="AP59" s="53">
        <v>1.7485761553561477E-2</v>
      </c>
      <c r="AQ59" s="53">
        <v>1.7310903938025861E-2</v>
      </c>
      <c r="AR59" s="53">
        <v>1.7137794898645604E-2</v>
      </c>
      <c r="AS59" s="53">
        <v>1.6966416949659148E-2</v>
      </c>
      <c r="AT59" s="53">
        <v>1.6796752780162558E-2</v>
      </c>
      <c r="AU59" s="53">
        <v>1.6628785252360931E-2</v>
      </c>
      <c r="AV59" s="53">
        <v>1.6462497399837323E-2</v>
      </c>
      <c r="AW59" s="53">
        <v>1.6297872425838949E-2</v>
      </c>
      <c r="AX59" s="53">
        <v>1.6134893701580558E-2</v>
      </c>
      <c r="AY59" s="53">
        <v>1.5973544764564751E-2</v>
      </c>
      <c r="AZ59" s="53">
        <v>1.5813809316919104E-2</v>
      </c>
      <c r="BA59" s="53">
        <v>1.5655671223749914E-2</v>
      </c>
      <c r="BB59" s="53">
        <v>1.5499114511512415E-2</v>
      </c>
      <c r="BC59" s="53">
        <v>1.534412336639729E-2</v>
      </c>
      <c r="BD59" s="53">
        <v>1.5190682132733318E-2</v>
      </c>
      <c r="BE59" s="53">
        <v>1.5038775311405985E-2</v>
      </c>
      <c r="BF59" s="53">
        <v>1.4888387558291924E-2</v>
      </c>
      <c r="BG59" s="53">
        <v>1.4739503682709005E-2</v>
      </c>
      <c r="BH59" s="53">
        <v>1.4592108645881915E-2</v>
      </c>
      <c r="BI59" s="53">
        <v>1.4446187559423096E-2</v>
      </c>
      <c r="BJ59" s="53">
        <v>1.4301725683828865E-2</v>
      </c>
      <c r="BK59" s="53">
        <v>1.4158708426990576E-2</v>
      </c>
      <c r="BL59" s="53">
        <v>1.401712134272067E-2</v>
      </c>
      <c r="BM59" s="53">
        <v>1.3876950129293464E-2</v>
      </c>
      <c r="BN59" s="53">
        <v>1.3738180628000529E-2</v>
      </c>
      <c r="BO59" s="53">
        <v>1.3600798821720524E-2</v>
      </c>
      <c r="BP59" s="53">
        <v>1.3464790833503319E-2</v>
      </c>
      <c r="BQ59" s="53">
        <v>1.3330142925168285E-2</v>
      </c>
      <c r="BR59" s="53">
        <v>1.3196841495916602E-2</v>
      </c>
      <c r="BS59" s="53">
        <v>1.3064873080957436E-2</v>
      </c>
      <c r="BT59" s="53">
        <v>1.2934224350147861E-2</v>
      </c>
      <c r="BU59" s="53">
        <v>1.2804882106646383E-2</v>
      </c>
      <c r="BV59" s="53">
        <v>1.2676833285579919E-2</v>
      </c>
      <c r="BW59" s="53">
        <v>1.255006495272412E-2</v>
      </c>
      <c r="BX59" s="53">
        <v>1.2424564303196878E-2</v>
      </c>
      <c r="BY59" s="53">
        <v>1.230031866016491E-2</v>
      </c>
      <c r="BZ59" s="53">
        <v>1.2177315473563261E-2</v>
      </c>
      <c r="CA59" s="53">
        <v>1.2055542318827628E-2</v>
      </c>
      <c r="CB59" s="53">
        <v>1.1934986895639352E-2</v>
      </c>
      <c r="CC59" s="53">
        <v>1.1815637026682958E-2</v>
      </c>
      <c r="CD59" s="53">
        <v>1.1697480656416128E-2</v>
      </c>
      <c r="CE59" s="53">
        <v>1.1580505849851966E-2</v>
      </c>
      <c r="CF59" s="53">
        <v>1.1464700791353446E-2</v>
      </c>
      <c r="CG59" s="53">
        <v>1.1350053783439911E-2</v>
      </c>
      <c r="CH59" s="53">
        <v>1.1236553245605511E-2</v>
      </c>
      <c r="CI59" s="53">
        <v>1.1124187713149457E-2</v>
      </c>
      <c r="CJ59" s="53">
        <v>1.1012945836017963E-2</v>
      </c>
      <c r="CK59" s="53">
        <v>1.0902816377657783E-2</v>
      </c>
      <c r="CL59" s="53">
        <v>1.0793788213881205E-2</v>
      </c>
      <c r="CM59" s="53">
        <v>1.0685850331742392E-2</v>
      </c>
      <c r="CN59" s="53">
        <v>1.0578991828424969E-2</v>
      </c>
      <c r="CO59" s="53">
        <v>1.0473201910140719E-2</v>
      </c>
      <c r="CP59" s="53">
        <v>1.0368469891039312E-2</v>
      </c>
      <c r="CQ59" s="53">
        <v>1.0264785192128919E-2</v>
      </c>
      <c r="CR59" s="53">
        <v>1.0162137340207629E-2</v>
      </c>
      <c r="CS59" s="53">
        <v>1.0060515966805553E-2</v>
      </c>
      <c r="CT59" s="53">
        <v>9.9599108071374981E-3</v>
      </c>
      <c r="CU59" s="53">
        <v>9.8603116990661228E-3</v>
      </c>
      <c r="CV59" s="53">
        <v>9.7617085820754616E-3</v>
      </c>
      <c r="CW59" s="53">
        <v>9.6640914962547071E-3</v>
      </c>
      <c r="CX59" s="53">
        <v>9.5674505812921602E-3</v>
      </c>
      <c r="CY59" s="28">
        <v>9.4717760754792386E-3</v>
      </c>
    </row>
    <row r="60" spans="1:103">
      <c r="A60" s="54">
        <v>78</v>
      </c>
      <c r="B60" s="54">
        <v>2.8288000000000001E-2</v>
      </c>
      <c r="C60" s="54">
        <v>2.81154432E-2</v>
      </c>
      <c r="D60" s="54">
        <v>2.7929881274879997E-2</v>
      </c>
      <c r="E60" s="54">
        <v>2.7728786129700863E-2</v>
      </c>
      <c r="F60" s="54">
        <v>2.7512501597889195E-2</v>
      </c>
      <c r="G60" s="54">
        <v>2.7284147834626717E-2</v>
      </c>
      <c r="H60" s="54">
        <v>2.7044047333682E-2</v>
      </c>
      <c r="I60" s="54">
        <v>2.6792537693478759E-2</v>
      </c>
      <c r="J60" s="54">
        <v>2.6538008585390713E-2</v>
      </c>
      <c r="K60" s="54">
        <v>2.6280589902112423E-2</v>
      </c>
      <c r="L60" s="54">
        <v>2.6028296239052142E-2</v>
      </c>
      <c r="M60" s="54">
        <v>2.5783630254405054E-2</v>
      </c>
      <c r="N60" s="54">
        <v>2.5546420856064529E-2</v>
      </c>
      <c r="O60" s="54">
        <v>2.5313948426274342E-2</v>
      </c>
      <c r="P60" s="54">
        <v>2.5086122890437872E-2</v>
      </c>
      <c r="Q60" s="54">
        <v>2.486034778442393E-2</v>
      </c>
      <c r="R60" s="54">
        <v>2.4631632584807231E-2</v>
      </c>
      <c r="S60" s="54">
        <v>2.4397632075251564E-2</v>
      </c>
      <c r="T60" s="53">
        <v>2.4160975044121624E-2</v>
      </c>
      <c r="U60" s="53">
        <v>2.392178139118482E-2</v>
      </c>
      <c r="V60" s="53">
        <v>2.3682563577272973E-2</v>
      </c>
      <c r="W60" s="53">
        <v>2.3445737941500244E-2</v>
      </c>
      <c r="X60" s="53">
        <v>2.321128056208524E-2</v>
      </c>
      <c r="Y60" s="53">
        <v>2.2979167756464389E-2</v>
      </c>
      <c r="Z60" s="53">
        <v>2.2749376078899746E-2</v>
      </c>
      <c r="AA60" s="53">
        <v>2.252188231811075E-2</v>
      </c>
      <c r="AB60" s="53">
        <v>2.229666349492964E-2</v>
      </c>
      <c r="AC60" s="53">
        <v>2.2073696859980344E-2</v>
      </c>
      <c r="AD60" s="53">
        <v>2.185295989138054E-2</v>
      </c>
      <c r="AE60" s="53">
        <v>2.1634430292466734E-2</v>
      </c>
      <c r="AF60" s="53">
        <v>2.1418085989542066E-2</v>
      </c>
      <c r="AG60" s="53">
        <v>2.1203905129646646E-2</v>
      </c>
      <c r="AH60" s="53">
        <v>2.0991866078350178E-2</v>
      </c>
      <c r="AI60" s="53">
        <v>2.0781947417566678E-2</v>
      </c>
      <c r="AJ60" s="53">
        <v>2.0574127943391012E-2</v>
      </c>
      <c r="AK60" s="53">
        <v>2.0368386663957103E-2</v>
      </c>
      <c r="AL60" s="53">
        <v>2.0164702797317531E-2</v>
      </c>
      <c r="AM60" s="53">
        <v>1.9963055769344356E-2</v>
      </c>
      <c r="AN60" s="53">
        <v>1.9763425211650913E-2</v>
      </c>
      <c r="AO60" s="53">
        <v>1.9565790959534403E-2</v>
      </c>
      <c r="AP60" s="53">
        <v>1.9370133049939058E-2</v>
      </c>
      <c r="AQ60" s="53">
        <v>1.9176431719439668E-2</v>
      </c>
      <c r="AR60" s="53">
        <v>1.8984667402245272E-2</v>
      </c>
      <c r="AS60" s="53">
        <v>1.8794820728222819E-2</v>
      </c>
      <c r="AT60" s="53">
        <v>1.8606872520940589E-2</v>
      </c>
      <c r="AU60" s="53">
        <v>1.8420803795731182E-2</v>
      </c>
      <c r="AV60" s="53">
        <v>1.8236595757773869E-2</v>
      </c>
      <c r="AW60" s="53">
        <v>1.805422980019613E-2</v>
      </c>
      <c r="AX60" s="53">
        <v>1.7873687502194167E-2</v>
      </c>
      <c r="AY60" s="53">
        <v>1.7694950627172225E-2</v>
      </c>
      <c r="AZ60" s="53">
        <v>1.7518001120900503E-2</v>
      </c>
      <c r="BA60" s="53">
        <v>1.7342821109691497E-2</v>
      </c>
      <c r="BB60" s="53">
        <v>1.7169392898594583E-2</v>
      </c>
      <c r="BC60" s="53">
        <v>1.6997698969608638E-2</v>
      </c>
      <c r="BD60" s="53">
        <v>1.6827721979912551E-2</v>
      </c>
      <c r="BE60" s="53">
        <v>1.6659444760113426E-2</v>
      </c>
      <c r="BF60" s="53">
        <v>1.649285031251229E-2</v>
      </c>
      <c r="BG60" s="53">
        <v>1.6327921809387167E-2</v>
      </c>
      <c r="BH60" s="53">
        <v>1.6164642591293295E-2</v>
      </c>
      <c r="BI60" s="53">
        <v>1.6002996165380361E-2</v>
      </c>
      <c r="BJ60" s="53">
        <v>1.5842966203726556E-2</v>
      </c>
      <c r="BK60" s="53">
        <v>1.568453654168929E-2</v>
      </c>
      <c r="BL60" s="53">
        <v>1.5527691176272396E-2</v>
      </c>
      <c r="BM60" s="53">
        <v>1.5372414264509672E-2</v>
      </c>
      <c r="BN60" s="53">
        <v>1.5218690121864576E-2</v>
      </c>
      <c r="BO60" s="53">
        <v>1.5066503220645931E-2</v>
      </c>
      <c r="BP60" s="53">
        <v>1.4915838188439471E-2</v>
      </c>
      <c r="BQ60" s="53">
        <v>1.4766679806555076E-2</v>
      </c>
      <c r="BR60" s="53">
        <v>1.4619013008489525E-2</v>
      </c>
      <c r="BS60" s="53">
        <v>1.447282287840463E-2</v>
      </c>
      <c r="BT60" s="53">
        <v>1.4328094649620584E-2</v>
      </c>
      <c r="BU60" s="53">
        <v>1.4184813703124379E-2</v>
      </c>
      <c r="BV60" s="53">
        <v>1.4042965566093135E-2</v>
      </c>
      <c r="BW60" s="53">
        <v>1.3902535910432204E-2</v>
      </c>
      <c r="BX60" s="53">
        <v>1.3763510551327882E-2</v>
      </c>
      <c r="BY60" s="53">
        <v>1.3625875445814603E-2</v>
      </c>
      <c r="BZ60" s="53">
        <v>1.3489616691356458E-2</v>
      </c>
      <c r="CA60" s="53">
        <v>1.3354720524442892E-2</v>
      </c>
      <c r="CB60" s="53">
        <v>1.3221173319198464E-2</v>
      </c>
      <c r="CC60" s="53">
        <v>1.3088961586006479E-2</v>
      </c>
      <c r="CD60" s="53">
        <v>1.2958071970146414E-2</v>
      </c>
      <c r="CE60" s="53">
        <v>1.282849125044495E-2</v>
      </c>
      <c r="CF60" s="53">
        <v>1.2700206337940501E-2</v>
      </c>
      <c r="CG60" s="53">
        <v>1.2573204274561095E-2</v>
      </c>
      <c r="CH60" s="53">
        <v>1.2447472231815485E-2</v>
      </c>
      <c r="CI60" s="53">
        <v>1.232299750949733E-2</v>
      </c>
      <c r="CJ60" s="53">
        <v>1.2199767534402356E-2</v>
      </c>
      <c r="CK60" s="53">
        <v>1.2077769859058332E-2</v>
      </c>
      <c r="CL60" s="53">
        <v>1.1956992160467748E-2</v>
      </c>
      <c r="CM60" s="53">
        <v>1.183742223886307E-2</v>
      </c>
      <c r="CN60" s="53">
        <v>1.1719048016474439E-2</v>
      </c>
      <c r="CO60" s="53">
        <v>1.1601857536309695E-2</v>
      </c>
      <c r="CP60" s="53">
        <v>1.1485838960946598E-2</v>
      </c>
      <c r="CQ60" s="53">
        <v>1.1370980571337131E-2</v>
      </c>
      <c r="CR60" s="53">
        <v>1.125727076562376E-2</v>
      </c>
      <c r="CS60" s="53">
        <v>1.1144698057967523E-2</v>
      </c>
      <c r="CT60" s="53">
        <v>1.1033251077387847E-2</v>
      </c>
      <c r="CU60" s="53">
        <v>1.0922918566613968E-2</v>
      </c>
      <c r="CV60" s="53">
        <v>1.0813689380947828E-2</v>
      </c>
      <c r="CW60" s="53">
        <v>1.0705552487138351E-2</v>
      </c>
      <c r="CX60" s="53">
        <v>1.0598496962266966E-2</v>
      </c>
      <c r="CY60" s="28">
        <v>1.0492511992644296E-2</v>
      </c>
    </row>
    <row r="61" spans="1:103">
      <c r="A61" s="54">
        <v>79</v>
      </c>
      <c r="B61" s="54">
        <v>3.1365999999999998E-2</v>
      </c>
      <c r="C61" s="54">
        <v>3.1193486999999999E-2</v>
      </c>
      <c r="D61" s="54">
        <v>3.1006326078E-2</v>
      </c>
      <c r="E61" s="54">
        <v>3.0801684325885197E-2</v>
      </c>
      <c r="F61" s="54">
        <v>3.0576832030306235E-2</v>
      </c>
      <c r="G61" s="54">
        <v>3.0335275057266815E-2</v>
      </c>
      <c r="H61" s="54">
        <v>3.0077425219280047E-2</v>
      </c>
      <c r="I61" s="54">
        <v>2.98037206497846E-2</v>
      </c>
      <c r="J61" s="54">
        <v>2.9523565675676627E-2</v>
      </c>
      <c r="K61" s="54">
        <v>2.9237187088622562E-2</v>
      </c>
      <c r="L61" s="54">
        <v>2.8953586373862923E-2</v>
      </c>
      <c r="M61" s="54">
        <v>2.8675631944673839E-2</v>
      </c>
      <c r="N61" s="54">
        <v>2.8403213441199438E-2</v>
      </c>
      <c r="O61" s="54">
        <v>2.8136223234852164E-2</v>
      </c>
      <c r="P61" s="54">
        <v>2.7874556358768038E-2</v>
      </c>
      <c r="Q61" s="54">
        <v>2.7615322984631496E-2</v>
      </c>
      <c r="R61" s="54">
        <v>2.7355738948575962E-2</v>
      </c>
      <c r="S61" s="54">
        <v>2.7095859428564493E-2</v>
      </c>
      <c r="T61" s="53">
        <v>2.6833029592107416E-2</v>
      </c>
      <c r="U61" s="53">
        <v>2.6567382599145553E-2</v>
      </c>
      <c r="V61" s="53">
        <v>2.6301708773154096E-2</v>
      </c>
      <c r="W61" s="53">
        <v>2.6038691685422555E-2</v>
      </c>
      <c r="X61" s="53">
        <v>2.5778304768568329E-2</v>
      </c>
      <c r="Y61" s="53">
        <v>2.5520521720882646E-2</v>
      </c>
      <c r="Z61" s="53">
        <v>2.5265316503673821E-2</v>
      </c>
      <c r="AA61" s="53">
        <v>2.5012663338637081E-2</v>
      </c>
      <c r="AB61" s="53">
        <v>2.476253670525071E-2</v>
      </c>
      <c r="AC61" s="53">
        <v>2.4514911338198202E-2</v>
      </c>
      <c r="AD61" s="53">
        <v>2.4269762224816221E-2</v>
      </c>
      <c r="AE61" s="53">
        <v>2.4027064602568059E-2</v>
      </c>
      <c r="AF61" s="53">
        <v>2.3786793956542377E-2</v>
      </c>
      <c r="AG61" s="53">
        <v>2.3548926016976952E-2</v>
      </c>
      <c r="AH61" s="53">
        <v>2.3313436756807183E-2</v>
      </c>
      <c r="AI61" s="53">
        <v>2.308030238923911E-2</v>
      </c>
      <c r="AJ61" s="53">
        <v>2.284949936534672E-2</v>
      </c>
      <c r="AK61" s="53">
        <v>2.2621004371693253E-2</v>
      </c>
      <c r="AL61" s="53">
        <v>2.2394794327976319E-2</v>
      </c>
      <c r="AM61" s="53">
        <v>2.2170846384696557E-2</v>
      </c>
      <c r="AN61" s="53">
        <v>2.1949137920849592E-2</v>
      </c>
      <c r="AO61" s="53">
        <v>2.1729646541641095E-2</v>
      </c>
      <c r="AP61" s="53">
        <v>2.1512350076224682E-2</v>
      </c>
      <c r="AQ61" s="53">
        <v>2.1297226575462434E-2</v>
      </c>
      <c r="AR61" s="53">
        <v>2.1084254309707808E-2</v>
      </c>
      <c r="AS61" s="53">
        <v>2.0873411766610731E-2</v>
      </c>
      <c r="AT61" s="53">
        <v>2.0664677648944623E-2</v>
      </c>
      <c r="AU61" s="53">
        <v>2.0458030872455176E-2</v>
      </c>
      <c r="AV61" s="53">
        <v>2.0253450563730624E-2</v>
      </c>
      <c r="AW61" s="53">
        <v>2.0050916058093317E-2</v>
      </c>
      <c r="AX61" s="53">
        <v>1.9850406897512385E-2</v>
      </c>
      <c r="AY61" s="53">
        <v>1.9651902828537262E-2</v>
      </c>
      <c r="AZ61" s="53">
        <v>1.9455383800251889E-2</v>
      </c>
      <c r="BA61" s="53">
        <v>1.9260829962249371E-2</v>
      </c>
      <c r="BB61" s="53">
        <v>1.9068221662626877E-2</v>
      </c>
      <c r="BC61" s="53">
        <v>1.8877539446000607E-2</v>
      </c>
      <c r="BD61" s="53">
        <v>1.8688764051540602E-2</v>
      </c>
      <c r="BE61" s="53">
        <v>1.8501876411025197E-2</v>
      </c>
      <c r="BF61" s="53">
        <v>1.8316857646914944E-2</v>
      </c>
      <c r="BG61" s="53">
        <v>1.8133689070445793E-2</v>
      </c>
      <c r="BH61" s="53">
        <v>1.7952352179741334E-2</v>
      </c>
      <c r="BI61" s="53">
        <v>1.7772828657943919E-2</v>
      </c>
      <c r="BJ61" s="53">
        <v>1.759510037136448E-2</v>
      </c>
      <c r="BK61" s="53">
        <v>1.7419149367650835E-2</v>
      </c>
      <c r="BL61" s="53">
        <v>1.7244957873974325E-2</v>
      </c>
      <c r="BM61" s="53">
        <v>1.7072508295234583E-2</v>
      </c>
      <c r="BN61" s="53">
        <v>1.6901783212282237E-2</v>
      </c>
      <c r="BO61" s="53">
        <v>1.6732765380159415E-2</v>
      </c>
      <c r="BP61" s="53">
        <v>1.656543772635782E-2</v>
      </c>
      <c r="BQ61" s="53">
        <v>1.6399783349094241E-2</v>
      </c>
      <c r="BR61" s="53">
        <v>1.6235785515603299E-2</v>
      </c>
      <c r="BS61" s="53">
        <v>1.6073427660447264E-2</v>
      </c>
      <c r="BT61" s="53">
        <v>1.5912693383842793E-2</v>
      </c>
      <c r="BU61" s="53">
        <v>1.5753566450004364E-2</v>
      </c>
      <c r="BV61" s="53">
        <v>1.559603078550432E-2</v>
      </c>
      <c r="BW61" s="53">
        <v>1.5440070477649276E-2</v>
      </c>
      <c r="BX61" s="53">
        <v>1.5285669772872783E-2</v>
      </c>
      <c r="BY61" s="53">
        <v>1.5132813075144054E-2</v>
      </c>
      <c r="BZ61" s="53">
        <v>1.4981484944392614E-2</v>
      </c>
      <c r="CA61" s="53">
        <v>1.4831670094948688E-2</v>
      </c>
      <c r="CB61" s="53">
        <v>1.4683353393999201E-2</v>
      </c>
      <c r="CC61" s="53">
        <v>1.4536519860059209E-2</v>
      </c>
      <c r="CD61" s="53">
        <v>1.4391154661458617E-2</v>
      </c>
      <c r="CE61" s="53">
        <v>1.424724311484403E-2</v>
      </c>
      <c r="CF61" s="53">
        <v>1.4104770683695589E-2</v>
      </c>
      <c r="CG61" s="53">
        <v>1.3963722976858634E-2</v>
      </c>
      <c r="CH61" s="53">
        <v>1.3824085747090048E-2</v>
      </c>
      <c r="CI61" s="53">
        <v>1.3685844889619147E-2</v>
      </c>
      <c r="CJ61" s="53">
        <v>1.3548986440722955E-2</v>
      </c>
      <c r="CK61" s="53">
        <v>1.3413496576315726E-2</v>
      </c>
      <c r="CL61" s="53">
        <v>1.3279361610552569E-2</v>
      </c>
      <c r="CM61" s="53">
        <v>1.3146567994447043E-2</v>
      </c>
      <c r="CN61" s="53">
        <v>1.3015102314502572E-2</v>
      </c>
      <c r="CO61" s="53">
        <v>1.2884951291357546E-2</v>
      </c>
      <c r="CP61" s="53">
        <v>1.2756101778443971E-2</v>
      </c>
      <c r="CQ61" s="53">
        <v>1.2628540760659531E-2</v>
      </c>
      <c r="CR61" s="53">
        <v>1.2502255353052936E-2</v>
      </c>
      <c r="CS61" s="53">
        <v>1.2377232799522407E-2</v>
      </c>
      <c r="CT61" s="53">
        <v>1.2253460471527183E-2</v>
      </c>
      <c r="CU61" s="53">
        <v>1.2130925866811911E-2</v>
      </c>
      <c r="CV61" s="53">
        <v>1.2009616608143791E-2</v>
      </c>
      <c r="CW61" s="53">
        <v>1.1889520442062353E-2</v>
      </c>
      <c r="CX61" s="53">
        <v>1.1770625237641729E-2</v>
      </c>
      <c r="CY61" s="28">
        <v>1.1652918985265312E-2</v>
      </c>
    </row>
    <row r="62" spans="1:103">
      <c r="A62" s="54">
        <v>80</v>
      </c>
      <c r="B62" s="54">
        <v>3.4844E-2</v>
      </c>
      <c r="C62" s="54">
        <v>3.4673264400000001E-2</v>
      </c>
      <c r="D62" s="54">
        <v>3.4482561445800003E-2</v>
      </c>
      <c r="E62" s="54">
        <v>3.4272217820980624E-2</v>
      </c>
      <c r="F62" s="54">
        <v>3.4039166739797955E-2</v>
      </c>
      <c r="G62" s="54">
        <v>3.3783872989249474E-2</v>
      </c>
      <c r="H62" s="54">
        <v>3.3506845230737631E-2</v>
      </c>
      <c r="I62" s="54">
        <v>3.3211984992707139E-2</v>
      </c>
      <c r="J62" s="54">
        <v>3.2903113532274965E-2</v>
      </c>
      <c r="K62" s="54">
        <v>3.2587243642365121E-2</v>
      </c>
      <c r="L62" s="54">
        <v>3.2271147379034179E-2</v>
      </c>
      <c r="M62" s="54">
        <v>3.1958117249457546E-2</v>
      </c>
      <c r="N62" s="54">
        <v>3.1651319323862753E-2</v>
      </c>
      <c r="O62" s="54">
        <v>3.1350631790286056E-2</v>
      </c>
      <c r="P62" s="54">
        <v>3.105280078827834E-2</v>
      </c>
      <c r="Q62" s="54">
        <v>3.0757799180789698E-2</v>
      </c>
      <c r="R62" s="54">
        <v>3.0465600088572197E-2</v>
      </c>
      <c r="S62" s="54">
        <v>3.0173130327721901E-2</v>
      </c>
      <c r="T62" s="53">
        <v>2.9877433650510224E-2</v>
      </c>
      <c r="U62" s="53">
        <v>2.9581647057370174E-2</v>
      </c>
      <c r="V62" s="53">
        <v>2.9285830586796471E-2</v>
      </c>
      <c r="W62" s="53">
        <v>2.8992972280928505E-2</v>
      </c>
      <c r="X62" s="53">
        <v>2.8703042558119219E-2</v>
      </c>
      <c r="Y62" s="53">
        <v>2.8416012132538027E-2</v>
      </c>
      <c r="Z62" s="53">
        <v>2.8131852011212648E-2</v>
      </c>
      <c r="AA62" s="53">
        <v>2.7850533491100522E-2</v>
      </c>
      <c r="AB62" s="53">
        <v>2.7572028156189515E-2</v>
      </c>
      <c r="AC62" s="53">
        <v>2.7296307874627619E-2</v>
      </c>
      <c r="AD62" s="53">
        <v>2.7023344795881341E-2</v>
      </c>
      <c r="AE62" s="53">
        <v>2.6753111347922527E-2</v>
      </c>
      <c r="AF62" s="53">
        <v>2.6485580234443303E-2</v>
      </c>
      <c r="AG62" s="53">
        <v>2.6220724432098871E-2</v>
      </c>
      <c r="AH62" s="53">
        <v>2.5958517187777884E-2</v>
      </c>
      <c r="AI62" s="53">
        <v>2.5698932015900105E-2</v>
      </c>
      <c r="AJ62" s="53">
        <v>2.5441942695741102E-2</v>
      </c>
      <c r="AK62" s="53">
        <v>2.518752326878369E-2</v>
      </c>
      <c r="AL62" s="53">
        <v>2.4935648036095853E-2</v>
      </c>
      <c r="AM62" s="53">
        <v>2.4686291555734895E-2</v>
      </c>
      <c r="AN62" s="53">
        <v>2.4439428640177546E-2</v>
      </c>
      <c r="AO62" s="53">
        <v>2.419503435377577E-2</v>
      </c>
      <c r="AP62" s="53">
        <v>2.3953084010238011E-2</v>
      </c>
      <c r="AQ62" s="53">
        <v>2.371355317013563E-2</v>
      </c>
      <c r="AR62" s="53">
        <v>2.3476417638434274E-2</v>
      </c>
      <c r="AS62" s="53">
        <v>2.3241653462049931E-2</v>
      </c>
      <c r="AT62" s="53">
        <v>2.3009236927429431E-2</v>
      </c>
      <c r="AU62" s="53">
        <v>2.2779144558155138E-2</v>
      </c>
      <c r="AV62" s="53">
        <v>2.2551353112573586E-2</v>
      </c>
      <c r="AW62" s="53">
        <v>2.2325839581447848E-2</v>
      </c>
      <c r="AX62" s="53">
        <v>2.2102581185633369E-2</v>
      </c>
      <c r="AY62" s="53">
        <v>2.1881555373777034E-2</v>
      </c>
      <c r="AZ62" s="53">
        <v>2.1662739820039262E-2</v>
      </c>
      <c r="BA62" s="53">
        <v>2.1446112421838869E-2</v>
      </c>
      <c r="BB62" s="53">
        <v>2.1231651297620481E-2</v>
      </c>
      <c r="BC62" s="53">
        <v>2.1019334784644277E-2</v>
      </c>
      <c r="BD62" s="53">
        <v>2.0809141436797834E-2</v>
      </c>
      <c r="BE62" s="53">
        <v>2.0601050022429856E-2</v>
      </c>
      <c r="BF62" s="53">
        <v>2.0395039522205557E-2</v>
      </c>
      <c r="BG62" s="53">
        <v>2.0191089126983502E-2</v>
      </c>
      <c r="BH62" s="53">
        <v>1.9989178235713667E-2</v>
      </c>
      <c r="BI62" s="53">
        <v>1.9789286453356529E-2</v>
      </c>
      <c r="BJ62" s="53">
        <v>1.9591393588822965E-2</v>
      </c>
      <c r="BK62" s="53">
        <v>1.9395479652934734E-2</v>
      </c>
      <c r="BL62" s="53">
        <v>1.9201524856405385E-2</v>
      </c>
      <c r="BM62" s="53">
        <v>1.900950960784133E-2</v>
      </c>
      <c r="BN62" s="53">
        <v>1.8819414511762916E-2</v>
      </c>
      <c r="BO62" s="53">
        <v>1.8631220366645287E-2</v>
      </c>
      <c r="BP62" s="53">
        <v>1.8444908162978835E-2</v>
      </c>
      <c r="BQ62" s="53">
        <v>1.8260459081349045E-2</v>
      </c>
      <c r="BR62" s="53">
        <v>1.8077854490535554E-2</v>
      </c>
      <c r="BS62" s="53">
        <v>1.7897075945630198E-2</v>
      </c>
      <c r="BT62" s="53">
        <v>1.7718105186173897E-2</v>
      </c>
      <c r="BU62" s="53">
        <v>1.7540924134312158E-2</v>
      </c>
      <c r="BV62" s="53">
        <v>1.7365514892969038E-2</v>
      </c>
      <c r="BW62" s="53">
        <v>1.7191859744039348E-2</v>
      </c>
      <c r="BX62" s="53">
        <v>1.7019941146598955E-2</v>
      </c>
      <c r="BY62" s="53">
        <v>1.6849741735132966E-2</v>
      </c>
      <c r="BZ62" s="53">
        <v>1.6681244317781636E-2</v>
      </c>
      <c r="CA62" s="53">
        <v>1.6514431874603819E-2</v>
      </c>
      <c r="CB62" s="53">
        <v>1.634928755585778E-2</v>
      </c>
      <c r="CC62" s="53">
        <v>1.6185794680299202E-2</v>
      </c>
      <c r="CD62" s="53">
        <v>1.6023936733496211E-2</v>
      </c>
      <c r="CE62" s="53">
        <v>1.586369736616125E-2</v>
      </c>
      <c r="CF62" s="53">
        <v>1.5705060392499637E-2</v>
      </c>
      <c r="CG62" s="53">
        <v>1.5548009788574641E-2</v>
      </c>
      <c r="CH62" s="53">
        <v>1.5392529690688895E-2</v>
      </c>
      <c r="CI62" s="53">
        <v>1.5238604393782006E-2</v>
      </c>
      <c r="CJ62" s="53">
        <v>1.5086218349844187E-2</v>
      </c>
      <c r="CK62" s="53">
        <v>1.4935356166345745E-2</v>
      </c>
      <c r="CL62" s="53">
        <v>1.4786002604682286E-2</v>
      </c>
      <c r="CM62" s="53">
        <v>1.4638142578635464E-2</v>
      </c>
      <c r="CN62" s="53">
        <v>1.4491761152849109E-2</v>
      </c>
      <c r="CO62" s="53">
        <v>1.4346843541320618E-2</v>
      </c>
      <c r="CP62" s="53">
        <v>1.4203375105907412E-2</v>
      </c>
      <c r="CQ62" s="53">
        <v>1.4061341354848338E-2</v>
      </c>
      <c r="CR62" s="53">
        <v>1.3920727941299855E-2</v>
      </c>
      <c r="CS62" s="53">
        <v>1.3781520661886856E-2</v>
      </c>
      <c r="CT62" s="53">
        <v>1.3643705455267987E-2</v>
      </c>
      <c r="CU62" s="53">
        <v>1.3507268400715308E-2</v>
      </c>
      <c r="CV62" s="53">
        <v>1.3372195716708155E-2</v>
      </c>
      <c r="CW62" s="53">
        <v>1.3238473759541073E-2</v>
      </c>
      <c r="CX62" s="53">
        <v>1.3106089021945662E-2</v>
      </c>
      <c r="CY62" s="28">
        <v>1.2975028131726206E-2</v>
      </c>
    </row>
    <row r="63" spans="1:103">
      <c r="A63" s="54">
        <v>81</v>
      </c>
      <c r="B63" s="54">
        <v>3.8782999999999998E-2</v>
      </c>
      <c r="C63" s="54">
        <v>3.8612354799999998E-2</v>
      </c>
      <c r="D63" s="54">
        <v>3.8423154261479998E-2</v>
      </c>
      <c r="E63" s="54">
        <v>3.8207984597615707E-2</v>
      </c>
      <c r="F63" s="54">
        <v>3.796727429465073E-2</v>
      </c>
      <c r="G63" s="54">
        <v>3.7697706647158713E-2</v>
      </c>
      <c r="H63" s="54">
        <v>3.7399894764646162E-2</v>
      </c>
      <c r="I63" s="54">
        <v>3.7081995659146674E-2</v>
      </c>
      <c r="J63" s="54">
        <v>3.6744549498648436E-2</v>
      </c>
      <c r="K63" s="54">
        <v>3.6395476278411276E-2</v>
      </c>
      <c r="L63" s="54">
        <v>3.6042440158510686E-2</v>
      </c>
      <c r="M63" s="54">
        <v>3.5692828488973129E-2</v>
      </c>
      <c r="N63" s="54">
        <v>3.5346608052630089E-2</v>
      </c>
      <c r="O63" s="54">
        <v>3.5003745954519577E-2</v>
      </c>
      <c r="P63" s="54">
        <v>3.4667709993356187E-2</v>
      </c>
      <c r="Q63" s="54">
        <v>3.4334899977419966E-2</v>
      </c>
      <c r="R63" s="54">
        <v>3.4001851447638988E-2</v>
      </c>
      <c r="S63" s="54">
        <v>3.3672033488596889E-2</v>
      </c>
      <c r="T63" s="53">
        <v>3.3342047560408636E-2</v>
      </c>
      <c r="U63" s="53">
        <v>3.301196128956059E-2</v>
      </c>
      <c r="V63" s="53">
        <v>3.2681841676664984E-2</v>
      </c>
      <c r="W63" s="53">
        <v>3.2355023259898336E-2</v>
      </c>
      <c r="X63" s="53">
        <v>3.2031473027299355E-2</v>
      </c>
      <c r="Y63" s="53">
        <v>3.1711158297026358E-2</v>
      </c>
      <c r="Z63" s="53">
        <v>3.1394046714056094E-2</v>
      </c>
      <c r="AA63" s="53">
        <v>3.1080106246915533E-2</v>
      </c>
      <c r="AB63" s="53">
        <v>3.0769305184446379E-2</v>
      </c>
      <c r="AC63" s="53">
        <v>3.0461612132601915E-2</v>
      </c>
      <c r="AD63" s="53">
        <v>3.0156996011275895E-2</v>
      </c>
      <c r="AE63" s="53">
        <v>2.9855426051163137E-2</v>
      </c>
      <c r="AF63" s="53">
        <v>2.9556871790651505E-2</v>
      </c>
      <c r="AG63" s="53">
        <v>2.926130307274499E-2</v>
      </c>
      <c r="AH63" s="53">
        <v>2.8968690042017541E-2</v>
      </c>
      <c r="AI63" s="53">
        <v>2.8679003141597364E-2</v>
      </c>
      <c r="AJ63" s="53">
        <v>2.8392213110181391E-2</v>
      </c>
      <c r="AK63" s="53">
        <v>2.8108290979079575E-2</v>
      </c>
      <c r="AL63" s="53">
        <v>2.7827208069288779E-2</v>
      </c>
      <c r="AM63" s="53">
        <v>2.7548935988595889E-2</v>
      </c>
      <c r="AN63" s="53">
        <v>2.7273446628709931E-2</v>
      </c>
      <c r="AO63" s="53">
        <v>2.7000712162422832E-2</v>
      </c>
      <c r="AP63" s="53">
        <v>2.6730705040798605E-2</v>
      </c>
      <c r="AQ63" s="53">
        <v>2.646339799039062E-2</v>
      </c>
      <c r="AR63" s="53">
        <v>2.6198764010486715E-2</v>
      </c>
      <c r="AS63" s="53">
        <v>2.5936776370381848E-2</v>
      </c>
      <c r="AT63" s="53">
        <v>2.567740860667803E-2</v>
      </c>
      <c r="AU63" s="53">
        <v>2.542063452061125E-2</v>
      </c>
      <c r="AV63" s="53">
        <v>2.5166428175405136E-2</v>
      </c>
      <c r="AW63" s="53">
        <v>2.4914763893651083E-2</v>
      </c>
      <c r="AX63" s="53">
        <v>2.4665616254714574E-2</v>
      </c>
      <c r="AY63" s="53">
        <v>2.4418960092167426E-2</v>
      </c>
      <c r="AZ63" s="53">
        <v>2.4174770491245751E-2</v>
      </c>
      <c r="BA63" s="53">
        <v>2.3933022786333292E-2</v>
      </c>
      <c r="BB63" s="53">
        <v>2.369369255846996E-2</v>
      </c>
      <c r="BC63" s="53">
        <v>2.3456755632885261E-2</v>
      </c>
      <c r="BD63" s="53">
        <v>2.3222188076556408E-2</v>
      </c>
      <c r="BE63" s="53">
        <v>2.2989966195790842E-2</v>
      </c>
      <c r="BF63" s="53">
        <v>2.2760066533832935E-2</v>
      </c>
      <c r="BG63" s="53">
        <v>2.2532465868494604E-2</v>
      </c>
      <c r="BH63" s="53">
        <v>2.2307141209809658E-2</v>
      </c>
      <c r="BI63" s="53">
        <v>2.2084069797711561E-2</v>
      </c>
      <c r="BJ63" s="53">
        <v>2.1863229099734444E-2</v>
      </c>
      <c r="BK63" s="53">
        <v>2.16445968087371E-2</v>
      </c>
      <c r="BL63" s="53">
        <v>2.142815084064973E-2</v>
      </c>
      <c r="BM63" s="53">
        <v>2.1213869332243233E-2</v>
      </c>
      <c r="BN63" s="53">
        <v>2.1001730638920801E-2</v>
      </c>
      <c r="BO63" s="53">
        <v>2.0791713332531592E-2</v>
      </c>
      <c r="BP63" s="53">
        <v>2.0583796199206278E-2</v>
      </c>
      <c r="BQ63" s="53">
        <v>2.0377958237214215E-2</v>
      </c>
      <c r="BR63" s="53">
        <v>2.0174178654842074E-2</v>
      </c>
      <c r="BS63" s="53">
        <v>1.9972436868293652E-2</v>
      </c>
      <c r="BT63" s="53">
        <v>1.9772712499610715E-2</v>
      </c>
      <c r="BU63" s="53">
        <v>1.9574985374614606E-2</v>
      </c>
      <c r="BV63" s="53">
        <v>1.9379235520868461E-2</v>
      </c>
      <c r="BW63" s="53">
        <v>1.9185443165659778E-2</v>
      </c>
      <c r="BX63" s="53">
        <v>1.899358873400318E-2</v>
      </c>
      <c r="BY63" s="53">
        <v>1.8803652846663146E-2</v>
      </c>
      <c r="BZ63" s="53">
        <v>1.8615616318196516E-2</v>
      </c>
      <c r="CA63" s="53">
        <v>1.8429460155014551E-2</v>
      </c>
      <c r="CB63" s="53">
        <v>1.8245165553464407E-2</v>
      </c>
      <c r="CC63" s="53">
        <v>1.8062713897929763E-2</v>
      </c>
      <c r="CD63" s="53">
        <v>1.7882086758950463E-2</v>
      </c>
      <c r="CE63" s="53">
        <v>1.770326589136096E-2</v>
      </c>
      <c r="CF63" s="53">
        <v>1.7526233232447352E-2</v>
      </c>
      <c r="CG63" s="53">
        <v>1.7350970900122879E-2</v>
      </c>
      <c r="CH63" s="53">
        <v>1.7177461191121651E-2</v>
      </c>
      <c r="CI63" s="53">
        <v>1.7005686579210436E-2</v>
      </c>
      <c r="CJ63" s="53">
        <v>1.6835629713418333E-2</v>
      </c>
      <c r="CK63" s="53">
        <v>1.6667273416284149E-2</v>
      </c>
      <c r="CL63" s="53">
        <v>1.6500600682121308E-2</v>
      </c>
      <c r="CM63" s="53">
        <v>1.6335594675300096E-2</v>
      </c>
      <c r="CN63" s="53">
        <v>1.6172238728547093E-2</v>
      </c>
      <c r="CO63" s="53">
        <v>1.6010516341261622E-2</v>
      </c>
      <c r="CP63" s="53">
        <v>1.5850411177849005E-2</v>
      </c>
      <c r="CQ63" s="53">
        <v>1.5691907066070515E-2</v>
      </c>
      <c r="CR63" s="53">
        <v>1.553498799540981E-2</v>
      </c>
      <c r="CS63" s="53">
        <v>1.5379638115455712E-2</v>
      </c>
      <c r="CT63" s="53">
        <v>1.5225841734301155E-2</v>
      </c>
      <c r="CU63" s="53">
        <v>1.5073583316958144E-2</v>
      </c>
      <c r="CV63" s="53">
        <v>1.4922847483788563E-2</v>
      </c>
      <c r="CW63" s="53">
        <v>1.4773619008950677E-2</v>
      </c>
      <c r="CX63" s="53">
        <v>1.462588281886117E-2</v>
      </c>
      <c r="CY63" s="28">
        <v>1.4479623990672558E-2</v>
      </c>
    </row>
    <row r="64" spans="1:103">
      <c r="A64" s="54">
        <v>82</v>
      </c>
      <c r="B64" s="54">
        <v>4.3246E-2</v>
      </c>
      <c r="C64" s="54">
        <v>4.3073015999999999E-2</v>
      </c>
      <c r="D64" s="54">
        <v>4.2879187428000003E-2</v>
      </c>
      <c r="E64" s="54">
        <v>4.2660503572117203E-2</v>
      </c>
      <c r="F64" s="54">
        <v>4.240880660104171E-2</v>
      </c>
      <c r="G64" s="54">
        <v>4.2124667596814727E-2</v>
      </c>
      <c r="H64" s="54">
        <v>4.1808732589838617E-2</v>
      </c>
      <c r="I64" s="54">
        <v>4.1461720109342959E-2</v>
      </c>
      <c r="J64" s="54">
        <v>4.1092710800369803E-2</v>
      </c>
      <c r="K64" s="54">
        <v>4.0710548589926364E-2</v>
      </c>
      <c r="L64" s="54">
        <v>4.0323798378322062E-2</v>
      </c>
      <c r="M64" s="54">
        <v>3.9936689913890169E-2</v>
      </c>
      <c r="N64" s="54">
        <v>3.9549304021725434E-2</v>
      </c>
      <c r="O64" s="54">
        <v>3.9165675772714695E-2</v>
      </c>
      <c r="P64" s="54">
        <v>3.8785768717719361E-2</v>
      </c>
      <c r="Q64" s="54">
        <v>3.840954676115748E-2</v>
      </c>
      <c r="R64" s="54">
        <v>3.8036974157574253E-2</v>
      </c>
      <c r="S64" s="54">
        <v>3.7664211810830024E-2</v>
      </c>
      <c r="T64" s="53">
        <v>3.7291336113902805E-2</v>
      </c>
      <c r="U64" s="53">
        <v>3.6918422752763774E-2</v>
      </c>
      <c r="V64" s="53">
        <v>3.6549238525236137E-2</v>
      </c>
      <c r="W64" s="53">
        <v>3.6183746139983777E-2</v>
      </c>
      <c r="X64" s="53">
        <v>3.5821908678583939E-2</v>
      </c>
      <c r="Y64" s="53">
        <v>3.5463689591798096E-2</v>
      </c>
      <c r="Z64" s="53">
        <v>3.5109052695880112E-2</v>
      </c>
      <c r="AA64" s="53">
        <v>3.4757962168921311E-2</v>
      </c>
      <c r="AB64" s="53">
        <v>3.4410382547232096E-2</v>
      </c>
      <c r="AC64" s="53">
        <v>3.4066278721759775E-2</v>
      </c>
      <c r="AD64" s="53">
        <v>3.372561593454218E-2</v>
      </c>
      <c r="AE64" s="53">
        <v>3.338835977519676E-2</v>
      </c>
      <c r="AF64" s="53">
        <v>3.3054476177444794E-2</v>
      </c>
      <c r="AG64" s="53">
        <v>3.2723931415670343E-2</v>
      </c>
      <c r="AH64" s="53">
        <v>3.2396692101513642E-2</v>
      </c>
      <c r="AI64" s="53">
        <v>3.2072725180498508E-2</v>
      </c>
      <c r="AJ64" s="53">
        <v>3.1751997928693522E-2</v>
      </c>
      <c r="AK64" s="53">
        <v>3.1434477949406583E-2</v>
      </c>
      <c r="AL64" s="53">
        <v>3.1120133169912516E-2</v>
      </c>
      <c r="AM64" s="53">
        <v>3.0808931838213389E-2</v>
      </c>
      <c r="AN64" s="53">
        <v>3.0500842519831255E-2</v>
      </c>
      <c r="AO64" s="53">
        <v>3.0195834094632942E-2</v>
      </c>
      <c r="AP64" s="53">
        <v>2.9893875753686613E-2</v>
      </c>
      <c r="AQ64" s="53">
        <v>2.9594936996149748E-2</v>
      </c>
      <c r="AR64" s="53">
        <v>2.9298987626188249E-2</v>
      </c>
      <c r="AS64" s="53">
        <v>2.9005997749926366E-2</v>
      </c>
      <c r="AT64" s="53">
        <v>2.8715937772427102E-2</v>
      </c>
      <c r="AU64" s="53">
        <v>2.8428778394702831E-2</v>
      </c>
      <c r="AV64" s="53">
        <v>2.8144490610755801E-2</v>
      </c>
      <c r="AW64" s="53">
        <v>2.7863045704648242E-2</v>
      </c>
      <c r="AX64" s="53">
        <v>2.758441524760176E-2</v>
      </c>
      <c r="AY64" s="53">
        <v>2.7308571095125741E-2</v>
      </c>
      <c r="AZ64" s="53">
        <v>2.7035485384174482E-2</v>
      </c>
      <c r="BA64" s="53">
        <v>2.6765130530332738E-2</v>
      </c>
      <c r="BB64" s="53">
        <v>2.6497479225029409E-2</v>
      </c>
      <c r="BC64" s="53">
        <v>2.6232504432779115E-2</v>
      </c>
      <c r="BD64" s="53">
        <v>2.5970179388451323E-2</v>
      </c>
      <c r="BE64" s="53">
        <v>2.5710477594566808E-2</v>
      </c>
      <c r="BF64" s="53">
        <v>2.5453372818621138E-2</v>
      </c>
      <c r="BG64" s="53">
        <v>2.5198839090434928E-2</v>
      </c>
      <c r="BH64" s="53">
        <v>2.4946850699530579E-2</v>
      </c>
      <c r="BI64" s="53">
        <v>2.4697382192535273E-2</v>
      </c>
      <c r="BJ64" s="53">
        <v>2.4450408370609921E-2</v>
      </c>
      <c r="BK64" s="53">
        <v>2.420590428690382E-2</v>
      </c>
      <c r="BL64" s="53">
        <v>2.3963845244034783E-2</v>
      </c>
      <c r="BM64" s="53">
        <v>2.3724206791594434E-2</v>
      </c>
      <c r="BN64" s="53">
        <v>2.3486964723678488E-2</v>
      </c>
      <c r="BO64" s="53">
        <v>2.3252095076441704E-2</v>
      </c>
      <c r="BP64" s="53">
        <v>2.3019574125677286E-2</v>
      </c>
      <c r="BQ64" s="53">
        <v>2.2789378384420512E-2</v>
      </c>
      <c r="BR64" s="53">
        <v>2.2561484600576307E-2</v>
      </c>
      <c r="BS64" s="53">
        <v>2.2335869754570543E-2</v>
      </c>
      <c r="BT64" s="53">
        <v>2.2112511057024838E-2</v>
      </c>
      <c r="BU64" s="53">
        <v>2.1891385946454588E-2</v>
      </c>
      <c r="BV64" s="53">
        <v>2.1672472086990042E-2</v>
      </c>
      <c r="BW64" s="53">
        <v>2.1455747366120142E-2</v>
      </c>
      <c r="BX64" s="53">
        <v>2.1241189892458941E-2</v>
      </c>
      <c r="BY64" s="53">
        <v>2.1028777993534351E-2</v>
      </c>
      <c r="BZ64" s="53">
        <v>2.0818490213599009E-2</v>
      </c>
      <c r="CA64" s="53">
        <v>2.0610305311463017E-2</v>
      </c>
      <c r="CB64" s="53">
        <v>2.0404202258348388E-2</v>
      </c>
      <c r="CC64" s="53">
        <v>2.0200160235764902E-2</v>
      </c>
      <c r="CD64" s="53">
        <v>1.9998158633407252E-2</v>
      </c>
      <c r="CE64" s="53">
        <v>1.9798177047073179E-2</v>
      </c>
      <c r="CF64" s="53">
        <v>1.9600195276602447E-2</v>
      </c>
      <c r="CG64" s="53">
        <v>1.9404193323836423E-2</v>
      </c>
      <c r="CH64" s="53">
        <v>1.9210151390598059E-2</v>
      </c>
      <c r="CI64" s="53">
        <v>1.9018049876692079E-2</v>
      </c>
      <c r="CJ64" s="53">
        <v>1.8827869377925157E-2</v>
      </c>
      <c r="CK64" s="53">
        <v>1.8639590684145904E-2</v>
      </c>
      <c r="CL64" s="53">
        <v>1.8453194777304446E-2</v>
      </c>
      <c r="CM64" s="53">
        <v>1.82686628295314E-2</v>
      </c>
      <c r="CN64" s="53">
        <v>1.8085976201236087E-2</v>
      </c>
      <c r="CO64" s="53">
        <v>1.7905116439223726E-2</v>
      </c>
      <c r="CP64" s="53">
        <v>1.7726065274831487E-2</v>
      </c>
      <c r="CQ64" s="53">
        <v>1.7548804622083171E-2</v>
      </c>
      <c r="CR64" s="53">
        <v>1.737331657586234E-2</v>
      </c>
      <c r="CS64" s="53">
        <v>1.7199583410103716E-2</v>
      </c>
      <c r="CT64" s="53">
        <v>1.702758757600268E-2</v>
      </c>
      <c r="CU64" s="53">
        <v>1.6857311700242652E-2</v>
      </c>
      <c r="CV64" s="53">
        <v>1.6688738583240225E-2</v>
      </c>
      <c r="CW64" s="53">
        <v>1.6521851197407823E-2</v>
      </c>
      <c r="CX64" s="53">
        <v>1.6356632685433744E-2</v>
      </c>
      <c r="CY64" s="28">
        <v>1.6193066358579405E-2</v>
      </c>
    </row>
    <row r="65" spans="1:103">
      <c r="A65" s="54">
        <v>83</v>
      </c>
      <c r="B65" s="54">
        <v>4.8305000000000001E-2</v>
      </c>
      <c r="C65" s="54">
        <v>4.8126271499999998E-2</v>
      </c>
      <c r="D65" s="54">
        <v>4.7928953786849998E-2</v>
      </c>
      <c r="E65" s="54">
        <v>4.769889480867312E-2</v>
      </c>
      <c r="F65" s="54">
        <v>4.7436550887225419E-2</v>
      </c>
      <c r="G65" s="54">
        <v>4.71377006166359E-2</v>
      </c>
      <c r="H65" s="54">
        <v>4.6798309172196122E-2</v>
      </c>
      <c r="I65" s="54">
        <v>4.6423922698818551E-2</v>
      </c>
      <c r="J65" s="54">
        <v>4.6024676963608707E-2</v>
      </c>
      <c r="K65" s="54">
        <v>4.5605852403239867E-2</v>
      </c>
      <c r="L65" s="54">
        <v>4.5177157390649411E-2</v>
      </c>
      <c r="M65" s="54">
        <v>4.4747974395438241E-2</v>
      </c>
      <c r="N65" s="54">
        <v>4.4318393841242032E-2</v>
      </c>
      <c r="O65" s="54">
        <v>4.388850542098198E-2</v>
      </c>
      <c r="P65" s="54">
        <v>4.3462786918398451E-2</v>
      </c>
      <c r="Q65" s="54">
        <v>4.3041197885289983E-2</v>
      </c>
      <c r="R65" s="54">
        <v>4.2623698265802666E-2</v>
      </c>
      <c r="S65" s="54">
        <v>4.2205986022797799E-2</v>
      </c>
      <c r="T65" s="53">
        <v>4.1788146761172103E-2</v>
      </c>
      <c r="U65" s="53">
        <v>4.1370265293560381E-2</v>
      </c>
      <c r="V65" s="53">
        <v>4.0956562640624777E-2</v>
      </c>
      <c r="W65" s="53">
        <v>4.054699701421853E-2</v>
      </c>
      <c r="X65" s="53">
        <v>4.0141527044076343E-2</v>
      </c>
      <c r="Y65" s="53">
        <v>3.9740111773635581E-2</v>
      </c>
      <c r="Z65" s="53">
        <v>3.9342710655899227E-2</v>
      </c>
      <c r="AA65" s="53">
        <v>3.8949283549340234E-2</v>
      </c>
      <c r="AB65" s="53">
        <v>3.8559790713846832E-2</v>
      </c>
      <c r="AC65" s="53">
        <v>3.8174192806708362E-2</v>
      </c>
      <c r="AD65" s="53">
        <v>3.7792450878641276E-2</v>
      </c>
      <c r="AE65" s="53">
        <v>3.7414526369854866E-2</v>
      </c>
      <c r="AF65" s="53">
        <v>3.7040381106156317E-2</v>
      </c>
      <c r="AG65" s="53">
        <v>3.6669977295094754E-2</v>
      </c>
      <c r="AH65" s="53">
        <v>3.6303277522143809E-2</v>
      </c>
      <c r="AI65" s="53">
        <v>3.5940244746922367E-2</v>
      </c>
      <c r="AJ65" s="53">
        <v>3.5580842299453144E-2</v>
      </c>
      <c r="AK65" s="53">
        <v>3.522503387645861E-2</v>
      </c>
      <c r="AL65" s="53">
        <v>3.4872783537694026E-2</v>
      </c>
      <c r="AM65" s="53">
        <v>3.4524055702317084E-2</v>
      </c>
      <c r="AN65" s="53">
        <v>3.417881514529391E-2</v>
      </c>
      <c r="AO65" s="53">
        <v>3.3837026993840974E-2</v>
      </c>
      <c r="AP65" s="53">
        <v>3.3498656723902565E-2</v>
      </c>
      <c r="AQ65" s="53">
        <v>3.3163670156663536E-2</v>
      </c>
      <c r="AR65" s="53">
        <v>3.2832033455096901E-2</v>
      </c>
      <c r="AS65" s="53">
        <v>3.2503713120545931E-2</v>
      </c>
      <c r="AT65" s="53">
        <v>3.2178675989340474E-2</v>
      </c>
      <c r="AU65" s="53">
        <v>3.1856889229447072E-2</v>
      </c>
      <c r="AV65" s="53">
        <v>3.1538320337152599E-2</v>
      </c>
      <c r="AW65" s="53">
        <v>3.1222937133781072E-2</v>
      </c>
      <c r="AX65" s="53">
        <v>3.091070776244326E-2</v>
      </c>
      <c r="AY65" s="53">
        <v>3.0601600684818826E-2</v>
      </c>
      <c r="AZ65" s="53">
        <v>3.0295584677970638E-2</v>
      </c>
      <c r="BA65" s="53">
        <v>2.9992628831190932E-2</v>
      </c>
      <c r="BB65" s="53">
        <v>2.9692702542879024E-2</v>
      </c>
      <c r="BC65" s="53">
        <v>2.9395775517450234E-2</v>
      </c>
      <c r="BD65" s="53">
        <v>2.9101817762275731E-2</v>
      </c>
      <c r="BE65" s="53">
        <v>2.8810799584652973E-2</v>
      </c>
      <c r="BF65" s="53">
        <v>2.8522691588806444E-2</v>
      </c>
      <c r="BG65" s="53">
        <v>2.8237464672918378E-2</v>
      </c>
      <c r="BH65" s="53">
        <v>2.7955090026189195E-2</v>
      </c>
      <c r="BI65" s="53">
        <v>2.7675539125927302E-2</v>
      </c>
      <c r="BJ65" s="53">
        <v>2.7398783734668031E-2</v>
      </c>
      <c r="BK65" s="53">
        <v>2.7124795897321349E-2</v>
      </c>
      <c r="BL65" s="53">
        <v>2.6853547938348137E-2</v>
      </c>
      <c r="BM65" s="53">
        <v>2.6585012458964656E-2</v>
      </c>
      <c r="BN65" s="53">
        <v>2.631916233437501E-2</v>
      </c>
      <c r="BO65" s="53">
        <v>2.6055970711031259E-2</v>
      </c>
      <c r="BP65" s="53">
        <v>2.5795411003920948E-2</v>
      </c>
      <c r="BQ65" s="53">
        <v>2.553745689388174E-2</v>
      </c>
      <c r="BR65" s="53">
        <v>2.5282082324942921E-2</v>
      </c>
      <c r="BS65" s="53">
        <v>2.5029261501693493E-2</v>
      </c>
      <c r="BT65" s="53">
        <v>2.4778968886676557E-2</v>
      </c>
      <c r="BU65" s="53">
        <v>2.453117919780979E-2</v>
      </c>
      <c r="BV65" s="53">
        <v>2.428586740583169E-2</v>
      </c>
      <c r="BW65" s="53">
        <v>2.4043008731773372E-2</v>
      </c>
      <c r="BX65" s="53">
        <v>2.3802578644455639E-2</v>
      </c>
      <c r="BY65" s="53">
        <v>2.3564552858011081E-2</v>
      </c>
      <c r="BZ65" s="53">
        <v>2.3328907329430972E-2</v>
      </c>
      <c r="CA65" s="53">
        <v>2.3095618256136662E-2</v>
      </c>
      <c r="CB65" s="53">
        <v>2.2864662073575296E-2</v>
      </c>
      <c r="CC65" s="53">
        <v>2.2636015452839543E-2</v>
      </c>
      <c r="CD65" s="53">
        <v>2.2409655298311147E-2</v>
      </c>
      <c r="CE65" s="53">
        <v>2.2185558745328036E-2</v>
      </c>
      <c r="CF65" s="53">
        <v>2.1963703157874756E-2</v>
      </c>
      <c r="CG65" s="53">
        <v>2.1744066126296008E-2</v>
      </c>
      <c r="CH65" s="53">
        <v>2.1526625465033047E-2</v>
      </c>
      <c r="CI65" s="53">
        <v>2.1311359210382717E-2</v>
      </c>
      <c r="CJ65" s="53">
        <v>2.1098245618278888E-2</v>
      </c>
      <c r="CK65" s="53">
        <v>2.08872631620961E-2</v>
      </c>
      <c r="CL65" s="53">
        <v>2.0678390530475137E-2</v>
      </c>
      <c r="CM65" s="53">
        <v>2.0471606625170388E-2</v>
      </c>
      <c r="CN65" s="53">
        <v>2.0266890558918685E-2</v>
      </c>
      <c r="CO65" s="53">
        <v>2.0064221653329498E-2</v>
      </c>
      <c r="CP65" s="53">
        <v>1.9863579436796203E-2</v>
      </c>
      <c r="CQ65" s="53">
        <v>1.966494364242824E-2</v>
      </c>
      <c r="CR65" s="53">
        <v>1.9468294206003958E-2</v>
      </c>
      <c r="CS65" s="53">
        <v>1.9273611263943918E-2</v>
      </c>
      <c r="CT65" s="53">
        <v>1.908087515130448E-2</v>
      </c>
      <c r="CU65" s="53">
        <v>1.8890066399791437E-2</v>
      </c>
      <c r="CV65" s="53">
        <v>1.8701165735793522E-2</v>
      </c>
      <c r="CW65" s="53">
        <v>1.8514154078435586E-2</v>
      </c>
      <c r="CX65" s="53">
        <v>1.8329012537651231E-2</v>
      </c>
      <c r="CY65" s="28">
        <v>1.8145722412274717E-2</v>
      </c>
    </row>
    <row r="66" spans="1:103">
      <c r="A66" s="54">
        <v>84</v>
      </c>
      <c r="B66" s="54">
        <v>5.4031999999999997E-2</v>
      </c>
      <c r="C66" s="54">
        <v>5.3848291200000002E-2</v>
      </c>
      <c r="D66" s="54">
        <v>5.363828286432E-2</v>
      </c>
      <c r="E66" s="54">
        <v>5.3396910591430563E-2</v>
      </c>
      <c r="F66" s="54">
        <v>5.3119246656355125E-2</v>
      </c>
      <c r="G66" s="54">
        <v>5.2800531176416997E-2</v>
      </c>
      <c r="H66" s="54">
        <v>5.2441487564417362E-2</v>
      </c>
      <c r="I66" s="54">
        <v>5.2042932258927789E-2</v>
      </c>
      <c r="J66" s="54">
        <v>5.1610975921178692E-2</v>
      </c>
      <c r="K66" s="54">
        <v>5.1151638235480204E-2</v>
      </c>
      <c r="L66" s="54">
        <v>5.0681043163713788E-2</v>
      </c>
      <c r="M66" s="54">
        <v>5.020464135797488E-2</v>
      </c>
      <c r="N66" s="54">
        <v>4.9727697265074124E-2</v>
      </c>
      <c r="O66" s="54">
        <v>4.925031137132941E-2</v>
      </c>
      <c r="P66" s="54">
        <v>4.8772583351027514E-2</v>
      </c>
      <c r="Q66" s="54">
        <v>4.8299489292522542E-2</v>
      </c>
      <c r="R66" s="54">
        <v>4.7830984246385072E-2</v>
      </c>
      <c r="S66" s="54">
        <v>4.7362240600770496E-2</v>
      </c>
      <c r="T66" s="53">
        <v>4.6893354418822863E-2</v>
      </c>
      <c r="U66" s="53">
        <v>4.6424420874634637E-2</v>
      </c>
      <c r="V66" s="53">
        <v>4.5960176665888287E-2</v>
      </c>
      <c r="W66" s="53">
        <v>4.5500574899229401E-2</v>
      </c>
      <c r="X66" s="53">
        <v>4.5045569150237108E-2</v>
      </c>
      <c r="Y66" s="53">
        <v>4.4595113458734736E-2</v>
      </c>
      <c r="Z66" s="53">
        <v>4.4149162324147388E-2</v>
      </c>
      <c r="AA66" s="53">
        <v>4.3707670700905914E-2</v>
      </c>
      <c r="AB66" s="53">
        <v>4.3270593993896857E-2</v>
      </c>
      <c r="AC66" s="53">
        <v>4.2837888053957884E-2</v>
      </c>
      <c r="AD66" s="53">
        <v>4.2409509173418306E-2</v>
      </c>
      <c r="AE66" s="53">
        <v>4.1985414081684123E-2</v>
      </c>
      <c r="AF66" s="53">
        <v>4.1565559940867282E-2</v>
      </c>
      <c r="AG66" s="53">
        <v>4.1149904341458605E-2</v>
      </c>
      <c r="AH66" s="53">
        <v>4.0738405298044018E-2</v>
      </c>
      <c r="AI66" s="53">
        <v>4.0331021245063575E-2</v>
      </c>
      <c r="AJ66" s="53">
        <v>3.9927711032612938E-2</v>
      </c>
      <c r="AK66" s="53">
        <v>3.9528433922286811E-2</v>
      </c>
      <c r="AL66" s="53">
        <v>3.9133149583063943E-2</v>
      </c>
      <c r="AM66" s="53">
        <v>3.8741818087233301E-2</v>
      </c>
      <c r="AN66" s="53">
        <v>3.835439990636097E-2</v>
      </c>
      <c r="AO66" s="53">
        <v>3.797085590729736E-2</v>
      </c>
      <c r="AP66" s="53">
        <v>3.7591147348224385E-2</v>
      </c>
      <c r="AQ66" s="53">
        <v>3.7215235874742139E-2</v>
      </c>
      <c r="AR66" s="53">
        <v>3.6843083515994718E-2</v>
      </c>
      <c r="AS66" s="53">
        <v>3.6474652680834774E-2</v>
      </c>
      <c r="AT66" s="53">
        <v>3.6109906154026428E-2</v>
      </c>
      <c r="AU66" s="53">
        <v>3.5748807092486165E-2</v>
      </c>
      <c r="AV66" s="53">
        <v>3.5391319021561306E-2</v>
      </c>
      <c r="AW66" s="53">
        <v>3.5037405831345694E-2</v>
      </c>
      <c r="AX66" s="53">
        <v>3.4687031773032236E-2</v>
      </c>
      <c r="AY66" s="53">
        <v>3.4340161455301915E-2</v>
      </c>
      <c r="AZ66" s="53">
        <v>3.3996759840748896E-2</v>
      </c>
      <c r="BA66" s="53">
        <v>3.3656792242341409E-2</v>
      </c>
      <c r="BB66" s="53">
        <v>3.3320224319917997E-2</v>
      </c>
      <c r="BC66" s="53">
        <v>3.2987022076718817E-2</v>
      </c>
      <c r="BD66" s="53">
        <v>3.2657151855951631E-2</v>
      </c>
      <c r="BE66" s="53">
        <v>3.2330580337392112E-2</v>
      </c>
      <c r="BF66" s="53">
        <v>3.2007274534018193E-2</v>
      </c>
      <c r="BG66" s="53">
        <v>3.168720178867801E-2</v>
      </c>
      <c r="BH66" s="53">
        <v>3.1370329770791232E-2</v>
      </c>
      <c r="BI66" s="53">
        <v>3.1056626473083319E-2</v>
      </c>
      <c r="BJ66" s="53">
        <v>3.0746060208352487E-2</v>
      </c>
      <c r="BK66" s="53">
        <v>3.0438599606268962E-2</v>
      </c>
      <c r="BL66" s="53">
        <v>3.0134213610206271E-2</v>
      </c>
      <c r="BM66" s="53">
        <v>2.9832871474104208E-2</v>
      </c>
      <c r="BN66" s="53">
        <v>2.9534542759363167E-2</v>
      </c>
      <c r="BO66" s="53">
        <v>2.9239197331769533E-2</v>
      </c>
      <c r="BP66" s="53">
        <v>2.8946805358451837E-2</v>
      </c>
      <c r="BQ66" s="53">
        <v>2.8657337304867317E-2</v>
      </c>
      <c r="BR66" s="53">
        <v>2.8370763931818643E-2</v>
      </c>
      <c r="BS66" s="53">
        <v>2.8087056292500457E-2</v>
      </c>
      <c r="BT66" s="53">
        <v>2.7806185729575453E-2</v>
      </c>
      <c r="BU66" s="53">
        <v>2.7528123872279698E-2</v>
      </c>
      <c r="BV66" s="53">
        <v>2.7252842633556901E-2</v>
      </c>
      <c r="BW66" s="53">
        <v>2.6980314207221332E-2</v>
      </c>
      <c r="BX66" s="53">
        <v>2.6710511065149118E-2</v>
      </c>
      <c r="BY66" s="53">
        <v>2.6443405954497626E-2</v>
      </c>
      <c r="BZ66" s="53">
        <v>2.6178971894952649E-2</v>
      </c>
      <c r="CA66" s="53">
        <v>2.5917182176003122E-2</v>
      </c>
      <c r="CB66" s="53">
        <v>2.5658010354243092E-2</v>
      </c>
      <c r="CC66" s="53">
        <v>2.5401430250700661E-2</v>
      </c>
      <c r="CD66" s="53">
        <v>2.5147415948193655E-2</v>
      </c>
      <c r="CE66" s="53">
        <v>2.4895941788711719E-2</v>
      </c>
      <c r="CF66" s="53">
        <v>2.4646982370824601E-2</v>
      </c>
      <c r="CG66" s="53">
        <v>2.4400512547116355E-2</v>
      </c>
      <c r="CH66" s="53">
        <v>2.4156507421645192E-2</v>
      </c>
      <c r="CI66" s="53">
        <v>2.391494234742874E-2</v>
      </c>
      <c r="CJ66" s="53">
        <v>2.3675792923954452E-2</v>
      </c>
      <c r="CK66" s="53">
        <v>2.3439034994714909E-2</v>
      </c>
      <c r="CL66" s="53">
        <v>2.320464464476776E-2</v>
      </c>
      <c r="CM66" s="53">
        <v>2.2972598198320083E-2</v>
      </c>
      <c r="CN66" s="53">
        <v>2.2742872216336883E-2</v>
      </c>
      <c r="CO66" s="53">
        <v>2.2515443494173514E-2</v>
      </c>
      <c r="CP66" s="53">
        <v>2.2290289059231781E-2</v>
      </c>
      <c r="CQ66" s="53">
        <v>2.2067386168639461E-2</v>
      </c>
      <c r="CR66" s="53">
        <v>2.1846712306953068E-2</v>
      </c>
      <c r="CS66" s="53">
        <v>2.1628245183883538E-2</v>
      </c>
      <c r="CT66" s="53">
        <v>2.1411962732044702E-2</v>
      </c>
      <c r="CU66" s="53">
        <v>2.1197843104724255E-2</v>
      </c>
      <c r="CV66" s="53">
        <v>2.0985864673677013E-2</v>
      </c>
      <c r="CW66" s="53">
        <v>2.0776006026940241E-2</v>
      </c>
      <c r="CX66" s="53">
        <v>2.0568245966670839E-2</v>
      </c>
      <c r="CY66" s="28">
        <v>2.036256350700413E-2</v>
      </c>
    </row>
    <row r="67" spans="1:103">
      <c r="A67" s="54">
        <v>85</v>
      </c>
      <c r="B67" s="54">
        <v>6.0504000000000002E-2</v>
      </c>
      <c r="C67" s="54">
        <v>6.0304336800000004E-2</v>
      </c>
      <c r="D67" s="54">
        <v>6.008121075384E-2</v>
      </c>
      <c r="E67" s="54">
        <v>5.9828869668673873E-2</v>
      </c>
      <c r="F67" s="54">
        <v>5.9535708207297373E-2</v>
      </c>
      <c r="G67" s="54">
        <v>5.9196354670515774E-2</v>
      </c>
      <c r="H67" s="54">
        <v>5.8811578365157421E-2</v>
      </c>
      <c r="I67" s="54">
        <v>5.8382253843091772E-2</v>
      </c>
      <c r="J67" s="54">
        <v>5.790935758696273E-2</v>
      </c>
      <c r="K67" s="54">
        <v>5.7411337111714845E-2</v>
      </c>
      <c r="L67" s="54">
        <v>5.6894635077709414E-2</v>
      </c>
      <c r="M67" s="54">
        <v>5.6371204434994486E-2</v>
      </c>
      <c r="N67" s="54">
        <v>5.5841315113305541E-2</v>
      </c>
      <c r="O67" s="54">
        <v>5.5310822619729139E-2</v>
      </c>
      <c r="P67" s="54">
        <v>5.4779838722579736E-2</v>
      </c>
      <c r="Q67" s="54">
        <v>5.4248474286970709E-2</v>
      </c>
      <c r="R67" s="54">
        <v>5.3722264086387091E-2</v>
      </c>
      <c r="S67" s="54">
        <v>5.3195785898340495E-2</v>
      </c>
      <c r="T67" s="53">
        <v>5.2674467196536755E-2</v>
      </c>
      <c r="U67" s="53">
        <v>5.2152989971291037E-2</v>
      </c>
      <c r="V67" s="53">
        <v>5.1631460071578129E-2</v>
      </c>
      <c r="W67" s="53">
        <v>5.111514547086235E-2</v>
      </c>
      <c r="X67" s="53">
        <v>5.0603994016153724E-2</v>
      </c>
      <c r="Y67" s="53">
        <v>5.0097954075992185E-2</v>
      </c>
      <c r="Z67" s="53">
        <v>4.9596974535232263E-2</v>
      </c>
      <c r="AA67" s="53">
        <v>4.9101004789879943E-2</v>
      </c>
      <c r="AB67" s="53">
        <v>4.860999474198114E-2</v>
      </c>
      <c r="AC67" s="53">
        <v>4.8123894794561327E-2</v>
      </c>
      <c r="AD67" s="53">
        <v>4.7642655846615714E-2</v>
      </c>
      <c r="AE67" s="53">
        <v>4.7166229288149557E-2</v>
      </c>
      <c r="AF67" s="53">
        <v>4.6694566995268062E-2</v>
      </c>
      <c r="AG67" s="53">
        <v>4.6227621325315382E-2</v>
      </c>
      <c r="AH67" s="53">
        <v>4.5765345112062226E-2</v>
      </c>
      <c r="AI67" s="53">
        <v>4.5307691660941604E-2</v>
      </c>
      <c r="AJ67" s="53">
        <v>4.4854614744332187E-2</v>
      </c>
      <c r="AK67" s="53">
        <v>4.4406068596888865E-2</v>
      </c>
      <c r="AL67" s="53">
        <v>4.3962007910919976E-2</v>
      </c>
      <c r="AM67" s="53">
        <v>4.3522387831810776E-2</v>
      </c>
      <c r="AN67" s="53">
        <v>4.3087163953492665E-2</v>
      </c>
      <c r="AO67" s="53">
        <v>4.265629231395774E-2</v>
      </c>
      <c r="AP67" s="53">
        <v>4.2229729390818163E-2</v>
      </c>
      <c r="AQ67" s="53">
        <v>4.1807432096909979E-2</v>
      </c>
      <c r="AR67" s="53">
        <v>4.1389357775940876E-2</v>
      </c>
      <c r="AS67" s="53">
        <v>4.0975464198181467E-2</v>
      </c>
      <c r="AT67" s="53">
        <v>4.0565709556199654E-2</v>
      </c>
      <c r="AU67" s="53">
        <v>4.0160052460637655E-2</v>
      </c>
      <c r="AV67" s="53">
        <v>3.975845193603128E-2</v>
      </c>
      <c r="AW67" s="53">
        <v>3.9360867416670969E-2</v>
      </c>
      <c r="AX67" s="53">
        <v>3.8967258742504257E-2</v>
      </c>
      <c r="AY67" s="53">
        <v>3.8577586155079217E-2</v>
      </c>
      <c r="AZ67" s="53">
        <v>3.8191810293528423E-2</v>
      </c>
      <c r="BA67" s="53">
        <v>3.7809892190593136E-2</v>
      </c>
      <c r="BB67" s="53">
        <v>3.7431793268687202E-2</v>
      </c>
      <c r="BC67" s="53">
        <v>3.7057475336000331E-2</v>
      </c>
      <c r="BD67" s="53">
        <v>3.6686900582640326E-2</v>
      </c>
      <c r="BE67" s="53">
        <v>3.6320031576813926E-2</v>
      </c>
      <c r="BF67" s="53">
        <v>3.5956831261045784E-2</v>
      </c>
      <c r="BG67" s="53">
        <v>3.5597262948435328E-2</v>
      </c>
      <c r="BH67" s="53">
        <v>3.5241290318950971E-2</v>
      </c>
      <c r="BI67" s="53">
        <v>3.4888877415761459E-2</v>
      </c>
      <c r="BJ67" s="53">
        <v>3.4539988641603847E-2</v>
      </c>
      <c r="BK67" s="53">
        <v>3.4194588755187806E-2</v>
      </c>
      <c r="BL67" s="53">
        <v>3.3852642867635931E-2</v>
      </c>
      <c r="BM67" s="53">
        <v>3.3514116438959574E-2</v>
      </c>
      <c r="BN67" s="53">
        <v>3.3178975274569977E-2</v>
      </c>
      <c r="BO67" s="53">
        <v>3.2847185521824279E-2</v>
      </c>
      <c r="BP67" s="53">
        <v>3.2518713666606039E-2</v>
      </c>
      <c r="BQ67" s="53">
        <v>3.2193526529939981E-2</v>
      </c>
      <c r="BR67" s="53">
        <v>3.1871591264640578E-2</v>
      </c>
      <c r="BS67" s="53">
        <v>3.1552875351994171E-2</v>
      </c>
      <c r="BT67" s="53">
        <v>3.1237346598474228E-2</v>
      </c>
      <c r="BU67" s="53">
        <v>3.0924973132489486E-2</v>
      </c>
      <c r="BV67" s="53">
        <v>3.0615723401164592E-2</v>
      </c>
      <c r="BW67" s="53">
        <v>3.0309566167152947E-2</v>
      </c>
      <c r="BX67" s="53">
        <v>3.0006470505481418E-2</v>
      </c>
      <c r="BY67" s="53">
        <v>2.9706405800426602E-2</v>
      </c>
      <c r="BZ67" s="53">
        <v>2.9409341742422334E-2</v>
      </c>
      <c r="CA67" s="53">
        <v>2.9115248324998112E-2</v>
      </c>
      <c r="CB67" s="53">
        <v>2.882409584174813E-2</v>
      </c>
      <c r="CC67" s="53">
        <v>2.8535854883330648E-2</v>
      </c>
      <c r="CD67" s="53">
        <v>2.8250496334497339E-2</v>
      </c>
      <c r="CE67" s="53">
        <v>2.7967991371152367E-2</v>
      </c>
      <c r="CF67" s="53">
        <v>2.7688311457440842E-2</v>
      </c>
      <c r="CG67" s="53">
        <v>2.7411428342866435E-2</v>
      </c>
      <c r="CH67" s="53">
        <v>2.713731405943777E-2</v>
      </c>
      <c r="CI67" s="53">
        <v>2.6865940918843392E-2</v>
      </c>
      <c r="CJ67" s="53">
        <v>2.6597281509654958E-2</v>
      </c>
      <c r="CK67" s="53">
        <v>2.6331308694558409E-2</v>
      </c>
      <c r="CL67" s="53">
        <v>2.6067995607612825E-2</v>
      </c>
      <c r="CM67" s="53">
        <v>2.5807315651536697E-2</v>
      </c>
      <c r="CN67" s="53">
        <v>2.5549242495021329E-2</v>
      </c>
      <c r="CO67" s="53">
        <v>2.5293750070071116E-2</v>
      </c>
      <c r="CP67" s="53">
        <v>2.5040812569370404E-2</v>
      </c>
      <c r="CQ67" s="53">
        <v>2.4790404443676702E-2</v>
      </c>
      <c r="CR67" s="53">
        <v>2.4542500399239935E-2</v>
      </c>
      <c r="CS67" s="53">
        <v>2.4297075395247534E-2</v>
      </c>
      <c r="CT67" s="53">
        <v>2.4054104641295058E-2</v>
      </c>
      <c r="CU67" s="53">
        <v>2.3813563594882108E-2</v>
      </c>
      <c r="CV67" s="53">
        <v>2.3575427958933286E-2</v>
      </c>
      <c r="CW67" s="53">
        <v>2.3339673679343954E-2</v>
      </c>
      <c r="CX67" s="53">
        <v>2.3106276942550515E-2</v>
      </c>
      <c r="CY67" s="28">
        <v>2.2875214173125009E-2</v>
      </c>
    </row>
    <row r="68" spans="1:103">
      <c r="A68" s="54">
        <v>86</v>
      </c>
      <c r="B68" s="54">
        <v>6.7801E-2</v>
      </c>
      <c r="C68" s="54">
        <v>6.7577256700000005E-2</v>
      </c>
      <c r="D68" s="54">
        <v>6.7333978575879999E-2</v>
      </c>
      <c r="E68" s="54">
        <v>6.7057909263718893E-2</v>
      </c>
      <c r="F68" s="54">
        <v>6.6742737090179416E-2</v>
      </c>
      <c r="G68" s="54">
        <v>6.638232630989245E-2</v>
      </c>
      <c r="H68" s="54">
        <v>6.5970755886771121E-2</v>
      </c>
      <c r="I68" s="54">
        <v>6.5508960595563728E-2</v>
      </c>
      <c r="J68" s="54">
        <v>6.500454159897788E-2</v>
      </c>
      <c r="K68" s="54">
        <v>6.4465003903706367E-2</v>
      </c>
      <c r="L68" s="54">
        <v>6.3904158369744113E-2</v>
      </c>
      <c r="M68" s="54">
        <v>6.332902094441642E-2</v>
      </c>
      <c r="N68" s="54">
        <v>6.2746393951727791E-2</v>
      </c>
      <c r="O68" s="54">
        <v>6.2162852487976726E-2</v>
      </c>
      <c r="P68" s="54">
        <v>6.1578521674589749E-2</v>
      </c>
      <c r="Q68" s="54">
        <v>6.0993525718681149E-2</v>
      </c>
      <c r="R68" s="54">
        <v>6.040798787178181E-2</v>
      </c>
      <c r="S68" s="54">
        <v>5.9828071188212699E-2</v>
      </c>
      <c r="T68" s="53">
        <v>5.924773889768703E-2</v>
      </c>
      <c r="U68" s="53">
        <v>5.8667111056489696E-2</v>
      </c>
      <c r="V68" s="53">
        <v>5.8086306657030448E-2</v>
      </c>
      <c r="W68" s="53">
        <v>5.7511252221125846E-2</v>
      </c>
      <c r="X68" s="53">
        <v>5.6941890824136698E-2</v>
      </c>
      <c r="Y68" s="53">
        <v>5.6378166104977742E-2</v>
      </c>
      <c r="Z68" s="53">
        <v>5.5820022260538463E-2</v>
      </c>
      <c r="AA68" s="53">
        <v>5.5267404040159132E-2</v>
      </c>
      <c r="AB68" s="53">
        <v>5.4720256740161559E-2</v>
      </c>
      <c r="AC68" s="53">
        <v>5.4178526198433961E-2</v>
      </c>
      <c r="AD68" s="53">
        <v>5.3642158789069465E-2</v>
      </c>
      <c r="AE68" s="53">
        <v>5.3111101417057674E-2</v>
      </c>
      <c r="AF68" s="53">
        <v>5.2585301513028801E-2</v>
      </c>
      <c r="AG68" s="53">
        <v>5.2064707028049814E-2</v>
      </c>
      <c r="AH68" s="53">
        <v>5.1549266428472122E-2</v>
      </c>
      <c r="AI68" s="53">
        <v>5.1038928690830244E-2</v>
      </c>
      <c r="AJ68" s="53">
        <v>5.0533643296791025E-2</v>
      </c>
      <c r="AK68" s="53">
        <v>5.0033360228152794E-2</v>
      </c>
      <c r="AL68" s="53">
        <v>4.9538029961894083E-2</v>
      </c>
      <c r="AM68" s="53">
        <v>4.9047603465271331E-2</v>
      </c>
      <c r="AN68" s="53">
        <v>4.8562032190965145E-2</v>
      </c>
      <c r="AO68" s="53">
        <v>4.8081268072274586E-2</v>
      </c>
      <c r="AP68" s="53">
        <v>4.7605263518359066E-2</v>
      </c>
      <c r="AQ68" s="53">
        <v>4.7133971409527312E-2</v>
      </c>
      <c r="AR68" s="53">
        <v>4.666734509257299E-2</v>
      </c>
      <c r="AS68" s="53">
        <v>4.6205338376156514E-2</v>
      </c>
      <c r="AT68" s="53">
        <v>4.5747905526232563E-2</v>
      </c>
      <c r="AU68" s="53">
        <v>4.529500126152286E-2</v>
      </c>
      <c r="AV68" s="53">
        <v>4.4846580749033783E-2</v>
      </c>
      <c r="AW68" s="53">
        <v>4.4402599599618349E-2</v>
      </c>
      <c r="AX68" s="53">
        <v>4.3963013863582125E-2</v>
      </c>
      <c r="AY68" s="53">
        <v>4.352778002633266E-2</v>
      </c>
      <c r="AZ68" s="53">
        <v>4.3096855004071968E-2</v>
      </c>
      <c r="BA68" s="53">
        <v>4.2670196139531658E-2</v>
      </c>
      <c r="BB68" s="53">
        <v>4.224776119775029E-2</v>
      </c>
      <c r="BC68" s="53">
        <v>4.1829508361892559E-2</v>
      </c>
      <c r="BD68" s="53">
        <v>4.1415396229109822E-2</v>
      </c>
      <c r="BE68" s="53">
        <v>4.1005383806441635E-2</v>
      </c>
      <c r="BF68" s="53">
        <v>4.0599430506757864E-2</v>
      </c>
      <c r="BG68" s="53">
        <v>4.0197496144740961E-2</v>
      </c>
      <c r="BH68" s="53">
        <v>3.9799540932908023E-2</v>
      </c>
      <c r="BI68" s="53">
        <v>3.9405525477672232E-2</v>
      </c>
      <c r="BJ68" s="53">
        <v>3.9015410775443279E-2</v>
      </c>
      <c r="BK68" s="53">
        <v>3.862915820876639E-2</v>
      </c>
      <c r="BL68" s="53">
        <v>3.8246729542499601E-2</v>
      </c>
      <c r="BM68" s="53">
        <v>3.7868086920028854E-2</v>
      </c>
      <c r="BN68" s="53">
        <v>3.7493192859520567E-2</v>
      </c>
      <c r="BO68" s="53">
        <v>3.7122010250211314E-2</v>
      </c>
      <c r="BP68" s="53">
        <v>3.6754502348734223E-2</v>
      </c>
      <c r="BQ68" s="53">
        <v>3.6390632775481754E-2</v>
      </c>
      <c r="BR68" s="53">
        <v>3.6030365511004483E-2</v>
      </c>
      <c r="BS68" s="53">
        <v>3.5673664892445542E-2</v>
      </c>
      <c r="BT68" s="53">
        <v>3.5320495610010327E-2</v>
      </c>
      <c r="BU68" s="53">
        <v>3.4970822703471224E-2</v>
      </c>
      <c r="BV68" s="53">
        <v>3.4624611558706858E-2</v>
      </c>
      <c r="BW68" s="53">
        <v>3.4281827904275662E-2</v>
      </c>
      <c r="BX68" s="53">
        <v>3.3942437808023335E-2</v>
      </c>
      <c r="BY68" s="53">
        <v>3.3606407673723901E-2</v>
      </c>
      <c r="BZ68" s="53">
        <v>3.3273704237754033E-2</v>
      </c>
      <c r="CA68" s="53">
        <v>3.2944294565800267E-2</v>
      </c>
      <c r="CB68" s="53">
        <v>3.2618146049598847E-2</v>
      </c>
      <c r="CC68" s="53">
        <v>3.229522640370782E-2</v>
      </c>
      <c r="CD68" s="53">
        <v>3.1975503662311111E-2</v>
      </c>
      <c r="CE68" s="53">
        <v>3.1658946176054227E-2</v>
      </c>
      <c r="CF68" s="53">
        <v>3.134552260891129E-2</v>
      </c>
      <c r="CG68" s="53">
        <v>3.1035201935083068E-2</v>
      </c>
      <c r="CH68" s="53">
        <v>3.0727953435925746E-2</v>
      </c>
      <c r="CI68" s="53">
        <v>3.042374669691008E-2</v>
      </c>
      <c r="CJ68" s="53">
        <v>3.0122551604610668E-2</v>
      </c>
      <c r="CK68" s="53">
        <v>2.9824338343725023E-2</v>
      </c>
      <c r="CL68" s="53">
        <v>2.9529077394122145E-2</v>
      </c>
      <c r="CM68" s="53">
        <v>2.9236739527920337E-2</v>
      </c>
      <c r="CN68" s="53">
        <v>2.8947295806593925E-2</v>
      </c>
      <c r="CO68" s="53">
        <v>2.8660717578108643E-2</v>
      </c>
      <c r="CP68" s="53">
        <v>2.8376976474085366E-2</v>
      </c>
      <c r="CQ68" s="53">
        <v>2.809604440699192E-2</v>
      </c>
      <c r="CR68" s="53">
        <v>2.7817893567362698E-2</v>
      </c>
      <c r="CS68" s="53">
        <v>2.7542496421045806E-2</v>
      </c>
      <c r="CT68" s="53">
        <v>2.726982570647745E-2</v>
      </c>
      <c r="CU68" s="53">
        <v>2.6999854431983324E-2</v>
      </c>
      <c r="CV68" s="53">
        <v>2.6732555873106689E-2</v>
      </c>
      <c r="CW68" s="53">
        <v>2.6467903569962932E-2</v>
      </c>
      <c r="CX68" s="53">
        <v>2.6205871324620298E-2</v>
      </c>
      <c r="CY68" s="28">
        <v>2.5946433198506556E-2</v>
      </c>
    </row>
    <row r="69" spans="1:103">
      <c r="A69" s="54">
        <v>87</v>
      </c>
      <c r="B69" s="54">
        <v>7.6011999999999996E-2</v>
      </c>
      <c r="C69" s="54">
        <v>7.5761160399999999E-2</v>
      </c>
      <c r="D69" s="54">
        <v>7.5488420222559999E-2</v>
      </c>
      <c r="E69" s="54">
        <v>7.5186466541669758E-2</v>
      </c>
      <c r="F69" s="54">
        <v>7.4840608795578079E-2</v>
      </c>
      <c r="G69" s="54">
        <v>7.4451437629841077E-2</v>
      </c>
      <c r="H69" s="54">
        <v>7.4004729004062034E-2</v>
      </c>
      <c r="I69" s="54">
        <v>7.3508897319734812E-2</v>
      </c>
      <c r="J69" s="54">
        <v>7.296493147956877E-2</v>
      </c>
      <c r="K69" s="54">
        <v>7.2388508520880177E-2</v>
      </c>
      <c r="L69" s="54">
        <v>7.1780445049304781E-2</v>
      </c>
      <c r="M69" s="54">
        <v>7.1155955177375829E-2</v>
      </c>
      <c r="N69" s="54">
        <v>7.0515551580779448E-2</v>
      </c>
      <c r="O69" s="54">
        <v>6.9873860061394358E-2</v>
      </c>
      <c r="P69" s="54">
        <v>6.9231020548829528E-2</v>
      </c>
      <c r="Q69" s="54">
        <v>6.858717205772541E-2</v>
      </c>
      <c r="R69" s="54">
        <v>6.7942452640382789E-2</v>
      </c>
      <c r="S69" s="54">
        <v>6.729699934029916E-2</v>
      </c>
      <c r="T69" s="53">
        <v>6.6650948146632291E-2</v>
      </c>
      <c r="U69" s="53">
        <v>6.601109904442462E-2</v>
      </c>
      <c r="V69" s="53">
        <v>6.5370791383693699E-2</v>
      </c>
      <c r="W69" s="53">
        <v>6.4736694707271863E-2</v>
      </c>
      <c r="X69" s="53">
        <v>6.4108748768611321E-2</v>
      </c>
      <c r="Y69" s="53">
        <v>6.3486893905555786E-2</v>
      </c>
      <c r="Z69" s="53">
        <v>6.2871071034671891E-2</v>
      </c>
      <c r="AA69" s="53">
        <v>6.2261221645635571E-2</v>
      </c>
      <c r="AB69" s="53">
        <v>6.1657287795672901E-2</v>
      </c>
      <c r="AC69" s="53">
        <v>6.105921210405487E-2</v>
      </c>
      <c r="AD69" s="53">
        <v>6.0466937746645535E-2</v>
      </c>
      <c r="AE69" s="53">
        <v>5.9880408450503068E-2</v>
      </c>
      <c r="AF69" s="53">
        <v>5.9299568488533183E-2</v>
      </c>
      <c r="AG69" s="53">
        <v>5.8724362674194411E-2</v>
      </c>
      <c r="AH69" s="53">
        <v>5.8154736356254726E-2</v>
      </c>
      <c r="AI69" s="53">
        <v>5.7590635413599052E-2</v>
      </c>
      <c r="AJ69" s="53">
        <v>5.7032006250087142E-2</v>
      </c>
      <c r="AK69" s="53">
        <v>5.6478795789461293E-2</v>
      </c>
      <c r="AL69" s="53">
        <v>5.5930951470303518E-2</v>
      </c>
      <c r="AM69" s="53">
        <v>5.5388421241041569E-2</v>
      </c>
      <c r="AN69" s="53">
        <v>5.4851153555003467E-2</v>
      </c>
      <c r="AO69" s="53">
        <v>5.4319097365519931E-2</v>
      </c>
      <c r="AP69" s="53">
        <v>5.3792202121074384E-2</v>
      </c>
      <c r="AQ69" s="53">
        <v>5.3270417760499962E-2</v>
      </c>
      <c r="AR69" s="53">
        <v>5.2753694708223109E-2</v>
      </c>
      <c r="AS69" s="53">
        <v>5.2241983869553345E-2</v>
      </c>
      <c r="AT69" s="53">
        <v>5.1735236626018678E-2</v>
      </c>
      <c r="AU69" s="53">
        <v>5.1233404830746294E-2</v>
      </c>
      <c r="AV69" s="53">
        <v>5.0736440803888054E-2</v>
      </c>
      <c r="AW69" s="53">
        <v>5.024429732809034E-2</v>
      </c>
      <c r="AX69" s="53">
        <v>4.975692764400786E-2</v>
      </c>
      <c r="AY69" s="53">
        <v>4.9274285445860981E-2</v>
      </c>
      <c r="AZ69" s="53">
        <v>4.8796324877036126E-2</v>
      </c>
      <c r="BA69" s="53">
        <v>4.8323000525728875E-2</v>
      </c>
      <c r="BB69" s="53">
        <v>4.7854267420629301E-2</v>
      </c>
      <c r="BC69" s="53">
        <v>4.7390081026649197E-2</v>
      </c>
      <c r="BD69" s="53">
        <v>4.6930397240690695E-2</v>
      </c>
      <c r="BE69" s="53">
        <v>4.6475172387455993E-2</v>
      </c>
      <c r="BF69" s="53">
        <v>4.6024363215297667E-2</v>
      </c>
      <c r="BG69" s="53">
        <v>4.557792689210928E-2</v>
      </c>
      <c r="BH69" s="53">
        <v>4.5135821001255821E-2</v>
      </c>
      <c r="BI69" s="53">
        <v>4.4698003537543635E-2</v>
      </c>
      <c r="BJ69" s="53">
        <v>4.4264432903229463E-2</v>
      </c>
      <c r="BK69" s="53">
        <v>4.3835067904068138E-2</v>
      </c>
      <c r="BL69" s="53">
        <v>4.3409867745398678E-2</v>
      </c>
      <c r="BM69" s="53">
        <v>4.2988792028268309E-2</v>
      </c>
      <c r="BN69" s="53">
        <v>4.2571800745594107E-2</v>
      </c>
      <c r="BO69" s="53">
        <v>4.2158854278361843E-2</v>
      </c>
      <c r="BP69" s="53">
        <v>4.174991339186173E-2</v>
      </c>
      <c r="BQ69" s="53">
        <v>4.134493923196067E-2</v>
      </c>
      <c r="BR69" s="53">
        <v>4.094389332141065E-2</v>
      </c>
      <c r="BS69" s="53">
        <v>4.0546737556192966E-2</v>
      </c>
      <c r="BT69" s="53">
        <v>4.0153434201897896E-2</v>
      </c>
      <c r="BU69" s="53">
        <v>3.9763945890139485E-2</v>
      </c>
      <c r="BV69" s="53">
        <v>3.9378235615005128E-2</v>
      </c>
      <c r="BW69" s="53">
        <v>3.8996266729539576E-2</v>
      </c>
      <c r="BX69" s="53">
        <v>3.8618002942263044E-2</v>
      </c>
      <c r="BY69" s="53">
        <v>3.8243408313723089E-2</v>
      </c>
      <c r="BZ69" s="53">
        <v>3.787244725307997E-2</v>
      </c>
      <c r="CA69" s="53">
        <v>3.750508451472509E-2</v>
      </c>
      <c r="CB69" s="53">
        <v>3.7141285194932254E-2</v>
      </c>
      <c r="CC69" s="53">
        <v>3.6781014728541409E-2</v>
      </c>
      <c r="CD69" s="53">
        <v>3.6424238885674552E-2</v>
      </c>
      <c r="CE69" s="53">
        <v>3.6070923768483511E-2</v>
      </c>
      <c r="CF69" s="53">
        <v>3.5721035807929222E-2</v>
      </c>
      <c r="CG69" s="53">
        <v>3.5374541760592307E-2</v>
      </c>
      <c r="CH69" s="53">
        <v>3.5031408705514556E-2</v>
      </c>
      <c r="CI69" s="53">
        <v>3.4691604041071064E-2</v>
      </c>
      <c r="CJ69" s="53">
        <v>3.4355095481872676E-2</v>
      </c>
      <c r="CK69" s="53">
        <v>3.4021851055698507E-2</v>
      </c>
      <c r="CL69" s="53">
        <v>3.3691839100458233E-2</v>
      </c>
      <c r="CM69" s="53">
        <v>3.3365028261183788E-2</v>
      </c>
      <c r="CN69" s="53">
        <v>3.3041387487050301E-2</v>
      </c>
      <c r="CO69" s="53">
        <v>3.2720886028425912E-2</v>
      </c>
      <c r="CP69" s="53">
        <v>3.240349343395018E-2</v>
      </c>
      <c r="CQ69" s="53">
        <v>3.2089179547640859E-2</v>
      </c>
      <c r="CR69" s="53">
        <v>3.1777914506028744E-2</v>
      </c>
      <c r="CS69" s="53">
        <v>3.1469668735320262E-2</v>
      </c>
      <c r="CT69" s="53">
        <v>3.1164412948587655E-2</v>
      </c>
      <c r="CU69" s="53">
        <v>3.0862118142986353E-2</v>
      </c>
      <c r="CV69" s="53">
        <v>3.0562755596999384E-2</v>
      </c>
      <c r="CW69" s="53">
        <v>3.026629686770849E-2</v>
      </c>
      <c r="CX69" s="53">
        <v>2.9972713788091715E-2</v>
      </c>
      <c r="CY69" s="28">
        <v>2.9681978464347225E-2</v>
      </c>
    </row>
    <row r="70" spans="1:103">
      <c r="A70" s="54">
        <v>88</v>
      </c>
      <c r="B70" s="54">
        <v>8.523E-2</v>
      </c>
      <c r="C70" s="54">
        <v>8.4940217999999998E-2</v>
      </c>
      <c r="D70" s="54">
        <v>8.4634433215199992E-2</v>
      </c>
      <c r="E70" s="54">
        <v>8.4295895482339192E-2</v>
      </c>
      <c r="F70" s="54">
        <v>8.3916563952668666E-2</v>
      </c>
      <c r="G70" s="54">
        <v>8.3488589476510056E-2</v>
      </c>
      <c r="H70" s="54">
        <v>8.3012704516493951E-2</v>
      </c>
      <c r="I70" s="54">
        <v>8.2481423207588389E-2</v>
      </c>
      <c r="J70" s="54">
        <v>8.1895805102814509E-2</v>
      </c>
      <c r="K70" s="54">
        <v>8.1273396984033117E-2</v>
      </c>
      <c r="L70" s="54">
        <v>8.0623209808160845E-2</v>
      </c>
      <c r="M70" s="54">
        <v>7.9954037166753117E-2</v>
      </c>
      <c r="N70" s="54">
        <v>7.9266432447119034E-2</v>
      </c>
      <c r="O70" s="54">
        <v>7.8560961198339677E-2</v>
      </c>
      <c r="P70" s="54">
        <v>7.7846056451434789E-2</v>
      </c>
      <c r="Q70" s="54">
        <v>7.7129872732081592E-2</v>
      </c>
      <c r="R70" s="54">
        <v>7.6412564915673234E-2</v>
      </c>
      <c r="S70" s="54">
        <v>7.5701928061957469E-2</v>
      </c>
      <c r="T70" s="53">
        <v>7.4990329938175074E-2</v>
      </c>
      <c r="U70" s="53">
        <v>7.4277921803762414E-2</v>
      </c>
      <c r="V70" s="53">
        <v>7.3564853754446297E-2</v>
      </c>
      <c r="W70" s="53">
        <v>7.2858631158403603E-2</v>
      </c>
      <c r="X70" s="53">
        <v>7.2159188299282931E-2</v>
      </c>
      <c r="Y70" s="53">
        <v>7.1466460091609812E-2</v>
      </c>
      <c r="Z70" s="53">
        <v>7.078038207473035E-2</v>
      </c>
      <c r="AA70" s="53">
        <v>7.010089040681293E-2</v>
      </c>
      <c r="AB70" s="53">
        <v>6.9427921858907518E-2</v>
      </c>
      <c r="AC70" s="53">
        <v>6.8761413809062005E-2</v>
      </c>
      <c r="AD70" s="53">
        <v>6.8101304236495006E-2</v>
      </c>
      <c r="AE70" s="53">
        <v>6.7447531715824655E-2</v>
      </c>
      <c r="AF70" s="53">
        <v>6.6800035411352737E-2</v>
      </c>
      <c r="AG70" s="53">
        <v>6.6158755071403744E-2</v>
      </c>
      <c r="AH70" s="53">
        <v>6.5523631022718271E-2</v>
      </c>
      <c r="AI70" s="53">
        <v>6.4894604164900171E-2</v>
      </c>
      <c r="AJ70" s="53">
        <v>6.4271615964917123E-2</v>
      </c>
      <c r="AK70" s="53">
        <v>6.365460845165391E-2</v>
      </c>
      <c r="AL70" s="53">
        <v>6.3043524210518023E-2</v>
      </c>
      <c r="AM70" s="53">
        <v>6.2438306378097046E-2</v>
      </c>
      <c r="AN70" s="53">
        <v>6.1838898636867312E-2</v>
      </c>
      <c r="AO70" s="53">
        <v>6.1245245209953385E-2</v>
      </c>
      <c r="AP70" s="53">
        <v>6.065729085593783E-2</v>
      </c>
      <c r="AQ70" s="53">
        <v>6.0074980863720824E-2</v>
      </c>
      <c r="AR70" s="53">
        <v>5.9498261047429099E-2</v>
      </c>
      <c r="AS70" s="53">
        <v>5.8927077741373776E-2</v>
      </c>
      <c r="AT70" s="53">
        <v>5.8361377795056582E-2</v>
      </c>
      <c r="AU70" s="53">
        <v>5.7801108568224034E-2</v>
      </c>
      <c r="AV70" s="53">
        <v>5.7246217925969081E-2</v>
      </c>
      <c r="AW70" s="53">
        <v>5.6696654233879776E-2</v>
      </c>
      <c r="AX70" s="53">
        <v>5.6152366353234527E-2</v>
      </c>
      <c r="AY70" s="53">
        <v>5.561330363624347E-2</v>
      </c>
      <c r="AZ70" s="53">
        <v>5.5079415921335528E-2</v>
      </c>
      <c r="BA70" s="53">
        <v>5.4550653528490707E-2</v>
      </c>
      <c r="BB70" s="53">
        <v>5.4026967254617191E-2</v>
      </c>
      <c r="BC70" s="53">
        <v>5.3508308368972864E-2</v>
      </c>
      <c r="BD70" s="53">
        <v>5.2994628608630724E-2</v>
      </c>
      <c r="BE70" s="53">
        <v>5.2485880173987864E-2</v>
      </c>
      <c r="BF70" s="53">
        <v>5.1982015724317578E-2</v>
      </c>
      <c r="BG70" s="53">
        <v>5.1482988373364125E-2</v>
      </c>
      <c r="BH70" s="53">
        <v>5.0988751684979829E-2</v>
      </c>
      <c r="BI70" s="53">
        <v>5.0499259668804017E-2</v>
      </c>
      <c r="BJ70" s="53">
        <v>5.0014466775983493E-2</v>
      </c>
      <c r="BK70" s="53">
        <v>4.9534327894934047E-2</v>
      </c>
      <c r="BL70" s="53">
        <v>4.9058798347142676E-2</v>
      </c>
      <c r="BM70" s="53">
        <v>4.8587833883010106E-2</v>
      </c>
      <c r="BN70" s="53">
        <v>4.812139067773321E-2</v>
      </c>
      <c r="BO70" s="53">
        <v>4.7659425327226966E-2</v>
      </c>
      <c r="BP70" s="53">
        <v>4.7201894844085587E-2</v>
      </c>
      <c r="BQ70" s="53">
        <v>4.6748756653582364E-2</v>
      </c>
      <c r="BR70" s="53">
        <v>4.6299968589707974E-2</v>
      </c>
      <c r="BS70" s="53">
        <v>4.5855488891246778E-2</v>
      </c>
      <c r="BT70" s="53">
        <v>4.5415276197890805E-2</v>
      </c>
      <c r="BU70" s="53">
        <v>4.4979289546391049E-2</v>
      </c>
      <c r="BV70" s="53">
        <v>4.4547488366745693E-2</v>
      </c>
      <c r="BW70" s="53">
        <v>4.4119832478424929E-2</v>
      </c>
      <c r="BX70" s="53">
        <v>4.3696282086632045E-2</v>
      </c>
      <c r="BY70" s="53">
        <v>4.3276797778600377E-2</v>
      </c>
      <c r="BZ70" s="53">
        <v>4.2861340519925809E-2</v>
      </c>
      <c r="CA70" s="53">
        <v>4.2449871650934522E-2</v>
      </c>
      <c r="CB70" s="53">
        <v>4.2042352883085547E-2</v>
      </c>
      <c r="CC70" s="53">
        <v>4.1638746295407925E-2</v>
      </c>
      <c r="CD70" s="53">
        <v>4.1239014330972004E-2</v>
      </c>
      <c r="CE70" s="53">
        <v>4.0843119793394674E-2</v>
      </c>
      <c r="CF70" s="53">
        <v>4.0451025843378084E-2</v>
      </c>
      <c r="CG70" s="53">
        <v>4.0062695995281651E-2</v>
      </c>
      <c r="CH70" s="53">
        <v>3.9678094113726949E-2</v>
      </c>
      <c r="CI70" s="53">
        <v>3.9297184410235171E-2</v>
      </c>
      <c r="CJ70" s="53">
        <v>3.8919931439896908E-2</v>
      </c>
      <c r="CK70" s="53">
        <v>3.8546300098073895E-2</v>
      </c>
      <c r="CL70" s="53">
        <v>3.8176255617132386E-2</v>
      </c>
      <c r="CM70" s="53">
        <v>3.7809763563207914E-2</v>
      </c>
      <c r="CN70" s="53">
        <v>3.7446789833001114E-2</v>
      </c>
      <c r="CO70" s="53">
        <v>3.7087300650604303E-2</v>
      </c>
      <c r="CP70" s="53">
        <v>3.6731262564358498E-2</v>
      </c>
      <c r="CQ70" s="53">
        <v>3.6378642443740651E-2</v>
      </c>
      <c r="CR70" s="53">
        <v>3.6029407476280736E-2</v>
      </c>
      <c r="CS70" s="53">
        <v>3.5683525164508442E-2</v>
      </c>
      <c r="CT70" s="53">
        <v>3.5340963322929159E-2</v>
      </c>
      <c r="CU70" s="53">
        <v>3.5001690075029034E-2</v>
      </c>
      <c r="CV70" s="53">
        <v>3.4665673850308755E-2</v>
      </c>
      <c r="CW70" s="53">
        <v>3.433288338134579E-2</v>
      </c>
      <c r="CX70" s="53">
        <v>3.4003287700884871E-2</v>
      </c>
      <c r="CY70" s="28">
        <v>3.3676856138956372E-2</v>
      </c>
    </row>
    <row r="71" spans="1:103">
      <c r="A71" s="54">
        <v>89</v>
      </c>
      <c r="B71" s="54">
        <v>9.5562999999999995E-2</v>
      </c>
      <c r="C71" s="54">
        <v>9.5228529500000006E-2</v>
      </c>
      <c r="D71" s="54">
        <v>9.4876183940849998E-2</v>
      </c>
      <c r="E71" s="54">
        <v>9.4496679205086601E-2</v>
      </c>
      <c r="F71" s="54">
        <v>9.408089381658423E-2</v>
      </c>
      <c r="G71" s="54">
        <v>9.3610489347501311E-2</v>
      </c>
      <c r="H71" s="54">
        <v>9.3086270607155297E-2</v>
      </c>
      <c r="I71" s="54">
        <v>9.2509135729390929E-2</v>
      </c>
      <c r="J71" s="54">
        <v>9.1880073606431065E-2</v>
      </c>
      <c r="K71" s="54">
        <v>9.120934906910412E-2</v>
      </c>
      <c r="L71" s="54">
        <v>9.0507037081272015E-2</v>
      </c>
      <c r="M71" s="54">
        <v>8.9782980784621838E-2</v>
      </c>
      <c r="N71" s="54">
        <v>8.9037782044109476E-2</v>
      </c>
      <c r="O71" s="54">
        <v>8.8272057118530131E-2</v>
      </c>
      <c r="P71" s="54">
        <v>8.7486435810175206E-2</v>
      </c>
      <c r="Q71" s="54">
        <v>8.6699057887883624E-2</v>
      </c>
      <c r="R71" s="54">
        <v>8.5910096461103883E-2</v>
      </c>
      <c r="S71" s="54">
        <v>8.5119723573661724E-2</v>
      </c>
      <c r="T71" s="53">
        <v>8.4328110144426677E-2</v>
      </c>
      <c r="U71" s="53">
        <v>8.3543858720083505E-2</v>
      </c>
      <c r="V71" s="53">
        <v>8.2758546448114728E-2</v>
      </c>
      <c r="W71" s="53">
        <v>8.1980616111502452E-2</v>
      </c>
      <c r="X71" s="53">
        <v>8.1209998320054336E-2</v>
      </c>
      <c r="Y71" s="53">
        <v>8.0446624335845832E-2</v>
      </c>
      <c r="Z71" s="53">
        <v>7.9690426067088885E-2</v>
      </c>
      <c r="AA71" s="53">
        <v>7.8941336062058248E-2</v>
      </c>
      <c r="AB71" s="53">
        <v>7.8199287503074907E-2</v>
      </c>
      <c r="AC71" s="53">
        <v>7.7464214200546E-2</v>
      </c>
      <c r="AD71" s="53">
        <v>7.6736050587060872E-2</v>
      </c>
      <c r="AE71" s="53">
        <v>7.6014731711542508E-2</v>
      </c>
      <c r="AF71" s="53">
        <v>7.5300193233454008E-2</v>
      </c>
      <c r="AG71" s="53">
        <v>7.4592371417059544E-2</v>
      </c>
      <c r="AH71" s="53">
        <v>7.3891203125739185E-2</v>
      </c>
      <c r="AI71" s="53">
        <v>7.3196625816357233E-2</v>
      </c>
      <c r="AJ71" s="53">
        <v>7.2508577533683477E-2</v>
      </c>
      <c r="AK71" s="53">
        <v>7.1826996904866852E-2</v>
      </c>
      <c r="AL71" s="53">
        <v>7.1151823133961109E-2</v>
      </c>
      <c r="AM71" s="53">
        <v>7.0482995996501874E-2</v>
      </c>
      <c r="AN71" s="53">
        <v>6.9820455834134765E-2</v>
      </c>
      <c r="AO71" s="53">
        <v>6.9164143549293899E-2</v>
      </c>
      <c r="AP71" s="53">
        <v>6.8514000599930541E-2</v>
      </c>
      <c r="AQ71" s="53">
        <v>6.7869968994291194E-2</v>
      </c>
      <c r="AR71" s="53">
        <v>6.7231991285744863E-2</v>
      </c>
      <c r="AS71" s="53">
        <v>6.6600010567658866E-2</v>
      </c>
      <c r="AT71" s="53">
        <v>6.5973970468322873E-2</v>
      </c>
      <c r="AU71" s="53">
        <v>6.5353815145920646E-2</v>
      </c>
      <c r="AV71" s="53">
        <v>6.4739489283549001E-2</v>
      </c>
      <c r="AW71" s="53">
        <v>6.4130938084283648E-2</v>
      </c>
      <c r="AX71" s="53">
        <v>6.3528107266291378E-2</v>
      </c>
      <c r="AY71" s="53">
        <v>6.2930943057988242E-2</v>
      </c>
      <c r="AZ71" s="53">
        <v>6.2339392193243158E-2</v>
      </c>
      <c r="BA71" s="53">
        <v>6.1753401906626676E-2</v>
      </c>
      <c r="BB71" s="53">
        <v>6.117291992870439E-2</v>
      </c>
      <c r="BC71" s="53">
        <v>6.0597894481374572E-2</v>
      </c>
      <c r="BD71" s="53">
        <v>6.0028274273249652E-2</v>
      </c>
      <c r="BE71" s="53">
        <v>5.9464008495081107E-2</v>
      </c>
      <c r="BF71" s="53">
        <v>5.8905046815227347E-2</v>
      </c>
      <c r="BG71" s="53">
        <v>5.8351339375164214E-2</v>
      </c>
      <c r="BH71" s="53">
        <v>5.780283678503767E-2</v>
      </c>
      <c r="BI71" s="53">
        <v>5.7259490119258315E-2</v>
      </c>
      <c r="BJ71" s="53">
        <v>5.672125091213729E-2</v>
      </c>
      <c r="BK71" s="53">
        <v>5.6188071153563203E-2</v>
      </c>
      <c r="BL71" s="53">
        <v>5.565990328471971E-2</v>
      </c>
      <c r="BM71" s="53">
        <v>5.5136700193843348E-2</v>
      </c>
      <c r="BN71" s="53">
        <v>5.4618415212021224E-2</v>
      </c>
      <c r="BO71" s="53">
        <v>5.4105002109028223E-2</v>
      </c>
      <c r="BP71" s="53">
        <v>5.3596415089203361E-2</v>
      </c>
      <c r="BQ71" s="53">
        <v>5.3092608787364853E-2</v>
      </c>
      <c r="BR71" s="53">
        <v>5.2593538264763623E-2</v>
      </c>
      <c r="BS71" s="53">
        <v>5.2099159005074849E-2</v>
      </c>
      <c r="BT71" s="53">
        <v>5.160942691042715E-2</v>
      </c>
      <c r="BU71" s="53">
        <v>5.1124298297469138E-2</v>
      </c>
      <c r="BV71" s="53">
        <v>5.0643729893472933E-2</v>
      </c>
      <c r="BW71" s="53">
        <v>5.0167678832474291E-2</v>
      </c>
      <c r="BX71" s="53">
        <v>4.9696102651449033E-2</v>
      </c>
      <c r="BY71" s="53">
        <v>4.922895928652541E-2</v>
      </c>
      <c r="BZ71" s="53">
        <v>4.876620706923207E-2</v>
      </c>
      <c r="CA71" s="53">
        <v>4.8307804722781289E-2</v>
      </c>
      <c r="CB71" s="53">
        <v>4.7853711358387147E-2</v>
      </c>
      <c r="CC71" s="53">
        <v>4.7403886471618306E-2</v>
      </c>
      <c r="CD71" s="53">
        <v>4.6958289938785099E-2</v>
      </c>
      <c r="CE71" s="53">
        <v>4.6516882013360523E-2</v>
      </c>
      <c r="CF71" s="53">
        <v>4.6079623322434933E-2</v>
      </c>
      <c r="CG71" s="53">
        <v>4.5646474863204049E-2</v>
      </c>
      <c r="CH71" s="53">
        <v>4.5217397999489935E-2</v>
      </c>
      <c r="CI71" s="53">
        <v>4.4792354458294728E-2</v>
      </c>
      <c r="CJ71" s="53">
        <v>4.4371306326386757E-2</v>
      </c>
      <c r="CK71" s="53">
        <v>4.3954216046918723E-2</v>
      </c>
      <c r="CL71" s="53">
        <v>4.3541046416077686E-2</v>
      </c>
      <c r="CM71" s="53">
        <v>4.3131760579766559E-2</v>
      </c>
      <c r="CN71" s="53">
        <v>4.2726322030316753E-2</v>
      </c>
      <c r="CO71" s="53">
        <v>4.232469460323178E-2</v>
      </c>
      <c r="CP71" s="53">
        <v>4.1926842473961404E-2</v>
      </c>
      <c r="CQ71" s="53">
        <v>4.1532730154706168E-2</v>
      </c>
      <c r="CR71" s="53">
        <v>4.114232249125193E-2</v>
      </c>
      <c r="CS71" s="53">
        <v>4.0755584659834164E-2</v>
      </c>
      <c r="CT71" s="53">
        <v>4.0372482164031727E-2</v>
      </c>
      <c r="CU71" s="53">
        <v>3.9992980831689832E-2</v>
      </c>
      <c r="CV71" s="53">
        <v>3.9617046811871948E-2</v>
      </c>
      <c r="CW71" s="53">
        <v>3.9244646571840354E-2</v>
      </c>
      <c r="CX71" s="53">
        <v>3.8875746894065054E-2</v>
      </c>
      <c r="CY71" s="28">
        <v>3.8510314873260842E-2</v>
      </c>
    </row>
    <row r="72" spans="1:103">
      <c r="A72" s="54">
        <v>90</v>
      </c>
      <c r="B72" s="54">
        <v>0.107126</v>
      </c>
      <c r="C72" s="54">
        <v>0.1067296338</v>
      </c>
      <c r="D72" s="54">
        <v>0.10631338822818</v>
      </c>
      <c r="E72" s="54">
        <v>0.10587750333644445</v>
      </c>
      <c r="F72" s="54">
        <v>0.10540105457143045</v>
      </c>
      <c r="G72" s="54">
        <v>0.10488458940403045</v>
      </c>
      <c r="H72" s="54">
        <v>0.10431821262124868</v>
      </c>
      <c r="I72" s="54">
        <v>0.10369230334552119</v>
      </c>
      <c r="J72" s="54">
        <v>0.10301830337377531</v>
      </c>
      <c r="K72" s="54">
        <v>0.10229717525015888</v>
      </c>
      <c r="L72" s="54">
        <v>0.10154017615330771</v>
      </c>
      <c r="M72" s="54">
        <v>0.10075831679692723</v>
      </c>
      <c r="N72" s="54">
        <v>9.995225026255182E-2</v>
      </c>
      <c r="O72" s="54">
        <v>9.9122646585372648E-2</v>
      </c>
      <c r="P72" s="54">
        <v>9.8280104089396983E-2</v>
      </c>
      <c r="Q72" s="54">
        <v>9.7415239173410287E-2</v>
      </c>
      <c r="R72" s="54">
        <v>9.6548243544766932E-2</v>
      </c>
      <c r="S72" s="54">
        <v>9.5679309352864034E-2</v>
      </c>
      <c r="T72" s="53">
        <v>9.4808627637752968E-2</v>
      </c>
      <c r="U72" s="53">
        <v>9.3936388263485646E-2</v>
      </c>
      <c r="V72" s="53">
        <v>9.3062779852635225E-2</v>
      </c>
      <c r="W72" s="53">
        <v>9.2197296000005716E-2</v>
      </c>
      <c r="X72" s="53">
        <v>9.1339861147205659E-2</v>
      </c>
      <c r="Y72" s="53">
        <v>9.049040043853665E-2</v>
      </c>
      <c r="Z72" s="53">
        <v>8.9648839714458264E-2</v>
      </c>
      <c r="AA72" s="53">
        <v>8.8815105505113803E-2</v>
      </c>
      <c r="AB72" s="53">
        <v>8.7989125023916245E-2</v>
      </c>
      <c r="AC72" s="53">
        <v>8.7170826161193829E-2</v>
      </c>
      <c r="AD72" s="53">
        <v>8.6360137477894727E-2</v>
      </c>
      <c r="AE72" s="53">
        <v>8.5556988199350315E-2</v>
      </c>
      <c r="AF72" s="53">
        <v>8.4761308209096359E-2</v>
      </c>
      <c r="AG72" s="53">
        <v>8.3973028042751766E-2</v>
      </c>
      <c r="AH72" s="53">
        <v>8.3192078881954179E-2</v>
      </c>
      <c r="AI72" s="53">
        <v>8.241839254835201E-2</v>
      </c>
      <c r="AJ72" s="53">
        <v>8.1651901497652335E-2</v>
      </c>
      <c r="AK72" s="53">
        <v>8.0892538813724171E-2</v>
      </c>
      <c r="AL72" s="53">
        <v>8.0140238202756536E-2</v>
      </c>
      <c r="AM72" s="53">
        <v>7.9394933987470898E-2</v>
      </c>
      <c r="AN72" s="53">
        <v>7.8656561101387426E-2</v>
      </c>
      <c r="AO72" s="53">
        <v>7.7925055083144526E-2</v>
      </c>
      <c r="AP72" s="53">
        <v>7.7200352070871281E-2</v>
      </c>
      <c r="AQ72" s="53">
        <v>7.6482388796612177E-2</v>
      </c>
      <c r="AR72" s="53">
        <v>7.577110258080369E-2</v>
      </c>
      <c r="AS72" s="53">
        <v>7.5066431326802213E-2</v>
      </c>
      <c r="AT72" s="53">
        <v>7.4368313515462955E-2</v>
      </c>
      <c r="AU72" s="53">
        <v>7.367668819976915E-2</v>
      </c>
      <c r="AV72" s="53">
        <v>7.2991494999511297E-2</v>
      </c>
      <c r="AW72" s="53">
        <v>7.2312674096015842E-2</v>
      </c>
      <c r="AX72" s="53">
        <v>7.1640166226922902E-2</v>
      </c>
      <c r="AY72" s="53">
        <v>7.0973912681012524E-2</v>
      </c>
      <c r="AZ72" s="53">
        <v>7.0313855293079111E-2</v>
      </c>
      <c r="BA72" s="53">
        <v>6.9659936438853473E-2</v>
      </c>
      <c r="BB72" s="53">
        <v>6.9012099029972143E-2</v>
      </c>
      <c r="BC72" s="53">
        <v>6.8370286508993405E-2</v>
      </c>
      <c r="BD72" s="53">
        <v>6.7734442844459772E-2</v>
      </c>
      <c r="BE72" s="53">
        <v>6.7104512526006299E-2</v>
      </c>
      <c r="BF72" s="53">
        <v>6.6480440559514437E-2</v>
      </c>
      <c r="BG72" s="53">
        <v>6.586217246231095E-2</v>
      </c>
      <c r="BH72" s="53">
        <v>6.5249654258411463E-2</v>
      </c>
      <c r="BI72" s="53">
        <v>6.464283247380824E-2</v>
      </c>
      <c r="BJ72" s="53">
        <v>6.4041654131801823E-2</v>
      </c>
      <c r="BK72" s="53">
        <v>6.3446066748376065E-2</v>
      </c>
      <c r="BL72" s="53">
        <v>6.285601832761617E-2</v>
      </c>
      <c r="BM72" s="53">
        <v>6.2271457357169338E-2</v>
      </c>
      <c r="BN72" s="53">
        <v>6.1692332803747668E-2</v>
      </c>
      <c r="BO72" s="53">
        <v>6.1118594108672819E-2</v>
      </c>
      <c r="BP72" s="53">
        <v>6.0550191183462165E-2</v>
      </c>
      <c r="BQ72" s="53">
        <v>5.9987074405455969E-2</v>
      </c>
      <c r="BR72" s="53">
        <v>5.9429194613485233E-2</v>
      </c>
      <c r="BS72" s="53">
        <v>5.8876503103579822E-2</v>
      </c>
      <c r="BT72" s="53">
        <v>5.8328951624716532E-2</v>
      </c>
      <c r="BU72" s="53">
        <v>5.7786492374606667E-2</v>
      </c>
      <c r="BV72" s="53">
        <v>5.7249077995522826E-2</v>
      </c>
      <c r="BW72" s="53">
        <v>5.6716661570164466E-2</v>
      </c>
      <c r="BX72" s="53">
        <v>5.6189196617561936E-2</v>
      </c>
      <c r="BY72" s="53">
        <v>5.566663708901861E-2</v>
      </c>
      <c r="BZ72" s="53">
        <v>5.5148937364090739E-2</v>
      </c>
      <c r="CA72" s="53">
        <v>5.4636052246604699E-2</v>
      </c>
      <c r="CB72" s="53">
        <v>5.4127936960711276E-2</v>
      </c>
      <c r="CC72" s="53">
        <v>5.3624547146976662E-2</v>
      </c>
      <c r="CD72" s="53">
        <v>5.3125838858509779E-2</v>
      </c>
      <c r="CE72" s="53">
        <v>5.263176855712564E-2</v>
      </c>
      <c r="CF72" s="53">
        <v>5.2142293109544373E-2</v>
      </c>
      <c r="CG72" s="53">
        <v>5.165736978362561E-2</v>
      </c>
      <c r="CH72" s="53">
        <v>5.1176956244637896E-2</v>
      </c>
      <c r="CI72" s="53">
        <v>5.0701010551562765E-2</v>
      </c>
      <c r="CJ72" s="53">
        <v>5.0229491153433233E-2</v>
      </c>
      <c r="CK72" s="53">
        <v>4.9762356885706308E-2</v>
      </c>
      <c r="CL72" s="53">
        <v>4.9299566966669241E-2</v>
      </c>
      <c r="CM72" s="53">
        <v>4.8841080993879217E-2</v>
      </c>
      <c r="CN72" s="53">
        <v>4.8386858940636143E-2</v>
      </c>
      <c r="CO72" s="53">
        <v>4.7936861152488228E-2</v>
      </c>
      <c r="CP72" s="53">
        <v>4.749104834377009E-2</v>
      </c>
      <c r="CQ72" s="53">
        <v>4.7049381594173031E-2</v>
      </c>
      <c r="CR72" s="53">
        <v>4.661182234534722E-2</v>
      </c>
      <c r="CS72" s="53">
        <v>4.6178332397535493E-2</v>
      </c>
      <c r="CT72" s="53">
        <v>4.5748873906238413E-2</v>
      </c>
      <c r="CU72" s="53">
        <v>4.5323409378910398E-2</v>
      </c>
      <c r="CV72" s="53">
        <v>4.4901901671686534E-2</v>
      </c>
      <c r="CW72" s="53">
        <v>4.4484313986139848E-2</v>
      </c>
      <c r="CX72" s="53">
        <v>4.4070609866068748E-2</v>
      </c>
      <c r="CY72" s="28">
        <v>4.3660753194314311E-2</v>
      </c>
    </row>
    <row r="73" spans="1:103">
      <c r="A73" s="54">
        <v>91</v>
      </c>
      <c r="B73" s="54">
        <v>0.119744</v>
      </c>
      <c r="C73" s="54">
        <v>0.119265024</v>
      </c>
      <c r="D73" s="54">
        <v>0.1187760374016</v>
      </c>
      <c r="E73" s="54">
        <v>0.11826530044077313</v>
      </c>
      <c r="F73" s="54">
        <v>0.11773310658878966</v>
      </c>
      <c r="G73" s="54">
        <v>0.11715621436650459</v>
      </c>
      <c r="H73" s="54">
        <v>0.11652357080892546</v>
      </c>
      <c r="I73" s="54">
        <v>0.11584773409823369</v>
      </c>
      <c r="J73" s="54">
        <v>0.11511789337341483</v>
      </c>
      <c r="K73" s="54">
        <v>0.11434660348781295</v>
      </c>
      <c r="L73" s="54">
        <v>0.11353474260304948</v>
      </c>
      <c r="M73" s="54">
        <v>0.11269458550778692</v>
      </c>
      <c r="N73" s="54">
        <v>0.11182683719937696</v>
      </c>
      <c r="O73" s="54">
        <v>0.11093222250178195</v>
      </c>
      <c r="P73" s="54">
        <v>0.11002257827726733</v>
      </c>
      <c r="Q73" s="54">
        <v>0.10908738636191057</v>
      </c>
      <c r="R73" s="54">
        <v>0.10812741736192574</v>
      </c>
      <c r="S73" s="54">
        <v>0.1071650833474046</v>
      </c>
      <c r="T73" s="53">
        <v>0.1062113141056127</v>
      </c>
      <c r="U73" s="53">
        <v>0.10525541227866218</v>
      </c>
      <c r="V73" s="53">
        <v>0.10429758802692636</v>
      </c>
      <c r="W73" s="53">
        <v>0.10334847997588133</v>
      </c>
      <c r="X73" s="53">
        <v>0.1024080088081008</v>
      </c>
      <c r="Y73" s="53">
        <v>0.10147609592794708</v>
      </c>
      <c r="Z73" s="53">
        <v>0.10055266345500276</v>
      </c>
      <c r="AA73" s="53">
        <v>9.9637634217562235E-2</v>
      </c>
      <c r="AB73" s="53">
        <v>9.8730931746182415E-2</v>
      </c>
      <c r="AC73" s="53">
        <v>9.783248026729216E-2</v>
      </c>
      <c r="AD73" s="53">
        <v>9.6942204696859796E-2</v>
      </c>
      <c r="AE73" s="53">
        <v>9.6060030634118374E-2</v>
      </c>
      <c r="AF73" s="53">
        <v>9.5185884355347902E-2</v>
      </c>
      <c r="AG73" s="53">
        <v>9.4319692807714239E-2</v>
      </c>
      <c r="AH73" s="53">
        <v>9.3461383603164042E-2</v>
      </c>
      <c r="AI73" s="53">
        <v>9.2610885012375244E-2</v>
      </c>
      <c r="AJ73" s="53">
        <v>9.1768125958762631E-2</v>
      </c>
      <c r="AK73" s="53">
        <v>9.0933036012537896E-2</v>
      </c>
      <c r="AL73" s="53">
        <v>9.0105545384823807E-2</v>
      </c>
      <c r="AM73" s="53">
        <v>8.9285584921821912E-2</v>
      </c>
      <c r="AN73" s="53">
        <v>8.847308609903333E-2</v>
      </c>
      <c r="AO73" s="53">
        <v>8.7667981015532123E-2</v>
      </c>
      <c r="AP73" s="53">
        <v>8.6870202388290782E-2</v>
      </c>
      <c r="AQ73" s="53">
        <v>8.6079683546557331E-2</v>
      </c>
      <c r="AR73" s="53">
        <v>8.5296358426283664E-2</v>
      </c>
      <c r="AS73" s="53">
        <v>8.4520161564604485E-2</v>
      </c>
      <c r="AT73" s="53">
        <v>8.3751028094366589E-2</v>
      </c>
      <c r="AU73" s="53">
        <v>8.2988893738707853E-2</v>
      </c>
      <c r="AV73" s="53">
        <v>8.2233694805685612E-2</v>
      </c>
      <c r="AW73" s="53">
        <v>8.1485368182953877E-2</v>
      </c>
      <c r="AX73" s="53">
        <v>8.0743851332489E-2</v>
      </c>
      <c r="AY73" s="53">
        <v>8.0009082285363353E-2</v>
      </c>
      <c r="AZ73" s="53">
        <v>7.928099963656654E-2</v>
      </c>
      <c r="BA73" s="53">
        <v>7.8559542539873781E-2</v>
      </c>
      <c r="BB73" s="53">
        <v>7.7844650702760934E-2</v>
      </c>
      <c r="BC73" s="53">
        <v>7.713626438136581E-2</v>
      </c>
      <c r="BD73" s="53">
        <v>7.6434324375495383E-2</v>
      </c>
      <c r="BE73" s="53">
        <v>7.5738772023678375E-2</v>
      </c>
      <c r="BF73" s="53">
        <v>7.5049549198262899E-2</v>
      </c>
      <c r="BG73" s="53">
        <v>7.4366598300558709E-2</v>
      </c>
      <c r="BH73" s="53">
        <v>7.3689862256023628E-2</v>
      </c>
      <c r="BI73" s="53">
        <v>7.3019284509493812E-2</v>
      </c>
      <c r="BJ73" s="53">
        <v>7.235480902045742E-2</v>
      </c>
      <c r="BK73" s="53">
        <v>7.1696380258371259E-2</v>
      </c>
      <c r="BL73" s="53">
        <v>7.1043943198020085E-2</v>
      </c>
      <c r="BM73" s="53">
        <v>7.0397443314918096E-2</v>
      </c>
      <c r="BN73" s="53">
        <v>6.9756826580752343E-2</v>
      </c>
      <c r="BO73" s="53">
        <v>6.9122039458867496E-2</v>
      </c>
      <c r="BP73" s="53">
        <v>6.8493028899791808E-2</v>
      </c>
      <c r="BQ73" s="53">
        <v>6.7869742336803707E-2</v>
      </c>
      <c r="BR73" s="53">
        <v>6.7252127681538793E-2</v>
      </c>
      <c r="BS73" s="53">
        <v>6.6640133319636793E-2</v>
      </c>
      <c r="BT73" s="53">
        <v>6.6033708106428099E-2</v>
      </c>
      <c r="BU73" s="53">
        <v>6.5432801362659609E-2</v>
      </c>
      <c r="BV73" s="53">
        <v>6.4837362870259402E-2</v>
      </c>
      <c r="BW73" s="53">
        <v>6.4247342868140045E-2</v>
      </c>
      <c r="BX73" s="53">
        <v>6.3662692048039968E-2</v>
      </c>
      <c r="BY73" s="53">
        <v>6.3083361550402811E-2</v>
      </c>
      <c r="BZ73" s="53">
        <v>6.2509302960294152E-2</v>
      </c>
      <c r="CA73" s="53">
        <v>6.1940468303355478E-2</v>
      </c>
      <c r="CB73" s="53">
        <v>6.1376810041794946E-2</v>
      </c>
      <c r="CC73" s="53">
        <v>6.0818281070414613E-2</v>
      </c>
      <c r="CD73" s="53">
        <v>6.026483471267384E-2</v>
      </c>
      <c r="CE73" s="53">
        <v>5.9716424716788508E-2</v>
      </c>
      <c r="CF73" s="53">
        <v>5.917300525186573E-2</v>
      </c>
      <c r="CG73" s="53">
        <v>5.8634530904073751E-2</v>
      </c>
      <c r="CH73" s="53">
        <v>5.8100956672846676E-2</v>
      </c>
      <c r="CI73" s="53">
        <v>5.7572237967123775E-2</v>
      </c>
      <c r="CJ73" s="53">
        <v>5.7048330601622947E-2</v>
      </c>
      <c r="CK73" s="53">
        <v>5.6529190793148179E-2</v>
      </c>
      <c r="CL73" s="53">
        <v>5.6014775156930534E-2</v>
      </c>
      <c r="CM73" s="53">
        <v>5.5505040703002467E-2</v>
      </c>
      <c r="CN73" s="53">
        <v>5.4999944832605147E-2</v>
      </c>
      <c r="CO73" s="53">
        <v>5.4499445334628437E-2</v>
      </c>
      <c r="CP73" s="53">
        <v>5.4003500382083319E-2</v>
      </c>
      <c r="CQ73" s="53">
        <v>5.3512068528606363E-2</v>
      </c>
      <c r="CR73" s="53">
        <v>5.3025108704996042E-2</v>
      </c>
      <c r="CS73" s="53">
        <v>5.2542580215780579E-2</v>
      </c>
      <c r="CT73" s="53">
        <v>5.2064442735816979E-2</v>
      </c>
      <c r="CU73" s="53">
        <v>5.1590656306921043E-2</v>
      </c>
      <c r="CV73" s="53">
        <v>5.112118133452806E-2</v>
      </c>
      <c r="CW73" s="53">
        <v>5.0655978584383851E-2</v>
      </c>
      <c r="CX73" s="53">
        <v>5.0195009179265955E-2</v>
      </c>
      <c r="CY73" s="28">
        <v>4.9738234595734634E-2</v>
      </c>
    </row>
    <row r="74" spans="1:103">
      <c r="A74" s="54">
        <v>92</v>
      </c>
      <c r="B74" s="54">
        <v>0.133299</v>
      </c>
      <c r="C74" s="54">
        <v>0.13272581429999999</v>
      </c>
      <c r="D74" s="54">
        <v>0.13215509329851</v>
      </c>
      <c r="E74" s="54">
        <v>0.13157361088799654</v>
      </c>
      <c r="F74" s="54">
        <v>0.13095521491682297</v>
      </c>
      <c r="G74" s="54">
        <v>0.13030043884223885</v>
      </c>
      <c r="H74" s="54">
        <v>0.129609846516375</v>
      </c>
      <c r="I74" s="54">
        <v>0.12887107039123166</v>
      </c>
      <c r="J74" s="54">
        <v>0.12808495686184515</v>
      </c>
      <c r="K74" s="54">
        <v>0.12725240464224316</v>
      </c>
      <c r="L74" s="54">
        <v>0.12638708829067591</v>
      </c>
      <c r="M74" s="54">
        <v>0.1254897399638121</v>
      </c>
      <c r="N74" s="54">
        <v>0.12457366486207627</v>
      </c>
      <c r="O74" s="54">
        <v>0.12362690500912449</v>
      </c>
      <c r="P74" s="54">
        <v>0.1226502524595524</v>
      </c>
      <c r="Q74" s="54">
        <v>0.12164452038938407</v>
      </c>
      <c r="R74" s="54">
        <v>0.12061054196607432</v>
      </c>
      <c r="S74" s="54">
        <v>0.11956123025096947</v>
      </c>
      <c r="T74" s="53">
        <v>0.11850909142476093</v>
      </c>
      <c r="U74" s="53">
        <v>0.11745436051108056</v>
      </c>
      <c r="V74" s="53">
        <v>0.11639727126648083</v>
      </c>
      <c r="W74" s="53">
        <v>0.1153496958250825</v>
      </c>
      <c r="X74" s="53">
        <v>0.11431154856265677</v>
      </c>
      <c r="Y74" s="53">
        <v>0.11328274462559286</v>
      </c>
      <c r="Z74" s="53">
        <v>0.11226319992396253</v>
      </c>
      <c r="AA74" s="53">
        <v>0.11125283112464686</v>
      </c>
      <c r="AB74" s="53">
        <v>0.11025155564452503</v>
      </c>
      <c r="AC74" s="53">
        <v>0.1092592916437243</v>
      </c>
      <c r="AD74" s="53">
        <v>0.10827595801893078</v>
      </c>
      <c r="AE74" s="53">
        <v>0.1073014743967604</v>
      </c>
      <c r="AF74" s="53">
        <v>0.10633576112718955</v>
      </c>
      <c r="AG74" s="53">
        <v>0.10537873927704484</v>
      </c>
      <c r="AH74" s="53">
        <v>0.10443033062355143</v>
      </c>
      <c r="AI74" s="53">
        <v>0.10349045764793947</v>
      </c>
      <c r="AJ74" s="53">
        <v>0.10255904352910802</v>
      </c>
      <c r="AK74" s="53">
        <v>0.10163601213734605</v>
      </c>
      <c r="AL74" s="53">
        <v>0.10072128802810994</v>
      </c>
      <c r="AM74" s="53">
        <v>9.9814796435856945E-2</v>
      </c>
      <c r="AN74" s="53">
        <v>9.8916463267934226E-2</v>
      </c>
      <c r="AO74" s="53">
        <v>9.8026215098522815E-2</v>
      </c>
      <c r="AP74" s="53">
        <v>9.7143979162636104E-2</v>
      </c>
      <c r="AQ74" s="53">
        <v>9.6269683350172372E-2</v>
      </c>
      <c r="AR74" s="53">
        <v>9.5403256200020825E-2</v>
      </c>
      <c r="AS74" s="53">
        <v>9.4544626894220635E-2</v>
      </c>
      <c r="AT74" s="53">
        <v>9.3693725252172649E-2</v>
      </c>
      <c r="AU74" s="53">
        <v>9.2850481724903094E-2</v>
      </c>
      <c r="AV74" s="53">
        <v>9.2014827389378967E-2</v>
      </c>
      <c r="AW74" s="53">
        <v>9.1186693942874555E-2</v>
      </c>
      <c r="AX74" s="53">
        <v>9.0366013697388684E-2</v>
      </c>
      <c r="AY74" s="53">
        <v>8.9552719574112191E-2</v>
      </c>
      <c r="AZ74" s="53">
        <v>8.8746745097945182E-2</v>
      </c>
      <c r="BA74" s="53">
        <v>8.7948024392063673E-2</v>
      </c>
      <c r="BB74" s="53">
        <v>8.7156492172535099E-2</v>
      </c>
      <c r="BC74" s="53">
        <v>8.6372083742982289E-2</v>
      </c>
      <c r="BD74" s="53">
        <v>8.5594734989295443E-2</v>
      </c>
      <c r="BE74" s="53">
        <v>8.4824382374391785E-2</v>
      </c>
      <c r="BF74" s="53">
        <v>8.406096293302226E-2</v>
      </c>
      <c r="BG74" s="53">
        <v>8.3304414266625063E-2</v>
      </c>
      <c r="BH74" s="53">
        <v>8.2554674538225431E-2</v>
      </c>
      <c r="BI74" s="53">
        <v>8.1811682467381408E-2</v>
      </c>
      <c r="BJ74" s="53">
        <v>8.1075377325174974E-2</v>
      </c>
      <c r="BK74" s="53">
        <v>8.0345698929248394E-2</v>
      </c>
      <c r="BL74" s="53">
        <v>7.9622587638885162E-2</v>
      </c>
      <c r="BM74" s="53">
        <v>7.8905984350135197E-2</v>
      </c>
      <c r="BN74" s="53">
        <v>7.8195830490983984E-2</v>
      </c>
      <c r="BO74" s="53">
        <v>7.7492068016565122E-2</v>
      </c>
      <c r="BP74" s="53">
        <v>7.679463940441604E-2</v>
      </c>
      <c r="BQ74" s="53">
        <v>7.61034876497763E-2</v>
      </c>
      <c r="BR74" s="53">
        <v>7.5418556260928318E-2</v>
      </c>
      <c r="BS74" s="53">
        <v>7.4739789254579969E-2</v>
      </c>
      <c r="BT74" s="53">
        <v>7.4067131151288754E-2</v>
      </c>
      <c r="BU74" s="53">
        <v>7.3400526970927152E-2</v>
      </c>
      <c r="BV74" s="53">
        <v>7.2739922228188814E-2</v>
      </c>
      <c r="BW74" s="53">
        <v>7.2085262928135108E-2</v>
      </c>
      <c r="BX74" s="53">
        <v>7.1436495561781888E-2</v>
      </c>
      <c r="BY74" s="53">
        <v>7.0793567101725852E-2</v>
      </c>
      <c r="BZ74" s="53">
        <v>7.0156424997810315E-2</v>
      </c>
      <c r="CA74" s="53">
        <v>6.9525017172830023E-2</v>
      </c>
      <c r="CB74" s="53">
        <v>6.8899292018274549E-2</v>
      </c>
      <c r="CC74" s="53">
        <v>6.8279198390110082E-2</v>
      </c>
      <c r="CD74" s="53">
        <v>6.7664685604599095E-2</v>
      </c>
      <c r="CE74" s="53">
        <v>6.7055703434157704E-2</v>
      </c>
      <c r="CF74" s="53">
        <v>6.6452202103250285E-2</v>
      </c>
      <c r="CG74" s="53">
        <v>6.5854132284321035E-2</v>
      </c>
      <c r="CH74" s="53">
        <v>6.5261445093762138E-2</v>
      </c>
      <c r="CI74" s="53">
        <v>6.4674092087918272E-2</v>
      </c>
      <c r="CJ74" s="53">
        <v>6.4092025259127008E-2</v>
      </c>
      <c r="CK74" s="53">
        <v>6.3515197031794868E-2</v>
      </c>
      <c r="CL74" s="53">
        <v>6.294356025850871E-2</v>
      </c>
      <c r="CM74" s="53">
        <v>6.2377068216182129E-2</v>
      </c>
      <c r="CN74" s="53">
        <v>6.1815674602236491E-2</v>
      </c>
      <c r="CO74" s="53">
        <v>6.1259333530816362E-2</v>
      </c>
      <c r="CP74" s="53">
        <v>6.0707999529039013E-2</v>
      </c>
      <c r="CQ74" s="53">
        <v>6.016162753327766E-2</v>
      </c>
      <c r="CR74" s="53">
        <v>5.9620172885478162E-2</v>
      </c>
      <c r="CS74" s="53">
        <v>5.9083591329508856E-2</v>
      </c>
      <c r="CT74" s="53">
        <v>5.8551839007543273E-2</v>
      </c>
      <c r="CU74" s="53">
        <v>5.8024872456475383E-2</v>
      </c>
      <c r="CV74" s="53">
        <v>5.7502648604367101E-2</v>
      </c>
      <c r="CW74" s="53">
        <v>5.6985124766927797E-2</v>
      </c>
      <c r="CX74" s="53">
        <v>5.6472258644025448E-2</v>
      </c>
      <c r="CY74" s="28">
        <v>5.5964008316229219E-2</v>
      </c>
    </row>
    <row r="75" spans="1:103">
      <c r="A75" s="54">
        <v>93</v>
      </c>
      <c r="B75" s="54">
        <v>0.14771999999999999</v>
      </c>
      <c r="C75" s="54">
        <v>0.14702571599999997</v>
      </c>
      <c r="D75" s="54">
        <v>0.14634939770639996</v>
      </c>
      <c r="E75" s="54">
        <v>0.14566155553717988</v>
      </c>
      <c r="F75" s="54">
        <v>0.14496238007060142</v>
      </c>
      <c r="G75" s="54">
        <v>0.14422307193224135</v>
      </c>
      <c r="H75" s="54">
        <v>0.14345868965100048</v>
      </c>
      <c r="I75" s="54">
        <v>0.14265532098895486</v>
      </c>
      <c r="J75" s="54">
        <v>0.14179938906302114</v>
      </c>
      <c r="K75" s="54">
        <v>0.14090605291192412</v>
      </c>
      <c r="L75" s="54">
        <v>0.13999016356799662</v>
      </c>
      <c r="M75" s="54">
        <v>0.13903823045573424</v>
      </c>
      <c r="N75" s="54">
        <v>0.1380649628425441</v>
      </c>
      <c r="O75" s="54">
        <v>0.13705708861379354</v>
      </c>
      <c r="P75" s="54">
        <v>0.1360154547403287</v>
      </c>
      <c r="Q75" s="54">
        <v>0.1349409326478801</v>
      </c>
      <c r="R75" s="54">
        <v>0.13383441700016749</v>
      </c>
      <c r="S75" s="54">
        <v>0.13271020789736609</v>
      </c>
      <c r="T75" s="53">
        <v>0.13156890010944874</v>
      </c>
      <c r="U75" s="53">
        <v>0.13042425067849653</v>
      </c>
      <c r="V75" s="53">
        <v>0.12927651727252576</v>
      </c>
      <c r="W75" s="53">
        <v>0.12813888392052752</v>
      </c>
      <c r="X75" s="53">
        <v>0.12701126174202687</v>
      </c>
      <c r="Y75" s="53">
        <v>0.12589356263869703</v>
      </c>
      <c r="Z75" s="53">
        <v>0.12478569928747649</v>
      </c>
      <c r="AA75" s="53">
        <v>0.1236875851337467</v>
      </c>
      <c r="AB75" s="53">
        <v>0.12259913438456972</v>
      </c>
      <c r="AC75" s="53">
        <v>0.1215202620019855</v>
      </c>
      <c r="AD75" s="53">
        <v>0.12045088369636803</v>
      </c>
      <c r="AE75" s="53">
        <v>0.11939091591983998</v>
      </c>
      <c r="AF75" s="53">
        <v>0.11834027585974538</v>
      </c>
      <c r="AG75" s="53">
        <v>0.11729888143217962</v>
      </c>
      <c r="AH75" s="53">
        <v>0.11626665127557644</v>
      </c>
      <c r="AI75" s="53">
        <v>0.11524350474435135</v>
      </c>
      <c r="AJ75" s="53">
        <v>0.11422936190260106</v>
      </c>
      <c r="AK75" s="53">
        <v>0.11322414351785817</v>
      </c>
      <c r="AL75" s="53">
        <v>0.11222777105490102</v>
      </c>
      <c r="AM75" s="53">
        <v>0.11124016666961789</v>
      </c>
      <c r="AN75" s="53">
        <v>0.11026125320292525</v>
      </c>
      <c r="AO75" s="53">
        <v>0.10929095417473951</v>
      </c>
      <c r="AP75" s="53">
        <v>0.10832919377800181</v>
      </c>
      <c r="AQ75" s="53">
        <v>0.10737589687275538</v>
      </c>
      <c r="AR75" s="53">
        <v>0.10643098898027513</v>
      </c>
      <c r="AS75" s="53">
        <v>0.1054943962772487</v>
      </c>
      <c r="AT75" s="53">
        <v>0.10456604559000891</v>
      </c>
      <c r="AU75" s="53">
        <v>0.10364586438881683</v>
      </c>
      <c r="AV75" s="53">
        <v>0.10273378078219524</v>
      </c>
      <c r="AW75" s="53">
        <v>0.10182972351131192</v>
      </c>
      <c r="AX75" s="53">
        <v>0.10093362194441237</v>
      </c>
      <c r="AY75" s="53">
        <v>0.10004540607130154</v>
      </c>
      <c r="AZ75" s="53">
        <v>9.9165006497874075E-2</v>
      </c>
      <c r="BA75" s="53">
        <v>9.8292354440692786E-2</v>
      </c>
      <c r="BB75" s="53">
        <v>9.7427381721614692E-2</v>
      </c>
      <c r="BC75" s="53">
        <v>9.6570020762464473E-2</v>
      </c>
      <c r="BD75" s="53">
        <v>9.5720204579754789E-2</v>
      </c>
      <c r="BE75" s="53">
        <v>9.4877866779452938E-2</v>
      </c>
      <c r="BF75" s="53">
        <v>9.4042941551793754E-2</v>
      </c>
      <c r="BG75" s="53">
        <v>9.321536366613796E-2</v>
      </c>
      <c r="BH75" s="53">
        <v>9.2395068465875946E-2</v>
      </c>
      <c r="BI75" s="53">
        <v>9.1581991863376233E-2</v>
      </c>
      <c r="BJ75" s="53">
        <v>9.0776070334978518E-2</v>
      </c>
      <c r="BK75" s="53">
        <v>8.997724091603071E-2</v>
      </c>
      <c r="BL75" s="53">
        <v>8.9185441195969634E-2</v>
      </c>
      <c r="BM75" s="53">
        <v>8.8400609313445094E-2</v>
      </c>
      <c r="BN75" s="53">
        <v>8.7622683951486771E-2</v>
      </c>
      <c r="BO75" s="53">
        <v>8.6851604332713689E-2</v>
      </c>
      <c r="BP75" s="53">
        <v>8.6087310214585808E-2</v>
      </c>
      <c r="BQ75" s="53">
        <v>8.5329741884697455E-2</v>
      </c>
      <c r="BR75" s="53">
        <v>8.4578840156112112E-2</v>
      </c>
      <c r="BS75" s="53">
        <v>8.3834546362738321E-2</v>
      </c>
      <c r="BT75" s="53">
        <v>8.3096802354746216E-2</v>
      </c>
      <c r="BU75" s="53">
        <v>8.2365550494024442E-2</v>
      </c>
      <c r="BV75" s="53">
        <v>8.1640733649677028E-2</v>
      </c>
      <c r="BW75" s="53">
        <v>8.0922295193559868E-2</v>
      </c>
      <c r="BX75" s="53">
        <v>8.0210178995856543E-2</v>
      </c>
      <c r="BY75" s="53">
        <v>7.9504329420693007E-2</v>
      </c>
      <c r="BZ75" s="53">
        <v>7.880469132179091E-2</v>
      </c>
      <c r="CA75" s="53">
        <v>7.8111210038159143E-2</v>
      </c>
      <c r="CB75" s="53">
        <v>7.7423831389823339E-2</v>
      </c>
      <c r="CC75" s="53">
        <v>7.6742501673592894E-2</v>
      </c>
      <c r="CD75" s="53">
        <v>7.6067167658865273E-2</v>
      </c>
      <c r="CE75" s="53">
        <v>7.539777658346726E-2</v>
      </c>
      <c r="CF75" s="53">
        <v>7.473427614953275E-2</v>
      </c>
      <c r="CG75" s="53">
        <v>7.4076614519416856E-2</v>
      </c>
      <c r="CH75" s="53">
        <v>7.3424740311645989E-2</v>
      </c>
      <c r="CI75" s="53">
        <v>7.2778602596903497E-2</v>
      </c>
      <c r="CJ75" s="53">
        <v>7.2138150894050748E-2</v>
      </c>
      <c r="CK75" s="53">
        <v>7.1503335166183096E-2</v>
      </c>
      <c r="CL75" s="53">
        <v>7.0874105816720684E-2</v>
      </c>
      <c r="CM75" s="53">
        <v>7.0250413685533544E-2</v>
      </c>
      <c r="CN75" s="53">
        <v>6.9632210045100854E-2</v>
      </c>
      <c r="CO75" s="53">
        <v>6.9019446596703962E-2</v>
      </c>
      <c r="CP75" s="53">
        <v>6.8412075466652969E-2</v>
      </c>
      <c r="CQ75" s="53">
        <v>6.7810049202546421E-2</v>
      </c>
      <c r="CR75" s="53">
        <v>6.7213320769564017E-2</v>
      </c>
      <c r="CS75" s="53">
        <v>6.6621843546791848E-2</v>
      </c>
      <c r="CT75" s="53">
        <v>6.6035571323580081E-2</v>
      </c>
      <c r="CU75" s="53">
        <v>6.5454458295932577E-2</v>
      </c>
      <c r="CV75" s="53">
        <v>6.487845906292837E-2</v>
      </c>
      <c r="CW75" s="53">
        <v>6.4307528623174598E-2</v>
      </c>
      <c r="CX75" s="53">
        <v>6.3741622371290663E-2</v>
      </c>
      <c r="CY75" s="28">
        <v>6.3180696094423297E-2</v>
      </c>
    </row>
    <row r="76" spans="1:103">
      <c r="A76" s="54">
        <v>94</v>
      </c>
      <c r="B76" s="54">
        <v>0.162971</v>
      </c>
      <c r="C76" s="54">
        <v>0.16213984789999999</v>
      </c>
      <c r="D76" s="54">
        <v>0.16132914866049999</v>
      </c>
      <c r="E76" s="54">
        <v>0.1605225029171975</v>
      </c>
      <c r="F76" s="54">
        <v>0.1597198904026115</v>
      </c>
      <c r="G76" s="54">
        <v>0.15888934697251791</v>
      </c>
      <c r="H76" s="54">
        <v>0.15803134449886633</v>
      </c>
      <c r="I76" s="54">
        <v>0.15714636896967266</v>
      </c>
      <c r="J76" s="54">
        <v>0.15621920539275158</v>
      </c>
      <c r="K76" s="54">
        <v>0.15526626823985579</v>
      </c>
      <c r="L76" s="54">
        <v>0.15428809074994471</v>
      </c>
      <c r="M76" s="54">
        <v>0.15328521816007007</v>
      </c>
      <c r="N76" s="54">
        <v>0.15224287867658159</v>
      </c>
      <c r="O76" s="54">
        <v>0.15117717852584553</v>
      </c>
      <c r="P76" s="54">
        <v>0.15007358512260685</v>
      </c>
      <c r="Q76" s="54">
        <v>0.14893302587567503</v>
      </c>
      <c r="R76" s="54">
        <v>0.1477564549712572</v>
      </c>
      <c r="S76" s="54">
        <v>0.14655962768599001</v>
      </c>
      <c r="T76" s="53">
        <v>0.14534318277619629</v>
      </c>
      <c r="U76" s="53">
        <v>0.14409323140432098</v>
      </c>
      <c r="V76" s="53">
        <v>0.14283962029110339</v>
      </c>
      <c r="W76" s="53">
        <v>0.1415969155945708</v>
      </c>
      <c r="X76" s="53">
        <v>0.14036502242889803</v>
      </c>
      <c r="Y76" s="53">
        <v>0.13914384673376662</v>
      </c>
      <c r="Z76" s="53">
        <v>0.13793329526718284</v>
      </c>
      <c r="AA76" s="53">
        <v>0.13673327559835835</v>
      </c>
      <c r="AB76" s="53">
        <v>0.13554369610065262</v>
      </c>
      <c r="AC76" s="53">
        <v>0.13436446594457693</v>
      </c>
      <c r="AD76" s="53">
        <v>0.1331954950908591</v>
      </c>
      <c r="AE76" s="53">
        <v>0.13203669428356862</v>
      </c>
      <c r="AF76" s="53">
        <v>0.13088797504330157</v>
      </c>
      <c r="AG76" s="53">
        <v>0.12974924966042484</v>
      </c>
      <c r="AH76" s="53">
        <v>0.12862043118837913</v>
      </c>
      <c r="AI76" s="53">
        <v>0.12750143343704023</v>
      </c>
      <c r="AJ76" s="53">
        <v>0.12639217096613797</v>
      </c>
      <c r="AK76" s="53">
        <v>0.12529255907873257</v>
      </c>
      <c r="AL76" s="53">
        <v>0.12420251381474759</v>
      </c>
      <c r="AM76" s="53">
        <v>0.12312195194455929</v>
      </c>
      <c r="AN76" s="53">
        <v>0.12205079096264161</v>
      </c>
      <c r="AO76" s="53">
        <v>0.12098894908126663</v>
      </c>
      <c r="AP76" s="53">
        <v>0.11993634522425961</v>
      </c>
      <c r="AQ76" s="53">
        <v>0.11889289902080855</v>
      </c>
      <c r="AR76" s="53">
        <v>0.11785853079932751</v>
      </c>
      <c r="AS76" s="53">
        <v>0.11683316158137336</v>
      </c>
      <c r="AT76" s="53">
        <v>0.1158167130756154</v>
      </c>
      <c r="AU76" s="53">
        <v>0.11480910767185755</v>
      </c>
      <c r="AV76" s="53">
        <v>0.11381026843511238</v>
      </c>
      <c r="AW76" s="53">
        <v>0.1128201190997269</v>
      </c>
      <c r="AX76" s="53">
        <v>0.11183858406355927</v>
      </c>
      <c r="AY76" s="53">
        <v>0.11086558838220631</v>
      </c>
      <c r="AZ76" s="53">
        <v>0.10990105776328112</v>
      </c>
      <c r="BA76" s="53">
        <v>0.10894491856074057</v>
      </c>
      <c r="BB76" s="53">
        <v>0.10799709776926211</v>
      </c>
      <c r="BC76" s="53">
        <v>0.10705752301866953</v>
      </c>
      <c r="BD76" s="53">
        <v>0.1061261225684071</v>
      </c>
      <c r="BE76" s="53">
        <v>0.10520282530206196</v>
      </c>
      <c r="BF76" s="53">
        <v>0.10428756072193401</v>
      </c>
      <c r="BG76" s="53">
        <v>0.10338025894365319</v>
      </c>
      <c r="BH76" s="53">
        <v>0.10248085069084339</v>
      </c>
      <c r="BI76" s="53">
        <v>0.10158926728983306</v>
      </c>
      <c r="BJ76" s="53">
        <v>0.10070544066441151</v>
      </c>
      <c r="BK76" s="53">
        <v>9.9829303330631128E-2</v>
      </c>
      <c r="BL76" s="53">
        <v>9.8960788391654633E-2</v>
      </c>
      <c r="BM76" s="53">
        <v>9.8099829532647231E-2</v>
      </c>
      <c r="BN76" s="53">
        <v>9.7246361015713198E-2</v>
      </c>
      <c r="BO76" s="53">
        <v>9.6400317674876487E-2</v>
      </c>
      <c r="BP76" s="53">
        <v>9.5561634911105059E-2</v>
      </c>
      <c r="BQ76" s="53">
        <v>9.4730248687378435E-2</v>
      </c>
      <c r="BR76" s="53">
        <v>9.3906095523798236E-2</v>
      </c>
      <c r="BS76" s="53">
        <v>9.3089112492741183E-2</v>
      </c>
      <c r="BT76" s="53">
        <v>9.227923721405433E-2</v>
      </c>
      <c r="BU76" s="53">
        <v>9.1476407850292055E-2</v>
      </c>
      <c r="BV76" s="53">
        <v>9.0680563101994516E-2</v>
      </c>
      <c r="BW76" s="53">
        <v>8.989164220300716E-2</v>
      </c>
      <c r="BX76" s="53">
        <v>8.9109584915840992E-2</v>
      </c>
      <c r="BY76" s="53">
        <v>8.8334331527073165E-2</v>
      </c>
      <c r="BZ76" s="53">
        <v>8.7565822842787619E-2</v>
      </c>
      <c r="CA76" s="53">
        <v>8.680400018405536E-2</v>
      </c>
      <c r="CB76" s="53">
        <v>8.6048805382454074E-2</v>
      </c>
      <c r="CC76" s="53">
        <v>8.5300180775626719E-2</v>
      </c>
      <c r="CD76" s="53">
        <v>8.4558069202878769E-2</v>
      </c>
      <c r="CE76" s="53">
        <v>8.3822414000813722E-2</v>
      </c>
      <c r="CF76" s="53">
        <v>8.3093158999006642E-2</v>
      </c>
      <c r="CG76" s="53">
        <v>8.2370248515715283E-2</v>
      </c>
      <c r="CH76" s="53">
        <v>8.1653627353628563E-2</v>
      </c>
      <c r="CI76" s="53">
        <v>8.0943240795651988E-2</v>
      </c>
      <c r="CJ76" s="53">
        <v>8.0239034600729814E-2</v>
      </c>
      <c r="CK76" s="53">
        <v>7.9540954999703456E-2</v>
      </c>
      <c r="CL76" s="53">
        <v>7.8848948691206039E-2</v>
      </c>
      <c r="CM76" s="53">
        <v>7.8162962837592539E-2</v>
      </c>
      <c r="CN76" s="53">
        <v>7.7482945060905487E-2</v>
      </c>
      <c r="CO76" s="53">
        <v>7.6808843438875604E-2</v>
      </c>
      <c r="CP76" s="53">
        <v>7.6140606500957386E-2</v>
      </c>
      <c r="CQ76" s="53">
        <v>7.5478183224399059E-2</v>
      </c>
      <c r="CR76" s="53">
        <v>7.4821523030346782E-2</v>
      </c>
      <c r="CS76" s="53">
        <v>7.4170575779982761E-2</v>
      </c>
      <c r="CT76" s="53">
        <v>7.3525291770696902E-2</v>
      </c>
      <c r="CU76" s="53">
        <v>7.2885621732291836E-2</v>
      </c>
      <c r="CV76" s="53">
        <v>7.2251516823220896E-2</v>
      </c>
      <c r="CW76" s="53">
        <v>7.1622928626858873E-2</v>
      </c>
      <c r="CX76" s="53">
        <v>7.0999809147805196E-2</v>
      </c>
      <c r="CY76" s="28">
        <v>7.0382110808219281E-2</v>
      </c>
    </row>
    <row r="77" spans="1:103">
      <c r="A77" s="54">
        <v>95</v>
      </c>
      <c r="B77" s="54">
        <v>0.179034</v>
      </c>
      <c r="C77" s="54">
        <v>0.1780314096</v>
      </c>
      <c r="D77" s="54">
        <v>0.17707003998816001</v>
      </c>
      <c r="E77" s="54">
        <v>0.17613156877622277</v>
      </c>
      <c r="F77" s="54">
        <v>0.17519807146170879</v>
      </c>
      <c r="G77" s="54">
        <v>0.17426952168296175</v>
      </c>
      <c r="H77" s="54">
        <v>0.17332846626587375</v>
      </c>
      <c r="I77" s="54">
        <v>0.17235782685478485</v>
      </c>
      <c r="J77" s="54">
        <v>0.17135815145902708</v>
      </c>
      <c r="K77" s="54">
        <v>0.17034713836541882</v>
      </c>
      <c r="L77" s="54">
        <v>0.16930802082138977</v>
      </c>
      <c r="M77" s="54">
        <v>0.16824138029021501</v>
      </c>
      <c r="N77" s="54">
        <v>0.16714781131832862</v>
      </c>
      <c r="O77" s="54">
        <v>0.16601120620136398</v>
      </c>
      <c r="P77" s="54">
        <v>0.16484912775795443</v>
      </c>
      <c r="Q77" s="54">
        <v>0.16364572912532138</v>
      </c>
      <c r="R77" s="54">
        <v>0.16240202158396894</v>
      </c>
      <c r="S77" s="54">
        <v>0.16113528581561398</v>
      </c>
      <c r="T77" s="53">
        <v>0.15983009000050752</v>
      </c>
      <c r="U77" s="53">
        <v>0.15850350025350332</v>
      </c>
      <c r="V77" s="53">
        <v>0.15715622050134856</v>
      </c>
      <c r="W77" s="53">
        <v>0.15582039262708711</v>
      </c>
      <c r="X77" s="53">
        <v>0.15449591928975687</v>
      </c>
      <c r="Y77" s="53">
        <v>0.15318270397579395</v>
      </c>
      <c r="Z77" s="53">
        <v>0.15188065099199971</v>
      </c>
      <c r="AA77" s="53">
        <v>0.15058966545856772</v>
      </c>
      <c r="AB77" s="53">
        <v>0.14930965330216991</v>
      </c>
      <c r="AC77" s="53">
        <v>0.14804052124910147</v>
      </c>
      <c r="AD77" s="53">
        <v>0.14678217681848413</v>
      </c>
      <c r="AE77" s="53">
        <v>0.14553452831552702</v>
      </c>
      <c r="AF77" s="53">
        <v>0.14429748482484506</v>
      </c>
      <c r="AG77" s="53">
        <v>0.14307095620383389</v>
      </c>
      <c r="AH77" s="53">
        <v>0.14185485307610132</v>
      </c>
      <c r="AI77" s="53">
        <v>0.14064908682495447</v>
      </c>
      <c r="AJ77" s="53">
        <v>0.13945356958694236</v>
      </c>
      <c r="AK77" s="53">
        <v>0.13826821424545335</v>
      </c>
      <c r="AL77" s="53">
        <v>0.13709293442436701</v>
      </c>
      <c r="AM77" s="53">
        <v>0.1359276444817599</v>
      </c>
      <c r="AN77" s="53">
        <v>0.13477225950366495</v>
      </c>
      <c r="AO77" s="53">
        <v>0.13362669529788379</v>
      </c>
      <c r="AP77" s="53">
        <v>0.13249086838785179</v>
      </c>
      <c r="AQ77" s="53">
        <v>0.13136469600655507</v>
      </c>
      <c r="AR77" s="53">
        <v>0.13024809609049937</v>
      </c>
      <c r="AS77" s="53">
        <v>0.12914098727373013</v>
      </c>
      <c r="AT77" s="53">
        <v>0.12804328888190344</v>
      </c>
      <c r="AU77" s="53">
        <v>0.12695492092640728</v>
      </c>
      <c r="AV77" s="53">
        <v>0.12587580409853283</v>
      </c>
      <c r="AW77" s="53">
        <v>0.12480585976369531</v>
      </c>
      <c r="AX77" s="53">
        <v>0.12374500995570391</v>
      </c>
      <c r="AY77" s="53">
        <v>0.12269317737108043</v>
      </c>
      <c r="AZ77" s="53">
        <v>0.12165028536342626</v>
      </c>
      <c r="BA77" s="53">
        <v>0.12061625793783715</v>
      </c>
      <c r="BB77" s="53">
        <v>0.11959101974536554</v>
      </c>
      <c r="BC77" s="53">
        <v>0.11857449607752994</v>
      </c>
      <c r="BD77" s="53">
        <v>0.11756661286087094</v>
      </c>
      <c r="BE77" s="53">
        <v>0.11656729665155355</v>
      </c>
      <c r="BF77" s="53">
        <v>0.11557647463001534</v>
      </c>
      <c r="BG77" s="53">
        <v>0.11459407459566022</v>
      </c>
      <c r="BH77" s="53">
        <v>0.11362002496159711</v>
      </c>
      <c r="BI77" s="53">
        <v>0.11265425474942353</v>
      </c>
      <c r="BJ77" s="53">
        <v>0.11169669358405344</v>
      </c>
      <c r="BK77" s="53">
        <v>0.110747271688589</v>
      </c>
      <c r="BL77" s="53">
        <v>0.10980591987923601</v>
      </c>
      <c r="BM77" s="53">
        <v>0.10887256956026251</v>
      </c>
      <c r="BN77" s="53">
        <v>0.10794715271900028</v>
      </c>
      <c r="BO77" s="53">
        <v>0.10702960192088878</v>
      </c>
      <c r="BP77" s="53">
        <v>0.10611985030456124</v>
      </c>
      <c r="BQ77" s="53">
        <v>0.10521783157697247</v>
      </c>
      <c r="BR77" s="53">
        <v>0.10432348000856821</v>
      </c>
      <c r="BS77" s="53">
        <v>0.10343673042849538</v>
      </c>
      <c r="BT77" s="53">
        <v>0.10255751821985318</v>
      </c>
      <c r="BU77" s="53">
        <v>0.10168577931498443</v>
      </c>
      <c r="BV77" s="53">
        <v>0.10082145019080707</v>
      </c>
      <c r="BW77" s="53">
        <v>9.9964467864185211E-2</v>
      </c>
      <c r="BX77" s="53">
        <v>9.9114769887339638E-2</v>
      </c>
      <c r="BY77" s="53">
        <v>9.8272294343297262E-2</v>
      </c>
      <c r="BZ77" s="53">
        <v>9.7436979841379237E-2</v>
      </c>
      <c r="CA77" s="53">
        <v>9.6608765512727512E-2</v>
      </c>
      <c r="CB77" s="53">
        <v>9.5787591005869338E-2</v>
      </c>
      <c r="CC77" s="53">
        <v>9.497339648231945E-2</v>
      </c>
      <c r="CD77" s="53">
        <v>9.4166122612219738E-2</v>
      </c>
      <c r="CE77" s="53">
        <v>9.3365710570015872E-2</v>
      </c>
      <c r="CF77" s="53">
        <v>9.2572102030170744E-2</v>
      </c>
      <c r="CG77" s="53">
        <v>9.1785239162914298E-2</v>
      </c>
      <c r="CH77" s="53">
        <v>9.1005064630029525E-2</v>
      </c>
      <c r="CI77" s="53">
        <v>9.0231521580674282E-2</v>
      </c>
      <c r="CJ77" s="53">
        <v>8.9464553647238557E-2</v>
      </c>
      <c r="CK77" s="53">
        <v>8.8704104941237039E-2</v>
      </c>
      <c r="CL77" s="53">
        <v>8.7950120049236524E-2</v>
      </c>
      <c r="CM77" s="53">
        <v>8.7202544028818024E-2</v>
      </c>
      <c r="CN77" s="53">
        <v>8.6461322404573077E-2</v>
      </c>
      <c r="CO77" s="53">
        <v>8.5726401164134214E-2</v>
      </c>
      <c r="CP77" s="53">
        <v>8.4997726754239084E-2</v>
      </c>
      <c r="CQ77" s="53">
        <v>8.4275246076828056E-2</v>
      </c>
      <c r="CR77" s="53">
        <v>8.3558906485175027E-2</v>
      </c>
      <c r="CS77" s="53">
        <v>8.2848655780051045E-2</v>
      </c>
      <c r="CT77" s="53">
        <v>8.2144442205920612E-2</v>
      </c>
      <c r="CU77" s="53">
        <v>8.144621444717029E-2</v>
      </c>
      <c r="CV77" s="53">
        <v>8.075392162436934E-2</v>
      </c>
      <c r="CW77" s="53">
        <v>8.0067513290562206E-2</v>
      </c>
      <c r="CX77" s="53">
        <v>7.9386939427592437E-2</v>
      </c>
      <c r="CY77" s="28">
        <v>7.8712150442457912E-2</v>
      </c>
    </row>
    <row r="78" spans="1:103">
      <c r="A78" s="54">
        <v>96</v>
      </c>
      <c r="B78" s="54">
        <v>0.19590299999999999</v>
      </c>
      <c r="C78" s="54">
        <v>0.1948647141</v>
      </c>
      <c r="D78" s="54">
        <v>0.19387090405809002</v>
      </c>
      <c r="E78" s="54">
        <v>0.19288216244739376</v>
      </c>
      <c r="F78" s="54">
        <v>0.19191775163515679</v>
      </c>
      <c r="G78" s="54">
        <v>0.19093897110181748</v>
      </c>
      <c r="H78" s="54">
        <v>0.18994608845208805</v>
      </c>
      <c r="I78" s="54">
        <v>0.18893937418329199</v>
      </c>
      <c r="J78" s="54">
        <v>0.18790020762528389</v>
      </c>
      <c r="K78" s="54">
        <v>0.18684796646258228</v>
      </c>
      <c r="L78" s="54">
        <v>0.18576424825709931</v>
      </c>
      <c r="M78" s="54">
        <v>0.1846496627675567</v>
      </c>
      <c r="N78" s="54">
        <v>0.18350483485839786</v>
      </c>
      <c r="O78" s="54">
        <v>0.18233040391530411</v>
      </c>
      <c r="P78" s="54">
        <v>0.18110879020907156</v>
      </c>
      <c r="Q78" s="54">
        <v>0.17985913955662897</v>
      </c>
      <c r="R78" s="54">
        <v>0.17856415375182125</v>
      </c>
      <c r="S78" s="54">
        <v>0.17724277901405777</v>
      </c>
      <c r="T78" s="53">
        <v>0.17587800961564953</v>
      </c>
      <c r="U78" s="53">
        <v>0.1744885733396859</v>
      </c>
      <c r="V78" s="53">
        <v>0.17307521589563443</v>
      </c>
      <c r="W78" s="53">
        <v>0.1716733066468798</v>
      </c>
      <c r="X78" s="53">
        <v>0.17028275286304007</v>
      </c>
      <c r="Y78" s="53">
        <v>0.16890346256484945</v>
      </c>
      <c r="Z78" s="53">
        <v>0.16753534451807417</v>
      </c>
      <c r="AA78" s="53">
        <v>0.16617830822747776</v>
      </c>
      <c r="AB78" s="53">
        <v>0.16483226393083519</v>
      </c>
      <c r="AC78" s="53">
        <v>0.16349712259299543</v>
      </c>
      <c r="AD78" s="53">
        <v>0.16217279589999217</v>
      </c>
      <c r="AE78" s="53">
        <v>0.16085919625320225</v>
      </c>
      <c r="AF78" s="53">
        <v>0.1595562367635513</v>
      </c>
      <c r="AG78" s="53">
        <v>0.15826383124576654</v>
      </c>
      <c r="AH78" s="53">
        <v>0.15698189421267583</v>
      </c>
      <c r="AI78" s="53">
        <v>0.15571034086955315</v>
      </c>
      <c r="AJ78" s="53">
        <v>0.15444908710850977</v>
      </c>
      <c r="AK78" s="53">
        <v>0.15319804950293084</v>
      </c>
      <c r="AL78" s="53">
        <v>0.15195714530195709</v>
      </c>
      <c r="AM78" s="53">
        <v>0.15072629242501123</v>
      </c>
      <c r="AN78" s="53">
        <v>0.14950540945636864</v>
      </c>
      <c r="AO78" s="53">
        <v>0.14829441563977205</v>
      </c>
      <c r="AP78" s="53">
        <v>0.1470932308730899</v>
      </c>
      <c r="AQ78" s="53">
        <v>0.14590177570301788</v>
      </c>
      <c r="AR78" s="53">
        <v>0.14471997131982342</v>
      </c>
      <c r="AS78" s="53">
        <v>0.14354773955213285</v>
      </c>
      <c r="AT78" s="53">
        <v>0.14238500286176056</v>
      </c>
      <c r="AU78" s="53">
        <v>0.1412316843385803</v>
      </c>
      <c r="AV78" s="53">
        <v>0.1400877076954378</v>
      </c>
      <c r="AW78" s="53">
        <v>0.13895299726310475</v>
      </c>
      <c r="AX78" s="53">
        <v>0.13782747798527362</v>
      </c>
      <c r="AY78" s="53">
        <v>0.1367110754135929</v>
      </c>
      <c r="AZ78" s="53">
        <v>0.13560371570274279</v>
      </c>
      <c r="BA78" s="53">
        <v>0.13450532560555059</v>
      </c>
      <c r="BB78" s="53">
        <v>0.13341583246814565</v>
      </c>
      <c r="BC78" s="53">
        <v>0.13233516422515368</v>
      </c>
      <c r="BD78" s="53">
        <v>0.13126324939492992</v>
      </c>
      <c r="BE78" s="53">
        <v>0.13020001707483098</v>
      </c>
      <c r="BF78" s="53">
        <v>0.12914539693652485</v>
      </c>
      <c r="BG78" s="53">
        <v>0.12809931922133899</v>
      </c>
      <c r="BH78" s="53">
        <v>0.12706171473564615</v>
      </c>
      <c r="BI78" s="53">
        <v>0.12603251484628741</v>
      </c>
      <c r="BJ78" s="53">
        <v>0.12501165147603249</v>
      </c>
      <c r="BK78" s="53">
        <v>0.12399905709907663</v>
      </c>
      <c r="BL78" s="53">
        <v>0.12299466473657411</v>
      </c>
      <c r="BM78" s="53">
        <v>0.12199840795220786</v>
      </c>
      <c r="BN78" s="53">
        <v>0.12101022084779497</v>
      </c>
      <c r="BO78" s="53">
        <v>0.12003003805892784</v>
      </c>
      <c r="BP78" s="53">
        <v>0.11905779475065052</v>
      </c>
      <c r="BQ78" s="53">
        <v>0.11809342661317025</v>
      </c>
      <c r="BR78" s="53">
        <v>0.11713686985760358</v>
      </c>
      <c r="BS78" s="53">
        <v>0.11618806121175698</v>
      </c>
      <c r="BT78" s="53">
        <v>0.11524693791594175</v>
      </c>
      <c r="BU78" s="53">
        <v>0.11431343771882262</v>
      </c>
      <c r="BV78" s="53">
        <v>0.11338749887330016</v>
      </c>
      <c r="BW78" s="53">
        <v>0.11246906013242643</v>
      </c>
      <c r="BX78" s="53">
        <v>0.11155806074535378</v>
      </c>
      <c r="BY78" s="53">
        <v>0.11065444045331642</v>
      </c>
      <c r="BZ78" s="53">
        <v>0.10975813948564456</v>
      </c>
      <c r="CA78" s="53">
        <v>0.10886909855581084</v>
      </c>
      <c r="CB78" s="53">
        <v>0.10798725885750877</v>
      </c>
      <c r="CC78" s="53">
        <v>0.10711256206076296</v>
      </c>
      <c r="CD78" s="53">
        <v>0.10624495030807078</v>
      </c>
      <c r="CE78" s="53">
        <v>0.10538436621057541</v>
      </c>
      <c r="CF78" s="53">
        <v>0.10453075284426976</v>
      </c>
      <c r="CG78" s="53">
        <v>0.10368405374623117</v>
      </c>
      <c r="CH78" s="53">
        <v>0.1028442129108867</v>
      </c>
      <c r="CI78" s="53">
        <v>0.10201117478630853</v>
      </c>
      <c r="CJ78" s="53">
        <v>0.10118488427053943</v>
      </c>
      <c r="CK78" s="53">
        <v>0.10036528670794806</v>
      </c>
      <c r="CL78" s="53">
        <v>9.9552327885613676E-2</v>
      </c>
      <c r="CM78" s="53">
        <v>9.8745954029740207E-2</v>
      </c>
      <c r="CN78" s="53">
        <v>9.7946111802099306E-2</v>
      </c>
      <c r="CO78" s="53">
        <v>9.7152748296502306E-2</v>
      </c>
      <c r="CP78" s="53">
        <v>9.6365811035300633E-2</v>
      </c>
      <c r="CQ78" s="53">
        <v>9.5585247965914694E-2</v>
      </c>
      <c r="CR78" s="53">
        <v>9.4811007457390781E-2</v>
      </c>
      <c r="CS78" s="53">
        <v>9.4043038296985917E-2</v>
      </c>
      <c r="CT78" s="53">
        <v>9.328128968678033E-2</v>
      </c>
      <c r="CU78" s="53">
        <v>9.2525711240317415E-2</v>
      </c>
      <c r="CV78" s="53">
        <v>9.1776252979270848E-2</v>
      </c>
      <c r="CW78" s="53">
        <v>9.1032865330138754E-2</v>
      </c>
      <c r="CX78" s="53">
        <v>9.0295499120964628E-2</v>
      </c>
      <c r="CY78" s="28">
        <v>8.9564105578084821E-2</v>
      </c>
    </row>
    <row r="79" spans="1:103">
      <c r="A79" s="54">
        <v>97</v>
      </c>
      <c r="B79" s="54">
        <v>0.213565</v>
      </c>
      <c r="C79" s="54">
        <v>0.21249717500000001</v>
      </c>
      <c r="D79" s="54">
        <v>0.2114559388425</v>
      </c>
      <c r="E79" s="54">
        <v>0.210440950336056</v>
      </c>
      <c r="F79" s="54">
        <v>0.20943083377444294</v>
      </c>
      <c r="G79" s="54">
        <v>0.2084255657723256</v>
      </c>
      <c r="H79" s="54">
        <v>0.2074042805000412</v>
      </c>
      <c r="I79" s="54">
        <v>0.206367259097541</v>
      </c>
      <c r="J79" s="54">
        <v>0.2052941493502338</v>
      </c>
      <c r="K79" s="54">
        <v>0.20420609035867757</v>
      </c>
      <c r="L79" s="54">
        <v>0.20308295686170486</v>
      </c>
      <c r="M79" s="54">
        <v>0.20192538400759313</v>
      </c>
      <c r="N79" s="54">
        <v>0.20073402424194833</v>
      </c>
      <c r="O79" s="54">
        <v>0.19950954669407245</v>
      </c>
      <c r="P79" s="54">
        <v>0.1982526365498998</v>
      </c>
      <c r="Q79" s="54">
        <v>0.19694416914867047</v>
      </c>
      <c r="R79" s="54">
        <v>0.19560494879845949</v>
      </c>
      <c r="S79" s="54">
        <v>0.19423571415687027</v>
      </c>
      <c r="T79" s="53">
        <v>0.19281779344352512</v>
      </c>
      <c r="U79" s="53">
        <v>0.1913716599926987</v>
      </c>
      <c r="V79" s="53">
        <v>0.1898980982107549</v>
      </c>
      <c r="W79" s="53">
        <v>0.18843588285453208</v>
      </c>
      <c r="X79" s="53">
        <v>0.18698492655655219</v>
      </c>
      <c r="Y79" s="53">
        <v>0.18554514262206673</v>
      </c>
      <c r="Z79" s="53">
        <v>0.18411644502387681</v>
      </c>
      <c r="AA79" s="53">
        <v>0.18269874839719294</v>
      </c>
      <c r="AB79" s="53">
        <v>0.18129196803453454</v>
      </c>
      <c r="AC79" s="53">
        <v>0.17989601988066861</v>
      </c>
      <c r="AD79" s="53">
        <v>0.17851082052758746</v>
      </c>
      <c r="AE79" s="53">
        <v>0.17713628720952504</v>
      </c>
      <c r="AF79" s="53">
        <v>0.17577233779801169</v>
      </c>
      <c r="AG79" s="53">
        <v>0.17441889079696699</v>
      </c>
      <c r="AH79" s="53">
        <v>0.17307586533783034</v>
      </c>
      <c r="AI79" s="53">
        <v>0.17174318117472903</v>
      </c>
      <c r="AJ79" s="53">
        <v>0.17042075867968362</v>
      </c>
      <c r="AK79" s="53">
        <v>0.16910851883785005</v>
      </c>
      <c r="AL79" s="53">
        <v>0.16780638324279859</v>
      </c>
      <c r="AM79" s="53">
        <v>0.16651427409182903</v>
      </c>
      <c r="AN79" s="53">
        <v>0.16523211418132194</v>
      </c>
      <c r="AO79" s="53">
        <v>0.16395982690212577</v>
      </c>
      <c r="AP79" s="53">
        <v>0.1626973362349794</v>
      </c>
      <c r="AQ79" s="53">
        <v>0.16144456674597005</v>
      </c>
      <c r="AR79" s="53">
        <v>0.16020144358202607</v>
      </c>
      <c r="AS79" s="53">
        <v>0.15896789246644447</v>
      </c>
      <c r="AT79" s="53">
        <v>0.15774383969445283</v>
      </c>
      <c r="AU79" s="53">
        <v>0.15652921212880552</v>
      </c>
      <c r="AV79" s="53">
        <v>0.15532393719541371</v>
      </c>
      <c r="AW79" s="53">
        <v>0.15412794287900902</v>
      </c>
      <c r="AX79" s="53">
        <v>0.15294115771884065</v>
      </c>
      <c r="AY79" s="53">
        <v>0.15176351080440556</v>
      </c>
      <c r="AZ79" s="53">
        <v>0.15059493177121164</v>
      </c>
      <c r="BA79" s="53">
        <v>0.1494353507965733</v>
      </c>
      <c r="BB79" s="53">
        <v>0.14828469859543969</v>
      </c>
      <c r="BC79" s="53">
        <v>0.1471429064162548</v>
      </c>
      <c r="BD79" s="53">
        <v>0.14600990603684963</v>
      </c>
      <c r="BE79" s="53">
        <v>0.14488562976036587</v>
      </c>
      <c r="BF79" s="53">
        <v>0.14377001041121104</v>
      </c>
      <c r="BG79" s="53">
        <v>0.14266298133104471</v>
      </c>
      <c r="BH79" s="53">
        <v>0.14156447637479566</v>
      </c>
      <c r="BI79" s="53">
        <v>0.14047442990670972</v>
      </c>
      <c r="BJ79" s="53">
        <v>0.13939277679642806</v>
      </c>
      <c r="BK79" s="53">
        <v>0.13831945241509555</v>
      </c>
      <c r="BL79" s="53">
        <v>0.1372543926314993</v>
      </c>
      <c r="BM79" s="53">
        <v>0.13619753380823674</v>
      </c>
      <c r="BN79" s="53">
        <v>0.1351488127979133</v>
      </c>
      <c r="BO79" s="53">
        <v>0.13410816693936936</v>
      </c>
      <c r="BP79" s="53">
        <v>0.13307553405393621</v>
      </c>
      <c r="BQ79" s="53">
        <v>0.13205085244172091</v>
      </c>
      <c r="BR79" s="53">
        <v>0.13103406087791966</v>
      </c>
      <c r="BS79" s="53">
        <v>0.13002509860915967</v>
      </c>
      <c r="BT79" s="53">
        <v>0.12902390534986913</v>
      </c>
      <c r="BU79" s="53">
        <v>0.12803042127867514</v>
      </c>
      <c r="BV79" s="53">
        <v>0.12704458703482935</v>
      </c>
      <c r="BW79" s="53">
        <v>0.12606634371466116</v>
      </c>
      <c r="BX79" s="53">
        <v>0.12509563286805828</v>
      </c>
      <c r="BY79" s="53">
        <v>0.12413239649497422</v>
      </c>
      <c r="BZ79" s="53">
        <v>0.12317657704196291</v>
      </c>
      <c r="CA79" s="53">
        <v>0.12222811739873979</v>
      </c>
      <c r="CB79" s="53">
        <v>0.12128696089476949</v>
      </c>
      <c r="CC79" s="53">
        <v>0.12035305129587977</v>
      </c>
      <c r="CD79" s="53">
        <v>0.11942633280090149</v>
      </c>
      <c r="CE79" s="53">
        <v>0.11850675003833455</v>
      </c>
      <c r="CF79" s="53">
        <v>0.11759424806303938</v>
      </c>
      <c r="CG79" s="53">
        <v>0.11668877235295397</v>
      </c>
      <c r="CH79" s="53">
        <v>0.11579026880583622</v>
      </c>
      <c r="CI79" s="53">
        <v>0.11489868373603128</v>
      </c>
      <c r="CJ79" s="53">
        <v>0.11401396387126383</v>
      </c>
      <c r="CK79" s="53">
        <v>0.1131360563494551</v>
      </c>
      <c r="CL79" s="53">
        <v>0.1122649087155643</v>
      </c>
      <c r="CM79" s="53">
        <v>0.11140046891845445</v>
      </c>
      <c r="CN79" s="53">
        <v>0.11054268530778236</v>
      </c>
      <c r="CO79" s="53">
        <v>0.10969150663091243</v>
      </c>
      <c r="CP79" s="53">
        <v>0.1088468820298544</v>
      </c>
      <c r="CQ79" s="53">
        <v>0.10800876103822452</v>
      </c>
      <c r="CR79" s="53">
        <v>0.10717709357823019</v>
      </c>
      <c r="CS79" s="53">
        <v>0.10635182995767781</v>
      </c>
      <c r="CT79" s="53">
        <v>0.10553292086700368</v>
      </c>
      <c r="CU79" s="53">
        <v>0.10472031737632774</v>
      </c>
      <c r="CV79" s="53">
        <v>0.10391397093253001</v>
      </c>
      <c r="CW79" s="53">
        <v>0.10311383335634952</v>
      </c>
      <c r="CX79" s="53">
        <v>0.10231985683950563</v>
      </c>
      <c r="CY79" s="28">
        <v>0.10153199394184144</v>
      </c>
    </row>
    <row r="80" spans="1:103">
      <c r="A80" s="54">
        <v>98</v>
      </c>
      <c r="B80" s="54">
        <v>0.231991</v>
      </c>
      <c r="C80" s="54">
        <v>0.2308774432</v>
      </c>
      <c r="D80" s="54">
        <v>0.22981540696128</v>
      </c>
      <c r="E80" s="54">
        <v>0.22878123762995425</v>
      </c>
      <c r="F80" s="54">
        <v>0.22775172206061947</v>
      </c>
      <c r="G80" s="54">
        <v>0.22672683931134668</v>
      </c>
      <c r="H80" s="54">
        <v>0.22568389585051449</v>
      </c>
      <c r="I80" s="54">
        <v>0.224600613150432</v>
      </c>
      <c r="J80" s="54">
        <v>0.22350007014599488</v>
      </c>
      <c r="K80" s="54">
        <v>0.22238256979526491</v>
      </c>
      <c r="L80" s="54">
        <v>0.22122618043232953</v>
      </c>
      <c r="M80" s="54">
        <v>0.2200536816760382</v>
      </c>
      <c r="N80" s="54">
        <v>0.21884338642682</v>
      </c>
      <c r="O80" s="54">
        <v>0.21759597912418713</v>
      </c>
      <c r="P80" s="54">
        <v>0.21629040324944201</v>
      </c>
      <c r="Q80" s="54">
        <v>0.21494940274929547</v>
      </c>
      <c r="R80" s="54">
        <v>0.21357372657169998</v>
      </c>
      <c r="S80" s="54">
        <v>0.21216413997632674</v>
      </c>
      <c r="T80" s="53">
        <v>0.21072142382448772</v>
      </c>
      <c r="U80" s="53">
        <v>0.2092463738577163</v>
      </c>
      <c r="V80" s="53">
        <v>0.20773979996594075</v>
      </c>
      <c r="W80" s="53">
        <v>0.20624407340618597</v>
      </c>
      <c r="X80" s="53">
        <v>0.20475911607766145</v>
      </c>
      <c r="Y80" s="53">
        <v>0.20328485044190228</v>
      </c>
      <c r="Z80" s="53">
        <v>0.2018211995187206</v>
      </c>
      <c r="AA80" s="53">
        <v>0.20036808688218583</v>
      </c>
      <c r="AB80" s="53">
        <v>0.19892543665663409</v>
      </c>
      <c r="AC80" s="53">
        <v>0.19749317351270632</v>
      </c>
      <c r="AD80" s="53">
        <v>0.19607122266341484</v>
      </c>
      <c r="AE80" s="53">
        <v>0.19465950986023825</v>
      </c>
      <c r="AF80" s="53">
        <v>0.19325796138924453</v>
      </c>
      <c r="AG80" s="53">
        <v>0.19186650406724198</v>
      </c>
      <c r="AH80" s="53">
        <v>0.19048506523795786</v>
      </c>
      <c r="AI80" s="53">
        <v>0.18911357276824456</v>
      </c>
      <c r="AJ80" s="53">
        <v>0.18775195504431319</v>
      </c>
      <c r="AK80" s="53">
        <v>0.18640014096799415</v>
      </c>
      <c r="AL80" s="53">
        <v>0.1850580599530246</v>
      </c>
      <c r="AM80" s="53">
        <v>0.18372564192136281</v>
      </c>
      <c r="AN80" s="53">
        <v>0.18240281729952901</v>
      </c>
      <c r="AO80" s="53">
        <v>0.18108951701497239</v>
      </c>
      <c r="AP80" s="53">
        <v>0.1797856724924646</v>
      </c>
      <c r="AQ80" s="53">
        <v>0.17849121565051887</v>
      </c>
      <c r="AR80" s="53">
        <v>0.17720607889783513</v>
      </c>
      <c r="AS80" s="53">
        <v>0.17593019512977071</v>
      </c>
      <c r="AT80" s="53">
        <v>0.17466349772483636</v>
      </c>
      <c r="AU80" s="53">
        <v>0.17340592054121753</v>
      </c>
      <c r="AV80" s="53">
        <v>0.17215739791332077</v>
      </c>
      <c r="AW80" s="53">
        <v>0.17091786464834485</v>
      </c>
      <c r="AX80" s="53">
        <v>0.16968725602287676</v>
      </c>
      <c r="AY80" s="53">
        <v>0.16846550777951205</v>
      </c>
      <c r="AZ80" s="53">
        <v>0.16725255612349957</v>
      </c>
      <c r="BA80" s="53">
        <v>0.16604833771941038</v>
      </c>
      <c r="BB80" s="53">
        <v>0.16485278968783063</v>
      </c>
      <c r="BC80" s="53">
        <v>0.16366584960207825</v>
      </c>
      <c r="BD80" s="53">
        <v>0.16248745548494328</v>
      </c>
      <c r="BE80" s="53">
        <v>0.16131754580545168</v>
      </c>
      <c r="BF80" s="53">
        <v>0.16015605947565242</v>
      </c>
      <c r="BG80" s="53">
        <v>0.15900293584742772</v>
      </c>
      <c r="BH80" s="53">
        <v>0.15785811470932626</v>
      </c>
      <c r="BI80" s="53">
        <v>0.15672153628341912</v>
      </c>
      <c r="BJ80" s="53">
        <v>0.15559314122217849</v>
      </c>
      <c r="BK80" s="53">
        <v>0.15447287060537881</v>
      </c>
      <c r="BL80" s="53">
        <v>0.15336066593702008</v>
      </c>
      <c r="BM80" s="53">
        <v>0.15225646914227353</v>
      </c>
      <c r="BN80" s="53">
        <v>0.15116022256444916</v>
      </c>
      <c r="BO80" s="53">
        <v>0.15007186896198513</v>
      </c>
      <c r="BP80" s="53">
        <v>0.14899135150545884</v>
      </c>
      <c r="BQ80" s="53">
        <v>0.14791861377461954</v>
      </c>
      <c r="BR80" s="53">
        <v>0.14685359975544229</v>
      </c>
      <c r="BS80" s="53">
        <v>0.1457962538372031</v>
      </c>
      <c r="BT80" s="53">
        <v>0.14474652080957523</v>
      </c>
      <c r="BU80" s="53">
        <v>0.14370434585974629</v>
      </c>
      <c r="BV80" s="53">
        <v>0.14266967456955612</v>
      </c>
      <c r="BW80" s="53">
        <v>0.14164245291265531</v>
      </c>
      <c r="BX80" s="53">
        <v>0.1406226272516842</v>
      </c>
      <c r="BY80" s="53">
        <v>0.13961014433547209</v>
      </c>
      <c r="BZ80" s="53">
        <v>0.13860495129625669</v>
      </c>
      <c r="CA80" s="53">
        <v>0.13760699564692364</v>
      </c>
      <c r="CB80" s="53">
        <v>0.13661622527826578</v>
      </c>
      <c r="CC80" s="53">
        <v>0.13563258845626228</v>
      </c>
      <c r="CD80" s="53">
        <v>0.13465603381937719</v>
      </c>
      <c r="CE80" s="53">
        <v>0.13368651037587767</v>
      </c>
      <c r="CF80" s="53">
        <v>0.13272396750117135</v>
      </c>
      <c r="CG80" s="53">
        <v>0.13176835493516292</v>
      </c>
      <c r="CH80" s="53">
        <v>0.13081962277962975</v>
      </c>
      <c r="CI80" s="53">
        <v>0.12987772149561641</v>
      </c>
      <c r="CJ80" s="53">
        <v>0.12894260190084797</v>
      </c>
      <c r="CK80" s="53">
        <v>0.12801421516716185</v>
      </c>
      <c r="CL80" s="53">
        <v>0.1270925128179583</v>
      </c>
      <c r="CM80" s="53">
        <v>0.126177446725669</v>
      </c>
      <c r="CN80" s="53">
        <v>0.12526896910924418</v>
      </c>
      <c r="CO80" s="53">
        <v>0.12436703253165762</v>
      </c>
      <c r="CP80" s="53">
        <v>0.12347158989742969</v>
      </c>
      <c r="CQ80" s="53">
        <v>0.1225825944501682</v>
      </c>
      <c r="CR80" s="53">
        <v>0.12169999977012699</v>
      </c>
      <c r="CS80" s="53">
        <v>0.12082375977178209</v>
      </c>
      <c r="CT80" s="53">
        <v>0.11995382870142525</v>
      </c>
      <c r="CU80" s="53">
        <v>0.119090161134775</v>
      </c>
      <c r="CV80" s="53">
        <v>0.11823271197460462</v>
      </c>
      <c r="CW80" s="53">
        <v>0.11738143644838747</v>
      </c>
      <c r="CX80" s="53">
        <v>0.11653629010595909</v>
      </c>
      <c r="CY80" s="28">
        <v>0.11569722881719618</v>
      </c>
    </row>
    <row r="81" spans="1:103">
      <c r="A81" s="54">
        <v>99</v>
      </c>
      <c r="B81" s="54">
        <v>0.25112299999999999</v>
      </c>
      <c r="C81" s="54">
        <v>0.24999294650000001</v>
      </c>
      <c r="D81" s="54">
        <v>0.24891797683005001</v>
      </c>
      <c r="E81" s="54">
        <v>0.24784762952968081</v>
      </c>
      <c r="F81" s="54">
        <v>0.24680666948565616</v>
      </c>
      <c r="G81" s="54">
        <v>0.24574540080686785</v>
      </c>
      <c r="H81" s="54">
        <v>0.24466412104331764</v>
      </c>
      <c r="I81" s="54">
        <v>0.24356313249862271</v>
      </c>
      <c r="J81" s="54">
        <v>0.24244274208912903</v>
      </c>
      <c r="K81" s="54">
        <v>0.2413032612013101</v>
      </c>
      <c r="L81" s="54">
        <v>0.24012087522142367</v>
      </c>
      <c r="M81" s="54">
        <v>0.23892027084531656</v>
      </c>
      <c r="N81" s="54">
        <v>0.23767788543692092</v>
      </c>
      <c r="O81" s="54">
        <v>0.23639442485556156</v>
      </c>
      <c r="P81" s="54">
        <v>0.23507061607637039</v>
      </c>
      <c r="Q81" s="54">
        <v>0.23370720650312743</v>
      </c>
      <c r="R81" s="54">
        <v>0.23228159254345834</v>
      </c>
      <c r="S81" s="54">
        <v>0.23081821851043458</v>
      </c>
      <c r="T81" s="53">
        <v>0.22934098191196781</v>
      </c>
      <c r="U81" s="53">
        <v>0.22782733143134881</v>
      </c>
      <c r="V81" s="53">
        <v>0.22627810557761563</v>
      </c>
      <c r="W81" s="53">
        <v>0.22473941445968784</v>
      </c>
      <c r="X81" s="53">
        <v>0.22321118644136195</v>
      </c>
      <c r="Y81" s="53">
        <v>0.22169335037356069</v>
      </c>
      <c r="Z81" s="53">
        <v>0.22018583559102048</v>
      </c>
      <c r="AA81" s="53">
        <v>0.21868857190900154</v>
      </c>
      <c r="AB81" s="53">
        <v>0.21720148962002031</v>
      </c>
      <c r="AC81" s="53">
        <v>0.21572451949060417</v>
      </c>
      <c r="AD81" s="53">
        <v>0.21425759275806805</v>
      </c>
      <c r="AE81" s="53">
        <v>0.21280064112731317</v>
      </c>
      <c r="AF81" s="53">
        <v>0.21135359676764745</v>
      </c>
      <c r="AG81" s="53">
        <v>0.20991639230962744</v>
      </c>
      <c r="AH81" s="53">
        <v>0.20848896084192198</v>
      </c>
      <c r="AI81" s="53">
        <v>0.2070712359081969</v>
      </c>
      <c r="AJ81" s="53">
        <v>0.20566315150402115</v>
      </c>
      <c r="AK81" s="53">
        <v>0.2042646420737938</v>
      </c>
      <c r="AL81" s="53">
        <v>0.20287564250769199</v>
      </c>
      <c r="AM81" s="53">
        <v>0.20149608813863967</v>
      </c>
      <c r="AN81" s="53">
        <v>0.20012591473929692</v>
      </c>
      <c r="AO81" s="53">
        <v>0.1987650585190697</v>
      </c>
      <c r="AP81" s="53">
        <v>0.19741345612114003</v>
      </c>
      <c r="AQ81" s="53">
        <v>0.19607104461951627</v>
      </c>
      <c r="AR81" s="53">
        <v>0.19473776151610356</v>
      </c>
      <c r="AS81" s="53">
        <v>0.19341354473779404</v>
      </c>
      <c r="AT81" s="53">
        <v>0.19209833263357703</v>
      </c>
      <c r="AU81" s="53">
        <v>0.1907920639716687</v>
      </c>
      <c r="AV81" s="53">
        <v>0.18949467793666136</v>
      </c>
      <c r="AW81" s="53">
        <v>0.18820611412669205</v>
      </c>
      <c r="AX81" s="53">
        <v>0.18692631255063055</v>
      </c>
      <c r="AY81" s="53">
        <v>0.18565521362528625</v>
      </c>
      <c r="AZ81" s="53">
        <v>0.18439275817263431</v>
      </c>
      <c r="BA81" s="53">
        <v>0.18313888741706039</v>
      </c>
      <c r="BB81" s="53">
        <v>0.18189354298262436</v>
      </c>
      <c r="BC81" s="53">
        <v>0.18065666689034252</v>
      </c>
      <c r="BD81" s="53">
        <v>0.17942820155548819</v>
      </c>
      <c r="BE81" s="53">
        <v>0.17820808978491087</v>
      </c>
      <c r="BF81" s="53">
        <v>0.17699627477437346</v>
      </c>
      <c r="BG81" s="53">
        <v>0.17579270010590772</v>
      </c>
      <c r="BH81" s="53">
        <v>0.17459730974518756</v>
      </c>
      <c r="BI81" s="53">
        <v>0.17341004803892027</v>
      </c>
      <c r="BJ81" s="53">
        <v>0.1722308597122556</v>
      </c>
      <c r="BK81" s="53">
        <v>0.17105968986621226</v>
      </c>
      <c r="BL81" s="53">
        <v>0.169896483975122</v>
      </c>
      <c r="BM81" s="53">
        <v>0.16874118788409118</v>
      </c>
      <c r="BN81" s="53">
        <v>0.16759374780647934</v>
      </c>
      <c r="BO81" s="53">
        <v>0.16645411032139529</v>
      </c>
      <c r="BP81" s="53">
        <v>0.1653222223712098</v>
      </c>
      <c r="BQ81" s="53">
        <v>0.16419803125908558</v>
      </c>
      <c r="BR81" s="53">
        <v>0.16308148464652381</v>
      </c>
      <c r="BS81" s="53">
        <v>0.16197253055092745</v>
      </c>
      <c r="BT81" s="53">
        <v>0.16087111734318113</v>
      </c>
      <c r="BU81" s="53">
        <v>0.15977719374524749</v>
      </c>
      <c r="BV81" s="53">
        <v>0.1586907088277798</v>
      </c>
      <c r="BW81" s="53">
        <v>0.1576116120077509</v>
      </c>
      <c r="BX81" s="53">
        <v>0.15653985304609819</v>
      </c>
      <c r="BY81" s="53">
        <v>0.15547538204538472</v>
      </c>
      <c r="BZ81" s="53">
        <v>0.15441814944747609</v>
      </c>
      <c r="CA81" s="53">
        <v>0.15336810603123324</v>
      </c>
      <c r="CB81" s="53">
        <v>0.15232520291022086</v>
      </c>
      <c r="CC81" s="53">
        <v>0.15128939153043136</v>
      </c>
      <c r="CD81" s="53">
        <v>0.15026062366802442</v>
      </c>
      <c r="CE81" s="53">
        <v>0.14923885142708185</v>
      </c>
      <c r="CF81" s="53">
        <v>0.14822402723737768</v>
      </c>
      <c r="CG81" s="53">
        <v>0.14721610385216352</v>
      </c>
      <c r="CH81" s="53">
        <v>0.1462150343459688</v>
      </c>
      <c r="CI81" s="53">
        <v>0.14522077211241621</v>
      </c>
      <c r="CJ81" s="53">
        <v>0.14423327086205179</v>
      </c>
      <c r="CK81" s="53">
        <v>0.14325248462018983</v>
      </c>
      <c r="CL81" s="53">
        <v>0.14227836772477254</v>
      </c>
      <c r="CM81" s="53">
        <v>0.14131087482424409</v>
      </c>
      <c r="CN81" s="53">
        <v>0.14034996087543922</v>
      </c>
      <c r="CO81" s="53">
        <v>0.13939558114148623</v>
      </c>
      <c r="CP81" s="53">
        <v>0.13844769118972411</v>
      </c>
      <c r="CQ81" s="53">
        <v>0.13750624688963398</v>
      </c>
      <c r="CR81" s="53">
        <v>0.13657120441078446</v>
      </c>
      <c r="CS81" s="53">
        <v>0.13564252022079112</v>
      </c>
      <c r="CT81" s="53">
        <v>0.13472015108328975</v>
      </c>
      <c r="CU81" s="53">
        <v>0.13380405405592338</v>
      </c>
      <c r="CV81" s="53">
        <v>0.13289418648834311</v>
      </c>
      <c r="CW81" s="53">
        <v>0.13199050602022239</v>
      </c>
      <c r="CX81" s="53">
        <v>0.13109297057928487</v>
      </c>
      <c r="CY81" s="28">
        <v>0.13020153837934573</v>
      </c>
    </row>
    <row r="82" spans="1:103">
      <c r="A82" s="54">
        <v>100</v>
      </c>
      <c r="B82" s="54">
        <v>0.27085799999999999</v>
      </c>
      <c r="C82" s="54">
        <v>0.26972039640000001</v>
      </c>
      <c r="D82" s="54">
        <v>0.26861454277475999</v>
      </c>
      <c r="E82" s="54">
        <v>0.26754008460366097</v>
      </c>
      <c r="F82" s="54">
        <v>0.26646992426524629</v>
      </c>
      <c r="G82" s="54">
        <v>0.26540404456818528</v>
      </c>
      <c r="H82" s="54">
        <v>0.26431588798545574</v>
      </c>
      <c r="I82" s="54">
        <v>0.26320576125591683</v>
      </c>
      <c r="J82" s="54">
        <v>0.2620739764825164</v>
      </c>
      <c r="K82" s="54">
        <v>0.26089464358834508</v>
      </c>
      <c r="L82" s="54">
        <v>0.25969452822783867</v>
      </c>
      <c r="M82" s="54">
        <v>0.25847396394516781</v>
      </c>
      <c r="N82" s="54">
        <v>0.2572074415218365</v>
      </c>
      <c r="O82" s="54">
        <v>0.25589568357007514</v>
      </c>
      <c r="P82" s="54">
        <v>0.25453943644715377</v>
      </c>
      <c r="Q82" s="54">
        <v>0.25313946954669442</v>
      </c>
      <c r="R82" s="54">
        <v>0.25169657457027828</v>
      </c>
      <c r="S82" s="54">
        <v>0.25021156478031364</v>
      </c>
      <c r="T82" s="53">
        <v>0.24871029539163175</v>
      </c>
      <c r="U82" s="53">
        <v>0.24716829156020365</v>
      </c>
      <c r="V82" s="53">
        <v>0.24558641449421836</v>
      </c>
      <c r="W82" s="53">
        <v>0.24401466144145537</v>
      </c>
      <c r="X82" s="53">
        <v>0.24245296760823007</v>
      </c>
      <c r="Y82" s="53">
        <v>0.2409012686155374</v>
      </c>
      <c r="Z82" s="53">
        <v>0.23935950049639798</v>
      </c>
      <c r="AA82" s="53">
        <v>0.23782759969322104</v>
      </c>
      <c r="AB82" s="53">
        <v>0.23630550305518444</v>
      </c>
      <c r="AC82" s="53">
        <v>0.23479314783563127</v>
      </c>
      <c r="AD82" s="53">
        <v>0.23329047168948325</v>
      </c>
      <c r="AE82" s="53">
        <v>0.23179741267067056</v>
      </c>
      <c r="AF82" s="53">
        <v>0.23031390922957828</v>
      </c>
      <c r="AG82" s="53">
        <v>0.22883990021050898</v>
      </c>
      <c r="AH82" s="53">
        <v>0.22737532484916173</v>
      </c>
      <c r="AI82" s="53">
        <v>0.2259201227701271</v>
      </c>
      <c r="AJ82" s="53">
        <v>0.22447423398439831</v>
      </c>
      <c r="AK82" s="53">
        <v>0.22303759888689817</v>
      </c>
      <c r="AL82" s="53">
        <v>0.22161015825402203</v>
      </c>
      <c r="AM82" s="53">
        <v>0.22019185324119631</v>
      </c>
      <c r="AN82" s="53">
        <v>0.21878262538045265</v>
      </c>
      <c r="AO82" s="53">
        <v>0.21738241657801777</v>
      </c>
      <c r="AP82" s="53">
        <v>0.21599116911191846</v>
      </c>
      <c r="AQ82" s="53">
        <v>0.21460882562960218</v>
      </c>
      <c r="AR82" s="53">
        <v>0.21323532914557272</v>
      </c>
      <c r="AS82" s="53">
        <v>0.21187062303904106</v>
      </c>
      <c r="AT82" s="53">
        <v>0.2105146510515912</v>
      </c>
      <c r="AU82" s="53">
        <v>0.20916735728486102</v>
      </c>
      <c r="AV82" s="53">
        <v>0.20782868619823791</v>
      </c>
      <c r="AW82" s="53">
        <v>0.2064985826065692</v>
      </c>
      <c r="AX82" s="53">
        <v>0.20517699167788717</v>
      </c>
      <c r="AY82" s="53">
        <v>0.20386385893114869</v>
      </c>
      <c r="AZ82" s="53">
        <v>0.20255913023398936</v>
      </c>
      <c r="BA82" s="53">
        <v>0.20126275180049183</v>
      </c>
      <c r="BB82" s="53">
        <v>0.1999746701889687</v>
      </c>
      <c r="BC82" s="53">
        <v>0.19869483229975932</v>
      </c>
      <c r="BD82" s="53">
        <v>0.19742318537304088</v>
      </c>
      <c r="BE82" s="53">
        <v>0.19615967698665343</v>
      </c>
      <c r="BF82" s="53">
        <v>0.19490425505393885</v>
      </c>
      <c r="BG82" s="53">
        <v>0.19365686782159366</v>
      </c>
      <c r="BH82" s="53">
        <v>0.19241746386753547</v>
      </c>
      <c r="BI82" s="53">
        <v>0.19118599209878326</v>
      </c>
      <c r="BJ82" s="53">
        <v>0.18996240174935106</v>
      </c>
      <c r="BK82" s="53">
        <v>0.18874664237815522</v>
      </c>
      <c r="BL82" s="53">
        <v>0.18753866386693505</v>
      </c>
      <c r="BM82" s="53">
        <v>0.18633841641818666</v>
      </c>
      <c r="BN82" s="53">
        <v>0.18514585055311028</v>
      </c>
      <c r="BO82" s="53">
        <v>0.18396091710957038</v>
      </c>
      <c r="BP82" s="53">
        <v>0.18278356724006914</v>
      </c>
      <c r="BQ82" s="53">
        <v>0.18161375240973271</v>
      </c>
      <c r="BR82" s="53">
        <v>0.18045142439431042</v>
      </c>
      <c r="BS82" s="53">
        <v>0.17929653527818684</v>
      </c>
      <c r="BT82" s="53">
        <v>0.17814903745240646</v>
      </c>
      <c r="BU82" s="53">
        <v>0.17700888361271105</v>
      </c>
      <c r="BV82" s="53">
        <v>0.1758760267575897</v>
      </c>
      <c r="BW82" s="53">
        <v>0.17475042018634113</v>
      </c>
      <c r="BX82" s="53">
        <v>0.17363201749714854</v>
      </c>
      <c r="BY82" s="53">
        <v>0.17252077258516679</v>
      </c>
      <c r="BZ82" s="53">
        <v>0.17141663964062173</v>
      </c>
      <c r="CA82" s="53">
        <v>0.17031957314692175</v>
      </c>
      <c r="CB82" s="53">
        <v>0.16922952787878145</v>
      </c>
      <c r="CC82" s="53">
        <v>0.16814645890035726</v>
      </c>
      <c r="CD82" s="53">
        <v>0.16707032156339499</v>
      </c>
      <c r="CE82" s="53">
        <v>0.16600107150538926</v>
      </c>
      <c r="CF82" s="53">
        <v>0.16493866464775478</v>
      </c>
      <c r="CG82" s="53">
        <v>0.16388305719400917</v>
      </c>
      <c r="CH82" s="53">
        <v>0.16283420562796752</v>
      </c>
      <c r="CI82" s="53">
        <v>0.16179206671194854</v>
      </c>
      <c r="CJ82" s="53">
        <v>0.16075659748499208</v>
      </c>
      <c r="CK82" s="53">
        <v>0.15972775526108812</v>
      </c>
      <c r="CL82" s="53">
        <v>0.15870549762741717</v>
      </c>
      <c r="CM82" s="53">
        <v>0.15768978244260171</v>
      </c>
      <c r="CN82" s="53">
        <v>0.15668056783496906</v>
      </c>
      <c r="CO82" s="53">
        <v>0.15567781220082527</v>
      </c>
      <c r="CP82" s="53">
        <v>0.15468147420274</v>
      </c>
      <c r="CQ82" s="53">
        <v>0.15369151276784249</v>
      </c>
      <c r="CR82" s="53">
        <v>0.15270788708612831</v>
      </c>
      <c r="CS82" s="53">
        <v>0.1517305566087771</v>
      </c>
      <c r="CT82" s="53">
        <v>0.15075948104648093</v>
      </c>
      <c r="CU82" s="53">
        <v>0.14979462036778346</v>
      </c>
      <c r="CV82" s="53">
        <v>0.14883593479742965</v>
      </c>
      <c r="CW82" s="53">
        <v>0.1478833848147261</v>
      </c>
      <c r="CX82" s="53">
        <v>0.14693693115191186</v>
      </c>
      <c r="CY82" s="28">
        <v>0.14599653479253963</v>
      </c>
    </row>
    <row r="83" spans="1:103">
      <c r="A83" s="54">
        <v>101</v>
      </c>
      <c r="B83" s="54">
        <v>0.29104000000000002</v>
      </c>
      <c r="C83" s="54">
        <v>0.289904944</v>
      </c>
      <c r="D83" s="54">
        <v>0.28880330521280001</v>
      </c>
      <c r="E83" s="54">
        <v>0.28773473298351265</v>
      </c>
      <c r="F83" s="54">
        <v>0.28667011447147367</v>
      </c>
      <c r="G83" s="54">
        <v>0.28560943504792918</v>
      </c>
      <c r="H83" s="54">
        <v>0.28452411919474707</v>
      </c>
      <c r="I83" s="54">
        <v>0.28341447512988754</v>
      </c>
      <c r="J83" s="54">
        <v>0.28228081722936799</v>
      </c>
      <c r="K83" s="54">
        <v>0.28109523779700463</v>
      </c>
      <c r="L83" s="54">
        <v>0.27988652827447752</v>
      </c>
      <c r="M83" s="54">
        <v>0.27865502755006982</v>
      </c>
      <c r="N83" s="54">
        <v>0.27737321442333951</v>
      </c>
      <c r="O83" s="54">
        <v>0.2760695603155498</v>
      </c>
      <c r="P83" s="54">
        <v>0.27471681947000359</v>
      </c>
      <c r="Q83" s="54">
        <v>0.27331576369070659</v>
      </c>
      <c r="R83" s="54">
        <v>0.27186719014314586</v>
      </c>
      <c r="S83" s="54">
        <v>0.27037192059735859</v>
      </c>
      <c r="T83" s="53">
        <v>0.26885783784201339</v>
      </c>
      <c r="U83" s="53">
        <v>0.26729846238252969</v>
      </c>
      <c r="V83" s="53">
        <v>0.26569467160823451</v>
      </c>
      <c r="W83" s="53">
        <v>0.26410050357858511</v>
      </c>
      <c r="X83" s="53">
        <v>0.2625159005571136</v>
      </c>
      <c r="Y83" s="53">
        <v>0.26094080515377094</v>
      </c>
      <c r="Z83" s="53">
        <v>0.2593751603228483</v>
      </c>
      <c r="AA83" s="53">
        <v>0.25781890936091123</v>
      </c>
      <c r="AB83" s="53">
        <v>0.25627199590474575</v>
      </c>
      <c r="AC83" s="53">
        <v>0.25473436392931725</v>
      </c>
      <c r="AD83" s="53">
        <v>0.25320595774574134</v>
      </c>
      <c r="AE83" s="53">
        <v>0.25168672199926689</v>
      </c>
      <c r="AF83" s="53">
        <v>0.25017660166727129</v>
      </c>
      <c r="AG83" s="53">
        <v>0.24867554205726766</v>
      </c>
      <c r="AH83" s="53">
        <v>0.24718348880492405</v>
      </c>
      <c r="AI83" s="53">
        <v>0.2457003878720945</v>
      </c>
      <c r="AJ83" s="53">
        <v>0.24422618554486192</v>
      </c>
      <c r="AK83" s="53">
        <v>0.24276082843159275</v>
      </c>
      <c r="AL83" s="53">
        <v>0.2413042634610032</v>
      </c>
      <c r="AM83" s="53">
        <v>0.23985643788023717</v>
      </c>
      <c r="AN83" s="53">
        <v>0.23841729925295574</v>
      </c>
      <c r="AO83" s="53">
        <v>0.236986795457438</v>
      </c>
      <c r="AP83" s="53">
        <v>0.23556487468469336</v>
      </c>
      <c r="AQ83" s="53">
        <v>0.2341514854365852</v>
      </c>
      <c r="AR83" s="53">
        <v>0.23274657652396569</v>
      </c>
      <c r="AS83" s="53">
        <v>0.2313500970648219</v>
      </c>
      <c r="AT83" s="53">
        <v>0.22996199648243296</v>
      </c>
      <c r="AU83" s="53">
        <v>0.22858222450353835</v>
      </c>
      <c r="AV83" s="53">
        <v>0.22721073115651713</v>
      </c>
      <c r="AW83" s="53">
        <v>0.22584746676957804</v>
      </c>
      <c r="AX83" s="53">
        <v>0.22449238196896057</v>
      </c>
      <c r="AY83" s="53">
        <v>0.22314542767714682</v>
      </c>
      <c r="AZ83" s="53">
        <v>0.22180655511108394</v>
      </c>
      <c r="BA83" s="53">
        <v>0.22047571578041744</v>
      </c>
      <c r="BB83" s="53">
        <v>0.21915286148573493</v>
      </c>
      <c r="BC83" s="53">
        <v>0.21783794431682052</v>
      </c>
      <c r="BD83" s="53">
        <v>0.21653091665091959</v>
      </c>
      <c r="BE83" s="53">
        <v>0.21523173115101407</v>
      </c>
      <c r="BF83" s="53">
        <v>0.21394034076410798</v>
      </c>
      <c r="BG83" s="53">
        <v>0.21265669871952333</v>
      </c>
      <c r="BH83" s="53">
        <v>0.2113807585272062</v>
      </c>
      <c r="BI83" s="53">
        <v>0.21011247397604296</v>
      </c>
      <c r="BJ83" s="53">
        <v>0.20885179913218671</v>
      </c>
      <c r="BK83" s="53">
        <v>0.20759868833739359</v>
      </c>
      <c r="BL83" s="53">
        <v>0.20635309620736922</v>
      </c>
      <c r="BM83" s="53">
        <v>0.20511497763012501</v>
      </c>
      <c r="BN83" s="53">
        <v>0.20388428776434425</v>
      </c>
      <c r="BO83" s="53">
        <v>0.20266098203775817</v>
      </c>
      <c r="BP83" s="53">
        <v>0.20144501614553162</v>
      </c>
      <c r="BQ83" s="53">
        <v>0.20023634604865842</v>
      </c>
      <c r="BR83" s="53">
        <v>0.19903492797236647</v>
      </c>
      <c r="BS83" s="53">
        <v>0.19784071840453227</v>
      </c>
      <c r="BT83" s="53">
        <v>0.19665367409410509</v>
      </c>
      <c r="BU83" s="53">
        <v>0.19547375204954046</v>
      </c>
      <c r="BV83" s="53">
        <v>0.19430090953724322</v>
      </c>
      <c r="BW83" s="53">
        <v>0.19313510408001974</v>
      </c>
      <c r="BX83" s="53">
        <v>0.19197629345553963</v>
      </c>
      <c r="BY83" s="53">
        <v>0.19082443569480639</v>
      </c>
      <c r="BZ83" s="53">
        <v>0.18967948908063756</v>
      </c>
      <c r="CA83" s="53">
        <v>0.18854141214615372</v>
      </c>
      <c r="CB83" s="53">
        <v>0.18741016367327679</v>
      </c>
      <c r="CC83" s="53">
        <v>0.18628570269123712</v>
      </c>
      <c r="CD83" s="53">
        <v>0.1851679884750897</v>
      </c>
      <c r="CE83" s="53">
        <v>0.18405698054423916</v>
      </c>
      <c r="CF83" s="53">
        <v>0.18295263866097372</v>
      </c>
      <c r="CG83" s="53">
        <v>0.18185492282900786</v>
      </c>
      <c r="CH83" s="53">
        <v>0.18076379329203382</v>
      </c>
      <c r="CI83" s="53">
        <v>0.17967921053228161</v>
      </c>
      <c r="CJ83" s="53">
        <v>0.17860113526908791</v>
      </c>
      <c r="CK83" s="53">
        <v>0.17752952845747338</v>
      </c>
      <c r="CL83" s="53">
        <v>0.17646435128672855</v>
      </c>
      <c r="CM83" s="53">
        <v>0.17540556517900818</v>
      </c>
      <c r="CN83" s="53">
        <v>0.17435313178793413</v>
      </c>
      <c r="CO83" s="53">
        <v>0.17330701299720652</v>
      </c>
      <c r="CP83" s="53">
        <v>0.17226717091922328</v>
      </c>
      <c r="CQ83" s="53">
        <v>0.17123356789370794</v>
      </c>
      <c r="CR83" s="53">
        <v>0.17020616648634571</v>
      </c>
      <c r="CS83" s="53">
        <v>0.16918492948742764</v>
      </c>
      <c r="CT83" s="53">
        <v>0.16816981991050306</v>
      </c>
      <c r="CU83" s="53">
        <v>0.16716080099104005</v>
      </c>
      <c r="CV83" s="53">
        <v>0.1661578361850938</v>
      </c>
      <c r="CW83" s="53">
        <v>0.16516088916798324</v>
      </c>
      <c r="CX83" s="53">
        <v>0.16416992383297535</v>
      </c>
      <c r="CY83" s="28">
        <v>0.16318490428997751</v>
      </c>
    </row>
    <row r="84" spans="1:103">
      <c r="A84" s="54">
        <v>102</v>
      </c>
      <c r="B84" s="54">
        <v>0.311444</v>
      </c>
      <c r="C84" s="54">
        <v>0.31032280159999998</v>
      </c>
      <c r="D84" s="54">
        <v>0.30923667179440001</v>
      </c>
      <c r="E84" s="54">
        <v>0.30815434344311965</v>
      </c>
      <c r="F84" s="54">
        <v>0.30710661867541306</v>
      </c>
      <c r="G84" s="54">
        <v>0.30603174551004914</v>
      </c>
      <c r="H84" s="54">
        <v>0.30496063440076399</v>
      </c>
      <c r="I84" s="54">
        <v>0.3038627761169212</v>
      </c>
      <c r="J84" s="54">
        <v>0.30273848384528856</v>
      </c>
      <c r="K84" s="54">
        <v>0.30155780375829194</v>
      </c>
      <c r="L84" s="54">
        <v>0.30035157254325878</v>
      </c>
      <c r="M84" s="54">
        <v>0.29912013109583141</v>
      </c>
      <c r="N84" s="54">
        <v>0.29786382654522892</v>
      </c>
      <c r="O84" s="54">
        <v>0.2965532257084299</v>
      </c>
      <c r="P84" s="54">
        <v>0.29518908087017109</v>
      </c>
      <c r="Q84" s="54">
        <v>0.29380169219008129</v>
      </c>
      <c r="R84" s="54">
        <v>0.2923620638983499</v>
      </c>
      <c r="S84" s="54">
        <v>0.29087101737246834</v>
      </c>
      <c r="T84" s="53">
        <v>0.28935848808213149</v>
      </c>
      <c r="U84" s="53">
        <v>0.28779595224648802</v>
      </c>
      <c r="V84" s="53">
        <v>0.28621307450913236</v>
      </c>
      <c r="W84" s="53">
        <v>0.28463890259933217</v>
      </c>
      <c r="X84" s="53">
        <v>0.28307338863503584</v>
      </c>
      <c r="Y84" s="53">
        <v>0.28151648499754317</v>
      </c>
      <c r="Z84" s="53">
        <v>0.27996814433005668</v>
      </c>
      <c r="AA84" s="53">
        <v>0.27842831953624136</v>
      </c>
      <c r="AB84" s="53">
        <v>0.27689696377879203</v>
      </c>
      <c r="AC84" s="53">
        <v>0.27537403047800868</v>
      </c>
      <c r="AD84" s="53">
        <v>0.27385947331037963</v>
      </c>
      <c r="AE84" s="53">
        <v>0.27235324620717255</v>
      </c>
      <c r="AF84" s="53">
        <v>0.27085530335303309</v>
      </c>
      <c r="AG84" s="53">
        <v>0.26936559918459141</v>
      </c>
      <c r="AH84" s="53">
        <v>0.26788408838907618</v>
      </c>
      <c r="AI84" s="53">
        <v>0.2664107259029363</v>
      </c>
      <c r="AJ84" s="53">
        <v>0.26494546691047016</v>
      </c>
      <c r="AK84" s="53">
        <v>0.26348826684246257</v>
      </c>
      <c r="AL84" s="53">
        <v>0.26203908137482906</v>
      </c>
      <c r="AM84" s="53">
        <v>0.26059786642726751</v>
      </c>
      <c r="AN84" s="53">
        <v>0.25916457816191757</v>
      </c>
      <c r="AO84" s="53">
        <v>0.25773917298202703</v>
      </c>
      <c r="AP84" s="53">
        <v>0.25632160753062588</v>
      </c>
      <c r="AQ84" s="53">
        <v>0.25491183868920747</v>
      </c>
      <c r="AR84" s="53">
        <v>0.25350982357641683</v>
      </c>
      <c r="AS84" s="53">
        <v>0.25211551954674655</v>
      </c>
      <c r="AT84" s="53">
        <v>0.25072888418923944</v>
      </c>
      <c r="AU84" s="53">
        <v>0.24934987532619865</v>
      </c>
      <c r="AV84" s="53">
        <v>0.24797845101190458</v>
      </c>
      <c r="AW84" s="53">
        <v>0.24661456953133912</v>
      </c>
      <c r="AX84" s="53">
        <v>0.24525818939891678</v>
      </c>
      <c r="AY84" s="53">
        <v>0.24390926935722274</v>
      </c>
      <c r="AZ84" s="53">
        <v>0.24256776837575802</v>
      </c>
      <c r="BA84" s="53">
        <v>0.24123364564969138</v>
      </c>
      <c r="BB84" s="53">
        <v>0.2399068605986181</v>
      </c>
      <c r="BC84" s="53">
        <v>0.23858737286532572</v>
      </c>
      <c r="BD84" s="53">
        <v>0.23727514231456645</v>
      </c>
      <c r="BE84" s="53">
        <v>0.23597012903183634</v>
      </c>
      <c r="BF84" s="53">
        <v>0.23467229332216125</v>
      </c>
      <c r="BG84" s="53">
        <v>0.23338159570888936</v>
      </c>
      <c r="BH84" s="53">
        <v>0.23209799693249047</v>
      </c>
      <c r="BI84" s="53">
        <v>0.23082145794936179</v>
      </c>
      <c r="BJ84" s="53">
        <v>0.22955193993064033</v>
      </c>
      <c r="BK84" s="53">
        <v>0.22828940426102182</v>
      </c>
      <c r="BL84" s="53">
        <v>0.2270338125375862</v>
      </c>
      <c r="BM84" s="53">
        <v>0.22578512656862948</v>
      </c>
      <c r="BN84" s="53">
        <v>0.22454330837250203</v>
      </c>
      <c r="BO84" s="53">
        <v>0.22330832017645327</v>
      </c>
      <c r="BP84" s="53">
        <v>0.2220801244154828</v>
      </c>
      <c r="BQ84" s="53">
        <v>0.22085868373119766</v>
      </c>
      <c r="BR84" s="53">
        <v>0.21964396097067609</v>
      </c>
      <c r="BS84" s="53">
        <v>0.21843591918533739</v>
      </c>
      <c r="BT84" s="53">
        <v>0.21723452162981804</v>
      </c>
      <c r="BU84" s="53">
        <v>0.21603973176085406</v>
      </c>
      <c r="BV84" s="53">
        <v>0.21485151323616938</v>
      </c>
      <c r="BW84" s="53">
        <v>0.21366982991337047</v>
      </c>
      <c r="BX84" s="53">
        <v>0.21249464584884695</v>
      </c>
      <c r="BY84" s="53">
        <v>0.21132592529667829</v>
      </c>
      <c r="BZ84" s="53">
        <v>0.21016363270754657</v>
      </c>
      <c r="CA84" s="53">
        <v>0.20900773272765508</v>
      </c>
      <c r="CB84" s="53">
        <v>0.20785819019765298</v>
      </c>
      <c r="CC84" s="53">
        <v>0.2067149701515659</v>
      </c>
      <c r="CD84" s="53">
        <v>0.20557803781573231</v>
      </c>
      <c r="CE84" s="53">
        <v>0.20444735860774579</v>
      </c>
      <c r="CF84" s="53">
        <v>0.20332289813540319</v>
      </c>
      <c r="CG84" s="53">
        <v>0.20220462219565849</v>
      </c>
      <c r="CH84" s="53">
        <v>0.20109249677358237</v>
      </c>
      <c r="CI84" s="53">
        <v>0.19998648804132768</v>
      </c>
      <c r="CJ84" s="53">
        <v>0.19888656235710039</v>
      </c>
      <c r="CK84" s="53">
        <v>0.19779268626413635</v>
      </c>
      <c r="CL84" s="53">
        <v>0.1967048264896836</v>
      </c>
      <c r="CM84" s="53">
        <v>0.19562294994399035</v>
      </c>
      <c r="CN84" s="53">
        <v>0.19454702371929841</v>
      </c>
      <c r="CO84" s="53">
        <v>0.19347701508884227</v>
      </c>
      <c r="CP84" s="53">
        <v>0.19241289150585364</v>
      </c>
      <c r="CQ84" s="53">
        <v>0.19135462060257144</v>
      </c>
      <c r="CR84" s="53">
        <v>0.1903021701892573</v>
      </c>
      <c r="CS84" s="53">
        <v>0.18925550825321638</v>
      </c>
      <c r="CT84" s="53">
        <v>0.18821460295782369</v>
      </c>
      <c r="CU84" s="53">
        <v>0.18717942264155568</v>
      </c>
      <c r="CV84" s="53">
        <v>0.18614993581702713</v>
      </c>
      <c r="CW84" s="53">
        <v>0.1851261111700335</v>
      </c>
      <c r="CX84" s="53">
        <v>0.18410791755859832</v>
      </c>
      <c r="CY84" s="28">
        <v>0.18309532401202602</v>
      </c>
    </row>
    <row r="85" spans="1:103">
      <c r="A85" s="54">
        <v>103</v>
      </c>
      <c r="B85" s="54">
        <v>0.33189999999999997</v>
      </c>
      <c r="C85" s="54">
        <v>0.33077153999999998</v>
      </c>
      <c r="D85" s="54">
        <v>0.32967999391799996</v>
      </c>
      <c r="E85" s="54">
        <v>0.32862501793746235</v>
      </c>
      <c r="F85" s="54">
        <v>0.3275734178800625</v>
      </c>
      <c r="G85" s="54">
        <v>0.32652518294284633</v>
      </c>
      <c r="H85" s="54">
        <v>0.32544764983913493</v>
      </c>
      <c r="I85" s="54">
        <v>0.32434112782968189</v>
      </c>
      <c r="J85" s="54">
        <v>0.32320593388227803</v>
      </c>
      <c r="K85" s="54">
        <v>0.32204239252030181</v>
      </c>
      <c r="L85" s="54">
        <v>0.32085083566797667</v>
      </c>
      <c r="M85" s="54">
        <v>0.31963160249243838</v>
      </c>
      <c r="N85" s="54">
        <v>0.31838503924271788</v>
      </c>
      <c r="O85" s="54">
        <v>0.31707966058182274</v>
      </c>
      <c r="P85" s="54">
        <v>0.31574792600737911</v>
      </c>
      <c r="Q85" s="54">
        <v>0.31435863513294665</v>
      </c>
      <c r="R85" s="54">
        <v>0.31294402127484838</v>
      </c>
      <c r="S85" s="54">
        <v>0.3114731843748566</v>
      </c>
      <c r="T85" s="53">
        <v>0.30997811308985729</v>
      </c>
      <c r="U85" s="53">
        <v>0.30842822252440799</v>
      </c>
      <c r="V85" s="53">
        <v>0.30685523858953351</v>
      </c>
      <c r="W85" s="53">
        <v>0.30529027687272686</v>
      </c>
      <c r="X85" s="53">
        <v>0.30373329646067598</v>
      </c>
      <c r="Y85" s="53">
        <v>0.30218425664872656</v>
      </c>
      <c r="Z85" s="53">
        <v>0.30064311693981804</v>
      </c>
      <c r="AA85" s="53">
        <v>0.29910983704342498</v>
      </c>
      <c r="AB85" s="53">
        <v>0.29758437687450351</v>
      </c>
      <c r="AC85" s="53">
        <v>0.29606669655244355</v>
      </c>
      <c r="AD85" s="53">
        <v>0.2945567564000261</v>
      </c>
      <c r="AE85" s="53">
        <v>0.29305451694238599</v>
      </c>
      <c r="AF85" s="53">
        <v>0.29155993890597981</v>
      </c>
      <c r="AG85" s="53">
        <v>0.29007298321755931</v>
      </c>
      <c r="AH85" s="53">
        <v>0.28859361100314979</v>
      </c>
      <c r="AI85" s="53">
        <v>0.28712178358703372</v>
      </c>
      <c r="AJ85" s="53">
        <v>0.28565746249073987</v>
      </c>
      <c r="AK85" s="53">
        <v>0.28420060943203712</v>
      </c>
      <c r="AL85" s="53">
        <v>0.28275118632393376</v>
      </c>
      <c r="AM85" s="53">
        <v>0.28130915527368172</v>
      </c>
      <c r="AN85" s="53">
        <v>0.27987447858178593</v>
      </c>
      <c r="AO85" s="53">
        <v>0.27844711874101885</v>
      </c>
      <c r="AP85" s="53">
        <v>0.27702703843543963</v>
      </c>
      <c r="AQ85" s="53">
        <v>0.27561420053941887</v>
      </c>
      <c r="AR85" s="53">
        <v>0.27420856811666783</v>
      </c>
      <c r="AS85" s="53">
        <v>0.27281010441927284</v>
      </c>
      <c r="AT85" s="53">
        <v>0.27141877288673455</v>
      </c>
      <c r="AU85" s="53">
        <v>0.27003453714501219</v>
      </c>
      <c r="AV85" s="53">
        <v>0.26865736100557264</v>
      </c>
      <c r="AW85" s="53">
        <v>0.2672872084644442</v>
      </c>
      <c r="AX85" s="53">
        <v>0.26592404370127554</v>
      </c>
      <c r="AY85" s="53">
        <v>0.26456783107839904</v>
      </c>
      <c r="AZ85" s="53">
        <v>0.26321853513989923</v>
      </c>
      <c r="BA85" s="53">
        <v>0.26187612061068577</v>
      </c>
      <c r="BB85" s="53">
        <v>0.26054055239557128</v>
      </c>
      <c r="BC85" s="53">
        <v>0.25921179557835389</v>
      </c>
      <c r="BD85" s="53">
        <v>0.25788981542090428</v>
      </c>
      <c r="BE85" s="53">
        <v>0.25657457736225769</v>
      </c>
      <c r="BF85" s="53">
        <v>0.25526604701771016</v>
      </c>
      <c r="BG85" s="53">
        <v>0.25396419017791982</v>
      </c>
      <c r="BH85" s="53">
        <v>0.25266897280801243</v>
      </c>
      <c r="BI85" s="53">
        <v>0.25138036104669159</v>
      </c>
      <c r="BJ85" s="53">
        <v>0.25009832120535347</v>
      </c>
      <c r="BK85" s="53">
        <v>0.24882281976720616</v>
      </c>
      <c r="BL85" s="53">
        <v>0.24755382338639342</v>
      </c>
      <c r="BM85" s="53">
        <v>0.24629129888712281</v>
      </c>
      <c r="BN85" s="53">
        <v>0.24503521326279848</v>
      </c>
      <c r="BO85" s="53">
        <v>0.24378553367515821</v>
      </c>
      <c r="BP85" s="53">
        <v>0.24254222745341489</v>
      </c>
      <c r="BQ85" s="53">
        <v>0.24130526209340247</v>
      </c>
      <c r="BR85" s="53">
        <v>0.24007460525672611</v>
      </c>
      <c r="BS85" s="53">
        <v>0.2388502247699168</v>
      </c>
      <c r="BT85" s="53">
        <v>0.23763208862359023</v>
      </c>
      <c r="BU85" s="53">
        <v>0.23642016497160992</v>
      </c>
      <c r="BV85" s="53">
        <v>0.2352144221302547</v>
      </c>
      <c r="BW85" s="53">
        <v>0.23401482857739039</v>
      </c>
      <c r="BX85" s="53">
        <v>0.23282135295164572</v>
      </c>
      <c r="BY85" s="53">
        <v>0.23163396405159231</v>
      </c>
      <c r="BZ85" s="53">
        <v>0.2304526308349292</v>
      </c>
      <c r="CA85" s="53">
        <v>0.22927732241767107</v>
      </c>
      <c r="CB85" s="53">
        <v>0.22810800807334095</v>
      </c>
      <c r="CC85" s="53">
        <v>0.22694465723216692</v>
      </c>
      <c r="CD85" s="53">
        <v>0.22578723948028287</v>
      </c>
      <c r="CE85" s="53">
        <v>0.22463572455893344</v>
      </c>
      <c r="CF85" s="53">
        <v>0.22349008236368287</v>
      </c>
      <c r="CG85" s="53">
        <v>0.22235028294362807</v>
      </c>
      <c r="CH85" s="53">
        <v>0.22121629650061558</v>
      </c>
      <c r="CI85" s="53">
        <v>0.22008809338846244</v>
      </c>
      <c r="CJ85" s="53">
        <v>0.21896564411218128</v>
      </c>
      <c r="CK85" s="53">
        <v>0.21784891932720915</v>
      </c>
      <c r="CL85" s="53">
        <v>0.2167378898386404</v>
      </c>
      <c r="CM85" s="53">
        <v>0.21563252660046334</v>
      </c>
      <c r="CN85" s="53">
        <v>0.21453280071480096</v>
      </c>
      <c r="CO85" s="53">
        <v>0.21343868343115549</v>
      </c>
      <c r="CP85" s="53">
        <v>0.21235014614565659</v>
      </c>
      <c r="CQ85" s="53">
        <v>0.21126716040031374</v>
      </c>
      <c r="CR85" s="53">
        <v>0.21018969788227213</v>
      </c>
      <c r="CS85" s="53">
        <v>0.20911773042307255</v>
      </c>
      <c r="CT85" s="53">
        <v>0.20805122999791489</v>
      </c>
      <c r="CU85" s="53">
        <v>0.20699016872492554</v>
      </c>
      <c r="CV85" s="53">
        <v>0.20593451886442843</v>
      </c>
      <c r="CW85" s="53">
        <v>0.20488425281821984</v>
      </c>
      <c r="CX85" s="53">
        <v>0.20383934312884691</v>
      </c>
      <c r="CY85" s="28">
        <v>0.20279976247888978</v>
      </c>
    </row>
    <row r="86" spans="1:103">
      <c r="A86" s="54">
        <v>104</v>
      </c>
      <c r="B86" s="54">
        <v>0.35223199999999999</v>
      </c>
      <c r="C86" s="54">
        <v>0.35114008079999998</v>
      </c>
      <c r="D86" s="54">
        <v>0.35008666055759996</v>
      </c>
      <c r="E86" s="54">
        <v>0.34907140924198293</v>
      </c>
      <c r="F86" s="54">
        <v>0.34805910215518115</v>
      </c>
      <c r="G86" s="54">
        <v>0.34704973075893114</v>
      </c>
      <c r="H86" s="54">
        <v>0.34600858156665437</v>
      </c>
      <c r="I86" s="54">
        <v>0.34493595496379775</v>
      </c>
      <c r="J86" s="54">
        <v>0.3438321599079136</v>
      </c>
      <c r="K86" s="54">
        <v>0.34269751378021751</v>
      </c>
      <c r="L86" s="54">
        <v>0.34153234223336476</v>
      </c>
      <c r="M86" s="54">
        <v>0.34033697903554799</v>
      </c>
      <c r="N86" s="54">
        <v>0.33911176591101999</v>
      </c>
      <c r="O86" s="54">
        <v>0.33785705237714919</v>
      </c>
      <c r="P86" s="54">
        <v>0.33653940987287828</v>
      </c>
      <c r="Q86" s="54">
        <v>0.33519325223338675</v>
      </c>
      <c r="R86" s="54">
        <v>0.33378544057400655</v>
      </c>
      <c r="S86" s="54">
        <v>0.33235016317953836</v>
      </c>
      <c r="T86" s="53">
        <v>0.33088782246154841</v>
      </c>
      <c r="U86" s="53">
        <v>0.32936573847822526</v>
      </c>
      <c r="V86" s="53">
        <v>0.32781771950737759</v>
      </c>
      <c r="W86" s="53">
        <v>0.32627697622569291</v>
      </c>
      <c r="X86" s="53">
        <v>0.32474347443743212</v>
      </c>
      <c r="Y86" s="53">
        <v>0.32321718010757616</v>
      </c>
      <c r="Z86" s="53">
        <v>0.32169805936107054</v>
      </c>
      <c r="AA86" s="53">
        <v>0.32018607848207348</v>
      </c>
      <c r="AB86" s="53">
        <v>0.3186812039132077</v>
      </c>
      <c r="AC86" s="53">
        <v>0.31718340225481562</v>
      </c>
      <c r="AD86" s="53">
        <v>0.31569264026421795</v>
      </c>
      <c r="AE86" s="53">
        <v>0.31420888485497611</v>
      </c>
      <c r="AF86" s="53">
        <v>0.31273210309615773</v>
      </c>
      <c r="AG86" s="53">
        <v>0.3112622622116058</v>
      </c>
      <c r="AH86" s="53">
        <v>0.30979932957921125</v>
      </c>
      <c r="AI86" s="53">
        <v>0.30834327273018897</v>
      </c>
      <c r="AJ86" s="53">
        <v>0.30689405934835706</v>
      </c>
      <c r="AK86" s="53">
        <v>0.30545165726941975</v>
      </c>
      <c r="AL86" s="53">
        <v>0.30401603448025349</v>
      </c>
      <c r="AM86" s="53">
        <v>0.30258715911819628</v>
      </c>
      <c r="AN86" s="53">
        <v>0.30116499947034076</v>
      </c>
      <c r="AO86" s="53">
        <v>0.29974952397283017</v>
      </c>
      <c r="AP86" s="53">
        <v>0.29834070121015788</v>
      </c>
      <c r="AQ86" s="53">
        <v>0.29693849991447013</v>
      </c>
      <c r="AR86" s="53">
        <v>0.29554288896487213</v>
      </c>
      <c r="AS86" s="53">
        <v>0.29415383738673723</v>
      </c>
      <c r="AT86" s="53">
        <v>0.29277131435101955</v>
      </c>
      <c r="AU86" s="53">
        <v>0.29139528917356977</v>
      </c>
      <c r="AV86" s="53">
        <v>0.29002573131445397</v>
      </c>
      <c r="AW86" s="53">
        <v>0.28866261037727603</v>
      </c>
      <c r="AX86" s="53">
        <v>0.28730589610850282</v>
      </c>
      <c r="AY86" s="53">
        <v>0.28595555839679287</v>
      </c>
      <c r="AZ86" s="53">
        <v>0.28461156727232795</v>
      </c>
      <c r="BA86" s="53">
        <v>0.28327389290614802</v>
      </c>
      <c r="BB86" s="53">
        <v>0.28194250560948914</v>
      </c>
      <c r="BC86" s="53">
        <v>0.28061737583312452</v>
      </c>
      <c r="BD86" s="53">
        <v>0.27929847416670883</v>
      </c>
      <c r="BE86" s="53">
        <v>0.2779857713381253</v>
      </c>
      <c r="BF86" s="53">
        <v>0.27667923821283608</v>
      </c>
      <c r="BG86" s="53">
        <v>0.27537884579323574</v>
      </c>
      <c r="BH86" s="53">
        <v>0.2740845652180075</v>
      </c>
      <c r="BI86" s="53">
        <v>0.27279636776148286</v>
      </c>
      <c r="BJ86" s="53">
        <v>0.27151422483300386</v>
      </c>
      <c r="BK86" s="53">
        <v>0.27023810797628872</v>
      </c>
      <c r="BL86" s="53">
        <v>0.26896798886880013</v>
      </c>
      <c r="BM86" s="53">
        <v>0.26770383932111674</v>
      </c>
      <c r="BN86" s="53">
        <v>0.26644563127630749</v>
      </c>
      <c r="BO86" s="53">
        <v>0.26519333680930884</v>
      </c>
      <c r="BP86" s="53">
        <v>0.2639469281263051</v>
      </c>
      <c r="BQ86" s="53">
        <v>0.26270637756411147</v>
      </c>
      <c r="BR86" s="53">
        <v>0.26147165758956015</v>
      </c>
      <c r="BS86" s="53">
        <v>0.2602427407988892</v>
      </c>
      <c r="BT86" s="53">
        <v>0.25901959991713441</v>
      </c>
      <c r="BU86" s="53">
        <v>0.25780220779752389</v>
      </c>
      <c r="BV86" s="53">
        <v>0.25659053742087551</v>
      </c>
      <c r="BW86" s="53">
        <v>0.25538456189499736</v>
      </c>
      <c r="BX86" s="53">
        <v>0.25418425445409087</v>
      </c>
      <c r="BY86" s="53">
        <v>0.25298958845815661</v>
      </c>
      <c r="BZ86" s="53">
        <v>0.25180053739240327</v>
      </c>
      <c r="CA86" s="53">
        <v>0.25061707486665896</v>
      </c>
      <c r="CB86" s="53">
        <v>0.24943917461478565</v>
      </c>
      <c r="CC86" s="53">
        <v>0.24826681049409616</v>
      </c>
      <c r="CD86" s="53">
        <v>0.2470999564847739</v>
      </c>
      <c r="CE86" s="53">
        <v>0.24593858668929544</v>
      </c>
      <c r="CF86" s="53">
        <v>0.24478267533185574</v>
      </c>
      <c r="CG86" s="53">
        <v>0.24363219675779602</v>
      </c>
      <c r="CH86" s="53">
        <v>0.24248712543303436</v>
      </c>
      <c r="CI86" s="53">
        <v>0.24134743594349908</v>
      </c>
      <c r="CJ86" s="53">
        <v>0.24021310299456464</v>
      </c>
      <c r="CK86" s="53">
        <v>0.23908410141049016</v>
      </c>
      <c r="CL86" s="53">
        <v>0.23796040613386085</v>
      </c>
      <c r="CM86" s="53">
        <v>0.23684199222503169</v>
      </c>
      <c r="CN86" s="53">
        <v>0.23572883486157403</v>
      </c>
      <c r="CO86" s="53">
        <v>0.23462090933772461</v>
      </c>
      <c r="CP86" s="53">
        <v>0.23351819106383731</v>
      </c>
      <c r="CQ86" s="53">
        <v>0.23242065556583727</v>
      </c>
      <c r="CR86" s="53">
        <v>0.23132827848467782</v>
      </c>
      <c r="CS86" s="53">
        <v>0.23024103557579984</v>
      </c>
      <c r="CT86" s="53">
        <v>0.22915890270859357</v>
      </c>
      <c r="CU86" s="53">
        <v>0.22808185586586316</v>
      </c>
      <c r="CV86" s="53">
        <v>0.2270098711432936</v>
      </c>
      <c r="CW86" s="53">
        <v>0.22594292474892011</v>
      </c>
      <c r="CX86" s="53">
        <v>0.22488099300260017</v>
      </c>
      <c r="CY86" s="28">
        <v>0.22382405233548794</v>
      </c>
    </row>
    <row r="87" spans="1:103">
      <c r="A87" s="54">
        <v>105</v>
      </c>
      <c r="B87" s="54">
        <v>0.37227300000000002</v>
      </c>
      <c r="C87" s="54">
        <v>0.37123063560000003</v>
      </c>
      <c r="D87" s="54">
        <v>0.37022831288388003</v>
      </c>
      <c r="E87" s="54">
        <v>0.36922869643909356</v>
      </c>
      <c r="F87" s="54">
        <v>0.36823177895870801</v>
      </c>
      <c r="G87" s="54">
        <v>0.36723755315551948</v>
      </c>
      <c r="H87" s="54">
        <v>0.36624601176199956</v>
      </c>
      <c r="I87" s="54">
        <v>0.36522052292906593</v>
      </c>
      <c r="J87" s="54">
        <v>0.36416138341257165</v>
      </c>
      <c r="K87" s="54">
        <v>0.36306889926233393</v>
      </c>
      <c r="L87" s="54">
        <v>0.3619433856746207</v>
      </c>
      <c r="M87" s="54">
        <v>0.36082136117902935</v>
      </c>
      <c r="N87" s="54">
        <v>0.35963065068713856</v>
      </c>
      <c r="O87" s="54">
        <v>0.35840790647480231</v>
      </c>
      <c r="P87" s="54">
        <v>0.35715347880214054</v>
      </c>
      <c r="Q87" s="54">
        <v>0.35586772627845281</v>
      </c>
      <c r="R87" s="54">
        <v>0.35451542891859467</v>
      </c>
      <c r="S87" s="54">
        <v>0.35313281874581215</v>
      </c>
      <c r="T87" s="53">
        <v>0.3517202874708289</v>
      </c>
      <c r="U87" s="53">
        <v>0.35027823429219851</v>
      </c>
      <c r="V87" s="53">
        <v>0.34877203788474209</v>
      </c>
      <c r="W87" s="53">
        <v>0.34727231812183773</v>
      </c>
      <c r="X87" s="53">
        <v>0.34577904715391383</v>
      </c>
      <c r="Y87" s="53">
        <v>0.34429219725115201</v>
      </c>
      <c r="Z87" s="53">
        <v>0.34281174080297205</v>
      </c>
      <c r="AA87" s="53">
        <v>0.34133765031751928</v>
      </c>
      <c r="AB87" s="53">
        <v>0.33986989842115395</v>
      </c>
      <c r="AC87" s="53">
        <v>0.33840845785794299</v>
      </c>
      <c r="AD87" s="53">
        <v>0.33695330148915387</v>
      </c>
      <c r="AE87" s="53">
        <v>0.33550440229275053</v>
      </c>
      <c r="AF87" s="53">
        <v>0.33406173336289169</v>
      </c>
      <c r="AG87" s="53">
        <v>0.33262526790943125</v>
      </c>
      <c r="AH87" s="53">
        <v>0.3311949792574207</v>
      </c>
      <c r="AI87" s="53">
        <v>0.32977084084661379</v>
      </c>
      <c r="AJ87" s="53">
        <v>0.32835282623097334</v>
      </c>
      <c r="AK87" s="53">
        <v>0.32694090907818019</v>
      </c>
      <c r="AL87" s="53">
        <v>0.32553506316914405</v>
      </c>
      <c r="AM87" s="53">
        <v>0.32413526239751672</v>
      </c>
      <c r="AN87" s="53">
        <v>0.32274148076920739</v>
      </c>
      <c r="AO87" s="53">
        <v>0.32135369240189982</v>
      </c>
      <c r="AP87" s="53">
        <v>0.31997187152457168</v>
      </c>
      <c r="AQ87" s="53">
        <v>0.31859599247701603</v>
      </c>
      <c r="AR87" s="53">
        <v>0.31722602970936487</v>
      </c>
      <c r="AS87" s="53">
        <v>0.31586195778161463</v>
      </c>
      <c r="AT87" s="53">
        <v>0.31450375136315367</v>
      </c>
      <c r="AU87" s="53">
        <v>0.31315138523229213</v>
      </c>
      <c r="AV87" s="53">
        <v>0.31180483427579331</v>
      </c>
      <c r="AW87" s="53">
        <v>0.31046407348840743</v>
      </c>
      <c r="AX87" s="53">
        <v>0.3091290779724073</v>
      </c>
      <c r="AY87" s="53">
        <v>0.30779982293712593</v>
      </c>
      <c r="AZ87" s="53">
        <v>0.30647628369849628</v>
      </c>
      <c r="BA87" s="53">
        <v>0.30515843567859274</v>
      </c>
      <c r="BB87" s="53">
        <v>0.30384625440517482</v>
      </c>
      <c r="BC87" s="53">
        <v>0.3025397155112326</v>
      </c>
      <c r="BD87" s="53">
        <v>0.3012387947345343</v>
      </c>
      <c r="BE87" s="53">
        <v>0.2999434679171758</v>
      </c>
      <c r="BF87" s="53">
        <v>0.29865371100513194</v>
      </c>
      <c r="BG87" s="53">
        <v>0.29736950004780988</v>
      </c>
      <c r="BH87" s="53">
        <v>0.29609081119760428</v>
      </c>
      <c r="BI87" s="53">
        <v>0.29481762070945461</v>
      </c>
      <c r="BJ87" s="53">
        <v>0.29354990494040395</v>
      </c>
      <c r="BK87" s="53">
        <v>0.29228764034916022</v>
      </c>
      <c r="BL87" s="53">
        <v>0.29103080349565885</v>
      </c>
      <c r="BM87" s="53">
        <v>0.28977937104062751</v>
      </c>
      <c r="BN87" s="53">
        <v>0.28853331974515284</v>
      </c>
      <c r="BO87" s="53">
        <v>0.28729262647024867</v>
      </c>
      <c r="BP87" s="53">
        <v>0.28605726817642663</v>
      </c>
      <c r="BQ87" s="53">
        <v>0.28482722192326798</v>
      </c>
      <c r="BR87" s="53">
        <v>0.28360246486899793</v>
      </c>
      <c r="BS87" s="53">
        <v>0.28238297427006126</v>
      </c>
      <c r="BT87" s="53">
        <v>0.28116872748069999</v>
      </c>
      <c r="BU87" s="53">
        <v>0.279959701952533</v>
      </c>
      <c r="BV87" s="53">
        <v>0.27875587523413714</v>
      </c>
      <c r="BW87" s="53">
        <v>0.27755722497063035</v>
      </c>
      <c r="BX87" s="53">
        <v>0.27636372890325667</v>
      </c>
      <c r="BY87" s="53">
        <v>0.27517536486897265</v>
      </c>
      <c r="BZ87" s="53">
        <v>0.27399211080003605</v>
      </c>
      <c r="CA87" s="53">
        <v>0.27281394472359588</v>
      </c>
      <c r="CB87" s="53">
        <v>0.27164084476128442</v>
      </c>
      <c r="CC87" s="53">
        <v>0.2704727891288109</v>
      </c>
      <c r="CD87" s="53">
        <v>0.26930975613555702</v>
      </c>
      <c r="CE87" s="53">
        <v>0.26815172418417416</v>
      </c>
      <c r="CF87" s="53">
        <v>0.26699867177018222</v>
      </c>
      <c r="CG87" s="53">
        <v>0.26585057748157043</v>
      </c>
      <c r="CH87" s="53">
        <v>0.2647074199983997</v>
      </c>
      <c r="CI87" s="53">
        <v>0.2635691780924066</v>
      </c>
      <c r="CJ87" s="53">
        <v>0.26243583062660925</v>
      </c>
      <c r="CK87" s="53">
        <v>0.26130735655491483</v>
      </c>
      <c r="CL87" s="53">
        <v>0.26018373492172869</v>
      </c>
      <c r="CM87" s="53">
        <v>0.25906494486156528</v>
      </c>
      <c r="CN87" s="53">
        <v>0.25795096559866054</v>
      </c>
      <c r="CO87" s="53">
        <v>0.25684177644658629</v>
      </c>
      <c r="CP87" s="53">
        <v>0.25573735680786597</v>
      </c>
      <c r="CQ87" s="53">
        <v>0.25463768617359217</v>
      </c>
      <c r="CR87" s="53">
        <v>0.25354274412304573</v>
      </c>
      <c r="CS87" s="53">
        <v>0.25245251032331661</v>
      </c>
      <c r="CT87" s="53">
        <v>0.25136696452892637</v>
      </c>
      <c r="CU87" s="53">
        <v>0.25028608658145202</v>
      </c>
      <c r="CV87" s="53">
        <v>0.24920985640915178</v>
      </c>
      <c r="CW87" s="53">
        <v>0.24813825402659243</v>
      </c>
      <c r="CX87" s="53">
        <v>0.24707125953427808</v>
      </c>
      <c r="CY87" s="28">
        <v>0.24600885311828069</v>
      </c>
    </row>
    <row r="88" spans="1:103">
      <c r="A88" s="54">
        <v>106</v>
      </c>
      <c r="B88" s="54">
        <v>0.39185999999999999</v>
      </c>
      <c r="C88" s="54">
        <v>0.39088034999999999</v>
      </c>
      <c r="D88" s="54">
        <v>0.38994223715999998</v>
      </c>
      <c r="E88" s="54">
        <v>0.38900637579081598</v>
      </c>
      <c r="F88" s="54">
        <v>0.38807276048891803</v>
      </c>
      <c r="G88" s="54">
        <v>0.38714138586374464</v>
      </c>
      <c r="H88" s="54">
        <v>0.38617353239908531</v>
      </c>
      <c r="I88" s="54">
        <v>0.38520809856808763</v>
      </c>
      <c r="J88" s="54">
        <v>0.3842065575118106</v>
      </c>
      <c r="K88" s="54">
        <v>0.38316919980652869</v>
      </c>
      <c r="L88" s="54">
        <v>0.38213464296705107</v>
      </c>
      <c r="M88" s="54">
        <v>0.38106466596674332</v>
      </c>
      <c r="N88" s="54">
        <v>0.37995957843543976</v>
      </c>
      <c r="O88" s="54">
        <v>0.37881969970013346</v>
      </c>
      <c r="P88" s="54">
        <v>0.37760747666109307</v>
      </c>
      <c r="Q88" s="54">
        <v>0.37636137198811148</v>
      </c>
      <c r="R88" s="54">
        <v>0.37508174332335192</v>
      </c>
      <c r="S88" s="54">
        <v>0.37376895722172021</v>
      </c>
      <c r="T88" s="53">
        <v>0.37242338897572203</v>
      </c>
      <c r="U88" s="53">
        <v>0.37104542243651184</v>
      </c>
      <c r="V88" s="53">
        <v>0.36963544983125307</v>
      </c>
      <c r="W88" s="53">
        <v>0.36823083512189431</v>
      </c>
      <c r="X88" s="53">
        <v>0.36683155794843109</v>
      </c>
      <c r="Y88" s="53">
        <v>0.36543759802822706</v>
      </c>
      <c r="Z88" s="53">
        <v>0.36404893515571979</v>
      </c>
      <c r="AA88" s="53">
        <v>0.36266554920212807</v>
      </c>
      <c r="AB88" s="53">
        <v>0.36128742011515996</v>
      </c>
      <c r="AC88" s="53">
        <v>0.35991452791872236</v>
      </c>
      <c r="AD88" s="53">
        <v>0.3585468527126312</v>
      </c>
      <c r="AE88" s="53">
        <v>0.35718437467232317</v>
      </c>
      <c r="AF88" s="53">
        <v>0.35582707404856834</v>
      </c>
      <c r="AG88" s="53">
        <v>0.35447493116718376</v>
      </c>
      <c r="AH88" s="53">
        <v>0.35312792642874846</v>
      </c>
      <c r="AI88" s="53">
        <v>0.35178604030831923</v>
      </c>
      <c r="AJ88" s="53">
        <v>0.35044925335514759</v>
      </c>
      <c r="AK88" s="53">
        <v>0.34911754619239804</v>
      </c>
      <c r="AL88" s="53">
        <v>0.34779089951686692</v>
      </c>
      <c r="AM88" s="53">
        <v>0.34646929409870281</v>
      </c>
      <c r="AN88" s="53">
        <v>0.34515271078112775</v>
      </c>
      <c r="AO88" s="53">
        <v>0.34384113048015946</v>
      </c>
      <c r="AP88" s="53">
        <v>0.34253453418433483</v>
      </c>
      <c r="AQ88" s="53">
        <v>0.34123290295443437</v>
      </c>
      <c r="AR88" s="53">
        <v>0.3399362179232075</v>
      </c>
      <c r="AS88" s="53">
        <v>0.33864446029509931</v>
      </c>
      <c r="AT88" s="53">
        <v>0.33735761134597791</v>
      </c>
      <c r="AU88" s="53">
        <v>0.33607565242286319</v>
      </c>
      <c r="AV88" s="53">
        <v>0.33479856494365628</v>
      </c>
      <c r="AW88" s="53">
        <v>0.33352633039687041</v>
      </c>
      <c r="AX88" s="53">
        <v>0.33225893034136228</v>
      </c>
      <c r="AY88" s="53">
        <v>0.33099634640606507</v>
      </c>
      <c r="AZ88" s="53">
        <v>0.32973856028972204</v>
      </c>
      <c r="BA88" s="53">
        <v>0.32848555376062111</v>
      </c>
      <c r="BB88" s="53">
        <v>0.32723730865633072</v>
      </c>
      <c r="BC88" s="53">
        <v>0.32599380688343665</v>
      </c>
      <c r="BD88" s="53">
        <v>0.3247550304172796</v>
      </c>
      <c r="BE88" s="53">
        <v>0.32352096130169394</v>
      </c>
      <c r="BF88" s="53">
        <v>0.32229158164874749</v>
      </c>
      <c r="BG88" s="53">
        <v>0.32106687363848224</v>
      </c>
      <c r="BH88" s="53">
        <v>0.31984681951865601</v>
      </c>
      <c r="BI88" s="53">
        <v>0.31863140160448511</v>
      </c>
      <c r="BJ88" s="53">
        <v>0.31742060227838803</v>
      </c>
      <c r="BK88" s="53">
        <v>0.31621440398973016</v>
      </c>
      <c r="BL88" s="53">
        <v>0.31501278925456916</v>
      </c>
      <c r="BM88" s="53">
        <v>0.3138157406554018</v>
      </c>
      <c r="BN88" s="53">
        <v>0.31262324084091125</v>
      </c>
      <c r="BO88" s="53">
        <v>0.31143527252571579</v>
      </c>
      <c r="BP88" s="53">
        <v>0.31025181849011807</v>
      </c>
      <c r="BQ88" s="53">
        <v>0.30907286157985564</v>
      </c>
      <c r="BR88" s="53">
        <v>0.30789838470585218</v>
      </c>
      <c r="BS88" s="53">
        <v>0.30672837084396992</v>
      </c>
      <c r="BT88" s="53">
        <v>0.30556280303476285</v>
      </c>
      <c r="BU88" s="53">
        <v>0.30440166438323074</v>
      </c>
      <c r="BV88" s="53">
        <v>0.30324493805857444</v>
      </c>
      <c r="BW88" s="53">
        <v>0.30209260729395188</v>
      </c>
      <c r="BX88" s="53">
        <v>0.30094465538623483</v>
      </c>
      <c r="BY88" s="53">
        <v>0.29980106569576714</v>
      </c>
      <c r="BZ88" s="53">
        <v>0.2986618216461232</v>
      </c>
      <c r="CA88" s="53">
        <v>0.29752690672386795</v>
      </c>
      <c r="CB88" s="53">
        <v>0.29639630447831722</v>
      </c>
      <c r="CC88" s="53">
        <v>0.29526999852129959</v>
      </c>
      <c r="CD88" s="53">
        <v>0.29414797252691866</v>
      </c>
      <c r="CE88" s="53">
        <v>0.29303021023131637</v>
      </c>
      <c r="CF88" s="53">
        <v>0.29191669543243737</v>
      </c>
      <c r="CG88" s="53">
        <v>0.2908074119897941</v>
      </c>
      <c r="CH88" s="53">
        <v>0.28970234382423288</v>
      </c>
      <c r="CI88" s="53">
        <v>0.28860147491770077</v>
      </c>
      <c r="CJ88" s="53">
        <v>0.28750478931301349</v>
      </c>
      <c r="CK88" s="53">
        <v>0.28641227111362405</v>
      </c>
      <c r="CL88" s="53">
        <v>0.28532390448339229</v>
      </c>
      <c r="CM88" s="53">
        <v>0.28423967364635538</v>
      </c>
      <c r="CN88" s="53">
        <v>0.28315956288649924</v>
      </c>
      <c r="CO88" s="53">
        <v>0.28208355654753053</v>
      </c>
      <c r="CP88" s="53">
        <v>0.28101163903264992</v>
      </c>
      <c r="CQ88" s="53">
        <v>0.27994379480432585</v>
      </c>
      <c r="CR88" s="53">
        <v>0.2788800083840694</v>
      </c>
      <c r="CS88" s="53">
        <v>0.27782026435220991</v>
      </c>
      <c r="CT88" s="53">
        <v>0.27676454734767153</v>
      </c>
      <c r="CU88" s="53">
        <v>0.27571284206775037</v>
      </c>
      <c r="CV88" s="53">
        <v>0.27466513326789294</v>
      </c>
      <c r="CW88" s="53">
        <v>0.27362140576147492</v>
      </c>
      <c r="CX88" s="53">
        <v>0.27258164441958133</v>
      </c>
      <c r="CY88" s="28">
        <v>0.27154583417078693</v>
      </c>
    </row>
    <row r="89" spans="1:103">
      <c r="A89" s="54">
        <v>107</v>
      </c>
      <c r="B89" s="54">
        <v>0.41084900000000002</v>
      </c>
      <c r="C89" s="54">
        <v>0.40994513220000001</v>
      </c>
      <c r="D89" s="54">
        <v>0.40904325290915999</v>
      </c>
      <c r="E89" s="54">
        <v>0.40818426207805075</v>
      </c>
      <c r="F89" s="54">
        <v>0.40732707512768684</v>
      </c>
      <c r="G89" s="54">
        <v>0.4064716882699187</v>
      </c>
      <c r="H89" s="54">
        <v>0.40557745055572486</v>
      </c>
      <c r="I89" s="54">
        <v>0.40468518016450228</v>
      </c>
      <c r="J89" s="54">
        <v>0.40375440425012393</v>
      </c>
      <c r="K89" s="54">
        <v>0.40278539367992366</v>
      </c>
      <c r="L89" s="54">
        <v>0.40181870873509185</v>
      </c>
      <c r="M89" s="54">
        <v>0.40081416196325415</v>
      </c>
      <c r="N89" s="54">
        <v>0.39977204514214965</v>
      </c>
      <c r="O89" s="54">
        <v>0.39869266062026582</v>
      </c>
      <c r="P89" s="54">
        <v>0.39757632117052905</v>
      </c>
      <c r="Q89" s="54">
        <v>0.39642334983913452</v>
      </c>
      <c r="R89" s="54">
        <v>0.39523407978961711</v>
      </c>
      <c r="S89" s="54">
        <v>0.39400885414226933</v>
      </c>
      <c r="T89" s="53">
        <v>0.39274802580901408</v>
      </c>
      <c r="U89" s="53">
        <v>0.39145195732384436</v>
      </c>
      <c r="V89" s="53">
        <v>0.39012102066894333</v>
      </c>
      <c r="W89" s="53">
        <v>0.38879460919866893</v>
      </c>
      <c r="X89" s="53">
        <v>0.38747270752739349</v>
      </c>
      <c r="Y89" s="53">
        <v>0.38615530032180034</v>
      </c>
      <c r="Z89" s="53">
        <v>0.38484237230070623</v>
      </c>
      <c r="AA89" s="53">
        <v>0.38353390823488381</v>
      </c>
      <c r="AB89" s="53">
        <v>0.3822298929468852</v>
      </c>
      <c r="AC89" s="53">
        <v>0.3809303113108658</v>
      </c>
      <c r="AD89" s="53">
        <v>0.37963514825240885</v>
      </c>
      <c r="AE89" s="53">
        <v>0.37834438874835069</v>
      </c>
      <c r="AF89" s="53">
        <v>0.37705801782660631</v>
      </c>
      <c r="AG89" s="53">
        <v>0.37577602056599585</v>
      </c>
      <c r="AH89" s="53">
        <v>0.3744983820960715</v>
      </c>
      <c r="AI89" s="53">
        <v>0.37322508759694489</v>
      </c>
      <c r="AJ89" s="53">
        <v>0.37195612229911529</v>
      </c>
      <c r="AK89" s="53">
        <v>0.37069147148329828</v>
      </c>
      <c r="AL89" s="53">
        <v>0.36943112048025506</v>
      </c>
      <c r="AM89" s="53">
        <v>0.36817505467062223</v>
      </c>
      <c r="AN89" s="53">
        <v>0.36692325948474214</v>
      </c>
      <c r="AO89" s="53">
        <v>0.36567572040249402</v>
      </c>
      <c r="AP89" s="53">
        <v>0.36443242295312556</v>
      </c>
      <c r="AQ89" s="53">
        <v>0.36319335271508496</v>
      </c>
      <c r="AR89" s="53">
        <v>0.36195849531585367</v>
      </c>
      <c r="AS89" s="53">
        <v>0.3607278364317798</v>
      </c>
      <c r="AT89" s="53">
        <v>0.35950136178791176</v>
      </c>
      <c r="AU89" s="53">
        <v>0.35827905715783287</v>
      </c>
      <c r="AV89" s="53">
        <v>0.35706090836349624</v>
      </c>
      <c r="AW89" s="53">
        <v>0.35584690127506036</v>
      </c>
      <c r="AX89" s="53">
        <v>0.35463702181072515</v>
      </c>
      <c r="AY89" s="53">
        <v>0.35343125593656871</v>
      </c>
      <c r="AZ89" s="53">
        <v>0.3522295896663844</v>
      </c>
      <c r="BA89" s="53">
        <v>0.35103200906151871</v>
      </c>
      <c r="BB89" s="53">
        <v>0.34983850023070956</v>
      </c>
      <c r="BC89" s="53">
        <v>0.34864904932992519</v>
      </c>
      <c r="BD89" s="53">
        <v>0.34746364256220347</v>
      </c>
      <c r="BE89" s="53">
        <v>0.34628226617749197</v>
      </c>
      <c r="BF89" s="53">
        <v>0.34510490647248854</v>
      </c>
      <c r="BG89" s="53">
        <v>0.34393154979048207</v>
      </c>
      <c r="BH89" s="53">
        <v>0.34276218252119445</v>
      </c>
      <c r="BI89" s="53">
        <v>0.34159679110062241</v>
      </c>
      <c r="BJ89" s="53">
        <v>0.34043536201088032</v>
      </c>
      <c r="BK89" s="53">
        <v>0.33927788178004331</v>
      </c>
      <c r="BL89" s="53">
        <v>0.33812433698199118</v>
      </c>
      <c r="BM89" s="53">
        <v>0.33697471423625242</v>
      </c>
      <c r="BN89" s="53">
        <v>0.33582900020784917</v>
      </c>
      <c r="BO89" s="53">
        <v>0.3346871816071425</v>
      </c>
      <c r="BP89" s="53">
        <v>0.33354924518967821</v>
      </c>
      <c r="BQ89" s="53">
        <v>0.3324151777560333</v>
      </c>
      <c r="BR89" s="53">
        <v>0.33128496615166281</v>
      </c>
      <c r="BS89" s="53">
        <v>0.33015859726674718</v>
      </c>
      <c r="BT89" s="53">
        <v>0.32903605803604025</v>
      </c>
      <c r="BU89" s="53">
        <v>0.32791733543871771</v>
      </c>
      <c r="BV89" s="53">
        <v>0.32680241649822606</v>
      </c>
      <c r="BW89" s="53">
        <v>0.32569128828213212</v>
      </c>
      <c r="BX89" s="53">
        <v>0.32458393790197287</v>
      </c>
      <c r="BY89" s="53">
        <v>0.3234803525131062</v>
      </c>
      <c r="BZ89" s="53">
        <v>0.32238051931456163</v>
      </c>
      <c r="CA89" s="53">
        <v>0.32128442554889214</v>
      </c>
      <c r="CB89" s="53">
        <v>0.32019205850202592</v>
      </c>
      <c r="CC89" s="53">
        <v>0.31910340550311905</v>
      </c>
      <c r="CD89" s="53">
        <v>0.31801845392440847</v>
      </c>
      <c r="CE89" s="53">
        <v>0.3169371911810655</v>
      </c>
      <c r="CF89" s="53">
        <v>0.3158596047310499</v>
      </c>
      <c r="CG89" s="53">
        <v>0.31478568207496432</v>
      </c>
      <c r="CH89" s="53">
        <v>0.31371541075590947</v>
      </c>
      <c r="CI89" s="53">
        <v>0.31264877835933941</v>
      </c>
      <c r="CJ89" s="53">
        <v>0.31158577251291769</v>
      </c>
      <c r="CK89" s="53">
        <v>0.3105263808863738</v>
      </c>
      <c r="CL89" s="53">
        <v>0.30947059119136017</v>
      </c>
      <c r="CM89" s="53">
        <v>0.30841839118130954</v>
      </c>
      <c r="CN89" s="53">
        <v>0.30736976865129312</v>
      </c>
      <c r="CO89" s="53">
        <v>0.30632471143787876</v>
      </c>
      <c r="CP89" s="53">
        <v>0.30528320741899001</v>
      </c>
      <c r="CQ89" s="53">
        <v>0.30424524451376544</v>
      </c>
      <c r="CR89" s="53">
        <v>0.30321081068241867</v>
      </c>
      <c r="CS89" s="53">
        <v>0.30217989392609845</v>
      </c>
      <c r="CT89" s="53">
        <v>0.30115248228674973</v>
      </c>
      <c r="CU89" s="53">
        <v>0.30012856384697478</v>
      </c>
      <c r="CV89" s="53">
        <v>0.29910812672989506</v>
      </c>
      <c r="CW89" s="53">
        <v>0.29809115909901346</v>
      </c>
      <c r="CX89" s="53">
        <v>0.29707764915807683</v>
      </c>
      <c r="CY89" s="28">
        <v>0.29606758515093939</v>
      </c>
    </row>
    <row r="90" spans="1:103">
      <c r="A90" s="54">
        <v>108</v>
      </c>
      <c r="B90" s="54">
        <v>0.42911199999999999</v>
      </c>
      <c r="C90" s="54">
        <v>0.42825377599999997</v>
      </c>
      <c r="D90" s="54">
        <v>0.42744009382559994</v>
      </c>
      <c r="E90" s="54">
        <v>0.4266279576473313</v>
      </c>
      <c r="F90" s="54">
        <v>0.42581736452780139</v>
      </c>
      <c r="G90" s="54">
        <v>0.42500831153519858</v>
      </c>
      <c r="H90" s="54">
        <v>0.42420079574328168</v>
      </c>
      <c r="I90" s="54">
        <v>0.4233523941517951</v>
      </c>
      <c r="J90" s="54">
        <v>0.42250568936349153</v>
      </c>
      <c r="K90" s="54">
        <v>0.42161842741582822</v>
      </c>
      <c r="L90" s="54">
        <v>0.42073302871825496</v>
      </c>
      <c r="M90" s="54">
        <v>0.41980741605507482</v>
      </c>
      <c r="N90" s="54">
        <v>0.41884185899814819</v>
      </c>
      <c r="O90" s="54">
        <v>0.41783663853655267</v>
      </c>
      <c r="P90" s="54">
        <v>0.41679204694021132</v>
      </c>
      <c r="Q90" s="54">
        <v>0.41570838761816675</v>
      </c>
      <c r="R90" s="54">
        <v>0.41462754581035949</v>
      </c>
      <c r="S90" s="54">
        <v>0.41350805143667152</v>
      </c>
      <c r="T90" s="53">
        <v>0.41235022889264883</v>
      </c>
      <c r="U90" s="53">
        <v>0.41115441322886015</v>
      </c>
      <c r="V90" s="53">
        <v>0.40992094998917356</v>
      </c>
      <c r="W90" s="53">
        <v>0.40869118713920605</v>
      </c>
      <c r="X90" s="53">
        <v>0.40746511357778842</v>
      </c>
      <c r="Y90" s="53">
        <v>0.40624271823705504</v>
      </c>
      <c r="Z90" s="53">
        <v>0.40502399008234385</v>
      </c>
      <c r="AA90" s="53">
        <v>0.40380891811209685</v>
      </c>
      <c r="AB90" s="53">
        <v>0.40259749135776057</v>
      </c>
      <c r="AC90" s="53">
        <v>0.40138969888368731</v>
      </c>
      <c r="AD90" s="53">
        <v>0.40018552978703625</v>
      </c>
      <c r="AE90" s="53">
        <v>0.39898497319767512</v>
      </c>
      <c r="AF90" s="53">
        <v>0.39778801827808208</v>
      </c>
      <c r="AG90" s="53">
        <v>0.39659465422324786</v>
      </c>
      <c r="AH90" s="53">
        <v>0.39540487026057813</v>
      </c>
      <c r="AI90" s="53">
        <v>0.39421865564979641</v>
      </c>
      <c r="AJ90" s="53">
        <v>0.39303599968284703</v>
      </c>
      <c r="AK90" s="53">
        <v>0.3918568916837985</v>
      </c>
      <c r="AL90" s="53">
        <v>0.39068132100874708</v>
      </c>
      <c r="AM90" s="53">
        <v>0.38950927704572086</v>
      </c>
      <c r="AN90" s="53">
        <v>0.38834074921458367</v>
      </c>
      <c r="AO90" s="53">
        <v>0.38717572696693991</v>
      </c>
      <c r="AP90" s="53">
        <v>0.38601419978603907</v>
      </c>
      <c r="AQ90" s="53">
        <v>0.38485615718668092</v>
      </c>
      <c r="AR90" s="53">
        <v>0.38370158871512089</v>
      </c>
      <c r="AS90" s="53">
        <v>0.38255048394897551</v>
      </c>
      <c r="AT90" s="53">
        <v>0.38140283249712859</v>
      </c>
      <c r="AU90" s="53">
        <v>0.38025862399963722</v>
      </c>
      <c r="AV90" s="53">
        <v>0.37911784812763832</v>
      </c>
      <c r="AW90" s="53">
        <v>0.37798049458325539</v>
      </c>
      <c r="AX90" s="53">
        <v>0.3768465530995056</v>
      </c>
      <c r="AY90" s="53">
        <v>0.37571601344020711</v>
      </c>
      <c r="AZ90" s="53">
        <v>0.37458886539988651</v>
      </c>
      <c r="BA90" s="53">
        <v>0.37346509880368683</v>
      </c>
      <c r="BB90" s="53">
        <v>0.37234470350727578</v>
      </c>
      <c r="BC90" s="53">
        <v>0.37122766939675395</v>
      </c>
      <c r="BD90" s="53">
        <v>0.37011398638856369</v>
      </c>
      <c r="BE90" s="53">
        <v>0.36900364442939798</v>
      </c>
      <c r="BF90" s="53">
        <v>0.36789663349610979</v>
      </c>
      <c r="BG90" s="53">
        <v>0.36679294359562148</v>
      </c>
      <c r="BH90" s="53">
        <v>0.36569256476483464</v>
      </c>
      <c r="BI90" s="53">
        <v>0.36459548707054013</v>
      </c>
      <c r="BJ90" s="53">
        <v>0.36350170060932852</v>
      </c>
      <c r="BK90" s="53">
        <v>0.36241119550750051</v>
      </c>
      <c r="BL90" s="53">
        <v>0.36132396192097799</v>
      </c>
      <c r="BM90" s="53">
        <v>0.36023999003521506</v>
      </c>
      <c r="BN90" s="53">
        <v>0.35915927006510939</v>
      </c>
      <c r="BO90" s="53">
        <v>0.35808179225491404</v>
      </c>
      <c r="BP90" s="53">
        <v>0.35700754687814928</v>
      </c>
      <c r="BQ90" s="53">
        <v>0.35593652423751482</v>
      </c>
      <c r="BR90" s="53">
        <v>0.3548687146648023</v>
      </c>
      <c r="BS90" s="53">
        <v>0.3538041085208079</v>
      </c>
      <c r="BT90" s="53">
        <v>0.35274269619524545</v>
      </c>
      <c r="BU90" s="53">
        <v>0.35168446810665971</v>
      </c>
      <c r="BV90" s="53">
        <v>0.35062941470233971</v>
      </c>
      <c r="BW90" s="53">
        <v>0.3495775264582327</v>
      </c>
      <c r="BX90" s="53">
        <v>0.34852879387885799</v>
      </c>
      <c r="BY90" s="53">
        <v>0.34748320749722139</v>
      </c>
      <c r="BZ90" s="53">
        <v>0.34644075787472972</v>
      </c>
      <c r="CA90" s="53">
        <v>0.34540143560110553</v>
      </c>
      <c r="CB90" s="53">
        <v>0.34436523129430224</v>
      </c>
      <c r="CC90" s="53">
        <v>0.34333213560041931</v>
      </c>
      <c r="CD90" s="53">
        <v>0.34230213919361807</v>
      </c>
      <c r="CE90" s="53">
        <v>0.34127523277603722</v>
      </c>
      <c r="CF90" s="53">
        <v>0.34025140707770912</v>
      </c>
      <c r="CG90" s="53">
        <v>0.33923065285647597</v>
      </c>
      <c r="CH90" s="53">
        <v>0.33821296089790653</v>
      </c>
      <c r="CI90" s="53">
        <v>0.33719832201521283</v>
      </c>
      <c r="CJ90" s="53">
        <v>0.33618672704916719</v>
      </c>
      <c r="CK90" s="53">
        <v>0.33517816686801971</v>
      </c>
      <c r="CL90" s="53">
        <v>0.33417263236741568</v>
      </c>
      <c r="CM90" s="53">
        <v>0.33317011447031342</v>
      </c>
      <c r="CN90" s="53">
        <v>0.33217060412690247</v>
      </c>
      <c r="CO90" s="53">
        <v>0.33117409231452177</v>
      </c>
      <c r="CP90" s="53">
        <v>0.33018057003757822</v>
      </c>
      <c r="CQ90" s="53">
        <v>0.32919002832746547</v>
      </c>
      <c r="CR90" s="53">
        <v>0.32820245824248306</v>
      </c>
      <c r="CS90" s="53">
        <v>0.32721785086775562</v>
      </c>
      <c r="CT90" s="53">
        <v>0.32623619731515235</v>
      </c>
      <c r="CU90" s="53">
        <v>0.32525748872320692</v>
      </c>
      <c r="CV90" s="53">
        <v>0.32428171625703728</v>
      </c>
      <c r="CW90" s="53">
        <v>0.32330887110826617</v>
      </c>
      <c r="CX90" s="53">
        <v>0.32233894449494138</v>
      </c>
      <c r="CY90" s="28">
        <v>0.32137192766145656</v>
      </c>
    </row>
    <row r="91" spans="1:103">
      <c r="A91" s="54">
        <v>109</v>
      </c>
      <c r="B91" s="54">
        <v>0.446544</v>
      </c>
      <c r="C91" s="54">
        <v>0.44578487519999999</v>
      </c>
      <c r="D91" s="54">
        <v>0.44507161939967999</v>
      </c>
      <c r="E91" s="54">
        <v>0.4443595048086405</v>
      </c>
      <c r="F91" s="54">
        <v>0.44364852960094664</v>
      </c>
      <c r="G91" s="54">
        <v>0.4429386919535851</v>
      </c>
      <c r="H91" s="54">
        <v>0.44222999004645935</v>
      </c>
      <c r="I91" s="54">
        <v>0.44147819906338037</v>
      </c>
      <c r="J91" s="54">
        <v>0.4407276861249726</v>
      </c>
      <c r="K91" s="54">
        <v>0.43993437628994764</v>
      </c>
      <c r="L91" s="54">
        <v>0.43914249441262571</v>
      </c>
      <c r="M91" s="54">
        <v>0.43830812367324173</v>
      </c>
      <c r="N91" s="54">
        <v>0.43743150742589526</v>
      </c>
      <c r="O91" s="54">
        <v>0.43655664441104347</v>
      </c>
      <c r="P91" s="54">
        <v>0.43563987545778027</v>
      </c>
      <c r="Q91" s="54">
        <v>0.43468146773177319</v>
      </c>
      <c r="R91" s="54">
        <v>0.43368170035599013</v>
      </c>
      <c r="S91" s="54">
        <v>0.43268423244517135</v>
      </c>
      <c r="T91" s="53">
        <v>0.43164579028730293</v>
      </c>
      <c r="U91" s="53">
        <v>0.4305666758115847</v>
      </c>
      <c r="V91" s="53">
        <v>0.42944720245447454</v>
      </c>
      <c r="W91" s="53">
        <v>0.42833063972809288</v>
      </c>
      <c r="X91" s="53">
        <v>0.4272169800647998</v>
      </c>
      <c r="Y91" s="53">
        <v>0.42610621591663128</v>
      </c>
      <c r="Z91" s="53">
        <v>0.42499833975524803</v>
      </c>
      <c r="AA91" s="53">
        <v>0.42389334407188439</v>
      </c>
      <c r="AB91" s="53">
        <v>0.42279122137729747</v>
      </c>
      <c r="AC91" s="53">
        <v>0.42169196420171645</v>
      </c>
      <c r="AD91" s="53">
        <v>0.42059556509479196</v>
      </c>
      <c r="AE91" s="53">
        <v>0.41950201662554548</v>
      </c>
      <c r="AF91" s="53">
        <v>0.41841131138231902</v>
      </c>
      <c r="AG91" s="53">
        <v>0.41732344197272497</v>
      </c>
      <c r="AH91" s="53">
        <v>0.41623840102359588</v>
      </c>
      <c r="AI91" s="53">
        <v>0.4151561811809345</v>
      </c>
      <c r="AJ91" s="53">
        <v>0.41407677510986407</v>
      </c>
      <c r="AK91" s="53">
        <v>0.4130001754945784</v>
      </c>
      <c r="AL91" s="53">
        <v>0.41192637503829249</v>
      </c>
      <c r="AM91" s="53">
        <v>0.41085536646319293</v>
      </c>
      <c r="AN91" s="53">
        <v>0.40978714251038861</v>
      </c>
      <c r="AO91" s="53">
        <v>0.40872169593986157</v>
      </c>
      <c r="AP91" s="53">
        <v>0.40765901953041789</v>
      </c>
      <c r="AQ91" s="53">
        <v>0.40659910607963878</v>
      </c>
      <c r="AR91" s="53">
        <v>0.40554194840383173</v>
      </c>
      <c r="AS91" s="53">
        <v>0.40448753933798176</v>
      </c>
      <c r="AT91" s="53">
        <v>0.403435871735703</v>
      </c>
      <c r="AU91" s="53">
        <v>0.40238693846919016</v>
      </c>
      <c r="AV91" s="53">
        <v>0.40134073242917023</v>
      </c>
      <c r="AW91" s="53">
        <v>0.40029724652485438</v>
      </c>
      <c r="AX91" s="53">
        <v>0.39925647368388972</v>
      </c>
      <c r="AY91" s="53">
        <v>0.39821840685231158</v>
      </c>
      <c r="AZ91" s="53">
        <v>0.39718303899449553</v>
      </c>
      <c r="BA91" s="53">
        <v>0.3961503630931098</v>
      </c>
      <c r="BB91" s="53">
        <v>0.3951203721490677</v>
      </c>
      <c r="BC91" s="53">
        <v>0.39409305918148013</v>
      </c>
      <c r="BD91" s="53">
        <v>0.39306841722760827</v>
      </c>
      <c r="BE91" s="53">
        <v>0.39204643934281647</v>
      </c>
      <c r="BF91" s="53">
        <v>0.39102711860052514</v>
      </c>
      <c r="BG91" s="53">
        <v>0.39001044809216373</v>
      </c>
      <c r="BH91" s="53">
        <v>0.38899642092712411</v>
      </c>
      <c r="BI91" s="53">
        <v>0.38798503023271358</v>
      </c>
      <c r="BJ91" s="53">
        <v>0.38697626915410849</v>
      </c>
      <c r="BK91" s="53">
        <v>0.38597013085430781</v>
      </c>
      <c r="BL91" s="53">
        <v>0.38496660851408659</v>
      </c>
      <c r="BM91" s="53">
        <v>0.38396569533194996</v>
      </c>
      <c r="BN91" s="53">
        <v>0.38296738452408685</v>
      </c>
      <c r="BO91" s="53">
        <v>0.38197166932432419</v>
      </c>
      <c r="BP91" s="53">
        <v>0.38097854298408096</v>
      </c>
      <c r="BQ91" s="53">
        <v>0.37998799877232231</v>
      </c>
      <c r="BR91" s="53">
        <v>0.37900002997551424</v>
      </c>
      <c r="BS91" s="53">
        <v>0.37801462989757789</v>
      </c>
      <c r="BT91" s="53">
        <v>0.37703179185984415</v>
      </c>
      <c r="BU91" s="53">
        <v>0.37605150920100855</v>
      </c>
      <c r="BV91" s="53">
        <v>0.37507377527708591</v>
      </c>
      <c r="BW91" s="53">
        <v>0.37409858346136549</v>
      </c>
      <c r="BX91" s="53">
        <v>0.37312592714436593</v>
      </c>
      <c r="BY91" s="53">
        <v>0.37215579973379054</v>
      </c>
      <c r="BZ91" s="53">
        <v>0.37118819465448266</v>
      </c>
      <c r="CA91" s="53">
        <v>0.37022310534838099</v>
      </c>
      <c r="CB91" s="53">
        <v>0.36926052527447517</v>
      </c>
      <c r="CC91" s="53">
        <v>0.36830044790876154</v>
      </c>
      <c r="CD91" s="53">
        <v>0.36734286674419875</v>
      </c>
      <c r="CE91" s="53">
        <v>0.3663877752906638</v>
      </c>
      <c r="CF91" s="53">
        <v>0.36543516707490803</v>
      </c>
      <c r="CG91" s="53">
        <v>0.36448503564051327</v>
      </c>
      <c r="CH91" s="53">
        <v>0.3635373745478479</v>
      </c>
      <c r="CI91" s="53">
        <v>0.36259217737402349</v>
      </c>
      <c r="CJ91" s="53">
        <v>0.36164943771285102</v>
      </c>
      <c r="CK91" s="53">
        <v>0.36070914917479757</v>
      </c>
      <c r="CL91" s="53">
        <v>0.35977130538694307</v>
      </c>
      <c r="CM91" s="53">
        <v>0.35883589999293702</v>
      </c>
      <c r="CN91" s="53">
        <v>0.35790292665295537</v>
      </c>
      <c r="CO91" s="53">
        <v>0.35697237904365764</v>
      </c>
      <c r="CP91" s="53">
        <v>0.35604425085814412</v>
      </c>
      <c r="CQ91" s="53">
        <v>0.3551185358059129</v>
      </c>
      <c r="CR91" s="53">
        <v>0.35419522761281752</v>
      </c>
      <c r="CS91" s="53">
        <v>0.35327432002102416</v>
      </c>
      <c r="CT91" s="53">
        <v>0.35235580678896949</v>
      </c>
      <c r="CU91" s="53">
        <v>0.35143968169131817</v>
      </c>
      <c r="CV91" s="53">
        <v>0.35052593851892072</v>
      </c>
      <c r="CW91" s="53">
        <v>0.34961457107877153</v>
      </c>
      <c r="CX91" s="53">
        <v>0.34870557319396672</v>
      </c>
      <c r="CY91" s="28">
        <v>0.34779893870366241</v>
      </c>
    </row>
    <row r="92" spans="1:103">
      <c r="A92" s="54">
        <v>110</v>
      </c>
      <c r="B92" s="54">
        <v>0.463061</v>
      </c>
      <c r="C92" s="54">
        <v>0.4624127146</v>
      </c>
      <c r="D92" s="54">
        <v>0.46176533679956</v>
      </c>
      <c r="E92" s="54">
        <v>0.46116504186172058</v>
      </c>
      <c r="F92" s="54">
        <v>0.46056552730730038</v>
      </c>
      <c r="G92" s="54">
        <v>0.45996679212180092</v>
      </c>
      <c r="H92" s="54">
        <v>0.45932283861283041</v>
      </c>
      <c r="I92" s="54">
        <v>0.45867978663877246</v>
      </c>
      <c r="J92" s="54">
        <v>0.45803763493747818</v>
      </c>
      <c r="K92" s="54">
        <v>0.45735057848507199</v>
      </c>
      <c r="L92" s="54">
        <v>0.4566645526173444</v>
      </c>
      <c r="M92" s="54">
        <v>0.45593388933315665</v>
      </c>
      <c r="N92" s="54">
        <v>0.45520439511022359</v>
      </c>
      <c r="O92" s="54">
        <v>0.45443054763853619</v>
      </c>
      <c r="P92" s="54">
        <v>0.45361257265278682</v>
      </c>
      <c r="Q92" s="54">
        <v>0.45279607002201178</v>
      </c>
      <c r="R92" s="54">
        <v>0.45193575748896997</v>
      </c>
      <c r="S92" s="54">
        <v>0.45103188597399202</v>
      </c>
      <c r="T92" s="53">
        <v>0.45012982220204406</v>
      </c>
      <c r="U92" s="53">
        <v>0.44918454957541976</v>
      </c>
      <c r="V92" s="53">
        <v>0.44824126202131137</v>
      </c>
      <c r="W92" s="53">
        <v>0.44729995537106665</v>
      </c>
      <c r="X92" s="53">
        <v>0.44636062546478739</v>
      </c>
      <c r="Y92" s="53">
        <v>0.44542326815131134</v>
      </c>
      <c r="Z92" s="53">
        <v>0.44448787928819361</v>
      </c>
      <c r="AA92" s="53">
        <v>0.44355445474168842</v>
      </c>
      <c r="AB92" s="53">
        <v>0.44262299038673086</v>
      </c>
      <c r="AC92" s="53">
        <v>0.44169348210691872</v>
      </c>
      <c r="AD92" s="53">
        <v>0.4407659257944942</v>
      </c>
      <c r="AE92" s="53">
        <v>0.43984031735032575</v>
      </c>
      <c r="AF92" s="53">
        <v>0.43891665268389007</v>
      </c>
      <c r="AG92" s="53">
        <v>0.43799492771325393</v>
      </c>
      <c r="AH92" s="53">
        <v>0.43707513836505613</v>
      </c>
      <c r="AI92" s="53">
        <v>0.43615728057448949</v>
      </c>
      <c r="AJ92" s="53">
        <v>0.43524135028528305</v>
      </c>
      <c r="AK92" s="53">
        <v>0.43432734344968393</v>
      </c>
      <c r="AL92" s="53">
        <v>0.43341525602843961</v>
      </c>
      <c r="AM92" s="53">
        <v>0.43250508399077991</v>
      </c>
      <c r="AN92" s="53">
        <v>0.4315968233143993</v>
      </c>
      <c r="AO92" s="53">
        <v>0.43069046998543908</v>
      </c>
      <c r="AP92" s="53">
        <v>0.42978601999846966</v>
      </c>
      <c r="AQ92" s="53">
        <v>0.42888346935647287</v>
      </c>
      <c r="AR92" s="53">
        <v>0.42798281407082428</v>
      </c>
      <c r="AS92" s="53">
        <v>0.42708405016127554</v>
      </c>
      <c r="AT92" s="53">
        <v>0.42618717365593689</v>
      </c>
      <c r="AU92" s="53">
        <v>0.42529218059125945</v>
      </c>
      <c r="AV92" s="53">
        <v>0.42439906701201779</v>
      </c>
      <c r="AW92" s="53">
        <v>0.42350782897129258</v>
      </c>
      <c r="AX92" s="53">
        <v>0.42261846253045288</v>
      </c>
      <c r="AY92" s="53">
        <v>0.42173096375913893</v>
      </c>
      <c r="AZ92" s="53">
        <v>0.42084532873524477</v>
      </c>
      <c r="BA92" s="53">
        <v>0.41996155354490078</v>
      </c>
      <c r="BB92" s="53">
        <v>0.41907963428245648</v>
      </c>
      <c r="BC92" s="53">
        <v>0.41819956705046335</v>
      </c>
      <c r="BD92" s="53">
        <v>0.41732134795965736</v>
      </c>
      <c r="BE92" s="53">
        <v>0.41644497312894208</v>
      </c>
      <c r="BF92" s="53">
        <v>0.4155704386853713</v>
      </c>
      <c r="BG92" s="53">
        <v>0.41469774076413202</v>
      </c>
      <c r="BH92" s="53">
        <v>0.41382687550852737</v>
      </c>
      <c r="BI92" s="53">
        <v>0.41295783906995948</v>
      </c>
      <c r="BJ92" s="53">
        <v>0.41209062760791254</v>
      </c>
      <c r="BK92" s="53">
        <v>0.41122523728993593</v>
      </c>
      <c r="BL92" s="53">
        <v>0.41036166429162707</v>
      </c>
      <c r="BM92" s="53">
        <v>0.40949990479661463</v>
      </c>
      <c r="BN92" s="53">
        <v>0.40863995499654177</v>
      </c>
      <c r="BO92" s="53">
        <v>0.40778181109104905</v>
      </c>
      <c r="BP92" s="53">
        <v>0.40692546928775786</v>
      </c>
      <c r="BQ92" s="53">
        <v>0.40607092580225357</v>
      </c>
      <c r="BR92" s="53">
        <v>0.40521817685806882</v>
      </c>
      <c r="BS92" s="53">
        <v>0.40436721868666686</v>
      </c>
      <c r="BT92" s="53">
        <v>0.40351804752742487</v>
      </c>
      <c r="BU92" s="53">
        <v>0.40267065962761728</v>
      </c>
      <c r="BV92" s="53">
        <v>0.40182505124239931</v>
      </c>
      <c r="BW92" s="53">
        <v>0.4009812186347903</v>
      </c>
      <c r="BX92" s="53">
        <v>0.40013915807565725</v>
      </c>
      <c r="BY92" s="53">
        <v>0.39929886584369839</v>
      </c>
      <c r="BZ92" s="53">
        <v>0.39846033822542665</v>
      </c>
      <c r="CA92" s="53">
        <v>0.39762357151515326</v>
      </c>
      <c r="CB92" s="53">
        <v>0.39678856201497142</v>
      </c>
      <c r="CC92" s="53">
        <v>0.39595530603474</v>
      </c>
      <c r="CD92" s="53">
        <v>0.39512379989206703</v>
      </c>
      <c r="CE92" s="53">
        <v>0.39429403991229367</v>
      </c>
      <c r="CF92" s="53">
        <v>0.39346602242847784</v>
      </c>
      <c r="CG92" s="53">
        <v>0.39263974378137806</v>
      </c>
      <c r="CH92" s="53">
        <v>0.39181520031943717</v>
      </c>
      <c r="CI92" s="53">
        <v>0.39099238839876638</v>
      </c>
      <c r="CJ92" s="53">
        <v>0.39017130438312897</v>
      </c>
      <c r="CK92" s="53">
        <v>0.38935194464392442</v>
      </c>
      <c r="CL92" s="53">
        <v>0.38853430556017216</v>
      </c>
      <c r="CM92" s="53">
        <v>0.3877183835184958</v>
      </c>
      <c r="CN92" s="53">
        <v>0.38690417491310697</v>
      </c>
      <c r="CO92" s="53">
        <v>0.38609167614578943</v>
      </c>
      <c r="CP92" s="53">
        <v>0.38528088362588325</v>
      </c>
      <c r="CQ92" s="53">
        <v>0.38447179377026891</v>
      </c>
      <c r="CR92" s="53">
        <v>0.38366440300335136</v>
      </c>
      <c r="CS92" s="53">
        <v>0.38285870775704434</v>
      </c>
      <c r="CT92" s="53">
        <v>0.38205470447075457</v>
      </c>
      <c r="CU92" s="53">
        <v>0.38125238959136598</v>
      </c>
      <c r="CV92" s="53">
        <v>0.38045175957322414</v>
      </c>
      <c r="CW92" s="53">
        <v>0.37965281087812036</v>
      </c>
      <c r="CX92" s="53">
        <v>0.37885553997527632</v>
      </c>
      <c r="CY92" s="28">
        <v>0.37805994334132825</v>
      </c>
    </row>
    <row r="93" spans="1:103">
      <c r="A93" s="54">
        <v>111</v>
      </c>
      <c r="B93" s="54">
        <v>0.47860399999999997</v>
      </c>
      <c r="C93" s="54">
        <v>0.47807753559999999</v>
      </c>
      <c r="D93" s="54">
        <v>0.47755165031084001</v>
      </c>
      <c r="E93" s="54">
        <v>0.47702634349549811</v>
      </c>
      <c r="F93" s="54">
        <v>0.47650161451765305</v>
      </c>
      <c r="G93" s="54">
        <v>0.47597746274168362</v>
      </c>
      <c r="H93" s="54">
        <v>0.47545388753266776</v>
      </c>
      <c r="I93" s="54">
        <v>0.47493088825638186</v>
      </c>
      <c r="J93" s="54">
        <v>0.47436097119047421</v>
      </c>
      <c r="K93" s="54">
        <v>0.47379173802504565</v>
      </c>
      <c r="L93" s="54">
        <v>0.47322318793941559</v>
      </c>
      <c r="M93" s="54">
        <v>0.47260799779509438</v>
      </c>
      <c r="N93" s="54">
        <v>0.47199360739796076</v>
      </c>
      <c r="O93" s="54">
        <v>0.47133281634760366</v>
      </c>
      <c r="P93" s="54">
        <v>0.47067295040471702</v>
      </c>
      <c r="Q93" s="54">
        <v>0.46996694097910996</v>
      </c>
      <c r="R93" s="54">
        <v>0.46926199056764134</v>
      </c>
      <c r="S93" s="54">
        <v>0.46851117138273307</v>
      </c>
      <c r="T93" s="53">
        <v>0.46776155350852067</v>
      </c>
      <c r="U93" s="53">
        <v>0.46696635886755616</v>
      </c>
      <c r="V93" s="53">
        <v>0.46617251605748128</v>
      </c>
      <c r="W93" s="53">
        <v>0.46538002278018353</v>
      </c>
      <c r="X93" s="53">
        <v>0.46458887674145721</v>
      </c>
      <c r="Y93" s="53">
        <v>0.46379907565099671</v>
      </c>
      <c r="Z93" s="53">
        <v>0.46301061722239001</v>
      </c>
      <c r="AA93" s="53">
        <v>0.46222349917311195</v>
      </c>
      <c r="AB93" s="53">
        <v>0.46143771922451765</v>
      </c>
      <c r="AC93" s="53">
        <v>0.46065327510183596</v>
      </c>
      <c r="AD93" s="53">
        <v>0.4598701645341628</v>
      </c>
      <c r="AE93" s="53">
        <v>0.45908838525445472</v>
      </c>
      <c r="AF93" s="53">
        <v>0.45830793499952216</v>
      </c>
      <c r="AG93" s="53">
        <v>0.45752881151002295</v>
      </c>
      <c r="AH93" s="53">
        <v>0.45675101253045591</v>
      </c>
      <c r="AI93" s="53">
        <v>0.45597453580915415</v>
      </c>
      <c r="AJ93" s="53">
        <v>0.45519937909827857</v>
      </c>
      <c r="AK93" s="53">
        <v>0.45442554015381148</v>
      </c>
      <c r="AL93" s="53">
        <v>0.45365301673554997</v>
      </c>
      <c r="AM93" s="53">
        <v>0.45288180660709954</v>
      </c>
      <c r="AN93" s="53">
        <v>0.45211190753586744</v>
      </c>
      <c r="AO93" s="53">
        <v>0.45134331729305643</v>
      </c>
      <c r="AP93" s="53">
        <v>0.45057603365365823</v>
      </c>
      <c r="AQ93" s="53">
        <v>0.449810054396447</v>
      </c>
      <c r="AR93" s="53">
        <v>0.44904537730397304</v>
      </c>
      <c r="AS93" s="53">
        <v>0.44828200016255626</v>
      </c>
      <c r="AT93" s="53">
        <v>0.44751992076227992</v>
      </c>
      <c r="AU93" s="53">
        <v>0.44675913689698404</v>
      </c>
      <c r="AV93" s="53">
        <v>0.44599964636425915</v>
      </c>
      <c r="AW93" s="53">
        <v>0.44524144696543988</v>
      </c>
      <c r="AX93" s="53">
        <v>0.4444845365055986</v>
      </c>
      <c r="AY93" s="53">
        <v>0.4437289127935391</v>
      </c>
      <c r="AZ93" s="53">
        <v>0.44297457364179005</v>
      </c>
      <c r="BA93" s="53">
        <v>0.442221516866599</v>
      </c>
      <c r="BB93" s="53">
        <v>0.44146974028792574</v>
      </c>
      <c r="BC93" s="53">
        <v>0.44071924172943627</v>
      </c>
      <c r="BD93" s="53">
        <v>0.43997001901849619</v>
      </c>
      <c r="BE93" s="53">
        <v>0.43922206998616475</v>
      </c>
      <c r="BF93" s="53">
        <v>0.43847539246718825</v>
      </c>
      <c r="BG93" s="53">
        <v>0.43772998429999399</v>
      </c>
      <c r="BH93" s="53">
        <v>0.436985843326684</v>
      </c>
      <c r="BI93" s="53">
        <v>0.43624296739302865</v>
      </c>
      <c r="BJ93" s="53">
        <v>0.43550135434846049</v>
      </c>
      <c r="BK93" s="53">
        <v>0.4347610020460681</v>
      </c>
      <c r="BL93" s="53">
        <v>0.43402190834258975</v>
      </c>
      <c r="BM93" s="53">
        <v>0.43328407109840733</v>
      </c>
      <c r="BN93" s="53">
        <v>0.43254748817754002</v>
      </c>
      <c r="BO93" s="53">
        <v>0.43181215744763818</v>
      </c>
      <c r="BP93" s="53">
        <v>0.43107807677997717</v>
      </c>
      <c r="BQ93" s="53">
        <v>0.43034524404945118</v>
      </c>
      <c r="BR93" s="53">
        <v>0.42961365713456712</v>
      </c>
      <c r="BS93" s="53">
        <v>0.42888331391743834</v>
      </c>
      <c r="BT93" s="53">
        <v>0.4281542122837787</v>
      </c>
      <c r="BU93" s="53">
        <v>0.42742635012289626</v>
      </c>
      <c r="BV93" s="53">
        <v>0.4266997253276873</v>
      </c>
      <c r="BW93" s="53">
        <v>0.42597433579463023</v>
      </c>
      <c r="BX93" s="53">
        <v>0.42525017942377935</v>
      </c>
      <c r="BY93" s="53">
        <v>0.42452725411875891</v>
      </c>
      <c r="BZ93" s="53">
        <v>0.42380555778675699</v>
      </c>
      <c r="CA93" s="53">
        <v>0.42308508833851949</v>
      </c>
      <c r="CB93" s="53">
        <v>0.42236584368834401</v>
      </c>
      <c r="CC93" s="53">
        <v>0.42164782175407384</v>
      </c>
      <c r="CD93" s="53">
        <v>0.42093102045709191</v>
      </c>
      <c r="CE93" s="53">
        <v>0.42021543772231484</v>
      </c>
      <c r="CF93" s="53">
        <v>0.41950107147818688</v>
      </c>
      <c r="CG93" s="53">
        <v>0.41878791965667395</v>
      </c>
      <c r="CH93" s="53">
        <v>0.41807598019325759</v>
      </c>
      <c r="CI93" s="53">
        <v>0.41736525102692906</v>
      </c>
      <c r="CJ93" s="53">
        <v>0.41665573010018325</v>
      </c>
      <c r="CK93" s="53">
        <v>0.41594741535901292</v>
      </c>
      <c r="CL93" s="53">
        <v>0.41524030475290258</v>
      </c>
      <c r="CM93" s="53">
        <v>0.41453439623482263</v>
      </c>
      <c r="CN93" s="53">
        <v>0.41382968776122342</v>
      </c>
      <c r="CO93" s="53">
        <v>0.41312617729202933</v>
      </c>
      <c r="CP93" s="53">
        <v>0.41242386279063287</v>
      </c>
      <c r="CQ93" s="53">
        <v>0.41172274222388877</v>
      </c>
      <c r="CR93" s="53">
        <v>0.41102281356210812</v>
      </c>
      <c r="CS93" s="53">
        <v>0.41032407477905253</v>
      </c>
      <c r="CT93" s="53">
        <v>0.4096265238519281</v>
      </c>
      <c r="CU93" s="53">
        <v>0.40893015876137984</v>
      </c>
      <c r="CV93" s="53">
        <v>0.40823497749148546</v>
      </c>
      <c r="CW93" s="53">
        <v>0.40754097802974992</v>
      </c>
      <c r="CX93" s="53">
        <v>0.40684815836709931</v>
      </c>
      <c r="CY93" s="28">
        <v>0.40615651649787521</v>
      </c>
    </row>
    <row r="94" spans="1:103">
      <c r="A94" s="54">
        <v>112</v>
      </c>
      <c r="B94" s="54">
        <v>0.49313699999999999</v>
      </c>
      <c r="C94" s="54">
        <v>0.49274249039999996</v>
      </c>
      <c r="D94" s="54">
        <v>0.49234829640767996</v>
      </c>
      <c r="E94" s="54">
        <v>0.49195441777055382</v>
      </c>
      <c r="F94" s="54">
        <v>0.49156085423633739</v>
      </c>
      <c r="G94" s="54">
        <v>0.49116760555294831</v>
      </c>
      <c r="H94" s="54">
        <v>0.49077467146850595</v>
      </c>
      <c r="I94" s="54">
        <v>0.49038205173133115</v>
      </c>
      <c r="J94" s="54">
        <v>0.48994070788477295</v>
      </c>
      <c r="K94" s="54">
        <v>0.48949976124767663</v>
      </c>
      <c r="L94" s="54">
        <v>0.48905921146255371</v>
      </c>
      <c r="M94" s="54">
        <v>0.48861905817223739</v>
      </c>
      <c r="N94" s="54">
        <v>0.48813043911406517</v>
      </c>
      <c r="O94" s="54">
        <v>0.48764230867495112</v>
      </c>
      <c r="P94" s="54">
        <v>0.48710590213540866</v>
      </c>
      <c r="Q94" s="54">
        <v>0.4865700856430597</v>
      </c>
      <c r="R94" s="54">
        <v>0.48603485854885237</v>
      </c>
      <c r="S94" s="54">
        <v>0.48545161671859377</v>
      </c>
      <c r="T94" s="53">
        <v>0.48486907477853147</v>
      </c>
      <c r="U94" s="53">
        <v>0.48428723188879724</v>
      </c>
      <c r="V94" s="53">
        <v>0.48365765848734182</v>
      </c>
      <c r="W94" s="53">
        <v>0.48302890353130828</v>
      </c>
      <c r="X94" s="53">
        <v>0.48240096595671761</v>
      </c>
      <c r="Y94" s="53">
        <v>0.4817738447009739</v>
      </c>
      <c r="Z94" s="53">
        <v>0.48114753870286264</v>
      </c>
      <c r="AA94" s="53">
        <v>0.48052204690254896</v>
      </c>
      <c r="AB94" s="53">
        <v>0.47989736824157564</v>
      </c>
      <c r="AC94" s="53">
        <v>0.47927350166286159</v>
      </c>
      <c r="AD94" s="53">
        <v>0.4786504461106999</v>
      </c>
      <c r="AE94" s="53">
        <v>0.47802820053075601</v>
      </c>
      <c r="AF94" s="53">
        <v>0.47740676387006603</v>
      </c>
      <c r="AG94" s="53">
        <v>0.47678613507703493</v>
      </c>
      <c r="AH94" s="53">
        <v>0.47616631310143481</v>
      </c>
      <c r="AI94" s="53">
        <v>0.47554729689440295</v>
      </c>
      <c r="AJ94" s="53">
        <v>0.47492908540844025</v>
      </c>
      <c r="AK94" s="53">
        <v>0.47431167759740928</v>
      </c>
      <c r="AL94" s="53">
        <v>0.47369507241653264</v>
      </c>
      <c r="AM94" s="53">
        <v>0.47307926882239115</v>
      </c>
      <c r="AN94" s="53">
        <v>0.47246426577292205</v>
      </c>
      <c r="AO94" s="53">
        <v>0.47185006222741727</v>
      </c>
      <c r="AP94" s="53">
        <v>0.47123665714652163</v>
      </c>
      <c r="AQ94" s="53">
        <v>0.47062404949223119</v>
      </c>
      <c r="AR94" s="53">
        <v>0.47001223822789129</v>
      </c>
      <c r="AS94" s="53">
        <v>0.46940122231819503</v>
      </c>
      <c r="AT94" s="53">
        <v>0.4687910007291814</v>
      </c>
      <c r="AU94" s="53">
        <v>0.46818157242823349</v>
      </c>
      <c r="AV94" s="53">
        <v>0.46757293638407682</v>
      </c>
      <c r="AW94" s="53">
        <v>0.46696509156677751</v>
      </c>
      <c r="AX94" s="53">
        <v>0.4663580369477407</v>
      </c>
      <c r="AY94" s="53">
        <v>0.46575177149970864</v>
      </c>
      <c r="AZ94" s="53">
        <v>0.46514629419675901</v>
      </c>
      <c r="BA94" s="53">
        <v>0.46454160401430322</v>
      </c>
      <c r="BB94" s="53">
        <v>0.46393769992908462</v>
      </c>
      <c r="BC94" s="53">
        <v>0.46333458091917684</v>
      </c>
      <c r="BD94" s="53">
        <v>0.46273224596398194</v>
      </c>
      <c r="BE94" s="53">
        <v>0.4621306940442288</v>
      </c>
      <c r="BF94" s="53">
        <v>0.4615299241419713</v>
      </c>
      <c r="BG94" s="53">
        <v>0.46092993524058673</v>
      </c>
      <c r="BH94" s="53">
        <v>0.46033072632477401</v>
      </c>
      <c r="BI94" s="53">
        <v>0.4597322963805518</v>
      </c>
      <c r="BJ94" s="53">
        <v>0.45913464439525709</v>
      </c>
      <c r="BK94" s="53">
        <v>0.45853776935754326</v>
      </c>
      <c r="BL94" s="53">
        <v>0.45794167025737847</v>
      </c>
      <c r="BM94" s="53">
        <v>0.45734634608604391</v>
      </c>
      <c r="BN94" s="53">
        <v>0.45675179583613207</v>
      </c>
      <c r="BO94" s="53">
        <v>0.45615801850154514</v>
      </c>
      <c r="BP94" s="53">
        <v>0.45556501307749314</v>
      </c>
      <c r="BQ94" s="53">
        <v>0.4549727785604924</v>
      </c>
      <c r="BR94" s="53">
        <v>0.45438131394836379</v>
      </c>
      <c r="BS94" s="53">
        <v>0.45379061824023093</v>
      </c>
      <c r="BT94" s="53">
        <v>0.45320069043651862</v>
      </c>
      <c r="BU94" s="53">
        <v>0.45261152953895117</v>
      </c>
      <c r="BV94" s="53">
        <v>0.45202313455055054</v>
      </c>
      <c r="BW94" s="53">
        <v>0.45143550447563485</v>
      </c>
      <c r="BX94" s="53">
        <v>0.45084863831981653</v>
      </c>
      <c r="BY94" s="53">
        <v>0.4502625350900008</v>
      </c>
      <c r="BZ94" s="53">
        <v>0.44967719379438381</v>
      </c>
      <c r="CA94" s="53">
        <v>0.44909261344245111</v>
      </c>
      <c r="CB94" s="53">
        <v>0.44850879304497593</v>
      </c>
      <c r="CC94" s="53">
        <v>0.4479257316140175</v>
      </c>
      <c r="CD94" s="53">
        <v>0.44734342816291928</v>
      </c>
      <c r="CE94" s="53">
        <v>0.44676188170630748</v>
      </c>
      <c r="CF94" s="53">
        <v>0.44618109126008931</v>
      </c>
      <c r="CG94" s="53">
        <v>0.44560105584145121</v>
      </c>
      <c r="CH94" s="53">
        <v>0.44502177446885732</v>
      </c>
      <c r="CI94" s="53">
        <v>0.44444324616204783</v>
      </c>
      <c r="CJ94" s="53">
        <v>0.44386546994203718</v>
      </c>
      <c r="CK94" s="53">
        <v>0.44328844483111257</v>
      </c>
      <c r="CL94" s="53">
        <v>0.44271216985283213</v>
      </c>
      <c r="CM94" s="53">
        <v>0.44213664403202346</v>
      </c>
      <c r="CN94" s="53">
        <v>0.44156186639478184</v>
      </c>
      <c r="CO94" s="53">
        <v>0.44098783596846863</v>
      </c>
      <c r="CP94" s="53">
        <v>0.44041455178170963</v>
      </c>
      <c r="CQ94" s="53">
        <v>0.43984201286439339</v>
      </c>
      <c r="CR94" s="53">
        <v>0.43927021824766971</v>
      </c>
      <c r="CS94" s="53">
        <v>0.43869916696394773</v>
      </c>
      <c r="CT94" s="53">
        <v>0.43812885804689461</v>
      </c>
      <c r="CU94" s="53">
        <v>0.43755929053143366</v>
      </c>
      <c r="CV94" s="53">
        <v>0.43699046345374282</v>
      </c>
      <c r="CW94" s="53">
        <v>0.43642237585125299</v>
      </c>
      <c r="CX94" s="53">
        <v>0.43585502676264637</v>
      </c>
      <c r="CY94" s="28">
        <v>0.43528841522785494</v>
      </c>
    </row>
    <row r="95" spans="1:103">
      <c r="A95" s="54">
        <v>113</v>
      </c>
      <c r="B95" s="54">
        <v>0.5</v>
      </c>
      <c r="C95" s="54">
        <v>0.49969999999999998</v>
      </c>
      <c r="D95" s="54">
        <v>0.49945014999999998</v>
      </c>
      <c r="E95" s="54">
        <v>0.499200424925</v>
      </c>
      <c r="F95" s="54">
        <v>0.49895082471253754</v>
      </c>
      <c r="G95" s="54">
        <v>0.49870134930018128</v>
      </c>
      <c r="H95" s="54">
        <v>0.49845199862553125</v>
      </c>
      <c r="I95" s="54">
        <v>0.49815292742635592</v>
      </c>
      <c r="J95" s="54">
        <v>0.49785403566990011</v>
      </c>
      <c r="K95" s="54">
        <v>0.49755532324849816</v>
      </c>
      <c r="L95" s="54">
        <v>0.49725679005454904</v>
      </c>
      <c r="M95" s="54">
        <v>0.49695843598051631</v>
      </c>
      <c r="N95" s="54">
        <v>0.49661056507532991</v>
      </c>
      <c r="O95" s="54">
        <v>0.49626293767977714</v>
      </c>
      <c r="P95" s="54">
        <v>0.49591555362340128</v>
      </c>
      <c r="Q95" s="54">
        <v>0.49556841273586488</v>
      </c>
      <c r="R95" s="54">
        <v>0.4951719580056762</v>
      </c>
      <c r="S95" s="54">
        <v>0.49477582043927165</v>
      </c>
      <c r="T95" s="53">
        <v>0.49437999978292024</v>
      </c>
      <c r="U95" s="53">
        <v>0.49398449578309389</v>
      </c>
      <c r="V95" s="53">
        <v>0.4935399097368891</v>
      </c>
      <c r="W95" s="53">
        <v>0.49309572381812589</v>
      </c>
      <c r="X95" s="53">
        <v>0.49265193766668958</v>
      </c>
      <c r="Y95" s="53">
        <v>0.49220855092278953</v>
      </c>
      <c r="Z95" s="53">
        <v>0.49176556322695902</v>
      </c>
      <c r="AA95" s="53">
        <v>0.49132297422005478</v>
      </c>
      <c r="AB95" s="53">
        <v>0.4908807835432567</v>
      </c>
      <c r="AC95" s="53">
        <v>0.49043899083806775</v>
      </c>
      <c r="AD95" s="53">
        <v>0.48999759574631346</v>
      </c>
      <c r="AE95" s="53">
        <v>0.48955659791014178</v>
      </c>
      <c r="AF95" s="53">
        <v>0.48911599697202263</v>
      </c>
      <c r="AG95" s="53">
        <v>0.4886757925747478</v>
      </c>
      <c r="AH95" s="53">
        <v>0.48823598436143051</v>
      </c>
      <c r="AI95" s="53">
        <v>0.48779657197550519</v>
      </c>
      <c r="AJ95" s="53">
        <v>0.48735755506072725</v>
      </c>
      <c r="AK95" s="53">
        <v>0.48691893326117258</v>
      </c>
      <c r="AL95" s="53">
        <v>0.48648070622123751</v>
      </c>
      <c r="AM95" s="53">
        <v>0.48604287358563841</v>
      </c>
      <c r="AN95" s="53">
        <v>0.48560543499941133</v>
      </c>
      <c r="AO95" s="53">
        <v>0.48516839010791185</v>
      </c>
      <c r="AP95" s="53">
        <v>0.48473173855681473</v>
      </c>
      <c r="AQ95" s="53">
        <v>0.48429547999211359</v>
      </c>
      <c r="AR95" s="53">
        <v>0.48385961406012068</v>
      </c>
      <c r="AS95" s="53">
        <v>0.48342414040746656</v>
      </c>
      <c r="AT95" s="53">
        <v>0.48298905868109981</v>
      </c>
      <c r="AU95" s="53">
        <v>0.48255436852828681</v>
      </c>
      <c r="AV95" s="53">
        <v>0.48212006959661136</v>
      </c>
      <c r="AW95" s="53">
        <v>0.48168616153397442</v>
      </c>
      <c r="AX95" s="53">
        <v>0.48125264398859385</v>
      </c>
      <c r="AY95" s="53">
        <v>0.48081951660900413</v>
      </c>
      <c r="AZ95" s="53">
        <v>0.48038677904405602</v>
      </c>
      <c r="BA95" s="53">
        <v>0.47995443094291634</v>
      </c>
      <c r="BB95" s="53">
        <v>0.4795224719550677</v>
      </c>
      <c r="BC95" s="53">
        <v>0.47909090173030811</v>
      </c>
      <c r="BD95" s="53">
        <v>0.47865971991875084</v>
      </c>
      <c r="BE95" s="53">
        <v>0.47822892617082396</v>
      </c>
      <c r="BF95" s="53">
        <v>0.4777985201372702</v>
      </c>
      <c r="BG95" s="53">
        <v>0.47736850146914667</v>
      </c>
      <c r="BH95" s="53">
        <v>0.47693886981782441</v>
      </c>
      <c r="BI95" s="53">
        <v>0.47650962483498838</v>
      </c>
      <c r="BJ95" s="53">
        <v>0.47608076617263689</v>
      </c>
      <c r="BK95" s="53">
        <v>0.47565229348308152</v>
      </c>
      <c r="BL95" s="53">
        <v>0.47522420641894675</v>
      </c>
      <c r="BM95" s="53">
        <v>0.47479650463316969</v>
      </c>
      <c r="BN95" s="53">
        <v>0.47436918777899983</v>
      </c>
      <c r="BO95" s="53">
        <v>0.47394225550999874</v>
      </c>
      <c r="BP95" s="53">
        <v>0.47351570748003974</v>
      </c>
      <c r="BQ95" s="53">
        <v>0.47308954334330772</v>
      </c>
      <c r="BR95" s="53">
        <v>0.47266376275429872</v>
      </c>
      <c r="BS95" s="53">
        <v>0.47223836536781982</v>
      </c>
      <c r="BT95" s="53">
        <v>0.47181335083898879</v>
      </c>
      <c r="BU95" s="53">
        <v>0.47138871882323369</v>
      </c>
      <c r="BV95" s="53">
        <v>0.47096446897629279</v>
      </c>
      <c r="BW95" s="53">
        <v>0.47054060095421413</v>
      </c>
      <c r="BX95" s="53">
        <v>0.47011711441335535</v>
      </c>
      <c r="BY95" s="53">
        <v>0.46969400901038333</v>
      </c>
      <c r="BZ95" s="53">
        <v>0.469271284402274</v>
      </c>
      <c r="CA95" s="53">
        <v>0.46884894024631196</v>
      </c>
      <c r="CB95" s="53">
        <v>0.46842697620009027</v>
      </c>
      <c r="CC95" s="53">
        <v>0.46800539192151019</v>
      </c>
      <c r="CD95" s="53">
        <v>0.46758418706878085</v>
      </c>
      <c r="CE95" s="53">
        <v>0.46716336130041897</v>
      </c>
      <c r="CF95" s="53">
        <v>0.46674291427524861</v>
      </c>
      <c r="CG95" s="53">
        <v>0.4663228456524009</v>
      </c>
      <c r="CH95" s="53">
        <v>0.46590315509131375</v>
      </c>
      <c r="CI95" s="53">
        <v>0.46548384225173156</v>
      </c>
      <c r="CJ95" s="53">
        <v>0.46506490679370499</v>
      </c>
      <c r="CK95" s="53">
        <v>0.46464634837759067</v>
      </c>
      <c r="CL95" s="53">
        <v>0.46422816666405081</v>
      </c>
      <c r="CM95" s="53">
        <v>0.46381036131405318</v>
      </c>
      <c r="CN95" s="53">
        <v>0.46339293198887055</v>
      </c>
      <c r="CO95" s="53">
        <v>0.46297587835008058</v>
      </c>
      <c r="CP95" s="53">
        <v>0.46255920005956552</v>
      </c>
      <c r="CQ95" s="53">
        <v>0.46214289677951192</v>
      </c>
      <c r="CR95" s="53">
        <v>0.46172696817241038</v>
      </c>
      <c r="CS95" s="53">
        <v>0.46131141390105518</v>
      </c>
      <c r="CT95" s="53">
        <v>0.46089623362854421</v>
      </c>
      <c r="CU95" s="53">
        <v>0.46048142701827849</v>
      </c>
      <c r="CV95" s="53">
        <v>0.46006699373396204</v>
      </c>
      <c r="CW95" s="53">
        <v>0.45965293343960145</v>
      </c>
      <c r="CX95" s="53">
        <v>0.45923924579950581</v>
      </c>
      <c r="CY95" s="28">
        <v>0.45882593047828624</v>
      </c>
    </row>
    <row r="96" spans="1:103">
      <c r="A96" s="54">
        <v>114</v>
      </c>
      <c r="B96" s="54">
        <v>0.5</v>
      </c>
      <c r="C96" s="54">
        <v>0.49985000000000002</v>
      </c>
      <c r="D96" s="54">
        <v>0.49970004500000004</v>
      </c>
      <c r="E96" s="54">
        <v>0.49955013498650003</v>
      </c>
      <c r="F96" s="54">
        <v>0.49940026994600412</v>
      </c>
      <c r="G96" s="54">
        <v>0.49925044986502032</v>
      </c>
      <c r="H96" s="54">
        <v>0.49910067473006081</v>
      </c>
      <c r="I96" s="54">
        <v>0.49895094452764183</v>
      </c>
      <c r="J96" s="54">
        <v>0.49880125924428353</v>
      </c>
      <c r="K96" s="54">
        <v>0.49865161886651027</v>
      </c>
      <c r="L96" s="54">
        <v>0.49850202338085031</v>
      </c>
      <c r="M96" s="54">
        <v>0.4983524727738361</v>
      </c>
      <c r="N96" s="54">
        <v>0.49820296703200395</v>
      </c>
      <c r="O96" s="54">
        <v>0.49805350614189436</v>
      </c>
      <c r="P96" s="54">
        <v>0.4978542847394376</v>
      </c>
      <c r="Q96" s="54">
        <v>0.49765514302554187</v>
      </c>
      <c r="R96" s="54">
        <v>0.49745608096833166</v>
      </c>
      <c r="S96" s="54">
        <v>0.49725709853594435</v>
      </c>
      <c r="T96" s="53">
        <v>0.49705819569652998</v>
      </c>
      <c r="U96" s="53">
        <v>0.4968593724182514</v>
      </c>
      <c r="V96" s="53">
        <v>0.49666062866928412</v>
      </c>
      <c r="W96" s="53">
        <v>0.49646196441781643</v>
      </c>
      <c r="X96" s="53">
        <v>0.49626337963204931</v>
      </c>
      <c r="Y96" s="53">
        <v>0.49606487428019652</v>
      </c>
      <c r="Z96" s="53">
        <v>0.49586644833048449</v>
      </c>
      <c r="AA96" s="53">
        <v>0.49566810175115233</v>
      </c>
      <c r="AB96" s="53">
        <v>0.4954698345104519</v>
      </c>
      <c r="AC96" s="53">
        <v>0.49527164657664774</v>
      </c>
      <c r="AD96" s="53">
        <v>0.49507353791801711</v>
      </c>
      <c r="AE96" s="53">
        <v>0.49487550850284995</v>
      </c>
      <c r="AF96" s="53">
        <v>0.49467755829944882</v>
      </c>
      <c r="AG96" s="53">
        <v>0.49447968727612907</v>
      </c>
      <c r="AH96" s="53">
        <v>0.49428189540121864</v>
      </c>
      <c r="AI96" s="53">
        <v>0.4940841826430582</v>
      </c>
      <c r="AJ96" s="53">
        <v>0.493886548970001</v>
      </c>
      <c r="AK96" s="53">
        <v>0.49368899435041302</v>
      </c>
      <c r="AL96" s="53">
        <v>0.49349151875267289</v>
      </c>
      <c r="AM96" s="53">
        <v>0.49329412214517182</v>
      </c>
      <c r="AN96" s="53">
        <v>0.49309680449631377</v>
      </c>
      <c r="AO96" s="53">
        <v>0.49289956577451527</v>
      </c>
      <c r="AP96" s="53">
        <v>0.49270240594820547</v>
      </c>
      <c r="AQ96" s="53">
        <v>0.49250532498582622</v>
      </c>
      <c r="AR96" s="53">
        <v>0.49230832285583193</v>
      </c>
      <c r="AS96" s="53">
        <v>0.49211139952668964</v>
      </c>
      <c r="AT96" s="53">
        <v>0.49191455496687897</v>
      </c>
      <c r="AU96" s="53">
        <v>0.49171778914489223</v>
      </c>
      <c r="AV96" s="53">
        <v>0.49152110202923427</v>
      </c>
      <c r="AW96" s="53">
        <v>0.49132449358842262</v>
      </c>
      <c r="AX96" s="53">
        <v>0.49112796379098728</v>
      </c>
      <c r="AY96" s="53">
        <v>0.49093151260547091</v>
      </c>
      <c r="AZ96" s="53">
        <v>0.49073514000042873</v>
      </c>
      <c r="BA96" s="53">
        <v>0.49053884594442859</v>
      </c>
      <c r="BB96" s="53">
        <v>0.49034263040605086</v>
      </c>
      <c r="BC96" s="53">
        <v>0.49014649335388843</v>
      </c>
      <c r="BD96" s="53">
        <v>0.48995043475654693</v>
      </c>
      <c r="BE96" s="53">
        <v>0.48975445458264433</v>
      </c>
      <c r="BF96" s="53">
        <v>0.48955855280081129</v>
      </c>
      <c r="BG96" s="53">
        <v>0.489362729379691</v>
      </c>
      <c r="BH96" s="53">
        <v>0.48916698428793914</v>
      </c>
      <c r="BI96" s="53">
        <v>0.48897131749422401</v>
      </c>
      <c r="BJ96" s="53">
        <v>0.48877572896722632</v>
      </c>
      <c r="BK96" s="53">
        <v>0.48858021867563944</v>
      </c>
      <c r="BL96" s="53">
        <v>0.4883847865881692</v>
      </c>
      <c r="BM96" s="53">
        <v>0.48818943267353393</v>
      </c>
      <c r="BN96" s="53">
        <v>0.48799415690046455</v>
      </c>
      <c r="BO96" s="53">
        <v>0.48779895923770439</v>
      </c>
      <c r="BP96" s="53">
        <v>0.48760383965400933</v>
      </c>
      <c r="BQ96" s="53">
        <v>0.48740879811814775</v>
      </c>
      <c r="BR96" s="53">
        <v>0.4872138345989005</v>
      </c>
      <c r="BS96" s="53">
        <v>0.48701894906506094</v>
      </c>
      <c r="BT96" s="53">
        <v>0.48682414148543496</v>
      </c>
      <c r="BU96" s="53">
        <v>0.48662941182884079</v>
      </c>
      <c r="BV96" s="53">
        <v>0.4864347600641093</v>
      </c>
      <c r="BW96" s="53">
        <v>0.48624018616008369</v>
      </c>
      <c r="BX96" s="53">
        <v>0.48604569008561965</v>
      </c>
      <c r="BY96" s="53">
        <v>0.48585127180958543</v>
      </c>
      <c r="BZ96" s="53">
        <v>0.48565693130086163</v>
      </c>
      <c r="CA96" s="53">
        <v>0.4854626685283413</v>
      </c>
      <c r="CB96" s="53">
        <v>0.48526848346092999</v>
      </c>
      <c r="CC96" s="53">
        <v>0.48507437606754567</v>
      </c>
      <c r="CD96" s="53">
        <v>0.48488034631711868</v>
      </c>
      <c r="CE96" s="53">
        <v>0.48468639417859188</v>
      </c>
      <c r="CF96" s="53">
        <v>0.48449251962092049</v>
      </c>
      <c r="CG96" s="53">
        <v>0.48429872261307216</v>
      </c>
      <c r="CH96" s="53">
        <v>0.48410500312402693</v>
      </c>
      <c r="CI96" s="53">
        <v>0.48391136112277733</v>
      </c>
      <c r="CJ96" s="53">
        <v>0.48371779657832825</v>
      </c>
      <c r="CK96" s="53">
        <v>0.48352430945969693</v>
      </c>
      <c r="CL96" s="53">
        <v>0.48333089973591309</v>
      </c>
      <c r="CM96" s="53">
        <v>0.48313756737601876</v>
      </c>
      <c r="CN96" s="53">
        <v>0.48294431234906837</v>
      </c>
      <c r="CO96" s="53">
        <v>0.48275113462412877</v>
      </c>
      <c r="CP96" s="53">
        <v>0.48255803417027915</v>
      </c>
      <c r="CQ96" s="53">
        <v>0.48236501095661105</v>
      </c>
      <c r="CR96" s="53">
        <v>0.48217206495222842</v>
      </c>
      <c r="CS96" s="53">
        <v>0.48197919612624757</v>
      </c>
      <c r="CT96" s="53">
        <v>0.48178640444779708</v>
      </c>
      <c r="CU96" s="53">
        <v>0.48159368988601797</v>
      </c>
      <c r="CV96" s="53">
        <v>0.48140105241006359</v>
      </c>
      <c r="CW96" s="53">
        <v>0.4812084919890996</v>
      </c>
      <c r="CX96" s="53">
        <v>0.48101600859230398</v>
      </c>
      <c r="CY96" s="28">
        <v>0.48082360218886711</v>
      </c>
    </row>
    <row r="97" spans="1:103">
      <c r="A97" s="54">
        <v>115</v>
      </c>
      <c r="B97" s="54">
        <v>0.5</v>
      </c>
      <c r="C97" s="54">
        <v>0.5</v>
      </c>
      <c r="D97" s="54">
        <v>0.5</v>
      </c>
      <c r="E97" s="54">
        <v>0.5</v>
      </c>
      <c r="F97" s="54">
        <v>0.5</v>
      </c>
      <c r="G97" s="54">
        <v>0.5</v>
      </c>
      <c r="H97" s="54">
        <v>0.5</v>
      </c>
      <c r="I97" s="54">
        <v>0.5</v>
      </c>
      <c r="J97" s="54">
        <v>0.5</v>
      </c>
      <c r="K97" s="54">
        <v>0.5</v>
      </c>
      <c r="L97" s="54">
        <v>0.5</v>
      </c>
      <c r="M97" s="54">
        <v>0.5</v>
      </c>
      <c r="N97" s="54">
        <v>0.5</v>
      </c>
      <c r="O97" s="54">
        <v>0.5</v>
      </c>
      <c r="P97" s="54">
        <v>0.5</v>
      </c>
      <c r="Q97" s="54">
        <v>0.5</v>
      </c>
      <c r="R97" s="54">
        <v>0.5</v>
      </c>
      <c r="S97" s="54">
        <v>0.5</v>
      </c>
      <c r="T97" s="53">
        <v>0.5</v>
      </c>
      <c r="U97" s="53">
        <v>0.5</v>
      </c>
      <c r="V97" s="53">
        <v>0.5</v>
      </c>
      <c r="W97" s="53">
        <v>0.5</v>
      </c>
      <c r="X97" s="53">
        <v>0.5</v>
      </c>
      <c r="Y97" s="53">
        <v>0.5</v>
      </c>
      <c r="Z97" s="53">
        <v>0.5</v>
      </c>
      <c r="AA97" s="53">
        <v>0.5</v>
      </c>
      <c r="AB97" s="53">
        <v>0.5</v>
      </c>
      <c r="AC97" s="53">
        <v>0.5</v>
      </c>
      <c r="AD97" s="53">
        <v>0.5</v>
      </c>
      <c r="AE97" s="53">
        <v>0.5</v>
      </c>
      <c r="AF97" s="53">
        <v>0.5</v>
      </c>
      <c r="AG97" s="53">
        <v>0.5</v>
      </c>
      <c r="AH97" s="53">
        <v>0.5</v>
      </c>
      <c r="AI97" s="53">
        <v>0.5</v>
      </c>
      <c r="AJ97" s="53">
        <v>0.5</v>
      </c>
      <c r="AK97" s="53">
        <v>0.5</v>
      </c>
      <c r="AL97" s="53">
        <v>0.5</v>
      </c>
      <c r="AM97" s="53">
        <v>0.5</v>
      </c>
      <c r="AN97" s="53">
        <v>0.5</v>
      </c>
      <c r="AO97" s="53">
        <v>0.5</v>
      </c>
      <c r="AP97" s="53">
        <v>0.5</v>
      </c>
      <c r="AQ97" s="53">
        <v>0.5</v>
      </c>
      <c r="AR97" s="53">
        <v>0.5</v>
      </c>
      <c r="AS97" s="53">
        <v>0.5</v>
      </c>
      <c r="AT97" s="53">
        <v>0.5</v>
      </c>
      <c r="AU97" s="53">
        <v>0.5</v>
      </c>
      <c r="AV97" s="53">
        <v>0.5</v>
      </c>
      <c r="AW97" s="53">
        <v>0.5</v>
      </c>
      <c r="AX97" s="53">
        <v>0.5</v>
      </c>
      <c r="AY97" s="53">
        <v>0.5</v>
      </c>
      <c r="AZ97" s="53">
        <v>0.5</v>
      </c>
      <c r="BA97" s="53">
        <v>0.5</v>
      </c>
      <c r="BB97" s="53">
        <v>0.5</v>
      </c>
      <c r="BC97" s="53">
        <v>0.5</v>
      </c>
      <c r="BD97" s="53">
        <v>0.5</v>
      </c>
      <c r="BE97" s="53">
        <v>0.5</v>
      </c>
      <c r="BF97" s="53">
        <v>0.5</v>
      </c>
      <c r="BG97" s="53">
        <v>0.5</v>
      </c>
      <c r="BH97" s="53">
        <v>0.5</v>
      </c>
      <c r="BI97" s="53">
        <v>0.5</v>
      </c>
      <c r="BJ97" s="53">
        <v>0.5</v>
      </c>
      <c r="BK97" s="53">
        <v>0.5</v>
      </c>
      <c r="BL97" s="53">
        <v>0.5</v>
      </c>
      <c r="BM97" s="53">
        <v>0.5</v>
      </c>
      <c r="BN97" s="53">
        <v>0.5</v>
      </c>
      <c r="BO97" s="53">
        <v>0.5</v>
      </c>
      <c r="BP97" s="53">
        <v>0.5</v>
      </c>
      <c r="BQ97" s="53">
        <v>0.5</v>
      </c>
      <c r="BR97" s="53">
        <v>0.5</v>
      </c>
      <c r="BS97" s="53">
        <v>0.5</v>
      </c>
      <c r="BT97" s="53">
        <v>0.5</v>
      </c>
      <c r="BU97" s="53">
        <v>0.5</v>
      </c>
      <c r="BV97" s="53">
        <v>0.5</v>
      </c>
      <c r="BW97" s="53">
        <v>0.5</v>
      </c>
      <c r="BX97" s="53">
        <v>0.5</v>
      </c>
      <c r="BY97" s="53">
        <v>0.5</v>
      </c>
      <c r="BZ97" s="53">
        <v>0.5</v>
      </c>
      <c r="CA97" s="53">
        <v>0.5</v>
      </c>
      <c r="CB97" s="53">
        <v>0.5</v>
      </c>
      <c r="CC97" s="53">
        <v>0.5</v>
      </c>
      <c r="CD97" s="53">
        <v>0.5</v>
      </c>
      <c r="CE97" s="53">
        <v>0.5</v>
      </c>
      <c r="CF97" s="53">
        <v>0.5</v>
      </c>
      <c r="CG97" s="53">
        <v>0.5</v>
      </c>
      <c r="CH97" s="53">
        <v>0.5</v>
      </c>
      <c r="CI97" s="53">
        <v>0.5</v>
      </c>
      <c r="CJ97" s="53">
        <v>0.5</v>
      </c>
      <c r="CK97" s="53">
        <v>0.5</v>
      </c>
      <c r="CL97" s="53">
        <v>0.5</v>
      </c>
      <c r="CM97" s="53">
        <v>0.5</v>
      </c>
      <c r="CN97" s="53">
        <v>0.5</v>
      </c>
      <c r="CO97" s="53">
        <v>0.5</v>
      </c>
      <c r="CP97" s="53">
        <v>0.5</v>
      </c>
      <c r="CQ97" s="53">
        <v>0.5</v>
      </c>
      <c r="CR97" s="53">
        <v>0.5</v>
      </c>
      <c r="CS97" s="53">
        <v>0.5</v>
      </c>
      <c r="CT97" s="53">
        <v>0.5</v>
      </c>
      <c r="CU97" s="53">
        <v>0.5</v>
      </c>
      <c r="CV97" s="53">
        <v>0.5</v>
      </c>
      <c r="CW97" s="53">
        <v>0.5</v>
      </c>
      <c r="CX97" s="53">
        <v>0.5</v>
      </c>
      <c r="CY97" s="28">
        <v>0.5</v>
      </c>
    </row>
    <row r="98" spans="1:103">
      <c r="A98" s="54">
        <v>116</v>
      </c>
      <c r="B98" s="54">
        <v>0.5</v>
      </c>
      <c r="C98" s="54">
        <v>0.5</v>
      </c>
      <c r="D98" s="54">
        <v>0.5</v>
      </c>
      <c r="E98" s="54">
        <v>0.5</v>
      </c>
      <c r="F98" s="54">
        <v>0.5</v>
      </c>
      <c r="G98" s="54">
        <v>0.5</v>
      </c>
      <c r="H98" s="54">
        <v>0.5</v>
      </c>
      <c r="I98" s="54">
        <v>0.5</v>
      </c>
      <c r="J98" s="54">
        <v>0.5</v>
      </c>
      <c r="K98" s="54">
        <v>0.5</v>
      </c>
      <c r="L98" s="54">
        <v>0.5</v>
      </c>
      <c r="M98" s="54">
        <v>0.5</v>
      </c>
      <c r="N98" s="54">
        <v>0.5</v>
      </c>
      <c r="O98" s="54">
        <v>0.5</v>
      </c>
      <c r="P98" s="54">
        <v>0.5</v>
      </c>
      <c r="Q98" s="54">
        <v>0.5</v>
      </c>
      <c r="R98" s="54">
        <v>0.5</v>
      </c>
      <c r="S98" s="54">
        <v>0.5</v>
      </c>
      <c r="T98" s="53">
        <v>0.5</v>
      </c>
      <c r="U98" s="53">
        <v>0.5</v>
      </c>
      <c r="V98" s="53">
        <v>0.5</v>
      </c>
      <c r="W98" s="53">
        <v>0.5</v>
      </c>
      <c r="X98" s="53">
        <v>0.5</v>
      </c>
      <c r="Y98" s="53">
        <v>0.5</v>
      </c>
      <c r="Z98" s="53">
        <v>0.5</v>
      </c>
      <c r="AA98" s="53">
        <v>0.5</v>
      </c>
      <c r="AB98" s="53">
        <v>0.5</v>
      </c>
      <c r="AC98" s="53">
        <v>0.5</v>
      </c>
      <c r="AD98" s="53">
        <v>0.5</v>
      </c>
      <c r="AE98" s="53">
        <v>0.5</v>
      </c>
      <c r="AF98" s="53">
        <v>0.5</v>
      </c>
      <c r="AG98" s="53">
        <v>0.5</v>
      </c>
      <c r="AH98" s="53">
        <v>0.5</v>
      </c>
      <c r="AI98" s="53">
        <v>0.5</v>
      </c>
      <c r="AJ98" s="53">
        <v>0.5</v>
      </c>
      <c r="AK98" s="53">
        <v>0.5</v>
      </c>
      <c r="AL98" s="53">
        <v>0.5</v>
      </c>
      <c r="AM98" s="53">
        <v>0.5</v>
      </c>
      <c r="AN98" s="53">
        <v>0.5</v>
      </c>
      <c r="AO98" s="53">
        <v>0.5</v>
      </c>
      <c r="AP98" s="53">
        <v>0.5</v>
      </c>
      <c r="AQ98" s="53">
        <v>0.5</v>
      </c>
      <c r="AR98" s="53">
        <v>0.5</v>
      </c>
      <c r="AS98" s="53">
        <v>0.5</v>
      </c>
      <c r="AT98" s="53">
        <v>0.5</v>
      </c>
      <c r="AU98" s="53">
        <v>0.5</v>
      </c>
      <c r="AV98" s="53">
        <v>0.5</v>
      </c>
      <c r="AW98" s="53">
        <v>0.5</v>
      </c>
      <c r="AX98" s="53">
        <v>0.5</v>
      </c>
      <c r="AY98" s="53">
        <v>0.5</v>
      </c>
      <c r="AZ98" s="53">
        <v>0.5</v>
      </c>
      <c r="BA98" s="53">
        <v>0.5</v>
      </c>
      <c r="BB98" s="53">
        <v>0.5</v>
      </c>
      <c r="BC98" s="53">
        <v>0.5</v>
      </c>
      <c r="BD98" s="53">
        <v>0.5</v>
      </c>
      <c r="BE98" s="53">
        <v>0.5</v>
      </c>
      <c r="BF98" s="53">
        <v>0.5</v>
      </c>
      <c r="BG98" s="53">
        <v>0.5</v>
      </c>
      <c r="BH98" s="53">
        <v>0.5</v>
      </c>
      <c r="BI98" s="53">
        <v>0.5</v>
      </c>
      <c r="BJ98" s="53">
        <v>0.5</v>
      </c>
      <c r="BK98" s="53">
        <v>0.5</v>
      </c>
      <c r="BL98" s="53">
        <v>0.5</v>
      </c>
      <c r="BM98" s="53">
        <v>0.5</v>
      </c>
      <c r="BN98" s="53">
        <v>0.5</v>
      </c>
      <c r="BO98" s="53">
        <v>0.5</v>
      </c>
      <c r="BP98" s="53">
        <v>0.5</v>
      </c>
      <c r="BQ98" s="53">
        <v>0.5</v>
      </c>
      <c r="BR98" s="53">
        <v>0.5</v>
      </c>
      <c r="BS98" s="53">
        <v>0.5</v>
      </c>
      <c r="BT98" s="53">
        <v>0.5</v>
      </c>
      <c r="BU98" s="53">
        <v>0.5</v>
      </c>
      <c r="BV98" s="53">
        <v>0.5</v>
      </c>
      <c r="BW98" s="53">
        <v>0.5</v>
      </c>
      <c r="BX98" s="53">
        <v>0.5</v>
      </c>
      <c r="BY98" s="53">
        <v>0.5</v>
      </c>
      <c r="BZ98" s="53">
        <v>0.5</v>
      </c>
      <c r="CA98" s="53">
        <v>0.5</v>
      </c>
      <c r="CB98" s="53">
        <v>0.5</v>
      </c>
      <c r="CC98" s="53">
        <v>0.5</v>
      </c>
      <c r="CD98" s="53">
        <v>0.5</v>
      </c>
      <c r="CE98" s="53">
        <v>0.5</v>
      </c>
      <c r="CF98" s="53">
        <v>0.5</v>
      </c>
      <c r="CG98" s="53">
        <v>0.5</v>
      </c>
      <c r="CH98" s="53">
        <v>0.5</v>
      </c>
      <c r="CI98" s="53">
        <v>0.5</v>
      </c>
      <c r="CJ98" s="53">
        <v>0.5</v>
      </c>
      <c r="CK98" s="53">
        <v>0.5</v>
      </c>
      <c r="CL98" s="53">
        <v>0.5</v>
      </c>
      <c r="CM98" s="53">
        <v>0.5</v>
      </c>
      <c r="CN98" s="53">
        <v>0.5</v>
      </c>
      <c r="CO98" s="53">
        <v>0.5</v>
      </c>
      <c r="CP98" s="53">
        <v>0.5</v>
      </c>
      <c r="CQ98" s="53">
        <v>0.5</v>
      </c>
      <c r="CR98" s="53">
        <v>0.5</v>
      </c>
      <c r="CS98" s="53">
        <v>0.5</v>
      </c>
      <c r="CT98" s="53">
        <v>0.5</v>
      </c>
      <c r="CU98" s="53">
        <v>0.5</v>
      </c>
      <c r="CV98" s="53">
        <v>0.5</v>
      </c>
      <c r="CW98" s="53">
        <v>0.5</v>
      </c>
      <c r="CX98" s="53">
        <v>0.5</v>
      </c>
      <c r="CY98" s="28">
        <v>0.5</v>
      </c>
    </row>
    <row r="99" spans="1:103">
      <c r="A99" s="54">
        <v>117</v>
      </c>
      <c r="B99" s="54">
        <v>0.5</v>
      </c>
      <c r="C99" s="54">
        <v>0.5</v>
      </c>
      <c r="D99" s="54">
        <v>0.5</v>
      </c>
      <c r="E99" s="54">
        <v>0.5</v>
      </c>
      <c r="F99" s="54">
        <v>0.5</v>
      </c>
      <c r="G99" s="54">
        <v>0.5</v>
      </c>
      <c r="H99" s="54">
        <v>0.5</v>
      </c>
      <c r="I99" s="54">
        <v>0.5</v>
      </c>
      <c r="J99" s="54">
        <v>0.5</v>
      </c>
      <c r="K99" s="54">
        <v>0.5</v>
      </c>
      <c r="L99" s="54">
        <v>0.5</v>
      </c>
      <c r="M99" s="54">
        <v>0.5</v>
      </c>
      <c r="N99" s="54">
        <v>0.5</v>
      </c>
      <c r="O99" s="54">
        <v>0.5</v>
      </c>
      <c r="P99" s="54">
        <v>0.5</v>
      </c>
      <c r="Q99" s="54">
        <v>0.5</v>
      </c>
      <c r="R99" s="54">
        <v>0.5</v>
      </c>
      <c r="S99" s="54">
        <v>0.5</v>
      </c>
      <c r="T99" s="53">
        <v>0.5</v>
      </c>
      <c r="U99" s="53">
        <v>0.5</v>
      </c>
      <c r="V99" s="53">
        <v>0.5</v>
      </c>
      <c r="W99" s="53">
        <v>0.5</v>
      </c>
      <c r="X99" s="53">
        <v>0.5</v>
      </c>
      <c r="Y99" s="53">
        <v>0.5</v>
      </c>
      <c r="Z99" s="53">
        <v>0.5</v>
      </c>
      <c r="AA99" s="53">
        <v>0.5</v>
      </c>
      <c r="AB99" s="53">
        <v>0.5</v>
      </c>
      <c r="AC99" s="53">
        <v>0.5</v>
      </c>
      <c r="AD99" s="53">
        <v>0.5</v>
      </c>
      <c r="AE99" s="53">
        <v>0.5</v>
      </c>
      <c r="AF99" s="53">
        <v>0.5</v>
      </c>
      <c r="AG99" s="53">
        <v>0.5</v>
      </c>
      <c r="AH99" s="53">
        <v>0.5</v>
      </c>
      <c r="AI99" s="53">
        <v>0.5</v>
      </c>
      <c r="AJ99" s="53">
        <v>0.5</v>
      </c>
      <c r="AK99" s="53">
        <v>0.5</v>
      </c>
      <c r="AL99" s="53">
        <v>0.5</v>
      </c>
      <c r="AM99" s="53">
        <v>0.5</v>
      </c>
      <c r="AN99" s="53">
        <v>0.5</v>
      </c>
      <c r="AO99" s="53">
        <v>0.5</v>
      </c>
      <c r="AP99" s="53">
        <v>0.5</v>
      </c>
      <c r="AQ99" s="53">
        <v>0.5</v>
      </c>
      <c r="AR99" s="53">
        <v>0.5</v>
      </c>
      <c r="AS99" s="53">
        <v>0.5</v>
      </c>
      <c r="AT99" s="53">
        <v>0.5</v>
      </c>
      <c r="AU99" s="53">
        <v>0.5</v>
      </c>
      <c r="AV99" s="53">
        <v>0.5</v>
      </c>
      <c r="AW99" s="53">
        <v>0.5</v>
      </c>
      <c r="AX99" s="53">
        <v>0.5</v>
      </c>
      <c r="AY99" s="53">
        <v>0.5</v>
      </c>
      <c r="AZ99" s="53">
        <v>0.5</v>
      </c>
      <c r="BA99" s="53">
        <v>0.5</v>
      </c>
      <c r="BB99" s="53">
        <v>0.5</v>
      </c>
      <c r="BC99" s="53">
        <v>0.5</v>
      </c>
      <c r="BD99" s="53">
        <v>0.5</v>
      </c>
      <c r="BE99" s="53">
        <v>0.5</v>
      </c>
      <c r="BF99" s="53">
        <v>0.5</v>
      </c>
      <c r="BG99" s="53">
        <v>0.5</v>
      </c>
      <c r="BH99" s="53">
        <v>0.5</v>
      </c>
      <c r="BI99" s="53">
        <v>0.5</v>
      </c>
      <c r="BJ99" s="53">
        <v>0.5</v>
      </c>
      <c r="BK99" s="53">
        <v>0.5</v>
      </c>
      <c r="BL99" s="53">
        <v>0.5</v>
      </c>
      <c r="BM99" s="53">
        <v>0.5</v>
      </c>
      <c r="BN99" s="53">
        <v>0.5</v>
      </c>
      <c r="BO99" s="53">
        <v>0.5</v>
      </c>
      <c r="BP99" s="53">
        <v>0.5</v>
      </c>
      <c r="BQ99" s="53">
        <v>0.5</v>
      </c>
      <c r="BR99" s="53">
        <v>0.5</v>
      </c>
      <c r="BS99" s="53">
        <v>0.5</v>
      </c>
      <c r="BT99" s="53">
        <v>0.5</v>
      </c>
      <c r="BU99" s="53">
        <v>0.5</v>
      </c>
      <c r="BV99" s="53">
        <v>0.5</v>
      </c>
      <c r="BW99" s="53">
        <v>0.5</v>
      </c>
      <c r="BX99" s="53">
        <v>0.5</v>
      </c>
      <c r="BY99" s="53">
        <v>0.5</v>
      </c>
      <c r="BZ99" s="53">
        <v>0.5</v>
      </c>
      <c r="CA99" s="53">
        <v>0.5</v>
      </c>
      <c r="CB99" s="53">
        <v>0.5</v>
      </c>
      <c r="CC99" s="53">
        <v>0.5</v>
      </c>
      <c r="CD99" s="53">
        <v>0.5</v>
      </c>
      <c r="CE99" s="53">
        <v>0.5</v>
      </c>
      <c r="CF99" s="53">
        <v>0.5</v>
      </c>
      <c r="CG99" s="53">
        <v>0.5</v>
      </c>
      <c r="CH99" s="53">
        <v>0.5</v>
      </c>
      <c r="CI99" s="53">
        <v>0.5</v>
      </c>
      <c r="CJ99" s="53">
        <v>0.5</v>
      </c>
      <c r="CK99" s="53">
        <v>0.5</v>
      </c>
      <c r="CL99" s="53">
        <v>0.5</v>
      </c>
      <c r="CM99" s="53">
        <v>0.5</v>
      </c>
      <c r="CN99" s="53">
        <v>0.5</v>
      </c>
      <c r="CO99" s="53">
        <v>0.5</v>
      </c>
      <c r="CP99" s="53">
        <v>0.5</v>
      </c>
      <c r="CQ99" s="53">
        <v>0.5</v>
      </c>
      <c r="CR99" s="53">
        <v>0.5</v>
      </c>
      <c r="CS99" s="53">
        <v>0.5</v>
      </c>
      <c r="CT99" s="53">
        <v>0.5</v>
      </c>
      <c r="CU99" s="53">
        <v>0.5</v>
      </c>
      <c r="CV99" s="53">
        <v>0.5</v>
      </c>
      <c r="CW99" s="53">
        <v>0.5</v>
      </c>
      <c r="CX99" s="53">
        <v>0.5</v>
      </c>
      <c r="CY99" s="28">
        <v>0.5</v>
      </c>
    </row>
    <row r="100" spans="1:103">
      <c r="A100" s="54">
        <v>118</v>
      </c>
      <c r="B100" s="54">
        <v>0.5</v>
      </c>
      <c r="C100" s="54">
        <v>0.5</v>
      </c>
      <c r="D100" s="54">
        <v>0.5</v>
      </c>
      <c r="E100" s="54">
        <v>0.5</v>
      </c>
      <c r="F100" s="54">
        <v>0.5</v>
      </c>
      <c r="G100" s="54">
        <v>0.5</v>
      </c>
      <c r="H100" s="54">
        <v>0.5</v>
      </c>
      <c r="I100" s="54">
        <v>0.5</v>
      </c>
      <c r="J100" s="54">
        <v>0.5</v>
      </c>
      <c r="K100" s="54">
        <v>0.5</v>
      </c>
      <c r="L100" s="54">
        <v>0.5</v>
      </c>
      <c r="M100" s="54">
        <v>0.5</v>
      </c>
      <c r="N100" s="54">
        <v>0.5</v>
      </c>
      <c r="O100" s="54">
        <v>0.5</v>
      </c>
      <c r="P100" s="54">
        <v>0.5</v>
      </c>
      <c r="Q100" s="54">
        <v>0.5</v>
      </c>
      <c r="R100" s="54">
        <v>0.5</v>
      </c>
      <c r="S100" s="54">
        <v>0.5</v>
      </c>
      <c r="T100" s="53">
        <v>0.5</v>
      </c>
      <c r="U100" s="53">
        <v>0.5</v>
      </c>
      <c r="V100" s="53">
        <v>0.5</v>
      </c>
      <c r="W100" s="53">
        <v>0.5</v>
      </c>
      <c r="X100" s="53">
        <v>0.5</v>
      </c>
      <c r="Y100" s="53">
        <v>0.5</v>
      </c>
      <c r="Z100" s="53">
        <v>0.5</v>
      </c>
      <c r="AA100" s="53">
        <v>0.5</v>
      </c>
      <c r="AB100" s="53">
        <v>0.5</v>
      </c>
      <c r="AC100" s="53">
        <v>0.5</v>
      </c>
      <c r="AD100" s="53">
        <v>0.5</v>
      </c>
      <c r="AE100" s="53">
        <v>0.5</v>
      </c>
      <c r="AF100" s="53">
        <v>0.5</v>
      </c>
      <c r="AG100" s="53">
        <v>0.5</v>
      </c>
      <c r="AH100" s="53">
        <v>0.5</v>
      </c>
      <c r="AI100" s="53">
        <v>0.5</v>
      </c>
      <c r="AJ100" s="53">
        <v>0.5</v>
      </c>
      <c r="AK100" s="53">
        <v>0.5</v>
      </c>
      <c r="AL100" s="53">
        <v>0.5</v>
      </c>
      <c r="AM100" s="53">
        <v>0.5</v>
      </c>
      <c r="AN100" s="53">
        <v>0.5</v>
      </c>
      <c r="AO100" s="53">
        <v>0.5</v>
      </c>
      <c r="AP100" s="53">
        <v>0.5</v>
      </c>
      <c r="AQ100" s="53">
        <v>0.5</v>
      </c>
      <c r="AR100" s="53">
        <v>0.5</v>
      </c>
      <c r="AS100" s="53">
        <v>0.5</v>
      </c>
      <c r="AT100" s="53">
        <v>0.5</v>
      </c>
      <c r="AU100" s="53">
        <v>0.5</v>
      </c>
      <c r="AV100" s="53">
        <v>0.5</v>
      </c>
      <c r="AW100" s="53">
        <v>0.5</v>
      </c>
      <c r="AX100" s="53">
        <v>0.5</v>
      </c>
      <c r="AY100" s="53">
        <v>0.5</v>
      </c>
      <c r="AZ100" s="53">
        <v>0.5</v>
      </c>
      <c r="BA100" s="53">
        <v>0.5</v>
      </c>
      <c r="BB100" s="53">
        <v>0.5</v>
      </c>
      <c r="BC100" s="53">
        <v>0.5</v>
      </c>
      <c r="BD100" s="53">
        <v>0.5</v>
      </c>
      <c r="BE100" s="53">
        <v>0.5</v>
      </c>
      <c r="BF100" s="53">
        <v>0.5</v>
      </c>
      <c r="BG100" s="53">
        <v>0.5</v>
      </c>
      <c r="BH100" s="53">
        <v>0.5</v>
      </c>
      <c r="BI100" s="53">
        <v>0.5</v>
      </c>
      <c r="BJ100" s="53">
        <v>0.5</v>
      </c>
      <c r="BK100" s="53">
        <v>0.5</v>
      </c>
      <c r="BL100" s="53">
        <v>0.5</v>
      </c>
      <c r="BM100" s="53">
        <v>0.5</v>
      </c>
      <c r="BN100" s="53">
        <v>0.5</v>
      </c>
      <c r="BO100" s="53">
        <v>0.5</v>
      </c>
      <c r="BP100" s="53">
        <v>0.5</v>
      </c>
      <c r="BQ100" s="53">
        <v>0.5</v>
      </c>
      <c r="BR100" s="53">
        <v>0.5</v>
      </c>
      <c r="BS100" s="53">
        <v>0.5</v>
      </c>
      <c r="BT100" s="53">
        <v>0.5</v>
      </c>
      <c r="BU100" s="53">
        <v>0.5</v>
      </c>
      <c r="BV100" s="53">
        <v>0.5</v>
      </c>
      <c r="BW100" s="53">
        <v>0.5</v>
      </c>
      <c r="BX100" s="53">
        <v>0.5</v>
      </c>
      <c r="BY100" s="53">
        <v>0.5</v>
      </c>
      <c r="BZ100" s="53">
        <v>0.5</v>
      </c>
      <c r="CA100" s="53">
        <v>0.5</v>
      </c>
      <c r="CB100" s="53">
        <v>0.5</v>
      </c>
      <c r="CC100" s="53">
        <v>0.5</v>
      </c>
      <c r="CD100" s="53">
        <v>0.5</v>
      </c>
      <c r="CE100" s="53">
        <v>0.5</v>
      </c>
      <c r="CF100" s="53">
        <v>0.5</v>
      </c>
      <c r="CG100" s="53">
        <v>0.5</v>
      </c>
      <c r="CH100" s="53">
        <v>0.5</v>
      </c>
      <c r="CI100" s="53">
        <v>0.5</v>
      </c>
      <c r="CJ100" s="53">
        <v>0.5</v>
      </c>
      <c r="CK100" s="53">
        <v>0.5</v>
      </c>
      <c r="CL100" s="53">
        <v>0.5</v>
      </c>
      <c r="CM100" s="53">
        <v>0.5</v>
      </c>
      <c r="CN100" s="53">
        <v>0.5</v>
      </c>
      <c r="CO100" s="53">
        <v>0.5</v>
      </c>
      <c r="CP100" s="53">
        <v>0.5</v>
      </c>
      <c r="CQ100" s="53">
        <v>0.5</v>
      </c>
      <c r="CR100" s="53">
        <v>0.5</v>
      </c>
      <c r="CS100" s="53">
        <v>0.5</v>
      </c>
      <c r="CT100" s="53">
        <v>0.5</v>
      </c>
      <c r="CU100" s="53">
        <v>0.5</v>
      </c>
      <c r="CV100" s="53">
        <v>0.5</v>
      </c>
      <c r="CW100" s="53">
        <v>0.5</v>
      </c>
      <c r="CX100" s="53">
        <v>0.5</v>
      </c>
      <c r="CY100" s="28">
        <v>0.5</v>
      </c>
    </row>
    <row r="101" spans="1:103">
      <c r="A101" s="54">
        <v>119</v>
      </c>
      <c r="B101" s="54">
        <v>0.5</v>
      </c>
      <c r="C101" s="54">
        <v>0.5</v>
      </c>
      <c r="D101" s="54">
        <v>0.5</v>
      </c>
      <c r="E101" s="54">
        <v>0.5</v>
      </c>
      <c r="F101" s="54">
        <v>0.5</v>
      </c>
      <c r="G101" s="54">
        <v>0.5</v>
      </c>
      <c r="H101" s="54">
        <v>0.5</v>
      </c>
      <c r="I101" s="54">
        <v>0.5</v>
      </c>
      <c r="J101" s="54">
        <v>0.5</v>
      </c>
      <c r="K101" s="54">
        <v>0.5</v>
      </c>
      <c r="L101" s="54">
        <v>0.5</v>
      </c>
      <c r="M101" s="54">
        <v>0.5</v>
      </c>
      <c r="N101" s="54">
        <v>0.5</v>
      </c>
      <c r="O101" s="54">
        <v>0.5</v>
      </c>
      <c r="P101" s="54">
        <v>0.5</v>
      </c>
      <c r="Q101" s="54">
        <v>0.5</v>
      </c>
      <c r="R101" s="54">
        <v>0.5</v>
      </c>
      <c r="S101" s="54">
        <v>0.5</v>
      </c>
      <c r="T101" s="53">
        <v>0.5</v>
      </c>
      <c r="U101" s="53">
        <v>0.5</v>
      </c>
      <c r="V101" s="53">
        <v>0.5</v>
      </c>
      <c r="W101" s="53">
        <v>0.5</v>
      </c>
      <c r="X101" s="53">
        <v>0.5</v>
      </c>
      <c r="Y101" s="53">
        <v>0.5</v>
      </c>
      <c r="Z101" s="53">
        <v>0.5</v>
      </c>
      <c r="AA101" s="53">
        <v>0.5</v>
      </c>
      <c r="AB101" s="53">
        <v>0.5</v>
      </c>
      <c r="AC101" s="53">
        <v>0.5</v>
      </c>
      <c r="AD101" s="53">
        <v>0.5</v>
      </c>
      <c r="AE101" s="53">
        <v>0.5</v>
      </c>
      <c r="AF101" s="53">
        <v>0.5</v>
      </c>
      <c r="AG101" s="53">
        <v>0.5</v>
      </c>
      <c r="AH101" s="53">
        <v>0.5</v>
      </c>
      <c r="AI101" s="53">
        <v>0.5</v>
      </c>
      <c r="AJ101" s="53">
        <v>0.5</v>
      </c>
      <c r="AK101" s="53">
        <v>0.5</v>
      </c>
      <c r="AL101" s="53">
        <v>0.5</v>
      </c>
      <c r="AM101" s="53">
        <v>0.5</v>
      </c>
      <c r="AN101" s="53">
        <v>0.5</v>
      </c>
      <c r="AO101" s="53">
        <v>0.5</v>
      </c>
      <c r="AP101" s="53">
        <v>0.5</v>
      </c>
      <c r="AQ101" s="53">
        <v>0.5</v>
      </c>
      <c r="AR101" s="53">
        <v>0.5</v>
      </c>
      <c r="AS101" s="53">
        <v>0.5</v>
      </c>
      <c r="AT101" s="53">
        <v>0.5</v>
      </c>
      <c r="AU101" s="53">
        <v>0.5</v>
      </c>
      <c r="AV101" s="53">
        <v>0.5</v>
      </c>
      <c r="AW101" s="53">
        <v>0.5</v>
      </c>
      <c r="AX101" s="53">
        <v>0.5</v>
      </c>
      <c r="AY101" s="53">
        <v>0.5</v>
      </c>
      <c r="AZ101" s="53">
        <v>0.5</v>
      </c>
      <c r="BA101" s="53">
        <v>0.5</v>
      </c>
      <c r="BB101" s="53">
        <v>0.5</v>
      </c>
      <c r="BC101" s="53">
        <v>0.5</v>
      </c>
      <c r="BD101" s="53">
        <v>0.5</v>
      </c>
      <c r="BE101" s="53">
        <v>0.5</v>
      </c>
      <c r="BF101" s="53">
        <v>0.5</v>
      </c>
      <c r="BG101" s="53">
        <v>0.5</v>
      </c>
      <c r="BH101" s="53">
        <v>0.5</v>
      </c>
      <c r="BI101" s="53">
        <v>0.5</v>
      </c>
      <c r="BJ101" s="53">
        <v>0.5</v>
      </c>
      <c r="BK101" s="53">
        <v>0.5</v>
      </c>
      <c r="BL101" s="53">
        <v>0.5</v>
      </c>
      <c r="BM101" s="53">
        <v>0.5</v>
      </c>
      <c r="BN101" s="53">
        <v>0.5</v>
      </c>
      <c r="BO101" s="53">
        <v>0.5</v>
      </c>
      <c r="BP101" s="53">
        <v>0.5</v>
      </c>
      <c r="BQ101" s="53">
        <v>0.5</v>
      </c>
      <c r="BR101" s="53">
        <v>0.5</v>
      </c>
      <c r="BS101" s="53">
        <v>0.5</v>
      </c>
      <c r="BT101" s="53">
        <v>0.5</v>
      </c>
      <c r="BU101" s="53">
        <v>0.5</v>
      </c>
      <c r="BV101" s="53">
        <v>0.5</v>
      </c>
      <c r="BW101" s="53">
        <v>0.5</v>
      </c>
      <c r="BX101" s="53">
        <v>0.5</v>
      </c>
      <c r="BY101" s="53">
        <v>0.5</v>
      </c>
      <c r="BZ101" s="53">
        <v>0.5</v>
      </c>
      <c r="CA101" s="53">
        <v>0.5</v>
      </c>
      <c r="CB101" s="53">
        <v>0.5</v>
      </c>
      <c r="CC101" s="53">
        <v>0.5</v>
      </c>
      <c r="CD101" s="53">
        <v>0.5</v>
      </c>
      <c r="CE101" s="53">
        <v>0.5</v>
      </c>
      <c r="CF101" s="53">
        <v>0.5</v>
      </c>
      <c r="CG101" s="53">
        <v>0.5</v>
      </c>
      <c r="CH101" s="53">
        <v>0.5</v>
      </c>
      <c r="CI101" s="53">
        <v>0.5</v>
      </c>
      <c r="CJ101" s="53">
        <v>0.5</v>
      </c>
      <c r="CK101" s="53">
        <v>0.5</v>
      </c>
      <c r="CL101" s="53">
        <v>0.5</v>
      </c>
      <c r="CM101" s="53">
        <v>0.5</v>
      </c>
      <c r="CN101" s="53">
        <v>0.5</v>
      </c>
      <c r="CO101" s="53">
        <v>0.5</v>
      </c>
      <c r="CP101" s="53">
        <v>0.5</v>
      </c>
      <c r="CQ101" s="53">
        <v>0.5</v>
      </c>
      <c r="CR101" s="53">
        <v>0.5</v>
      </c>
      <c r="CS101" s="53">
        <v>0.5</v>
      </c>
      <c r="CT101" s="53">
        <v>0.5</v>
      </c>
      <c r="CU101" s="53">
        <v>0.5</v>
      </c>
      <c r="CV101" s="53">
        <v>0.5</v>
      </c>
      <c r="CW101" s="53">
        <v>0.5</v>
      </c>
      <c r="CX101" s="53">
        <v>0.5</v>
      </c>
      <c r="CY101" s="28">
        <v>0.5</v>
      </c>
    </row>
    <row r="102" spans="1:103">
      <c r="A102" s="54">
        <v>120</v>
      </c>
      <c r="B102" s="54">
        <v>1</v>
      </c>
      <c r="C102" s="54">
        <v>1</v>
      </c>
      <c r="D102" s="54">
        <v>1</v>
      </c>
      <c r="E102" s="54">
        <v>1</v>
      </c>
      <c r="F102" s="54">
        <v>1</v>
      </c>
      <c r="G102" s="54">
        <v>1</v>
      </c>
      <c r="H102" s="54">
        <v>1</v>
      </c>
      <c r="I102" s="54">
        <v>1</v>
      </c>
      <c r="J102" s="54">
        <v>1</v>
      </c>
      <c r="K102" s="54">
        <v>1</v>
      </c>
      <c r="L102" s="54">
        <v>1</v>
      </c>
      <c r="M102" s="54">
        <v>1</v>
      </c>
      <c r="N102" s="54">
        <v>1</v>
      </c>
      <c r="O102" s="54">
        <v>1</v>
      </c>
      <c r="P102" s="54">
        <v>1</v>
      </c>
      <c r="Q102" s="54">
        <v>1</v>
      </c>
      <c r="R102" s="54">
        <v>1</v>
      </c>
      <c r="S102" s="54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3">
        <v>1</v>
      </c>
      <c r="AH102" s="53">
        <v>1</v>
      </c>
      <c r="AI102" s="53">
        <v>1</v>
      </c>
      <c r="AJ102" s="53">
        <v>1</v>
      </c>
      <c r="AK102" s="53">
        <v>1</v>
      </c>
      <c r="AL102" s="53">
        <v>1</v>
      </c>
      <c r="AM102" s="53">
        <v>1</v>
      </c>
      <c r="AN102" s="53">
        <v>1</v>
      </c>
      <c r="AO102" s="53">
        <v>1</v>
      </c>
      <c r="AP102" s="53">
        <v>1</v>
      </c>
      <c r="AQ102" s="53">
        <v>1</v>
      </c>
      <c r="AR102" s="53">
        <v>1</v>
      </c>
      <c r="AS102" s="53">
        <v>1</v>
      </c>
      <c r="AT102" s="53">
        <v>1</v>
      </c>
      <c r="AU102" s="53">
        <v>1</v>
      </c>
      <c r="AV102" s="53">
        <v>1</v>
      </c>
      <c r="AW102" s="53">
        <v>1</v>
      </c>
      <c r="AX102" s="53">
        <v>1</v>
      </c>
      <c r="AY102" s="53">
        <v>1</v>
      </c>
      <c r="AZ102" s="53">
        <v>1</v>
      </c>
      <c r="BA102" s="53">
        <v>1</v>
      </c>
      <c r="BB102" s="53">
        <v>1</v>
      </c>
      <c r="BC102" s="53">
        <v>1</v>
      </c>
      <c r="BD102" s="53">
        <v>1</v>
      </c>
      <c r="BE102" s="53">
        <v>1</v>
      </c>
      <c r="BF102" s="53">
        <v>1</v>
      </c>
      <c r="BG102" s="53">
        <v>1</v>
      </c>
      <c r="BH102" s="53">
        <v>1</v>
      </c>
      <c r="BI102" s="53">
        <v>1</v>
      </c>
      <c r="BJ102" s="53">
        <v>1</v>
      </c>
      <c r="BK102" s="53">
        <v>1</v>
      </c>
      <c r="BL102" s="53">
        <v>1</v>
      </c>
      <c r="BM102" s="53">
        <v>1</v>
      </c>
      <c r="BN102" s="53">
        <v>1</v>
      </c>
      <c r="BO102" s="53">
        <v>1</v>
      </c>
      <c r="BP102" s="53">
        <v>1</v>
      </c>
      <c r="BQ102" s="53">
        <v>1</v>
      </c>
      <c r="BR102" s="53">
        <v>1</v>
      </c>
      <c r="BS102" s="53">
        <v>1</v>
      </c>
      <c r="BT102" s="53">
        <v>1</v>
      </c>
      <c r="BU102" s="53">
        <v>1</v>
      </c>
      <c r="BV102" s="53">
        <v>1</v>
      </c>
      <c r="BW102" s="53">
        <v>1</v>
      </c>
      <c r="BX102" s="53">
        <v>1</v>
      </c>
      <c r="BY102" s="53">
        <v>1</v>
      </c>
      <c r="BZ102" s="53">
        <v>1</v>
      </c>
      <c r="CA102" s="53">
        <v>1</v>
      </c>
      <c r="CB102" s="53">
        <v>1</v>
      </c>
      <c r="CC102" s="53">
        <v>1</v>
      </c>
      <c r="CD102" s="53">
        <v>1</v>
      </c>
      <c r="CE102" s="53">
        <v>1</v>
      </c>
      <c r="CF102" s="53">
        <v>1</v>
      </c>
      <c r="CG102" s="53">
        <v>1</v>
      </c>
      <c r="CH102" s="53">
        <v>1</v>
      </c>
      <c r="CI102" s="53">
        <v>1</v>
      </c>
      <c r="CJ102" s="53">
        <v>1</v>
      </c>
      <c r="CK102" s="53">
        <v>1</v>
      </c>
      <c r="CL102" s="53">
        <v>1</v>
      </c>
      <c r="CM102" s="53">
        <v>1</v>
      </c>
      <c r="CN102" s="53">
        <v>1</v>
      </c>
      <c r="CO102" s="53">
        <v>1</v>
      </c>
      <c r="CP102" s="53">
        <v>1</v>
      </c>
      <c r="CQ102" s="53">
        <v>1</v>
      </c>
      <c r="CR102" s="53">
        <v>1</v>
      </c>
      <c r="CS102" s="53">
        <v>1</v>
      </c>
      <c r="CT102" s="53">
        <v>1</v>
      </c>
      <c r="CU102" s="53">
        <v>1</v>
      </c>
      <c r="CV102" s="53">
        <v>1</v>
      </c>
      <c r="CW102" s="53">
        <v>1</v>
      </c>
      <c r="CX102" s="53">
        <v>1</v>
      </c>
      <c r="CY102" s="2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66"/>
  <sheetViews>
    <sheetView workbookViewId="0">
      <selection activeCell="I2" sqref="I2"/>
    </sheetView>
  </sheetViews>
  <sheetFormatPr defaultColWidth="23.7109375" defaultRowHeight="18" customHeight="1"/>
  <cols>
    <col min="1" max="4" width="13.42578125" style="39" customWidth="1"/>
    <col min="5" max="10" width="23.7109375" style="39"/>
    <col min="14" max="16" width="23.7109375" style="39"/>
    <col min="17" max="17" width="29.140625" style="39" customWidth="1"/>
    <col min="18" max="16384" width="23.7109375" style="39"/>
  </cols>
  <sheetData>
    <row r="1" spans="1:17" ht="18" customHeight="1">
      <c r="A1" s="39" t="s">
        <v>69</v>
      </c>
      <c r="B1" s="39" t="s">
        <v>74</v>
      </c>
      <c r="C1" s="39" t="s">
        <v>28</v>
      </c>
      <c r="D1" s="39" t="s">
        <v>29</v>
      </c>
      <c r="E1" s="39" t="s">
        <v>30</v>
      </c>
      <c r="F1" s="39" t="s">
        <v>71</v>
      </c>
      <c r="G1" s="39" t="s">
        <v>72</v>
      </c>
      <c r="H1" s="39" t="s">
        <v>31</v>
      </c>
      <c r="I1" s="39" t="s">
        <v>32</v>
      </c>
      <c r="J1" s="39" t="s">
        <v>33</v>
      </c>
      <c r="L1" s="39" t="s">
        <v>76</v>
      </c>
      <c r="M1" s="39" t="s">
        <v>77</v>
      </c>
      <c r="N1" s="39" t="s">
        <v>78</v>
      </c>
      <c r="O1" s="39" t="s">
        <v>79</v>
      </c>
      <c r="P1" s="39" t="s">
        <v>80</v>
      </c>
    </row>
    <row r="2" spans="1:17" ht="18" customHeight="1">
      <c r="A2" s="40">
        <v>43647</v>
      </c>
      <c r="B2" s="39">
        <f>YEAR(A2)</f>
        <v>2019</v>
      </c>
      <c r="C2" s="39">
        <f>$A$4+D2</f>
        <v>56</v>
      </c>
      <c r="D2" s="39">
        <v>0</v>
      </c>
      <c r="E2" s="39">
        <f>VLOOKUP(C:C, 'Total Data Set'!B:J, IF(Summary!$F$2="M", 4, 8), FALSE)</f>
        <v>6.0990000000000003E-3</v>
      </c>
      <c r="F2" s="39">
        <f t="shared" ref="F2:F33" si="0">1-E2</f>
        <v>0.99390100000000003</v>
      </c>
      <c r="G2" s="39">
        <v>1</v>
      </c>
      <c r="H2" s="39">
        <f>1/(1+Summary!$O$3)^D2</f>
        <v>1</v>
      </c>
      <c r="I2" s="39">
        <f>Summary!$J$2*'R1'!H2*'R1'!G2</f>
        <v>10000</v>
      </c>
      <c r="J2" s="39">
        <f>SUM(I2:I66)</f>
        <v>147808.89011099027</v>
      </c>
      <c r="L2" s="39" t="e">
        <f>IF(Summary!$F$2="M",VLOOKUP(C:C,#REF!,IF(B2&gt;2033,22,MATCH(B2,#REF!,0)),FALSE),VLOOKUP(C:C,#REF!,IF(B2&gt;2033,22,MATCH(B2,#REF!,0)),FALSE))</f>
        <v>#REF!</v>
      </c>
      <c r="M2" s="41" t="e">
        <f>1-L2</f>
        <v>#REF!</v>
      </c>
      <c r="N2" s="39">
        <v>1</v>
      </c>
      <c r="O2" s="39">
        <f>Summary!$J$2*'R1'!N2*'R1'!H2</f>
        <v>10000</v>
      </c>
      <c r="P2" s="39" t="e">
        <f>SUM(O2:O66)</f>
        <v>#REF!</v>
      </c>
    </row>
    <row r="3" spans="1:17" ht="18" customHeight="1">
      <c r="A3" s="39" t="s">
        <v>34</v>
      </c>
      <c r="B3" s="39">
        <f>$B$2+D3</f>
        <v>2020</v>
      </c>
      <c r="C3" s="39">
        <f t="shared" ref="C3:C66" si="1">$A$4+D3</f>
        <v>57</v>
      </c>
      <c r="D3" s="39">
        <v>1</v>
      </c>
      <c r="E3" s="39">
        <f>VLOOKUP(C:C, 'Total Data Set'!B:J, IF(Summary!$F$2="M", 4, 8), FALSE)</f>
        <v>6.4780000000000003E-3</v>
      </c>
      <c r="F3" s="39">
        <f t="shared" si="0"/>
        <v>0.99352200000000002</v>
      </c>
      <c r="G3" s="39">
        <f>F2</f>
        <v>0.99390100000000003</v>
      </c>
      <c r="H3" s="39">
        <f>1/(1+Summary!$O$3)^D3</f>
        <v>0.95238095238095233</v>
      </c>
      <c r="I3" s="39">
        <f>Summary!$J$2*'R1'!H3*'R1'!G3</f>
        <v>9465.7238095238081</v>
      </c>
      <c r="K3" s="39"/>
      <c r="L3" s="39" t="e">
        <f>IF(Summary!$F$2="M",VLOOKUP(C:C,#REF!,IF(B3&gt;2033,22,MATCH(B3,#REF!,0)),FALSE),VLOOKUP(C:C,#REF!,IF(B3&gt;2033,22,MATCH(B3,#REF!,0)),FALSE))</f>
        <v>#REF!</v>
      </c>
      <c r="M3" s="41" t="e">
        <f t="shared" ref="M3:M66" si="2">1-L3</f>
        <v>#REF!</v>
      </c>
      <c r="N3" s="39" t="e">
        <f>M2</f>
        <v>#REF!</v>
      </c>
      <c r="O3" s="39" t="e">
        <f>Summary!$J$2*'R1'!N3*'R1'!H3</f>
        <v>#REF!</v>
      </c>
      <c r="Q3" s="39" t="e">
        <f>rPVB_g($P$9,#REF!,#REF!, C2, B2, 120-C2, 10000, 0.05)</f>
        <v>#VALUE!</v>
      </c>
    </row>
    <row r="4" spans="1:17" ht="18" customHeight="1">
      <c r="A4" s="39">
        <f>Summary!I2</f>
        <v>56</v>
      </c>
      <c r="B4" s="39">
        <f t="shared" ref="B4:B66" si="3">$B$2+D4</f>
        <v>2021</v>
      </c>
      <c r="C4" s="39">
        <f t="shared" si="1"/>
        <v>58</v>
      </c>
      <c r="D4" s="39">
        <v>2</v>
      </c>
      <c r="E4" s="39">
        <f>VLOOKUP(C:C, 'Total Data Set'!B:J, IF(Summary!$F$2="M", 4, 8), FALSE)</f>
        <v>6.8770000000000003E-3</v>
      </c>
      <c r="F4" s="39">
        <f t="shared" si="0"/>
        <v>0.99312299999999998</v>
      </c>
      <c r="G4" s="39">
        <f t="shared" ref="G4:G35" si="4">G3*F3</f>
        <v>0.98746250932200008</v>
      </c>
      <c r="H4" s="39">
        <f>1/(1+Summary!$O$3)^D4</f>
        <v>0.90702947845804982</v>
      </c>
      <c r="I4" s="39">
        <f>Summary!$J$2*'R1'!H4*'R1'!G4</f>
        <v>8956.5760482721089</v>
      </c>
      <c r="K4" s="39"/>
      <c r="L4" s="39" t="e">
        <f>IF(Summary!$F$2="M",VLOOKUP(C:C,#REF!,IF(B4&gt;2033,22,MATCH(B4,#REF!,0)),FALSE),VLOOKUP(C:C,#REF!,IF(B4&gt;2033,22,MATCH(B4,#REF!,0)),FALSE))</f>
        <v>#REF!</v>
      </c>
      <c r="M4" s="41" t="e">
        <f t="shared" si="2"/>
        <v>#REF!</v>
      </c>
      <c r="N4" s="39" t="e">
        <f>N3*M3</f>
        <v>#REF!</v>
      </c>
      <c r="O4" s="39" t="e">
        <f>Summary!$J$2*'R1'!N4*'R1'!H4</f>
        <v>#REF!</v>
      </c>
    </row>
    <row r="5" spans="1:17" ht="18" customHeight="1">
      <c r="B5" s="39">
        <f t="shared" si="3"/>
        <v>2022</v>
      </c>
      <c r="C5" s="39">
        <f t="shared" si="1"/>
        <v>59</v>
      </c>
      <c r="D5" s="39">
        <v>3</v>
      </c>
      <c r="E5" s="39">
        <f>VLOOKUP(C:C, 'Total Data Set'!B:J, IF(Summary!$F$2="M", 4, 8), FALSE)</f>
        <v>7.3049999999999999E-3</v>
      </c>
      <c r="F5" s="39">
        <f t="shared" si="0"/>
        <v>0.99269499999999999</v>
      </c>
      <c r="G5" s="39">
        <f t="shared" si="4"/>
        <v>0.98067172964539262</v>
      </c>
      <c r="H5" s="39">
        <f>1/(1+Summary!$O$3)^D5</f>
        <v>0.86383759853147601</v>
      </c>
      <c r="I5" s="39">
        <f>Summary!$J$2*'R1'!H5*'R1'!G5</f>
        <v>8471.4111188458483</v>
      </c>
      <c r="J5"/>
      <c r="K5" s="39"/>
      <c r="L5" s="39" t="e">
        <f>IF(Summary!$F$2="M",VLOOKUP(C:C,#REF!,IF(B5&gt;2033,22,MATCH(B5,#REF!,0)),FALSE),VLOOKUP(C:C,#REF!,IF(B5&gt;2033,22,MATCH(B5,#REF!,0)),FALSE))</f>
        <v>#REF!</v>
      </c>
      <c r="M5" s="41" t="e">
        <f t="shared" si="2"/>
        <v>#REF!</v>
      </c>
      <c r="N5" s="39" t="e">
        <f t="shared" ref="N5:N66" si="5">N4*M4</f>
        <v>#REF!</v>
      </c>
      <c r="O5" s="39" t="e">
        <f>Summary!$J$2*'R1'!N5*'R1'!H5</f>
        <v>#REF!</v>
      </c>
    </row>
    <row r="6" spans="1:17" ht="18" customHeight="1">
      <c r="B6" s="39">
        <f t="shared" si="3"/>
        <v>2023</v>
      </c>
      <c r="C6" s="39">
        <f t="shared" si="1"/>
        <v>60</v>
      </c>
      <c r="D6" s="39">
        <v>4</v>
      </c>
      <c r="E6" s="39">
        <f>VLOOKUP(C:C, 'Total Data Set'!B:J, IF(Summary!$F$2="M", 4, 8), FALSE)</f>
        <v>7.7710000000000001E-3</v>
      </c>
      <c r="F6" s="39">
        <f t="shared" si="0"/>
        <v>0.99222900000000003</v>
      </c>
      <c r="G6" s="39">
        <f t="shared" si="4"/>
        <v>0.97350792266033304</v>
      </c>
      <c r="H6" s="39">
        <f>1/(1+Summary!$O$3)^D6</f>
        <v>0.82270247479188197</v>
      </c>
      <c r="I6" s="39">
        <f>Summary!$J$2*'R1'!H6*'R1'!G6</f>
        <v>8009.0737720216002</v>
      </c>
      <c r="K6" s="39"/>
      <c r="L6" s="39" t="e">
        <f>IF(Summary!$F$2="M",VLOOKUP(C:C,#REF!,IF(B6&gt;2033,22,MATCH(B6,#REF!,0)),FALSE),VLOOKUP(C:C,#REF!,IF(B6&gt;2033,22,MATCH(B6,#REF!,0)),FALSE))</f>
        <v>#REF!</v>
      </c>
      <c r="M6" s="41" t="e">
        <f t="shared" si="2"/>
        <v>#REF!</v>
      </c>
      <c r="N6" s="39" t="e">
        <f t="shared" si="5"/>
        <v>#REF!</v>
      </c>
      <c r="O6" s="39" t="e">
        <f>Summary!$J$2*'R1'!N6*'R1'!H6</f>
        <v>#REF!</v>
      </c>
    </row>
    <row r="7" spans="1:17" ht="18" customHeight="1">
      <c r="B7" s="39">
        <f t="shared" si="3"/>
        <v>2024</v>
      </c>
      <c r="C7" s="39">
        <f t="shared" si="1"/>
        <v>61</v>
      </c>
      <c r="D7" s="39">
        <v>5</v>
      </c>
      <c r="E7" s="39">
        <f>VLOOKUP(C:C, 'Total Data Set'!B:J, IF(Summary!$F$2="M", 4, 8), FALSE)</f>
        <v>8.2839999999999997E-3</v>
      </c>
      <c r="F7" s="39">
        <f t="shared" si="0"/>
        <v>0.99171600000000004</v>
      </c>
      <c r="G7" s="39">
        <f t="shared" si="4"/>
        <v>0.96594279259333959</v>
      </c>
      <c r="H7" s="39">
        <f>1/(1+Summary!$O$3)^D7</f>
        <v>0.78352616646845896</v>
      </c>
      <c r="I7" s="39">
        <f>Summary!$J$2*'R1'!H7*'R1'!G7</f>
        <v>7568.4145330849715</v>
      </c>
      <c r="K7" s="39"/>
      <c r="L7" s="39" t="e">
        <f>IF(Summary!$F$2="M",VLOOKUP(C:C,#REF!,IF(B7&gt;2033,22,MATCH(B7,#REF!,0)),FALSE),VLOOKUP(C:C,#REF!,IF(B7&gt;2033,22,MATCH(B7,#REF!,0)),FALSE))</f>
        <v>#REF!</v>
      </c>
      <c r="M7" s="41" t="e">
        <f t="shared" si="2"/>
        <v>#REF!</v>
      </c>
      <c r="N7" s="39" t="e">
        <f t="shared" si="5"/>
        <v>#REF!</v>
      </c>
      <c r="O7" s="39" t="e">
        <f>Summary!$J$2*'R1'!N7*'R1'!H7</f>
        <v>#REF!</v>
      </c>
    </row>
    <row r="8" spans="1:17" ht="18" customHeight="1">
      <c r="B8" s="39">
        <f t="shared" si="3"/>
        <v>2025</v>
      </c>
      <c r="C8" s="39">
        <f t="shared" si="1"/>
        <v>62</v>
      </c>
      <c r="D8" s="39">
        <v>6</v>
      </c>
      <c r="E8" s="39">
        <f>VLOOKUP(C:C, 'Total Data Set'!B:J, IF(Summary!$F$2="M", 4, 8), FALSE)</f>
        <v>8.8540000000000008E-3</v>
      </c>
      <c r="F8" s="39">
        <f t="shared" si="0"/>
        <v>0.99114599999999997</v>
      </c>
      <c r="G8" s="39">
        <f t="shared" si="4"/>
        <v>0.95794092249949636</v>
      </c>
      <c r="H8" s="39">
        <f>1/(1+Summary!$O$3)^D8</f>
        <v>0.74621539663662761</v>
      </c>
      <c r="I8" s="39">
        <f>Summary!$J$2*'R1'!H8*'R1'!G8</f>
        <v>7148.3026543741862</v>
      </c>
      <c r="K8" s="39"/>
      <c r="L8" s="39" t="e">
        <f>IF(Summary!$F$2="M",VLOOKUP(C:C,#REF!,IF(B8&gt;2033,22,MATCH(B8,#REF!,0)),FALSE),VLOOKUP(C:C,#REF!,IF(B8&gt;2033,22,MATCH(B8,#REF!,0)),FALSE))</f>
        <v>#REF!</v>
      </c>
      <c r="M8" s="41" t="e">
        <f t="shared" si="2"/>
        <v>#REF!</v>
      </c>
      <c r="N8" s="39" t="e">
        <f t="shared" si="5"/>
        <v>#REF!</v>
      </c>
      <c r="O8" s="39" t="e">
        <f>Summary!$J$2*'R1'!N8*'R1'!H8</f>
        <v>#REF!</v>
      </c>
    </row>
    <row r="9" spans="1:17" ht="18" customHeight="1">
      <c r="B9" s="39">
        <f t="shared" si="3"/>
        <v>2026</v>
      </c>
      <c r="C9" s="39">
        <f t="shared" si="1"/>
        <v>63</v>
      </c>
      <c r="D9" s="39">
        <v>7</v>
      </c>
      <c r="E9" s="39">
        <f>VLOOKUP(C:C, 'Total Data Set'!B:J, IF(Summary!$F$2="M", 4, 8), FALSE)</f>
        <v>9.4920000000000004E-3</v>
      </c>
      <c r="F9" s="39">
        <f t="shared" si="0"/>
        <v>0.99050799999999994</v>
      </c>
      <c r="G9" s="39">
        <f t="shared" si="4"/>
        <v>0.94945931357168578</v>
      </c>
      <c r="H9" s="39">
        <f>1/(1+Summary!$O$3)^D9</f>
        <v>0.71068133013012147</v>
      </c>
      <c r="I9" s="39">
        <f>Summary!$J$2*'R1'!H9*'R1'!G9</f>
        <v>6747.6300787355776</v>
      </c>
      <c r="K9" s="39"/>
      <c r="L9" s="39" t="e">
        <f>IF(Summary!$F$2="M",VLOOKUP(C:C,#REF!,IF(B9&gt;2033,22,MATCH(B9,#REF!,0)),FALSE),VLOOKUP(C:C,#REF!,IF(B9&gt;2033,22,MATCH(B9,#REF!,0)),FALSE))</f>
        <v>#REF!</v>
      </c>
      <c r="M9" s="41" t="e">
        <f t="shared" si="2"/>
        <v>#REF!</v>
      </c>
      <c r="N9" s="39" t="e">
        <f t="shared" si="5"/>
        <v>#REF!</v>
      </c>
      <c r="O9" s="39" t="e">
        <f>Summary!$J$2*'R1'!N9*'R1'!H9</f>
        <v>#REF!</v>
      </c>
      <c r="P9" s="39" t="s">
        <v>13</v>
      </c>
    </row>
    <row r="10" spans="1:17" ht="18" customHeight="1">
      <c r="B10" s="39">
        <f t="shared" si="3"/>
        <v>2027</v>
      </c>
      <c r="C10" s="39">
        <f t="shared" si="1"/>
        <v>64</v>
      </c>
      <c r="D10" s="39">
        <v>8</v>
      </c>
      <c r="E10" s="39">
        <f>VLOOKUP(C:C, 'Total Data Set'!B:J, IF(Summary!$F$2="M", 4, 8), FALSE)</f>
        <v>1.0208999999999999E-2</v>
      </c>
      <c r="F10" s="39">
        <f t="shared" si="0"/>
        <v>0.98979099999999998</v>
      </c>
      <c r="G10" s="39">
        <f t="shared" si="4"/>
        <v>0.94044704576726323</v>
      </c>
      <c r="H10" s="39">
        <f>1/(1+Summary!$O$3)^D10</f>
        <v>0.67683936202868722</v>
      </c>
      <c r="I10" s="39">
        <f>Summary!$J$2*'R1'!H10*'R1'!G10</f>
        <v>6365.3157847887805</v>
      </c>
      <c r="K10" s="39"/>
      <c r="L10" s="39" t="e">
        <f>IF(Summary!$F$2="M",VLOOKUP(C:C,#REF!,IF(B10&gt;2033,22,MATCH(B10,#REF!,0)),FALSE),VLOOKUP(C:C,#REF!,IF(B10&gt;2033,22,MATCH(B10,#REF!,0)),FALSE))</f>
        <v>#REF!</v>
      </c>
      <c r="M10" s="41" t="e">
        <f t="shared" si="2"/>
        <v>#REF!</v>
      </c>
      <c r="N10" s="39" t="e">
        <f t="shared" si="5"/>
        <v>#REF!</v>
      </c>
      <c r="O10" s="39" t="e">
        <f>Summary!$J$2*'R1'!N10*'R1'!H10</f>
        <v>#REF!</v>
      </c>
    </row>
    <row r="11" spans="1:17" ht="18" customHeight="1">
      <c r="B11" s="39">
        <f t="shared" si="3"/>
        <v>2028</v>
      </c>
      <c r="C11" s="39">
        <f t="shared" si="1"/>
        <v>65</v>
      </c>
      <c r="D11" s="39">
        <v>9</v>
      </c>
      <c r="E11" s="39">
        <f>VLOOKUP(C:C, 'Total Data Set'!B:J, IF(Summary!$F$2="M", 4, 8), FALSE)</f>
        <v>1.1013E-2</v>
      </c>
      <c r="F11" s="39">
        <f t="shared" si="0"/>
        <v>0.98898699999999995</v>
      </c>
      <c r="G11" s="39">
        <f t="shared" si="4"/>
        <v>0.93084602187702525</v>
      </c>
      <c r="H11" s="39">
        <f>1/(1+Summary!$O$3)^D11</f>
        <v>0.64460891621779726</v>
      </c>
      <c r="I11" s="39">
        <f>Summary!$J$2*'R1'!H11*'R1'!G11</f>
        <v>6000.3164532779729</v>
      </c>
      <c r="K11" s="39"/>
      <c r="L11" s="39" t="e">
        <f>IF(Summary!$F$2="M",VLOOKUP(C:C,#REF!,IF(B11&gt;2033,22,MATCH(B11,#REF!,0)),FALSE),VLOOKUP(C:C,#REF!,IF(B11&gt;2033,22,MATCH(B11,#REF!,0)),FALSE))</f>
        <v>#REF!</v>
      </c>
      <c r="M11" s="41" t="e">
        <f t="shared" si="2"/>
        <v>#REF!</v>
      </c>
      <c r="N11" s="39" t="e">
        <f t="shared" si="5"/>
        <v>#REF!</v>
      </c>
      <c r="O11" s="39" t="e">
        <f>Summary!$J$2*'R1'!N11*'R1'!H11</f>
        <v>#REF!</v>
      </c>
    </row>
    <row r="12" spans="1:17" ht="18" customHeight="1">
      <c r="B12" s="39">
        <f t="shared" si="3"/>
        <v>2029</v>
      </c>
      <c r="C12" s="39">
        <f t="shared" si="1"/>
        <v>66</v>
      </c>
      <c r="D12" s="39">
        <v>10</v>
      </c>
      <c r="E12" s="39">
        <f>VLOOKUP(C:C, 'Total Data Set'!B:J, IF(Summary!$F$2="M", 4, 8), FALSE)</f>
        <v>1.1916E-2</v>
      </c>
      <c r="F12" s="39">
        <f t="shared" si="0"/>
        <v>0.98808399999999996</v>
      </c>
      <c r="G12" s="39">
        <f t="shared" si="4"/>
        <v>0.92059461463809356</v>
      </c>
      <c r="H12" s="39">
        <f>1/(1+Summary!$O$3)^D12</f>
        <v>0.61391325354075932</v>
      </c>
      <c r="I12" s="39">
        <f>Summary!$J$2*'R1'!H12*'R1'!G12</f>
        <v>5651.6523506457361</v>
      </c>
      <c r="K12" s="39"/>
      <c r="L12" s="39" t="e">
        <f>IF(Summary!$F$2="M",VLOOKUP(C:C,#REF!,IF(B12&gt;2033,22,MATCH(B12,#REF!,0)),FALSE),VLOOKUP(C:C,#REF!,IF(B12&gt;2033,22,MATCH(B12,#REF!,0)),FALSE))</f>
        <v>#REF!</v>
      </c>
      <c r="M12" s="41" t="e">
        <f t="shared" si="2"/>
        <v>#REF!</v>
      </c>
      <c r="N12" s="39" t="e">
        <f t="shared" si="5"/>
        <v>#REF!</v>
      </c>
      <c r="O12" s="39" t="e">
        <f>Summary!$J$2*'R1'!N12*'R1'!H12</f>
        <v>#REF!</v>
      </c>
    </row>
    <row r="13" spans="1:17" ht="18" customHeight="1">
      <c r="B13" s="39">
        <f t="shared" si="3"/>
        <v>2030</v>
      </c>
      <c r="C13" s="39">
        <f t="shared" si="1"/>
        <v>67</v>
      </c>
      <c r="D13" s="39">
        <v>11</v>
      </c>
      <c r="E13" s="39">
        <f>VLOOKUP(C:C, 'Total Data Set'!B:J, IF(Summary!$F$2="M", 4, 8), FALSE)</f>
        <v>1.2930000000000001E-2</v>
      </c>
      <c r="F13" s="39">
        <f t="shared" si="0"/>
        <v>0.98707</v>
      </c>
      <c r="G13" s="39">
        <f t="shared" si="4"/>
        <v>0.90962480921006594</v>
      </c>
      <c r="H13" s="39">
        <f>1/(1+Summary!$O$3)^D13</f>
        <v>0.5846792890864374</v>
      </c>
      <c r="I13" s="39">
        <f>Summary!$J$2*'R1'!H13*'R1'!G13</f>
        <v>5318.3878678432766</v>
      </c>
      <c r="K13" s="39"/>
      <c r="L13" s="39" t="e">
        <f>IF(Summary!$F$2="M",VLOOKUP(C:C,#REF!,IF(B13&gt;2033,22,MATCH(B13,#REF!,0)),FALSE),VLOOKUP(C:C,#REF!,IF(B13&gt;2033,22,MATCH(B13,#REF!,0)),FALSE))</f>
        <v>#REF!</v>
      </c>
      <c r="M13" s="41" t="e">
        <f t="shared" si="2"/>
        <v>#REF!</v>
      </c>
      <c r="N13" s="39" t="e">
        <f t="shared" si="5"/>
        <v>#REF!</v>
      </c>
      <c r="O13" s="39" t="e">
        <f>Summary!$J$2*'R1'!N13*'R1'!H13</f>
        <v>#REF!</v>
      </c>
    </row>
    <row r="14" spans="1:17" ht="18" customHeight="1">
      <c r="B14" s="39">
        <f t="shared" si="3"/>
        <v>2031</v>
      </c>
      <c r="C14" s="39">
        <f t="shared" si="1"/>
        <v>68</v>
      </c>
      <c r="D14" s="39">
        <v>12</v>
      </c>
      <c r="E14" s="39">
        <f>VLOOKUP(C:C, 'Total Data Set'!B:J, IF(Summary!$F$2="M", 4, 8), FALSE)</f>
        <v>1.4067E-2</v>
      </c>
      <c r="F14" s="39">
        <f t="shared" si="0"/>
        <v>0.98593299999999995</v>
      </c>
      <c r="G14" s="39">
        <f t="shared" si="4"/>
        <v>0.89786336042697978</v>
      </c>
      <c r="H14" s="39">
        <f>1/(1+Summary!$O$3)^D14</f>
        <v>0.5568374181775595</v>
      </c>
      <c r="I14" s="39">
        <f>Summary!$J$2*'R1'!H14*'R1'!G14</f>
        <v>4999.6391549638702</v>
      </c>
      <c r="K14" s="39"/>
      <c r="L14" s="39" t="e">
        <f>IF(Summary!$F$2="M",VLOOKUP(C:C,#REF!,IF(B14&gt;2033,22,MATCH(B14,#REF!,0)),FALSE),VLOOKUP(C:C,#REF!,IF(B14&gt;2033,22,MATCH(B14,#REF!,0)),FALSE))</f>
        <v>#REF!</v>
      </c>
      <c r="M14" s="41" t="e">
        <f t="shared" si="2"/>
        <v>#REF!</v>
      </c>
      <c r="N14" s="39" t="e">
        <f t="shared" si="5"/>
        <v>#REF!</v>
      </c>
      <c r="O14" s="39" t="e">
        <f>Summary!$J$2*'R1'!N14*'R1'!H14</f>
        <v>#REF!</v>
      </c>
    </row>
    <row r="15" spans="1:17" ht="18" customHeight="1">
      <c r="B15" s="39">
        <f t="shared" si="3"/>
        <v>2032</v>
      </c>
      <c r="C15" s="39">
        <f t="shared" si="1"/>
        <v>69</v>
      </c>
      <c r="D15" s="39">
        <v>13</v>
      </c>
      <c r="E15" s="39">
        <f>VLOOKUP(C:C, 'Total Data Set'!B:J, IF(Summary!$F$2="M", 4, 8), FALSE)</f>
        <v>1.5342E-2</v>
      </c>
      <c r="F15" s="39">
        <f t="shared" si="0"/>
        <v>0.98465800000000003</v>
      </c>
      <c r="G15" s="39">
        <f t="shared" si="4"/>
        <v>0.88523311653585346</v>
      </c>
      <c r="H15" s="39">
        <f>1/(1+Summary!$O$3)^D15</f>
        <v>0.53032135064529462</v>
      </c>
      <c r="I15" s="39">
        <f>Summary!$J$2*'R1'!H15*'R1'!G15</f>
        <v>4694.580219972373</v>
      </c>
      <c r="K15" s="39"/>
      <c r="L15" s="39" t="e">
        <f>IF(Summary!$F$2="M",VLOOKUP(C:C,#REF!,IF(B15&gt;2033,22,MATCH(B15,#REF!,0)),FALSE),VLOOKUP(C:C,#REF!,IF(B15&gt;2033,22,MATCH(B15,#REF!,0)),FALSE))</f>
        <v>#REF!</v>
      </c>
      <c r="M15" s="41" t="e">
        <f t="shared" si="2"/>
        <v>#REF!</v>
      </c>
      <c r="N15" s="39" t="e">
        <f>N14*M14</f>
        <v>#REF!</v>
      </c>
      <c r="O15" s="39" t="e">
        <f>Summary!$J$2*'R1'!N15*'R1'!H15</f>
        <v>#REF!</v>
      </c>
    </row>
    <row r="16" spans="1:17" ht="18" customHeight="1">
      <c r="B16" s="39">
        <f t="shared" si="3"/>
        <v>2033</v>
      </c>
      <c r="C16" s="39">
        <f t="shared" si="1"/>
        <v>70</v>
      </c>
      <c r="D16" s="39">
        <v>14</v>
      </c>
      <c r="E16" s="39">
        <f>VLOOKUP(C:C, 'Total Data Set'!B:J, IF(Summary!$F$2="M", 4, 8), FALSE)</f>
        <v>1.6768999999999999E-2</v>
      </c>
      <c r="F16" s="39">
        <f t="shared" si="0"/>
        <v>0.98323099999999997</v>
      </c>
      <c r="G16" s="39">
        <f t="shared" si="4"/>
        <v>0.87165187006196043</v>
      </c>
      <c r="H16" s="39">
        <f>1/(1+Summary!$O$3)^D16</f>
        <v>0.50506795299551888</v>
      </c>
      <c r="I16" s="39">
        <f>Summary!$J$2*'R1'!H16*'R1'!G16</f>
        <v>4402.4342573691038</v>
      </c>
      <c r="K16" s="39"/>
      <c r="L16" s="39" t="e">
        <f>IF(Summary!$F$2="M",VLOOKUP(C:C,#REF!,IF(B16&gt;2033,22,MATCH(B16,#REF!,0)),FALSE),VLOOKUP(C:C,#REF!,IF(B16&gt;2033,22,MATCH(B16,#REF!,0)),FALSE))</f>
        <v>#REF!</v>
      </c>
      <c r="M16" s="41" t="e">
        <f t="shared" si="2"/>
        <v>#REF!</v>
      </c>
      <c r="N16" s="39" t="e">
        <f t="shared" si="5"/>
        <v>#REF!</v>
      </c>
      <c r="O16" s="39" t="e">
        <f>Summary!$J$2*'R1'!N16*'R1'!H16</f>
        <v>#REF!</v>
      </c>
    </row>
    <row r="17" spans="2:15" ht="18" customHeight="1">
      <c r="B17" s="39">
        <f t="shared" si="3"/>
        <v>2034</v>
      </c>
      <c r="C17" s="39">
        <f t="shared" si="1"/>
        <v>71</v>
      </c>
      <c r="D17" s="39">
        <v>15</v>
      </c>
      <c r="E17" s="39">
        <f>VLOOKUP(C:C, 'Total Data Set'!B:J, IF(Summary!$F$2="M", 4, 8), FALSE)</f>
        <v>1.8363000000000001E-2</v>
      </c>
      <c r="F17" s="39">
        <f t="shared" si="0"/>
        <v>0.98163699999999998</v>
      </c>
      <c r="G17" s="39">
        <f t="shared" si="4"/>
        <v>0.85703513985289137</v>
      </c>
      <c r="H17" s="39">
        <f>1/(1+Summary!$O$3)^D17</f>
        <v>0.48101709809097021</v>
      </c>
      <c r="I17" s="39">
        <f>Summary!$J$2*'R1'!H17*'R1'!G17</f>
        <v>4122.4855593402663</v>
      </c>
      <c r="K17" s="39"/>
      <c r="L17" s="39" t="e">
        <f>IF(Summary!$F$2="M",VLOOKUP(C:C,#REF!,IF(B17&gt;2033,22,MATCH(B17,#REF!,0)),FALSE),VLOOKUP(C:C,#REF!,IF(B17&gt;2033,22,MATCH(B17,#REF!,0)),FALSE))</f>
        <v>#REF!</v>
      </c>
      <c r="M17" s="41" t="e">
        <f t="shared" si="2"/>
        <v>#REF!</v>
      </c>
      <c r="N17" s="39" t="e">
        <f t="shared" si="5"/>
        <v>#REF!</v>
      </c>
      <c r="O17" s="39" t="e">
        <f>Summary!$J$2*'R1'!N17*'R1'!H17</f>
        <v>#REF!</v>
      </c>
    </row>
    <row r="18" spans="2:15" ht="18" customHeight="1">
      <c r="B18" s="39">
        <f t="shared" si="3"/>
        <v>2035</v>
      </c>
      <c r="C18" s="39">
        <f t="shared" si="1"/>
        <v>72</v>
      </c>
      <c r="D18" s="39">
        <v>16</v>
      </c>
      <c r="E18" s="39">
        <f>VLOOKUP(C:C, 'Total Data Set'!B:J, IF(Summary!$F$2="M", 4, 8), FALSE)</f>
        <v>2.0140999999999999E-2</v>
      </c>
      <c r="F18" s="39">
        <f t="shared" si="0"/>
        <v>0.97985900000000004</v>
      </c>
      <c r="G18" s="39">
        <f t="shared" si="4"/>
        <v>0.84129740357977267</v>
      </c>
      <c r="H18" s="39">
        <f>1/(1+Summary!$O$3)^D18</f>
        <v>0.45811152199140021</v>
      </c>
      <c r="I18" s="39">
        <f>Summary!$J$2*'R1'!H18*'R1'!G18</f>
        <v>3854.0803400134296</v>
      </c>
      <c r="K18" s="39"/>
      <c r="L18" s="39" t="e">
        <f>IF(Summary!$F$2="M",VLOOKUP(C:C,#REF!,IF(B18&gt;2033,22,MATCH(B18,#REF!,0)),FALSE),VLOOKUP(C:C,#REF!,IF(B18&gt;2033,22,MATCH(B18,#REF!,0)),FALSE))</f>
        <v>#REF!</v>
      </c>
      <c r="M18" s="41" t="e">
        <f t="shared" si="2"/>
        <v>#REF!</v>
      </c>
      <c r="N18" s="39" t="e">
        <f t="shared" si="5"/>
        <v>#REF!</v>
      </c>
      <c r="O18" s="39" t="e">
        <f>Summary!$J$2*'R1'!N18*'R1'!H18</f>
        <v>#REF!</v>
      </c>
    </row>
    <row r="19" spans="2:15" ht="18" customHeight="1">
      <c r="B19" s="39">
        <f t="shared" si="3"/>
        <v>2036</v>
      </c>
      <c r="C19" s="39">
        <f t="shared" si="1"/>
        <v>73</v>
      </c>
      <c r="D19" s="39">
        <v>17</v>
      </c>
      <c r="E19" s="39">
        <f>VLOOKUP(C:C, 'Total Data Set'!B:J, IF(Summary!$F$2="M", 4, 8), FALSE)</f>
        <v>2.2127000000000001E-2</v>
      </c>
      <c r="F19" s="39">
        <f t="shared" si="0"/>
        <v>0.97787299999999999</v>
      </c>
      <c r="G19" s="39">
        <f t="shared" si="4"/>
        <v>0.8243528325742725</v>
      </c>
      <c r="H19" s="39">
        <f>1/(1+Summary!$O$3)^D19</f>
        <v>0.43629668761085727</v>
      </c>
      <c r="I19" s="39">
        <f>Summary!$J$2*'R1'!H19*'R1'!G19</f>
        <v>3596.6241027478268</v>
      </c>
      <c r="K19" s="39"/>
      <c r="L19" s="39" t="e">
        <f>IF(Summary!$F$2="M",VLOOKUP(C:C,#REF!,IF(B19&gt;2033,22,MATCH(B19,#REF!,0)),FALSE),VLOOKUP(C:C,#REF!,IF(B19&gt;2033,22,MATCH(B19,#REF!,0)),FALSE))</f>
        <v>#REF!</v>
      </c>
      <c r="M19" s="41" t="e">
        <f t="shared" si="2"/>
        <v>#REF!</v>
      </c>
      <c r="N19" s="39" t="e">
        <f t="shared" si="5"/>
        <v>#REF!</v>
      </c>
      <c r="O19" s="39" t="e">
        <f>Summary!$J$2*'R1'!N19*'R1'!H19</f>
        <v>#REF!</v>
      </c>
    </row>
    <row r="20" spans="2:15" ht="18" customHeight="1">
      <c r="B20" s="39">
        <f t="shared" si="3"/>
        <v>2037</v>
      </c>
      <c r="C20" s="39">
        <f t="shared" si="1"/>
        <v>74</v>
      </c>
      <c r="D20" s="39">
        <v>18</v>
      </c>
      <c r="E20" s="39">
        <f>VLOOKUP(C:C, 'Total Data Set'!B:J, IF(Summary!$F$2="M", 4, 8), FALSE)</f>
        <v>2.4344999999999999E-2</v>
      </c>
      <c r="F20" s="39">
        <f t="shared" si="0"/>
        <v>0.97565500000000005</v>
      </c>
      <c r="G20" s="39">
        <f t="shared" si="4"/>
        <v>0.80611237744790154</v>
      </c>
      <c r="H20" s="39">
        <f>1/(1+Summary!$O$3)^D20</f>
        <v>0.41552065486748313</v>
      </c>
      <c r="I20" s="39">
        <f>Summary!$J$2*'R1'!H20*'R1'!G20</f>
        <v>3349.5634297393581</v>
      </c>
      <c r="K20" s="39"/>
      <c r="L20" s="39" t="e">
        <f>IF(Summary!$F$2="M",VLOOKUP(C:C,#REF!,IF(B20&gt;2033,22,MATCH(B20,#REF!,0)),FALSE),VLOOKUP(C:C,#REF!,IF(B20&gt;2033,22,MATCH(B20,#REF!,0)),FALSE))</f>
        <v>#REF!</v>
      </c>
      <c r="M20" s="41" t="e">
        <f t="shared" si="2"/>
        <v>#REF!</v>
      </c>
      <c r="N20" s="39" t="e">
        <f t="shared" si="5"/>
        <v>#REF!</v>
      </c>
      <c r="O20" s="39" t="e">
        <f>Summary!$J$2*'R1'!N20*'R1'!H20</f>
        <v>#REF!</v>
      </c>
    </row>
    <row r="21" spans="2:15" ht="18" customHeight="1">
      <c r="B21" s="39">
        <f t="shared" si="3"/>
        <v>2038</v>
      </c>
      <c r="C21" s="39">
        <f t="shared" si="1"/>
        <v>75</v>
      </c>
      <c r="D21" s="39">
        <v>19</v>
      </c>
      <c r="E21" s="39">
        <f>VLOOKUP(C:C, 'Total Data Set'!B:J, IF(Summary!$F$2="M", 4, 8), FALSE)</f>
        <v>2.6825999999999999E-2</v>
      </c>
      <c r="F21" s="39">
        <f t="shared" si="0"/>
        <v>0.97317399999999998</v>
      </c>
      <c r="G21" s="39">
        <f t="shared" si="4"/>
        <v>0.78648757161893246</v>
      </c>
      <c r="H21" s="39">
        <f>1/(1+Summary!$O$3)^D21</f>
        <v>0.39573395701665059</v>
      </c>
      <c r="I21" s="39">
        <f>Summary!$J$2*'R1'!H21*'R1'!G21</f>
        <v>3112.3983886117653</v>
      </c>
      <c r="K21" s="39"/>
      <c r="L21" s="39" t="e">
        <f>IF(Summary!$F$2="M",VLOOKUP(C:C,#REF!,IF(B21&gt;2033,22,MATCH(B21,#REF!,0)),FALSE),VLOOKUP(C:C,#REF!,IF(B21&gt;2033,22,MATCH(B21,#REF!,0)),FALSE))</f>
        <v>#REF!</v>
      </c>
      <c r="M21" s="41" t="e">
        <f t="shared" si="2"/>
        <v>#REF!</v>
      </c>
      <c r="N21" s="39" t="e">
        <f t="shared" si="5"/>
        <v>#REF!</v>
      </c>
      <c r="O21" s="39" t="e">
        <f>Summary!$J$2*'R1'!N21*'R1'!H21</f>
        <v>#REF!</v>
      </c>
    </row>
    <row r="22" spans="2:15" ht="18" customHeight="1">
      <c r="B22" s="39">
        <f t="shared" si="3"/>
        <v>2039</v>
      </c>
      <c r="C22" s="39">
        <f t="shared" si="1"/>
        <v>76</v>
      </c>
      <c r="D22" s="39">
        <v>20</v>
      </c>
      <c r="E22" s="39">
        <f>VLOOKUP(C:C, 'Total Data Set'!B:J, IF(Summary!$F$2="M", 4, 8), FALSE)</f>
        <v>2.9607999999999999E-2</v>
      </c>
      <c r="F22" s="39">
        <f t="shared" si="0"/>
        <v>0.97039200000000003</v>
      </c>
      <c r="G22" s="39">
        <f t="shared" si="4"/>
        <v>0.76538925602268293</v>
      </c>
      <c r="H22" s="39">
        <f>1/(1+Summary!$O$3)^D22</f>
        <v>0.37688948287300061</v>
      </c>
      <c r="I22" s="39">
        <f>Summary!$J$2*'R1'!H22*'R1'!G22</f>
        <v>2884.6716089893966</v>
      </c>
      <c r="K22" s="39"/>
      <c r="L22" s="39" t="e">
        <f>IF(Summary!$F$2="M",VLOOKUP(C:C,#REF!,IF(B22&gt;2033,22,MATCH(B22,#REF!,0)),FALSE),VLOOKUP(C:C,#REF!,IF(B22&gt;2033,22,MATCH(B22,#REF!,0)),FALSE))</f>
        <v>#REF!</v>
      </c>
      <c r="M22" s="41" t="e">
        <f t="shared" si="2"/>
        <v>#REF!</v>
      </c>
      <c r="N22" s="39" t="e">
        <f t="shared" si="5"/>
        <v>#REF!</v>
      </c>
      <c r="O22" s="39" t="e">
        <f>Summary!$J$2*'R1'!N22*'R1'!H22</f>
        <v>#REF!</v>
      </c>
    </row>
    <row r="23" spans="2:15" ht="18" customHeight="1">
      <c r="B23" s="39">
        <f t="shared" si="3"/>
        <v>2040</v>
      </c>
      <c r="C23" s="39">
        <f t="shared" si="1"/>
        <v>77</v>
      </c>
      <c r="D23" s="39">
        <v>21</v>
      </c>
      <c r="E23" s="39">
        <f>VLOOKUP(C:C, 'Total Data Set'!B:J, IF(Summary!$F$2="M", 4, 8), FALSE)</f>
        <v>3.2735E-2</v>
      </c>
      <c r="F23" s="39">
        <f t="shared" si="0"/>
        <v>0.96726500000000004</v>
      </c>
      <c r="G23" s="39">
        <f t="shared" si="4"/>
        <v>0.74272761093036332</v>
      </c>
      <c r="H23" s="39">
        <f>1/(1+Summary!$O$3)^D23</f>
        <v>0.35894236464095297</v>
      </c>
      <c r="I23" s="39">
        <f>Summary!$J$2*'R1'!H23*'R1'!G23</f>
        <v>2665.9640495147032</v>
      </c>
      <c r="K23" s="39"/>
      <c r="L23" s="39" t="e">
        <f>IF(Summary!$F$2="M",VLOOKUP(C:C,#REF!,IF(B23&gt;2033,22,MATCH(B23,#REF!,0)),FALSE),VLOOKUP(C:C,#REF!,IF(B23&gt;2033,22,MATCH(B23,#REF!,0)),FALSE))</f>
        <v>#REF!</v>
      </c>
      <c r="M23" s="41" t="e">
        <f t="shared" si="2"/>
        <v>#REF!</v>
      </c>
      <c r="N23" s="39" t="e">
        <f t="shared" si="5"/>
        <v>#REF!</v>
      </c>
      <c r="O23" s="39" t="e">
        <f>Summary!$J$2*'R1'!N23*'R1'!H23</f>
        <v>#REF!</v>
      </c>
    </row>
    <row r="24" spans="2:15" ht="18" customHeight="1">
      <c r="B24" s="39">
        <f t="shared" si="3"/>
        <v>2041</v>
      </c>
      <c r="C24" s="39">
        <f t="shared" si="1"/>
        <v>78</v>
      </c>
      <c r="D24" s="39">
        <v>22</v>
      </c>
      <c r="E24" s="39">
        <f>VLOOKUP(C:C, 'Total Data Set'!B:J, IF(Summary!$F$2="M", 4, 8), FALSE)</f>
        <v>3.6257999999999999E-2</v>
      </c>
      <c r="F24" s="39">
        <f t="shared" si="0"/>
        <v>0.96374199999999999</v>
      </c>
      <c r="G24" s="39">
        <f t="shared" si="4"/>
        <v>0.71841442258655797</v>
      </c>
      <c r="H24" s="39">
        <f>1/(1+Summary!$O$3)^D24</f>
        <v>0.3418498710866219</v>
      </c>
      <c r="I24" s="39">
        <f>Summary!$J$2*'R1'!H24*'R1'!G24</f>
        <v>2455.8987774798475</v>
      </c>
      <c r="K24" s="39"/>
      <c r="L24" s="39" t="e">
        <f>IF(Summary!$F$2="M",VLOOKUP(C:C,#REF!,IF(B24&gt;2033,22,MATCH(B24,#REF!,0)),FALSE),VLOOKUP(C:C,#REF!,IF(B24&gt;2033,22,MATCH(B24,#REF!,0)),FALSE))</f>
        <v>#REF!</v>
      </c>
      <c r="M24" s="41" t="e">
        <f t="shared" si="2"/>
        <v>#REF!</v>
      </c>
      <c r="N24" s="39" t="e">
        <f t="shared" si="5"/>
        <v>#REF!</v>
      </c>
      <c r="O24" s="39" t="e">
        <f>Summary!$J$2*'R1'!N24*'R1'!H24</f>
        <v>#REF!</v>
      </c>
    </row>
    <row r="25" spans="2:15" ht="18" customHeight="1">
      <c r="B25" s="39">
        <f t="shared" si="3"/>
        <v>2042</v>
      </c>
      <c r="C25" s="39">
        <f t="shared" si="1"/>
        <v>79</v>
      </c>
      <c r="D25" s="39">
        <v>23</v>
      </c>
      <c r="E25" s="39">
        <f>VLOOKUP(C:C, 'Total Data Set'!B:J, IF(Summary!$F$2="M", 4, 8), FALSE)</f>
        <v>4.0231999999999997E-2</v>
      </c>
      <c r="F25" s="39">
        <f t="shared" si="0"/>
        <v>0.95976799999999995</v>
      </c>
      <c r="G25" s="39">
        <f t="shared" si="4"/>
        <v>0.69236615245241451</v>
      </c>
      <c r="H25" s="39">
        <f>1/(1+Summary!$O$3)^D25</f>
        <v>0.32557130579678267</v>
      </c>
      <c r="I25" s="39">
        <f>Summary!$J$2*'R1'!H25*'R1'!G25</f>
        <v>2254.1455234342689</v>
      </c>
      <c r="K25" s="39"/>
      <c r="L25" s="39" t="e">
        <f>IF(Summary!$F$2="M",VLOOKUP(C:C,#REF!,IF(B25&gt;2033,22,MATCH(B25,#REF!,0)),FALSE),VLOOKUP(C:C,#REF!,IF(B25&gt;2033,22,MATCH(B25,#REF!,0)),FALSE))</f>
        <v>#REF!</v>
      </c>
      <c r="M25" s="41" t="e">
        <f t="shared" si="2"/>
        <v>#REF!</v>
      </c>
      <c r="N25" s="39" t="e">
        <f t="shared" si="5"/>
        <v>#REF!</v>
      </c>
      <c r="O25" s="39" t="e">
        <f>Summary!$J$2*'R1'!N25*'R1'!H25</f>
        <v>#REF!</v>
      </c>
    </row>
    <row r="26" spans="2:15" ht="18" customHeight="1">
      <c r="B26" s="39">
        <f t="shared" si="3"/>
        <v>2043</v>
      </c>
      <c r="C26" s="39">
        <f t="shared" si="1"/>
        <v>80</v>
      </c>
      <c r="D26" s="39">
        <v>24</v>
      </c>
      <c r="E26" s="39">
        <f>VLOOKUP(C:C, 'Total Data Set'!B:J, IF(Summary!$F$2="M", 4, 8), FALSE)</f>
        <v>4.4721999999999998E-2</v>
      </c>
      <c r="F26" s="39">
        <f t="shared" si="0"/>
        <v>0.95527799999999996</v>
      </c>
      <c r="G26" s="39">
        <f t="shared" si="4"/>
        <v>0.66451087740694892</v>
      </c>
      <c r="H26" s="39">
        <f>1/(1+Summary!$O$3)^D26</f>
        <v>0.31006791028265024</v>
      </c>
      <c r="I26" s="39">
        <f>Summary!$J$2*'R1'!H26*'R1'!G26</f>
        <v>2060.4349911766303</v>
      </c>
      <c r="K26" s="39"/>
      <c r="L26" s="39" t="e">
        <f>IF(Summary!$F$2="M",VLOOKUP(C:C,#REF!,IF(B26&gt;2033,22,MATCH(B26,#REF!,0)),FALSE),VLOOKUP(C:C,#REF!,IF(B26&gt;2033,22,MATCH(B26,#REF!,0)),FALSE))</f>
        <v>#REF!</v>
      </c>
      <c r="M26" s="41" t="e">
        <f t="shared" si="2"/>
        <v>#REF!</v>
      </c>
      <c r="N26" s="39" t="e">
        <f t="shared" si="5"/>
        <v>#REF!</v>
      </c>
      <c r="O26" s="39" t="e">
        <f>Summary!$J$2*'R1'!N26*'R1'!H26</f>
        <v>#REF!</v>
      </c>
    </row>
    <row r="27" spans="2:15" ht="18" customHeight="1">
      <c r="B27" s="39">
        <f>$B$2+D27</f>
        <v>2044</v>
      </c>
      <c r="C27" s="39">
        <f t="shared" si="1"/>
        <v>81</v>
      </c>
      <c r="D27" s="39">
        <v>25</v>
      </c>
      <c r="E27" s="39">
        <f>VLOOKUP(C:C, 'Total Data Set'!B:J, IF(Summary!$F$2="M", 4, 8), FALSE)</f>
        <v>4.9794999999999999E-2</v>
      </c>
      <c r="F27" s="39">
        <f t="shared" si="0"/>
        <v>0.95020499999999997</v>
      </c>
      <c r="G27" s="39">
        <f t="shared" si="4"/>
        <v>0.63479262194755537</v>
      </c>
      <c r="H27" s="39">
        <f>1/(1+Summary!$O$3)^D27</f>
        <v>0.29530277169776209</v>
      </c>
      <c r="I27" s="39">
        <f>Summary!$J$2*'R1'!H27*'R1'!G27</f>
        <v>1874.5602071440273</v>
      </c>
      <c r="K27" s="39"/>
      <c r="L27" s="39" t="e">
        <f>IF(Summary!$F$2="M",VLOOKUP(C:C,#REF!,IF(B27&gt;2033,22,MATCH(B27,#REF!,0)),FALSE),VLOOKUP(C:C,#REF!,IF(B27&gt;2033,22,MATCH(B27,#REF!,0)),FALSE))</f>
        <v>#REF!</v>
      </c>
      <c r="M27" s="41" t="e">
        <f t="shared" si="2"/>
        <v>#REF!</v>
      </c>
      <c r="N27" s="39" t="e">
        <f t="shared" si="5"/>
        <v>#REF!</v>
      </c>
      <c r="O27" s="39" t="e">
        <f>Summary!$J$2*'R1'!N27*'R1'!H27</f>
        <v>#REF!</v>
      </c>
    </row>
    <row r="28" spans="2:15" ht="18" customHeight="1">
      <c r="B28" s="39">
        <f t="shared" si="3"/>
        <v>2045</v>
      </c>
      <c r="C28" s="39">
        <f t="shared" si="1"/>
        <v>82</v>
      </c>
      <c r="D28" s="39">
        <v>26</v>
      </c>
      <c r="E28" s="39">
        <f>VLOOKUP(C:C, 'Total Data Set'!B:J, IF(Summary!$F$2="M", 4, 8), FALSE)</f>
        <v>5.5525999999999999E-2</v>
      </c>
      <c r="F28" s="39">
        <f t="shared" si="0"/>
        <v>0.94447400000000004</v>
      </c>
      <c r="G28" s="39">
        <f t="shared" si="4"/>
        <v>0.60318312333767687</v>
      </c>
      <c r="H28" s="39">
        <f>1/(1+Summary!$O$3)^D28</f>
        <v>0.28124073495024959</v>
      </c>
      <c r="I28" s="39">
        <f>Summary!$J$2*'R1'!H28*'R1'!G28</f>
        <v>1696.3966491707529</v>
      </c>
      <c r="K28" s="39"/>
      <c r="L28" s="39" t="e">
        <f>IF(Summary!$F$2="M",VLOOKUP(C:C,#REF!,IF(B28&gt;2033,22,MATCH(B28,#REF!,0)),FALSE),VLOOKUP(C:C,#REF!,IF(B28&gt;2033,22,MATCH(B28,#REF!,0)),FALSE))</f>
        <v>#REF!</v>
      </c>
      <c r="M28" s="41" t="e">
        <f t="shared" si="2"/>
        <v>#REF!</v>
      </c>
      <c r="N28" s="39" t="e">
        <f t="shared" si="5"/>
        <v>#REF!</v>
      </c>
      <c r="O28" s="39" t="e">
        <f>Summary!$J$2*'R1'!N28*'R1'!H28</f>
        <v>#REF!</v>
      </c>
    </row>
    <row r="29" spans="2:15" ht="18" customHeight="1">
      <c r="B29" s="39">
        <f t="shared" si="3"/>
        <v>2046</v>
      </c>
      <c r="C29" s="39">
        <f t="shared" si="1"/>
        <v>83</v>
      </c>
      <c r="D29" s="39">
        <v>27</v>
      </c>
      <c r="E29" s="39">
        <f>VLOOKUP(C:C, 'Total Data Set'!B:J, IF(Summary!$F$2="M", 4, 8), FALSE)</f>
        <v>6.1996000000000002E-2</v>
      </c>
      <c r="F29" s="39">
        <f t="shared" si="0"/>
        <v>0.93800399999999995</v>
      </c>
      <c r="G29" s="39">
        <f t="shared" si="4"/>
        <v>0.56969077723122907</v>
      </c>
      <c r="H29" s="39">
        <f>1/(1+Summary!$O$3)^D29</f>
        <v>0.2678483190002377</v>
      </c>
      <c r="I29" s="39">
        <f>Summary!$J$2*'R1'!H29*'R1'!G29</f>
        <v>1525.9071703132358</v>
      </c>
      <c r="K29" s="39"/>
      <c r="L29" s="39" t="e">
        <f>IF(Summary!$F$2="M",VLOOKUP(C:C,#REF!,IF(B29&gt;2033,22,MATCH(B29,#REF!,0)),FALSE),VLOOKUP(C:C,#REF!,IF(B29&gt;2033,22,MATCH(B29,#REF!,0)),FALSE))</f>
        <v>#REF!</v>
      </c>
      <c r="M29" s="41" t="e">
        <f t="shared" si="2"/>
        <v>#REF!</v>
      </c>
      <c r="N29" s="39" t="e">
        <f t="shared" si="5"/>
        <v>#REF!</v>
      </c>
      <c r="O29" s="39" t="e">
        <f>Summary!$J$2*'R1'!N29*'R1'!H29</f>
        <v>#REF!</v>
      </c>
    </row>
    <row r="30" spans="2:15" ht="18" customHeight="1">
      <c r="B30" s="39">
        <f t="shared" si="3"/>
        <v>2047</v>
      </c>
      <c r="C30" s="39">
        <f t="shared" si="1"/>
        <v>84</v>
      </c>
      <c r="D30" s="39">
        <v>28</v>
      </c>
      <c r="E30" s="39">
        <f>VLOOKUP(C:C, 'Total Data Set'!B:J, IF(Summary!$F$2="M", 4, 8), FALSE)</f>
        <v>6.9290000000000004E-2</v>
      </c>
      <c r="F30" s="39">
        <f t="shared" si="0"/>
        <v>0.93071000000000004</v>
      </c>
      <c r="G30" s="39">
        <f t="shared" si="4"/>
        <v>0.5343722278060018</v>
      </c>
      <c r="H30" s="39">
        <f>1/(1+Summary!$O$3)^D30</f>
        <v>0.25509363714308358</v>
      </c>
      <c r="I30" s="39">
        <f>Summary!$J$2*'R1'!H30*'R1'!G30</f>
        <v>1363.1495517928543</v>
      </c>
      <c r="K30" s="39"/>
      <c r="L30" s="39" t="e">
        <f>IF(Summary!$F$2="M",VLOOKUP(C:C,#REF!,IF(B30&gt;2033,22,MATCH(B30,#REF!,0)),FALSE),VLOOKUP(C:C,#REF!,IF(B30&gt;2033,22,MATCH(B30,#REF!,0)),FALSE))</f>
        <v>#REF!</v>
      </c>
      <c r="M30" s="41" t="e">
        <f t="shared" si="2"/>
        <v>#REF!</v>
      </c>
      <c r="N30" s="39" t="e">
        <f t="shared" si="5"/>
        <v>#REF!</v>
      </c>
      <c r="O30" s="39" t="e">
        <f>Summary!$J$2*'R1'!N30*'R1'!H30</f>
        <v>#REF!</v>
      </c>
    </row>
    <row r="31" spans="2:15" ht="18" customHeight="1">
      <c r="B31" s="39">
        <f t="shared" si="3"/>
        <v>2048</v>
      </c>
      <c r="C31" s="39">
        <f t="shared" si="1"/>
        <v>85</v>
      </c>
      <c r="D31" s="39">
        <v>29</v>
      </c>
      <c r="E31" s="39">
        <f>VLOOKUP(C:C, 'Total Data Set'!B:J, IF(Summary!$F$2="M", 4, 8), FALSE)</f>
        <v>7.7496999999999996E-2</v>
      </c>
      <c r="F31" s="39">
        <f t="shared" si="0"/>
        <v>0.92250299999999996</v>
      </c>
      <c r="G31" s="39">
        <f t="shared" si="4"/>
        <v>0.49734557614132396</v>
      </c>
      <c r="H31" s="39">
        <f>1/(1+Summary!$O$3)^D31</f>
        <v>0.24294632108865097</v>
      </c>
      <c r="I31" s="39">
        <f>Summary!$J$2*'R1'!H31*'R1'!G31</f>
        <v>1208.2827803325022</v>
      </c>
      <c r="K31" s="39"/>
      <c r="L31" s="39" t="e">
        <f>IF(Summary!$F$2="M",VLOOKUP(C:C,#REF!,IF(B31&gt;2033,22,MATCH(B31,#REF!,0)),FALSE),VLOOKUP(C:C,#REF!,IF(B31&gt;2033,22,MATCH(B31,#REF!,0)),FALSE))</f>
        <v>#REF!</v>
      </c>
      <c r="M31" s="41" t="e">
        <f t="shared" si="2"/>
        <v>#REF!</v>
      </c>
      <c r="N31" s="39" t="e">
        <f t="shared" si="5"/>
        <v>#REF!</v>
      </c>
      <c r="O31" s="39" t="e">
        <f>Summary!$J$2*'R1'!N31*'R1'!H31</f>
        <v>#REF!</v>
      </c>
    </row>
    <row r="32" spans="2:15" ht="18" customHeight="1">
      <c r="B32" s="39">
        <f t="shared" si="3"/>
        <v>2049</v>
      </c>
      <c r="C32" s="39">
        <f t="shared" si="1"/>
        <v>86</v>
      </c>
      <c r="D32" s="39">
        <v>30</v>
      </c>
      <c r="E32" s="39">
        <f>VLOOKUP(C:C, 'Total Data Set'!B:J, IF(Summary!$F$2="M", 4, 8), FALSE)</f>
        <v>8.6711999999999997E-2</v>
      </c>
      <c r="F32" s="39">
        <f t="shared" si="0"/>
        <v>0.91328799999999999</v>
      </c>
      <c r="G32" s="39">
        <f t="shared" si="4"/>
        <v>0.45880278602709978</v>
      </c>
      <c r="H32" s="39">
        <f>1/(1+Summary!$O$3)^D32</f>
        <v>0.23137744865585813</v>
      </c>
      <c r="I32" s="39">
        <f>Summary!$J$2*'R1'!H32*'R1'!G32</f>
        <v>1061.5661806714995</v>
      </c>
      <c r="K32" s="39"/>
      <c r="L32" s="39" t="e">
        <f>IF(Summary!$F$2="M",VLOOKUP(C:C,#REF!,IF(B32&gt;2033,22,MATCH(B32,#REF!,0)),FALSE),VLOOKUP(C:C,#REF!,IF(B32&gt;2033,22,MATCH(B32,#REF!,0)),FALSE))</f>
        <v>#REF!</v>
      </c>
      <c r="M32" s="41" t="e">
        <f t="shared" si="2"/>
        <v>#REF!</v>
      </c>
      <c r="N32" s="39" t="e">
        <f t="shared" si="5"/>
        <v>#REF!</v>
      </c>
      <c r="O32" s="39" t="e">
        <f>Summary!$J$2*'R1'!N32*'R1'!H32</f>
        <v>#REF!</v>
      </c>
    </row>
    <row r="33" spans="2:15" ht="18" customHeight="1">
      <c r="B33" s="39">
        <f t="shared" si="3"/>
        <v>2050</v>
      </c>
      <c r="C33" s="39">
        <f t="shared" si="1"/>
        <v>87</v>
      </c>
      <c r="D33" s="39">
        <v>31</v>
      </c>
      <c r="E33" s="39">
        <f>VLOOKUP(C:C, 'Total Data Set'!B:J, IF(Summary!$F$2="M", 4, 8), FALSE)</f>
        <v>9.7037999999999999E-2</v>
      </c>
      <c r="F33" s="39">
        <f t="shared" si="0"/>
        <v>0.90296200000000004</v>
      </c>
      <c r="G33" s="39">
        <f t="shared" si="4"/>
        <v>0.41901907884511791</v>
      </c>
      <c r="H33" s="39">
        <f>1/(1+Summary!$O$3)^D33</f>
        <v>0.220359474910341</v>
      </c>
      <c r="I33" s="39">
        <f>Summary!$J$2*'R1'!H33*'R1'!G33</f>
        <v>923.34824191724954</v>
      </c>
      <c r="K33" s="39"/>
      <c r="L33" s="39" t="e">
        <f>IF(Summary!$F$2="M",VLOOKUP(C:C,#REF!,IF(B33&gt;2033,22,MATCH(B33,#REF!,0)),FALSE),VLOOKUP(C:C,#REF!,IF(B33&gt;2033,22,MATCH(B33,#REF!,0)),FALSE))</f>
        <v>#REF!</v>
      </c>
      <c r="M33" s="41" t="e">
        <f t="shared" si="2"/>
        <v>#REF!</v>
      </c>
      <c r="N33" s="39" t="e">
        <f t="shared" si="5"/>
        <v>#REF!</v>
      </c>
      <c r="O33" s="39" t="e">
        <f>Summary!$J$2*'R1'!N33*'R1'!H33</f>
        <v>#REF!</v>
      </c>
    </row>
    <row r="34" spans="2:15" ht="18" customHeight="1">
      <c r="B34" s="39">
        <f t="shared" si="3"/>
        <v>2051</v>
      </c>
      <c r="C34" s="39">
        <f t="shared" si="1"/>
        <v>88</v>
      </c>
      <c r="D34" s="39">
        <v>32</v>
      </c>
      <c r="E34" s="39">
        <f>VLOOKUP(C:C, 'Total Data Set'!B:J, IF(Summary!$F$2="M", 4, 8), FALSE)</f>
        <v>0.10859099999999999</v>
      </c>
      <c r="F34" s="39">
        <f t="shared" ref="F34:F65" si="6">1-E34</f>
        <v>0.89140900000000001</v>
      </c>
      <c r="G34" s="39">
        <f t="shared" si="4"/>
        <v>0.37835830547214538</v>
      </c>
      <c r="H34" s="39">
        <f>1/(1+Summary!$O$3)^D34</f>
        <v>0.20986616658127716</v>
      </c>
      <c r="I34" s="39">
        <f>Summary!$J$2*'R1'!H34*'R1'!G34</f>
        <v>794.04607163627009</v>
      </c>
      <c r="K34" s="39"/>
      <c r="L34" s="39" t="e">
        <f>IF(Summary!$F$2="M",VLOOKUP(C:C,#REF!,IF(B34&gt;2033,22,MATCH(B34,#REF!,0)),FALSE),VLOOKUP(C:C,#REF!,IF(B34&gt;2033,22,MATCH(B34,#REF!,0)),FALSE))</f>
        <v>#REF!</v>
      </c>
      <c r="M34" s="41" t="e">
        <f t="shared" si="2"/>
        <v>#REF!</v>
      </c>
      <c r="N34" s="39" t="e">
        <f t="shared" si="5"/>
        <v>#REF!</v>
      </c>
      <c r="O34" s="39" t="e">
        <f>Summary!$J$2*'R1'!N34*'R1'!H34</f>
        <v>#REF!</v>
      </c>
    </row>
    <row r="35" spans="2:15" ht="18" customHeight="1">
      <c r="B35" s="39">
        <f t="shared" si="3"/>
        <v>2052</v>
      </c>
      <c r="C35" s="39">
        <f t="shared" si="1"/>
        <v>89</v>
      </c>
      <c r="D35" s="39">
        <v>33</v>
      </c>
      <c r="E35" s="39">
        <f>VLOOKUP(C:C, 'Total Data Set'!B:J, IF(Summary!$F$2="M", 4, 8), FALSE)</f>
        <v>0.121499</v>
      </c>
      <c r="F35" s="39">
        <f t="shared" si="6"/>
        <v>0.87850099999999998</v>
      </c>
      <c r="G35" s="39">
        <f t="shared" si="4"/>
        <v>0.33727199872261965</v>
      </c>
      <c r="H35" s="39">
        <f>1/(1+Summary!$O$3)^D35</f>
        <v>0.19987253960121634</v>
      </c>
      <c r="I35" s="39">
        <f>Summary!$J$2*'R1'!H35*'R1'!G35</f>
        <v>674.11410921068182</v>
      </c>
      <c r="K35" s="39"/>
      <c r="L35" s="39" t="e">
        <f>IF(Summary!$F$2="M",VLOOKUP(C:C,#REF!,IF(B35&gt;2033,22,MATCH(B35,#REF!,0)),FALSE),VLOOKUP(C:C,#REF!,IF(B35&gt;2033,22,MATCH(B35,#REF!,0)),FALSE))</f>
        <v>#REF!</v>
      </c>
      <c r="M35" s="41" t="e">
        <f t="shared" si="2"/>
        <v>#REF!</v>
      </c>
      <c r="N35" s="39" t="e">
        <f t="shared" si="5"/>
        <v>#REF!</v>
      </c>
      <c r="O35" s="39" t="e">
        <f>Summary!$J$2*'R1'!N35*'R1'!H35</f>
        <v>#REF!</v>
      </c>
    </row>
    <row r="36" spans="2:15" ht="18" customHeight="1">
      <c r="B36" s="39">
        <f t="shared" si="3"/>
        <v>2053</v>
      </c>
      <c r="C36" s="39">
        <f t="shared" si="1"/>
        <v>90</v>
      </c>
      <c r="D36" s="39">
        <v>34</v>
      </c>
      <c r="E36" s="39">
        <f>VLOOKUP(C:C, 'Total Data Set'!B:J, IF(Summary!$F$2="M", 4, 8), FALSE)</f>
        <v>0.135908</v>
      </c>
      <c r="F36" s="39">
        <f t="shared" si="6"/>
        <v>0.86409199999999997</v>
      </c>
      <c r="G36" s="39">
        <f t="shared" ref="G36:G66" si="7">G35*F35</f>
        <v>0.2962937881498201</v>
      </c>
      <c r="H36" s="39">
        <f>1/(1+Summary!$O$3)^D36</f>
        <v>0.19035479962020604</v>
      </c>
      <c r="I36" s="39">
        <f>Summary!$J$2*'R1'!H36*'R1'!G36</f>
        <v>564.00944671970785</v>
      </c>
      <c r="K36" s="39"/>
      <c r="L36" s="39" t="e">
        <f>IF(Summary!$F$2="M",VLOOKUP(C:C,#REF!,IF(B36&gt;2033,22,MATCH(B36,#REF!,0)),FALSE),VLOOKUP(C:C,#REF!,IF(B36&gt;2033,22,MATCH(B36,#REF!,0)),FALSE))</f>
        <v>#REF!</v>
      </c>
      <c r="M36" s="41" t="e">
        <f t="shared" si="2"/>
        <v>#REF!</v>
      </c>
      <c r="N36" s="39" t="e">
        <f t="shared" si="5"/>
        <v>#REF!</v>
      </c>
      <c r="O36" s="39" t="e">
        <f>Summary!$J$2*'R1'!N36*'R1'!H36</f>
        <v>#REF!</v>
      </c>
    </row>
    <row r="37" spans="2:15" ht="18" customHeight="1">
      <c r="B37" s="39">
        <f t="shared" si="3"/>
        <v>2054</v>
      </c>
      <c r="C37" s="39">
        <f t="shared" si="1"/>
        <v>91</v>
      </c>
      <c r="D37" s="39">
        <v>35</v>
      </c>
      <c r="E37" s="39">
        <f>VLOOKUP(C:C, 'Total Data Set'!B:J, IF(Summary!$F$2="M", 4, 8), FALSE)</f>
        <v>0.15132200000000001</v>
      </c>
      <c r="F37" s="39">
        <f t="shared" si="6"/>
        <v>0.84867800000000004</v>
      </c>
      <c r="G37" s="39">
        <f t="shared" si="7"/>
        <v>0.25602509198995432</v>
      </c>
      <c r="H37" s="39">
        <f>1/(1+Summary!$O$3)^D37</f>
        <v>0.18129028535257716</v>
      </c>
      <c r="I37" s="39">
        <f>Summary!$J$2*'R1'!H37*'R1'!G37</f>
        <v>464.14861984278639</v>
      </c>
      <c r="K37" s="39"/>
      <c r="L37" s="39" t="e">
        <f>IF(Summary!$F$2="M",VLOOKUP(C:C,#REF!,IF(B37&gt;2033,22,MATCH(B37,#REF!,0)),FALSE),VLOOKUP(C:C,#REF!,IF(B37&gt;2033,22,MATCH(B37,#REF!,0)),FALSE))</f>
        <v>#REF!</v>
      </c>
      <c r="M37" s="41" t="e">
        <f t="shared" si="2"/>
        <v>#REF!</v>
      </c>
      <c r="N37" s="39" t="e">
        <f t="shared" si="5"/>
        <v>#REF!</v>
      </c>
      <c r="O37" s="39" t="e">
        <f>Summary!$J$2*'R1'!N37*'R1'!H37</f>
        <v>#REF!</v>
      </c>
    </row>
    <row r="38" spans="2:15" ht="18" customHeight="1">
      <c r="B38" s="39">
        <f t="shared" si="3"/>
        <v>2055</v>
      </c>
      <c r="C38" s="39">
        <f t="shared" si="1"/>
        <v>92</v>
      </c>
      <c r="D38" s="39">
        <v>36</v>
      </c>
      <c r="E38" s="39">
        <f>VLOOKUP(C:C, 'Total Data Set'!B:J, IF(Summary!$F$2="M", 4, 8), FALSE)</f>
        <v>0.16742199999999999</v>
      </c>
      <c r="F38" s="39">
        <f t="shared" si="6"/>
        <v>0.83257800000000004</v>
      </c>
      <c r="G38" s="39">
        <f t="shared" si="7"/>
        <v>0.21728286301985048</v>
      </c>
      <c r="H38" s="39">
        <f>1/(1+Summary!$O$3)^D38</f>
        <v>0.17265741462150208</v>
      </c>
      <c r="I38" s="39">
        <f>Summary!$J$2*'R1'!H38*'R1'!G38</f>
        <v>375.15497370565367</v>
      </c>
      <c r="K38" s="39"/>
      <c r="L38" s="39" t="e">
        <f>IF(Summary!$F$2="M",VLOOKUP(C:C,#REF!,IF(B38&gt;2033,22,MATCH(B38,#REF!,0)),FALSE),VLOOKUP(C:C,#REF!,IF(B38&gt;2033,22,MATCH(B38,#REF!,0)),FALSE))</f>
        <v>#REF!</v>
      </c>
      <c r="M38" s="41" t="e">
        <f t="shared" si="2"/>
        <v>#REF!</v>
      </c>
      <c r="N38" s="39" t="e">
        <f t="shared" si="5"/>
        <v>#REF!</v>
      </c>
      <c r="O38" s="39" t="e">
        <f>Summary!$J$2*'R1'!N38*'R1'!H38</f>
        <v>#REF!</v>
      </c>
    </row>
    <row r="39" spans="2:15" ht="18" customHeight="1">
      <c r="B39" s="39">
        <f t="shared" si="3"/>
        <v>2056</v>
      </c>
      <c r="C39" s="39">
        <f t="shared" si="1"/>
        <v>93</v>
      </c>
      <c r="D39" s="39">
        <v>37</v>
      </c>
      <c r="E39" s="39">
        <f>VLOOKUP(C:C, 'Total Data Set'!B:J, IF(Summary!$F$2="M", 4, 8), FALSE)</f>
        <v>0.18403</v>
      </c>
      <c r="F39" s="39">
        <f t="shared" si="6"/>
        <v>0.81596999999999997</v>
      </c>
      <c r="G39" s="39">
        <f t="shared" si="7"/>
        <v>0.18090493152734108</v>
      </c>
      <c r="H39" s="39">
        <f>1/(1+Summary!$O$3)^D39</f>
        <v>0.1644356329728591</v>
      </c>
      <c r="I39" s="39">
        <f>Summary!$J$2*'R1'!H39*'R1'!G39</f>
        <v>297.47216923610063</v>
      </c>
      <c r="K39" s="39"/>
      <c r="L39" s="39" t="e">
        <f>IF(Summary!$F$2="M",VLOOKUP(C:C,#REF!,IF(B39&gt;2033,22,MATCH(B39,#REF!,0)),FALSE),VLOOKUP(C:C,#REF!,IF(B39&gt;2033,22,MATCH(B39,#REF!,0)),FALSE))</f>
        <v>#REF!</v>
      </c>
      <c r="M39" s="41" t="e">
        <f t="shared" si="2"/>
        <v>#REF!</v>
      </c>
      <c r="N39" s="39" t="e">
        <f t="shared" si="5"/>
        <v>#REF!</v>
      </c>
      <c r="O39" s="39" t="e">
        <f>Summary!$J$2*'R1'!N39*'R1'!H39</f>
        <v>#REF!</v>
      </c>
    </row>
    <row r="40" spans="2:15" ht="18" customHeight="1">
      <c r="B40" s="39">
        <f t="shared" si="3"/>
        <v>2057</v>
      </c>
      <c r="C40" s="39">
        <f t="shared" si="1"/>
        <v>94</v>
      </c>
      <c r="D40" s="39">
        <v>38</v>
      </c>
      <c r="E40" s="39">
        <f>VLOOKUP(C:C, 'Total Data Set'!B:J, IF(Summary!$F$2="M", 4, 8), FALSE)</f>
        <v>0.201074</v>
      </c>
      <c r="F40" s="39">
        <f t="shared" si="6"/>
        <v>0.79892600000000003</v>
      </c>
      <c r="G40" s="39">
        <f t="shared" si="7"/>
        <v>0.1476129969783645</v>
      </c>
      <c r="H40" s="39">
        <f>1/(1+Summary!$O$3)^D40</f>
        <v>0.15660536473605632</v>
      </c>
      <c r="I40" s="39">
        <f>Summary!$J$2*'R1'!H40*'R1'!G40</f>
        <v>231.16987231579151</v>
      </c>
      <c r="K40" s="39"/>
      <c r="L40" s="39" t="e">
        <f>IF(Summary!$F$2="M",VLOOKUP(C:C,#REF!,IF(B40&gt;2033,22,MATCH(B40,#REF!,0)),FALSE),VLOOKUP(C:C,#REF!,IF(B40&gt;2033,22,MATCH(B40,#REF!,0)),FALSE))</f>
        <v>#REF!</v>
      </c>
      <c r="M40" s="41" t="e">
        <f t="shared" si="2"/>
        <v>#REF!</v>
      </c>
      <c r="N40" s="39" t="e">
        <f t="shared" si="5"/>
        <v>#REF!</v>
      </c>
      <c r="O40" s="39" t="e">
        <f>Summary!$J$2*'R1'!N40*'R1'!H40</f>
        <v>#REF!</v>
      </c>
    </row>
    <row r="41" spans="2:15" ht="18" customHeight="1">
      <c r="B41" s="39">
        <f t="shared" si="3"/>
        <v>2058</v>
      </c>
      <c r="C41" s="39">
        <f t="shared" si="1"/>
        <v>95</v>
      </c>
      <c r="D41" s="39">
        <v>39</v>
      </c>
      <c r="E41" s="39">
        <f>VLOOKUP(C:C, 'Total Data Set'!B:J, IF(Summary!$F$2="M", 4, 8), FALSE)</f>
        <v>0.218559</v>
      </c>
      <c r="F41" s="39">
        <f t="shared" si="6"/>
        <v>0.78144100000000005</v>
      </c>
      <c r="G41" s="39">
        <f t="shared" si="7"/>
        <v>0.11793186122393684</v>
      </c>
      <c r="H41" s="39">
        <f>1/(1+Summary!$O$3)^D41</f>
        <v>0.14914796641529171</v>
      </c>
      <c r="I41" s="39">
        <f>Summary!$J$2*'R1'!H41*'R1'!G41</f>
        <v>175.89297277120576</v>
      </c>
      <c r="K41" s="39"/>
      <c r="L41" s="39" t="e">
        <f>IF(Summary!$F$2="M",VLOOKUP(C:C,#REF!,IF(B41&gt;2033,22,MATCH(B41,#REF!,0)),FALSE),VLOOKUP(C:C,#REF!,IF(B41&gt;2033,22,MATCH(B41,#REF!,0)),FALSE))</f>
        <v>#REF!</v>
      </c>
      <c r="M41" s="41" t="e">
        <f t="shared" si="2"/>
        <v>#REF!</v>
      </c>
      <c r="N41" s="39" t="e">
        <f t="shared" si="5"/>
        <v>#REF!</v>
      </c>
      <c r="O41" s="39" t="e">
        <f>Summary!$J$2*'R1'!N41*'R1'!H41</f>
        <v>#REF!</v>
      </c>
    </row>
    <row r="42" spans="2:15" ht="18" customHeight="1">
      <c r="B42" s="39">
        <f t="shared" si="3"/>
        <v>2059</v>
      </c>
      <c r="C42" s="39">
        <f t="shared" si="1"/>
        <v>96</v>
      </c>
      <c r="D42" s="39">
        <v>40</v>
      </c>
      <c r="E42" s="39">
        <f>VLOOKUP(C:C, 'Total Data Set'!B:J, IF(Summary!$F$2="M", 4, 8), FALSE)</f>
        <v>0.236535</v>
      </c>
      <c r="F42" s="39">
        <f t="shared" si="6"/>
        <v>0.76346500000000006</v>
      </c>
      <c r="G42" s="39">
        <f t="shared" si="7"/>
        <v>9.2156791566694429E-2</v>
      </c>
      <c r="H42" s="39">
        <f>1/(1+Summary!$O$3)^D42</f>
        <v>0.14204568230027784</v>
      </c>
      <c r="I42" s="39">
        <f>Summary!$J$2*'R1'!H42*'R1'!G42</f>
        <v>130.90474336695598</v>
      </c>
      <c r="K42" s="39"/>
      <c r="L42" s="39" t="e">
        <f>IF(Summary!$F$2="M",VLOOKUP(C:C,#REF!,IF(B42&gt;2033,22,MATCH(B42,#REF!,0)),FALSE),VLOOKUP(C:C,#REF!,IF(B42&gt;2033,22,MATCH(B42,#REF!,0)),FALSE))</f>
        <v>#REF!</v>
      </c>
      <c r="M42" s="41" t="e">
        <f t="shared" si="2"/>
        <v>#REF!</v>
      </c>
      <c r="N42" s="39" t="e">
        <f t="shared" si="5"/>
        <v>#REF!</v>
      </c>
      <c r="O42" s="39" t="e">
        <f>Summary!$J$2*'R1'!N42*'R1'!H42</f>
        <v>#REF!</v>
      </c>
    </row>
    <row r="43" spans="2:15" ht="18" customHeight="1">
      <c r="B43" s="39">
        <f>$B$2+D43</f>
        <v>2060</v>
      </c>
      <c r="C43" s="39">
        <f t="shared" si="1"/>
        <v>97</v>
      </c>
      <c r="D43" s="39">
        <v>41</v>
      </c>
      <c r="E43" s="39">
        <f>VLOOKUP(C:C, 'Total Data Set'!B:J, IF(Summary!$F$2="M", 4, 8), FALSE)</f>
        <v>0.25505899999999998</v>
      </c>
      <c r="F43" s="39">
        <f t="shared" si="6"/>
        <v>0.74494100000000008</v>
      </c>
      <c r="G43" s="39">
        <f t="shared" si="7"/>
        <v>7.0358484873466368E-2</v>
      </c>
      <c r="H43" s="39">
        <f>1/(1+Summary!$O$3)^D43</f>
        <v>0.13528160219074079</v>
      </c>
      <c r="I43" s="39">
        <f>Summary!$J$2*'R1'!H43*'R1'!G43</f>
        <v>95.182085613955309</v>
      </c>
      <c r="K43" s="39"/>
      <c r="L43" s="39" t="e">
        <f>IF(Summary!$F$2="M",VLOOKUP(C:C,#REF!,IF(B43&gt;2033,22,MATCH(B43,#REF!,0)),FALSE),VLOOKUP(C:C,#REF!,IF(B43&gt;2033,22,MATCH(B43,#REF!,0)),FALSE))</f>
        <v>#REF!</v>
      </c>
      <c r="M43" s="41" t="e">
        <f t="shared" si="2"/>
        <v>#REF!</v>
      </c>
      <c r="N43" s="39" t="e">
        <f t="shared" si="5"/>
        <v>#REF!</v>
      </c>
      <c r="O43" s="39" t="e">
        <f>Summary!$J$2*'R1'!N43*'R1'!H43</f>
        <v>#REF!</v>
      </c>
    </row>
    <row r="44" spans="2:15" ht="18" customHeight="1">
      <c r="B44" s="39">
        <f t="shared" si="3"/>
        <v>2061</v>
      </c>
      <c r="C44" s="39">
        <f t="shared" si="1"/>
        <v>98</v>
      </c>
      <c r="D44" s="39">
        <v>42</v>
      </c>
      <c r="E44" s="39">
        <f>VLOOKUP(C:C, 'Total Data Set'!B:J, IF(Summary!$F$2="M", 4, 8), FALSE)</f>
        <v>0.27417000000000002</v>
      </c>
      <c r="F44" s="39">
        <f t="shared" si="6"/>
        <v>0.72582999999999998</v>
      </c>
      <c r="G44" s="39">
        <f t="shared" si="7"/>
        <v>5.2412920080124915E-2</v>
      </c>
      <c r="H44" s="39">
        <f>1/(1+Summary!$O$3)^D44</f>
        <v>0.12883962113403885</v>
      </c>
      <c r="I44" s="39">
        <f>Summary!$J$2*'R1'!H44*'R1'!G44</f>
        <v>67.528607656519526</v>
      </c>
      <c r="K44" s="39"/>
      <c r="L44" s="39" t="e">
        <f>IF(Summary!$F$2="M",VLOOKUP(C:C,#REF!,IF(B44&gt;2033,22,MATCH(B44,#REF!,0)),FALSE),VLOOKUP(C:C,#REF!,IF(B44&gt;2033,22,MATCH(B44,#REF!,0)),FALSE))</f>
        <v>#REF!</v>
      </c>
      <c r="M44" s="41" t="e">
        <f t="shared" si="2"/>
        <v>#REF!</v>
      </c>
      <c r="N44" s="39" t="e">
        <f t="shared" si="5"/>
        <v>#REF!</v>
      </c>
      <c r="O44" s="39" t="e">
        <f>Summary!$J$2*'R1'!N44*'R1'!H44</f>
        <v>#REF!</v>
      </c>
    </row>
    <row r="45" spans="2:15" ht="18" customHeight="1">
      <c r="B45" s="39">
        <f t="shared" si="3"/>
        <v>2062</v>
      </c>
      <c r="C45" s="39">
        <f t="shared" si="1"/>
        <v>99</v>
      </c>
      <c r="D45" s="39">
        <v>43</v>
      </c>
      <c r="E45" s="39">
        <f>VLOOKUP(C:C, 'Total Data Set'!B:J, IF(Summary!$F$2="M", 4, 8), FALSE)</f>
        <v>0.293848</v>
      </c>
      <c r="F45" s="39">
        <f t="shared" si="6"/>
        <v>0.706152</v>
      </c>
      <c r="G45" s="39">
        <f t="shared" si="7"/>
        <v>3.8042869781757069E-2</v>
      </c>
      <c r="H45" s="39">
        <f>1/(1+Summary!$O$3)^D45</f>
        <v>0.12270440108003698</v>
      </c>
      <c r="I45" s="39">
        <f>Summary!$J$2*'R1'!H45*'R1'!G45</f>
        <v>46.680275519363377</v>
      </c>
      <c r="K45" s="39"/>
      <c r="L45" s="39" t="e">
        <f>IF(Summary!$F$2="M",VLOOKUP(C:C,#REF!,IF(B45&gt;2033,22,MATCH(B45,#REF!,0)),FALSE),VLOOKUP(C:C,#REF!,IF(B45&gt;2033,22,MATCH(B45,#REF!,0)),FALSE))</f>
        <v>#REF!</v>
      </c>
      <c r="M45" s="41" t="e">
        <f t="shared" si="2"/>
        <v>#REF!</v>
      </c>
      <c r="N45" s="39" t="e">
        <f t="shared" si="5"/>
        <v>#REF!</v>
      </c>
      <c r="O45" s="39" t="e">
        <f>Summary!$J$2*'R1'!N45*'R1'!H45</f>
        <v>#REF!</v>
      </c>
    </row>
    <row r="46" spans="2:15" ht="18" customHeight="1">
      <c r="B46" s="39">
        <f t="shared" si="3"/>
        <v>2063</v>
      </c>
      <c r="C46" s="39">
        <f t="shared" si="1"/>
        <v>100</v>
      </c>
      <c r="D46" s="39">
        <v>44</v>
      </c>
      <c r="E46" s="39">
        <f>VLOOKUP(C:C, 'Total Data Set'!B:J, IF(Summary!$F$2="M", 4, 8), FALSE)</f>
        <v>0.31398799999999999</v>
      </c>
      <c r="F46" s="39">
        <f t="shared" si="6"/>
        <v>0.68601200000000007</v>
      </c>
      <c r="G46" s="39">
        <f t="shared" si="7"/>
        <v>2.6864048582127317E-2</v>
      </c>
      <c r="H46" s="39">
        <f>1/(1+Summary!$O$3)^D46</f>
        <v>0.11686133436193999</v>
      </c>
      <c r="I46" s="39">
        <f>Summary!$J$2*'R1'!H46*'R1'!G46</f>
        <v>31.393685636713805</v>
      </c>
      <c r="K46" s="39"/>
      <c r="L46" s="39" t="e">
        <f>IF(Summary!$F$2="M",VLOOKUP(C:C,#REF!,IF(B46&gt;2033,22,MATCH(B46,#REF!,0)),FALSE),VLOOKUP(C:C,#REF!,IF(B46&gt;2033,22,MATCH(B46,#REF!,0)),FALSE))</f>
        <v>#REF!</v>
      </c>
      <c r="M46" s="41" t="e">
        <f t="shared" si="2"/>
        <v>#REF!</v>
      </c>
      <c r="N46" s="39" t="e">
        <f t="shared" si="5"/>
        <v>#REF!</v>
      </c>
      <c r="O46" s="39" t="e">
        <f>Summary!$J$2*'R1'!N46*'R1'!H46</f>
        <v>#REF!</v>
      </c>
    </row>
    <row r="47" spans="2:15" ht="18" customHeight="1">
      <c r="B47" s="39">
        <f t="shared" si="3"/>
        <v>2064</v>
      </c>
      <c r="C47" s="39">
        <f t="shared" si="1"/>
        <v>101</v>
      </c>
      <c r="D47" s="39">
        <v>45</v>
      </c>
      <c r="E47" s="39">
        <f>VLOOKUP(C:C, 'Total Data Set'!B:J, IF(Summary!$F$2="M", 4, 8), FALSE)</f>
        <v>0.33436500000000002</v>
      </c>
      <c r="F47" s="39">
        <f t="shared" si="6"/>
        <v>0.66563499999999998</v>
      </c>
      <c r="G47" s="39">
        <f t="shared" si="7"/>
        <v>1.8429059695922328E-2</v>
      </c>
      <c r="H47" s="39">
        <f>1/(1+Summary!$O$3)^D47</f>
        <v>0.1112965089161333</v>
      </c>
      <c r="I47" s="39">
        <f>Summary!$J$2*'R1'!H47*'R1'!G47</f>
        <v>20.510900067631724</v>
      </c>
      <c r="K47" s="39"/>
      <c r="L47" s="39" t="e">
        <f>IF(Summary!$F$2="M",VLOOKUP(C:C,#REF!,IF(B47&gt;2033,22,MATCH(B47,#REF!,0)),FALSE),VLOOKUP(C:C,#REF!,IF(B47&gt;2033,22,MATCH(B47,#REF!,0)),FALSE))</f>
        <v>#REF!</v>
      </c>
      <c r="M47" s="41" t="e">
        <f t="shared" si="2"/>
        <v>#REF!</v>
      </c>
      <c r="N47" s="39" t="e">
        <f t="shared" si="5"/>
        <v>#REF!</v>
      </c>
      <c r="O47" s="39" t="e">
        <f>Summary!$J$2*'R1'!N47*'R1'!H47</f>
        <v>#REF!</v>
      </c>
    </row>
    <row r="48" spans="2:15" ht="18" customHeight="1">
      <c r="B48" s="39">
        <f t="shared" si="3"/>
        <v>2065</v>
      </c>
      <c r="C48" s="39">
        <f t="shared" si="1"/>
        <v>102</v>
      </c>
      <c r="D48" s="39">
        <v>46</v>
      </c>
      <c r="E48" s="39">
        <f>VLOOKUP(C:C, 'Total Data Set'!B:J, IF(Summary!$F$2="M", 4, 8), FALSE)</f>
        <v>0.354599</v>
      </c>
      <c r="F48" s="39">
        <f t="shared" si="6"/>
        <v>0.645401</v>
      </c>
      <c r="G48" s="39">
        <f t="shared" si="7"/>
        <v>1.2267027150695258E-2</v>
      </c>
      <c r="H48" s="39">
        <f>1/(1+Summary!$O$3)^D48</f>
        <v>0.10599667515822221</v>
      </c>
      <c r="I48" s="39">
        <f>Summary!$J$2*'R1'!H48*'R1'!G48</f>
        <v>13.002640920493373</v>
      </c>
      <c r="K48" s="39"/>
      <c r="L48" s="39" t="e">
        <f>IF(Summary!$F$2="M",VLOOKUP(C:C,#REF!,IF(B48&gt;2033,22,MATCH(B48,#REF!,0)),FALSE),VLOOKUP(C:C,#REF!,IF(B48&gt;2033,22,MATCH(B48,#REF!,0)),FALSE))</f>
        <v>#REF!</v>
      </c>
      <c r="M48" s="41" t="e">
        <f t="shared" si="2"/>
        <v>#REF!</v>
      </c>
      <c r="N48" s="39" t="e">
        <f t="shared" si="5"/>
        <v>#REF!</v>
      </c>
      <c r="O48" s="39" t="e">
        <f>Summary!$J$2*'R1'!N48*'R1'!H48</f>
        <v>#REF!</v>
      </c>
    </row>
    <row r="49" spans="2:15" ht="18" customHeight="1">
      <c r="B49" s="39">
        <f t="shared" si="3"/>
        <v>2066</v>
      </c>
      <c r="C49" s="39">
        <f t="shared" si="1"/>
        <v>103</v>
      </c>
      <c r="D49" s="39">
        <v>47</v>
      </c>
      <c r="E49" s="39">
        <f>VLOOKUP(C:C, 'Total Data Set'!B:J, IF(Summary!$F$2="M", 4, 8), FALSE)</f>
        <v>0.37452400000000002</v>
      </c>
      <c r="F49" s="39">
        <f t="shared" si="6"/>
        <v>0.62547599999999992</v>
      </c>
      <c r="G49" s="39">
        <f t="shared" si="7"/>
        <v>7.9171515900858698E-3</v>
      </c>
      <c r="H49" s="39">
        <f>1/(1+Summary!$O$3)^D49</f>
        <v>0.10094921443640208</v>
      </c>
      <c r="I49" s="39">
        <f>Summary!$J$2*'R1'!H49*'R1'!G49</f>
        <v>7.992302335930801</v>
      </c>
      <c r="K49" s="39"/>
      <c r="L49" s="39" t="e">
        <f>IF(Summary!$F$2="M",VLOOKUP(C:C,#REF!,IF(B49&gt;2033,22,MATCH(B49,#REF!,0)),FALSE),VLOOKUP(C:C,#REF!,IF(B49&gt;2033,22,MATCH(B49,#REF!,0)),FALSE))</f>
        <v>#REF!</v>
      </c>
      <c r="M49" s="41" t="e">
        <f t="shared" si="2"/>
        <v>#REF!</v>
      </c>
      <c r="N49" s="39" t="e">
        <f t="shared" si="5"/>
        <v>#REF!</v>
      </c>
      <c r="O49" s="39" t="e">
        <f>Summary!$J$2*'R1'!N49*'R1'!H49</f>
        <v>#REF!</v>
      </c>
    </row>
    <row r="50" spans="2:15" ht="18" customHeight="1">
      <c r="B50" s="39">
        <f t="shared" si="3"/>
        <v>2067</v>
      </c>
      <c r="C50" s="39">
        <f t="shared" si="1"/>
        <v>104</v>
      </c>
      <c r="D50" s="39">
        <v>48</v>
      </c>
      <c r="E50" s="39">
        <f>VLOOKUP(C:C, 'Total Data Set'!B:J, IF(Summary!$F$2="M", 4, 8), FALSE)</f>
        <v>0.393982</v>
      </c>
      <c r="F50" s="39">
        <f t="shared" si="6"/>
        <v>0.60601799999999995</v>
      </c>
      <c r="G50" s="39">
        <f t="shared" si="7"/>
        <v>4.9519883079605486E-3</v>
      </c>
      <c r="H50" s="39">
        <f>1/(1+Summary!$O$3)^D50</f>
        <v>9.6142108987049613E-2</v>
      </c>
      <c r="I50" s="39">
        <f>Summary!$J$2*'R1'!H50*'R1'!G50</f>
        <v>4.7609459960653844</v>
      </c>
      <c r="K50" s="39"/>
      <c r="L50" s="39" t="e">
        <f>IF(Summary!$F$2="M",VLOOKUP(C:C,#REF!,IF(B50&gt;2033,22,MATCH(B50,#REF!,0)),FALSE),VLOOKUP(C:C,#REF!,IF(B50&gt;2033,22,MATCH(B50,#REF!,0)),FALSE))</f>
        <v>#REF!</v>
      </c>
      <c r="M50" s="41" t="e">
        <f t="shared" si="2"/>
        <v>#REF!</v>
      </c>
      <c r="N50" s="39" t="e">
        <f t="shared" si="5"/>
        <v>#REF!</v>
      </c>
      <c r="O50" s="39" t="e">
        <f>Summary!$J$2*'R1'!N50*'R1'!H50</f>
        <v>#REF!</v>
      </c>
    </row>
    <row r="51" spans="2:15" ht="18" customHeight="1">
      <c r="B51" s="39">
        <f t="shared" si="3"/>
        <v>2068</v>
      </c>
      <c r="C51" s="39">
        <f t="shared" si="1"/>
        <v>105</v>
      </c>
      <c r="D51" s="39">
        <v>49</v>
      </c>
      <c r="E51" s="39">
        <f>VLOOKUP(C:C, 'Total Data Set'!B:J, IF(Summary!$F$2="M", 4, 8), FALSE)</f>
        <v>0.412831</v>
      </c>
      <c r="F51" s="39">
        <f t="shared" si="6"/>
        <v>0.58716900000000005</v>
      </c>
      <c r="G51" s="39">
        <f t="shared" si="7"/>
        <v>3.0009940504136354E-3</v>
      </c>
      <c r="H51" s="39">
        <f>1/(1+Summary!$O$3)^D51</f>
        <v>9.1563913320999626E-2</v>
      </c>
      <c r="I51" s="39">
        <f>Summary!$J$2*'R1'!H51*'R1'!G51</f>
        <v>2.7478275910890972</v>
      </c>
      <c r="K51" s="39"/>
      <c r="L51" s="39" t="e">
        <f>IF(Summary!$F$2="M",VLOOKUP(C:C,#REF!,IF(B51&gt;2033,22,MATCH(B51,#REF!,0)),FALSE),VLOOKUP(C:C,#REF!,IF(B51&gt;2033,22,MATCH(B51,#REF!,0)),FALSE))</f>
        <v>#REF!</v>
      </c>
      <c r="M51" s="41" t="e">
        <f t="shared" si="2"/>
        <v>#REF!</v>
      </c>
      <c r="N51" s="39" t="e">
        <f t="shared" si="5"/>
        <v>#REF!</v>
      </c>
      <c r="O51" s="39" t="e">
        <f>Summary!$J$2*'R1'!N51*'R1'!H51</f>
        <v>#REF!</v>
      </c>
    </row>
    <row r="52" spans="2:15" ht="18" customHeight="1">
      <c r="B52" s="39">
        <f t="shared" si="3"/>
        <v>2069</v>
      </c>
      <c r="C52" s="39">
        <f t="shared" si="1"/>
        <v>106</v>
      </c>
      <c r="D52" s="39">
        <v>50</v>
      </c>
      <c r="E52" s="39">
        <f>VLOOKUP(C:C, 'Total Data Set'!B:J, IF(Summary!$F$2="M", 4, 8), FALSE)</f>
        <v>0.430946</v>
      </c>
      <c r="F52" s="39">
        <f t="shared" si="6"/>
        <v>0.56905399999999995</v>
      </c>
      <c r="G52" s="39">
        <f t="shared" si="7"/>
        <v>1.7620906755873239E-3</v>
      </c>
      <c r="H52" s="39">
        <f>1/(1+Summary!$O$3)^D52</f>
        <v>8.7203726972380588E-2</v>
      </c>
      <c r="I52" s="39">
        <f>Summary!$J$2*'R1'!H52*'R1'!G52</f>
        <v>1.5366087417449465</v>
      </c>
      <c r="K52" s="39"/>
      <c r="L52" s="39" t="e">
        <f>IF(Summary!$F$2="M",VLOOKUP(C:C,#REF!,IF(B52&gt;2033,22,MATCH(B52,#REF!,0)),FALSE),VLOOKUP(C:C,#REF!,IF(B52&gt;2033,22,MATCH(B52,#REF!,0)),FALSE))</f>
        <v>#REF!</v>
      </c>
      <c r="M52" s="41" t="e">
        <f t="shared" si="2"/>
        <v>#REF!</v>
      </c>
      <c r="N52" s="39" t="e">
        <f t="shared" si="5"/>
        <v>#REF!</v>
      </c>
      <c r="O52" s="39" t="e">
        <f>Summary!$J$2*'R1'!N52*'R1'!H52</f>
        <v>#REF!</v>
      </c>
    </row>
    <row r="53" spans="2:15" ht="18" customHeight="1">
      <c r="B53" s="39">
        <f t="shared" si="3"/>
        <v>2070</v>
      </c>
      <c r="C53" s="39">
        <f t="shared" si="1"/>
        <v>107</v>
      </c>
      <c r="D53" s="39">
        <v>51</v>
      </c>
      <c r="E53" s="39">
        <f>VLOOKUP(C:C, 'Total Data Set'!B:J, IF(Summary!$F$2="M", 4, 8), FALSE)</f>
        <v>0.44822699999999999</v>
      </c>
      <c r="F53" s="39">
        <f t="shared" si="6"/>
        <v>0.55177300000000007</v>
      </c>
      <c r="G53" s="39">
        <f t="shared" si="7"/>
        <v>1.0027247473056689E-3</v>
      </c>
      <c r="H53" s="39">
        <f>1/(1+Summary!$O$3)^D53</f>
        <v>8.3051168545124371E-2</v>
      </c>
      <c r="I53" s="39">
        <f>Summary!$J$2*'R1'!H53*'R1'!G53</f>
        <v>0.83277461992850355</v>
      </c>
      <c r="K53" s="39"/>
      <c r="L53" s="39" t="e">
        <f>IF(Summary!$F$2="M",VLOOKUP(C:C,#REF!,IF(B53&gt;2033,22,MATCH(B53,#REF!,0)),FALSE),VLOOKUP(C:C,#REF!,IF(B53&gt;2033,22,MATCH(B53,#REF!,0)),FALSE))</f>
        <v>#REF!</v>
      </c>
      <c r="M53" s="41" t="e">
        <f t="shared" si="2"/>
        <v>#REF!</v>
      </c>
      <c r="N53" s="39" t="e">
        <f t="shared" si="5"/>
        <v>#REF!</v>
      </c>
      <c r="O53" s="39" t="e">
        <f>Summary!$J$2*'R1'!N53*'R1'!H53</f>
        <v>#REF!</v>
      </c>
    </row>
    <row r="54" spans="2:15" ht="18" customHeight="1">
      <c r="B54" s="39">
        <f t="shared" si="3"/>
        <v>2071</v>
      </c>
      <c r="C54" s="39">
        <f t="shared" si="1"/>
        <v>108</v>
      </c>
      <c r="D54" s="39">
        <v>52</v>
      </c>
      <c r="E54" s="39">
        <f>VLOOKUP(C:C, 'Total Data Set'!B:J, IF(Summary!$F$2="M", 4, 8), FALSE)</f>
        <v>0.464592</v>
      </c>
      <c r="F54" s="39">
        <f t="shared" si="6"/>
        <v>0.535408</v>
      </c>
      <c r="G54" s="39">
        <f t="shared" si="7"/>
        <v>5.5327644199509092E-4</v>
      </c>
      <c r="H54" s="39">
        <f>1/(1+Summary!$O$3)^D54</f>
        <v>7.9096350995356543E-2</v>
      </c>
      <c r="I54" s="39">
        <f>Summary!$J$2*'R1'!H54*'R1'!G54</f>
        <v>0.4376214765350574</v>
      </c>
      <c r="K54" s="39"/>
      <c r="L54" s="39" t="e">
        <f>IF(Summary!$F$2="M",VLOOKUP(C:C,#REF!,IF(B54&gt;2033,22,MATCH(B54,#REF!,0)),FALSE),VLOOKUP(C:C,#REF!,IF(B54&gt;2033,22,MATCH(B54,#REF!,0)),FALSE))</f>
        <v>#REF!</v>
      </c>
      <c r="M54" s="41" t="e">
        <f t="shared" si="2"/>
        <v>#REF!</v>
      </c>
      <c r="N54" s="39" t="e">
        <f t="shared" si="5"/>
        <v>#REF!</v>
      </c>
      <c r="O54" s="39" t="e">
        <f>Summary!$J$2*'R1'!N54*'R1'!H54</f>
        <v>#REF!</v>
      </c>
    </row>
    <row r="55" spans="2:15" ht="18" customHeight="1">
      <c r="B55" s="39">
        <f t="shared" si="3"/>
        <v>2072</v>
      </c>
      <c r="C55" s="39">
        <f t="shared" si="1"/>
        <v>109</v>
      </c>
      <c r="D55" s="39">
        <v>53</v>
      </c>
      <c r="E55" s="39">
        <f>VLOOKUP(C:C, 'Total Data Set'!B:J, IF(Summary!$F$2="M", 4, 8), FALSE)</f>
        <v>0.479987</v>
      </c>
      <c r="F55" s="39">
        <f t="shared" si="6"/>
        <v>0.52001300000000006</v>
      </c>
      <c r="G55" s="39">
        <f t="shared" si="7"/>
        <v>2.9622863325570763E-4</v>
      </c>
      <c r="H55" s="39">
        <f>1/(1+Summary!$O$3)^D55</f>
        <v>7.5329858090815757E-2</v>
      </c>
      <c r="I55" s="39">
        <f>Summary!$J$2*'R1'!H55*'R1'!G55</f>
        <v>0.2231486090558876</v>
      </c>
      <c r="K55" s="39"/>
      <c r="L55" s="39" t="e">
        <f>IF(Summary!$F$2="M",VLOOKUP(C:C,#REF!,IF(B55&gt;2033,22,MATCH(B55,#REF!,0)),FALSE),VLOOKUP(C:C,#REF!,IF(B55&gt;2033,22,MATCH(B55,#REF!,0)),FALSE))</f>
        <v>#REF!</v>
      </c>
      <c r="M55" s="41" t="e">
        <f t="shared" si="2"/>
        <v>#REF!</v>
      </c>
      <c r="N55" s="39" t="e">
        <f t="shared" si="5"/>
        <v>#REF!</v>
      </c>
      <c r="O55" s="39" t="e">
        <f>Summary!$J$2*'R1'!N55*'R1'!H55</f>
        <v>#REF!</v>
      </c>
    </row>
    <row r="56" spans="2:15" ht="18" customHeight="1">
      <c r="B56" s="39">
        <f>$B$2+D56</f>
        <v>2073</v>
      </c>
      <c r="C56" s="39">
        <f t="shared" si="1"/>
        <v>110</v>
      </c>
      <c r="D56" s="39">
        <v>54</v>
      </c>
      <c r="E56" s="39">
        <f>VLOOKUP(C:C, 'Total Data Set'!B:J, IF(Summary!$F$2="M", 4, 8), FALSE)</f>
        <v>0.49437599999999998</v>
      </c>
      <c r="F56" s="39">
        <f t="shared" si="6"/>
        <v>0.50562400000000007</v>
      </c>
      <c r="G56" s="39">
        <f t="shared" si="7"/>
        <v>1.5404274026520031E-4</v>
      </c>
      <c r="H56" s="39">
        <f>1/(1+Summary!$O$3)^D56</f>
        <v>7.1742721991253117E-2</v>
      </c>
      <c r="I56" s="39">
        <f>Summary!$J$2*'R1'!H56*'R1'!G56</f>
        <v>0.11051445489617079</v>
      </c>
      <c r="L56" s="39" t="e">
        <f>IF(Summary!$F$2="M",VLOOKUP(C:C,#REF!,IF(B56&gt;2033,22,MATCH(B56,#REF!,0)),FALSE),VLOOKUP(C:C,#REF!,IF(B56&gt;2033,22,MATCH(B56,#REF!,0)),FALSE))</f>
        <v>#REF!</v>
      </c>
      <c r="M56" s="41" t="e">
        <f t="shared" si="2"/>
        <v>#REF!</v>
      </c>
      <c r="N56" s="39" t="e">
        <f t="shared" si="5"/>
        <v>#REF!</v>
      </c>
      <c r="O56" s="39" t="e">
        <f>Summary!$J$2*'R1'!N56*'R1'!H56</f>
        <v>#REF!</v>
      </c>
    </row>
    <row r="57" spans="2:15" ht="18" customHeight="1">
      <c r="B57" s="39">
        <f t="shared" si="3"/>
        <v>2074</v>
      </c>
      <c r="C57" s="39">
        <f t="shared" si="1"/>
        <v>111</v>
      </c>
      <c r="D57" s="39">
        <v>55</v>
      </c>
      <c r="E57" s="39">
        <f>VLOOKUP(C:C, 'Total Data Set'!B:J, IF(Summary!$F$2="M", 4, 8), FALSE)</f>
        <v>0.5</v>
      </c>
      <c r="F57" s="39">
        <f t="shared" si="6"/>
        <v>0.5</v>
      </c>
      <c r="G57" s="39">
        <f t="shared" si="7"/>
        <v>7.7887706503851646E-5</v>
      </c>
      <c r="H57" s="39">
        <f>1/(1+Summary!$O$3)^D57</f>
        <v>6.8326401896431521E-2</v>
      </c>
      <c r="I57" s="39">
        <f>Summary!$J$2*'R1'!H57*'R1'!G57</f>
        <v>5.3217867373734712E-2</v>
      </c>
      <c r="L57" s="39" t="e">
        <f>IF(Summary!$F$2="M",VLOOKUP(C:C,#REF!,IF(B57&gt;2033,22,MATCH(B57,#REF!,0)),FALSE),VLOOKUP(C:C,#REF!,IF(B57&gt;2033,22,MATCH(B57,#REF!,0)),FALSE))</f>
        <v>#REF!</v>
      </c>
      <c r="M57" s="41" t="e">
        <f t="shared" si="2"/>
        <v>#REF!</v>
      </c>
      <c r="N57" s="39" t="e">
        <f t="shared" si="5"/>
        <v>#REF!</v>
      </c>
      <c r="O57" s="39" t="e">
        <f>Summary!$J$2*'R1'!N57*'R1'!H57</f>
        <v>#REF!</v>
      </c>
    </row>
    <row r="58" spans="2:15" ht="18" customHeight="1">
      <c r="B58" s="39">
        <f t="shared" si="3"/>
        <v>2075</v>
      </c>
      <c r="C58" s="39">
        <f t="shared" si="1"/>
        <v>112</v>
      </c>
      <c r="D58" s="39">
        <v>56</v>
      </c>
      <c r="E58" s="39">
        <f>VLOOKUP(C:C, 'Total Data Set'!B:J, IF(Summary!$F$2="M", 4, 8), FALSE)</f>
        <v>0.5</v>
      </c>
      <c r="F58" s="39">
        <f t="shared" si="6"/>
        <v>0.5</v>
      </c>
      <c r="G58" s="39">
        <f t="shared" si="7"/>
        <v>3.8943853251925823E-5</v>
      </c>
      <c r="H58" s="39">
        <f>1/(1+Summary!$O$3)^D58</f>
        <v>6.5072763710887174E-2</v>
      </c>
      <c r="I58" s="39">
        <f>Summary!$J$2*'R1'!H58*'R1'!G58</f>
        <v>2.5341841606540339E-2</v>
      </c>
      <c r="L58" s="39" t="e">
        <f>IF(Summary!$F$2="M",VLOOKUP(C:C,#REF!,IF(B58&gt;2033,22,MATCH(B58,#REF!,0)),FALSE),VLOOKUP(C:C,#REF!,IF(B58&gt;2033,22,MATCH(B58,#REF!,0)),FALSE))</f>
        <v>#REF!</v>
      </c>
      <c r="M58" s="41" t="e">
        <f t="shared" si="2"/>
        <v>#REF!</v>
      </c>
      <c r="N58" s="39" t="e">
        <f t="shared" si="5"/>
        <v>#REF!</v>
      </c>
      <c r="O58" s="39" t="e">
        <f>Summary!$J$2*'R1'!N58*'R1'!H58</f>
        <v>#REF!</v>
      </c>
    </row>
    <row r="59" spans="2:15" ht="18" customHeight="1">
      <c r="B59" s="39">
        <f t="shared" si="3"/>
        <v>2076</v>
      </c>
      <c r="C59" s="39">
        <f t="shared" si="1"/>
        <v>113</v>
      </c>
      <c r="D59" s="39">
        <v>57</v>
      </c>
      <c r="E59" s="39">
        <f>VLOOKUP(C:C, 'Total Data Set'!B:J, IF(Summary!$F$2="M", 4, 8), FALSE)</f>
        <v>0.5</v>
      </c>
      <c r="F59" s="39">
        <f t="shared" si="6"/>
        <v>0.5</v>
      </c>
      <c r="G59" s="39">
        <f t="shared" si="7"/>
        <v>1.9471926625962911E-5</v>
      </c>
      <c r="H59" s="39">
        <f>1/(1+Summary!$O$3)^D59</f>
        <v>6.1974060677035397E-2</v>
      </c>
      <c r="I59" s="39">
        <f>Summary!$J$2*'R1'!H59*'R1'!G59</f>
        <v>1.2067543622162067E-2</v>
      </c>
      <c r="L59" s="39" t="e">
        <f>IF(Summary!$F$2="M",VLOOKUP(C:C,#REF!,IF(B59&gt;2033,22,MATCH(B59,#REF!,0)),FALSE),VLOOKUP(C:C,#REF!,IF(B59&gt;2033,22,MATCH(B59,#REF!,0)),FALSE))</f>
        <v>#REF!</v>
      </c>
      <c r="M59" s="41" t="e">
        <f t="shared" si="2"/>
        <v>#REF!</v>
      </c>
      <c r="N59" s="39" t="e">
        <f t="shared" si="5"/>
        <v>#REF!</v>
      </c>
      <c r="O59" s="39" t="e">
        <f>Summary!$J$2*'R1'!N59*'R1'!H59</f>
        <v>#REF!</v>
      </c>
    </row>
    <row r="60" spans="2:15" ht="18" customHeight="1">
      <c r="B60" s="39">
        <f t="shared" si="3"/>
        <v>2077</v>
      </c>
      <c r="C60" s="39">
        <f t="shared" si="1"/>
        <v>114</v>
      </c>
      <c r="D60" s="39">
        <v>58</v>
      </c>
      <c r="E60" s="39">
        <f>VLOOKUP(C:C, 'Total Data Set'!B:J, IF(Summary!$F$2="M", 4, 8), FALSE)</f>
        <v>0.5</v>
      </c>
      <c r="F60" s="39">
        <f t="shared" si="6"/>
        <v>0.5</v>
      </c>
      <c r="G60" s="39">
        <f t="shared" si="7"/>
        <v>9.7359633129814557E-6</v>
      </c>
      <c r="H60" s="39">
        <f>1/(1+Summary!$O$3)^D60</f>
        <v>5.9022914930509894E-2</v>
      </c>
      <c r="I60" s="39">
        <f>Summary!$J$2*'R1'!H60*'R1'!G60</f>
        <v>5.7464493438866976E-3</v>
      </c>
      <c r="L60" s="39" t="e">
        <f>IF(Summary!$F$2="M",VLOOKUP(C:C,#REF!,IF(B60&gt;2033,22,MATCH(B60,#REF!,0)),FALSE),VLOOKUP(C:C,#REF!,IF(B60&gt;2033,22,MATCH(B60,#REF!,0)),FALSE))</f>
        <v>#REF!</v>
      </c>
      <c r="M60" s="41" t="e">
        <f t="shared" si="2"/>
        <v>#REF!</v>
      </c>
      <c r="N60" s="39" t="e">
        <f t="shared" si="5"/>
        <v>#REF!</v>
      </c>
      <c r="O60" s="39" t="e">
        <f>Summary!$J$2*'R1'!N60*'R1'!H60</f>
        <v>#REF!</v>
      </c>
    </row>
    <row r="61" spans="2:15" ht="18" customHeight="1">
      <c r="B61" s="39">
        <f t="shared" si="3"/>
        <v>2078</v>
      </c>
      <c r="C61" s="39">
        <f t="shared" si="1"/>
        <v>115</v>
      </c>
      <c r="D61" s="39">
        <v>59</v>
      </c>
      <c r="E61" s="39">
        <f>VLOOKUP(C:C, 'Total Data Set'!B:J, IF(Summary!$F$2="M", 4, 8), FALSE)</f>
        <v>0.5</v>
      </c>
      <c r="F61" s="39">
        <f t="shared" si="6"/>
        <v>0.5</v>
      </c>
      <c r="G61" s="39">
        <f t="shared" si="7"/>
        <v>4.8679816564907279E-6</v>
      </c>
      <c r="H61" s="39">
        <f>1/(1+Summary!$O$3)^D61</f>
        <v>5.6212299933818946E-2</v>
      </c>
      <c r="I61" s="39">
        <f>Summary!$J$2*'R1'!H61*'R1'!G61</f>
        <v>2.7364044494698563E-3</v>
      </c>
      <c r="L61" s="39" t="e">
        <f>IF(Summary!$F$2="M",VLOOKUP(C:C,#REF!,IF(B61&gt;2033,22,MATCH(B61,#REF!,0)),FALSE),VLOOKUP(C:C,#REF!,IF(B61&gt;2033,22,MATCH(B61,#REF!,0)),FALSE))</f>
        <v>#REF!</v>
      </c>
      <c r="M61" s="41" t="e">
        <f t="shared" si="2"/>
        <v>#REF!</v>
      </c>
      <c r="N61" s="39" t="e">
        <f t="shared" si="5"/>
        <v>#REF!</v>
      </c>
      <c r="O61" s="39" t="e">
        <f>Summary!$J$2*'R1'!N61*'R1'!H61</f>
        <v>#REF!</v>
      </c>
    </row>
    <row r="62" spans="2:15" ht="18" customHeight="1">
      <c r="B62" s="39">
        <f t="shared" si="3"/>
        <v>2079</v>
      </c>
      <c r="C62" s="39">
        <f t="shared" si="1"/>
        <v>116</v>
      </c>
      <c r="D62" s="39">
        <v>60</v>
      </c>
      <c r="E62" s="39">
        <f>VLOOKUP(C:C, 'Total Data Set'!B:J, IF(Summary!$F$2="M", 4, 8), FALSE)</f>
        <v>0.5</v>
      </c>
      <c r="F62" s="39">
        <f t="shared" si="6"/>
        <v>0.5</v>
      </c>
      <c r="G62" s="39">
        <f t="shared" si="7"/>
        <v>2.4339908282453639E-6</v>
      </c>
      <c r="H62" s="39">
        <f>1/(1+Summary!$O$3)^D62</f>
        <v>5.3535523746494243E-2</v>
      </c>
      <c r="I62" s="39">
        <f>Summary!$J$2*'R1'!H62*'R1'!G62</f>
        <v>1.3030497378427887E-3</v>
      </c>
      <c r="L62" s="39" t="e">
        <f>IF(Summary!$F$2="M",VLOOKUP(C:C,#REF!,IF(B62&gt;2033,22,MATCH(B62,#REF!,0)),FALSE),VLOOKUP(C:C,#REF!,IF(B62&gt;2033,22,MATCH(B62,#REF!,0)),FALSE))</f>
        <v>#REF!</v>
      </c>
      <c r="M62" s="41" t="e">
        <f t="shared" si="2"/>
        <v>#REF!</v>
      </c>
      <c r="N62" s="39" t="e">
        <f t="shared" si="5"/>
        <v>#REF!</v>
      </c>
      <c r="O62" s="39" t="e">
        <f>Summary!$J$2*'R1'!N62*'R1'!H62</f>
        <v>#REF!</v>
      </c>
    </row>
    <row r="63" spans="2:15" ht="18" customHeight="1">
      <c r="B63" s="39">
        <f t="shared" si="3"/>
        <v>2080</v>
      </c>
      <c r="C63" s="39">
        <f t="shared" si="1"/>
        <v>117</v>
      </c>
      <c r="D63" s="39">
        <v>61</v>
      </c>
      <c r="E63" s="39">
        <f>VLOOKUP(C:C, 'Total Data Set'!B:J, IF(Summary!$F$2="M", 4, 8), FALSE)</f>
        <v>0.5</v>
      </c>
      <c r="F63" s="39">
        <f t="shared" si="6"/>
        <v>0.5</v>
      </c>
      <c r="G63" s="39">
        <f t="shared" si="7"/>
        <v>1.216995414122682E-6</v>
      </c>
      <c r="H63" s="39">
        <f>1/(1+Summary!$O$3)^D63</f>
        <v>5.0986213091899268E-2</v>
      </c>
      <c r="I63" s="39">
        <f>Summary!$J$2*'R1'!H63*'R1'!G63</f>
        <v>6.2049987516323262E-4</v>
      </c>
      <c r="L63" s="39" t="e">
        <f>IF(Summary!$F$2="M",VLOOKUP(C:C,#REF!,IF(B63&gt;2033,22,MATCH(B63,#REF!,0)),FALSE),VLOOKUP(C:C,#REF!,IF(B63&gt;2033,22,MATCH(B63,#REF!,0)),FALSE))</f>
        <v>#REF!</v>
      </c>
      <c r="M63" s="41" t="e">
        <f t="shared" si="2"/>
        <v>#REF!</v>
      </c>
      <c r="N63" s="39" t="e">
        <f t="shared" si="5"/>
        <v>#REF!</v>
      </c>
      <c r="O63" s="39" t="e">
        <f>Summary!$J$2*'R1'!N63*'R1'!H63</f>
        <v>#REF!</v>
      </c>
    </row>
    <row r="64" spans="2:15" ht="18" customHeight="1">
      <c r="B64" s="39">
        <f t="shared" si="3"/>
        <v>2081</v>
      </c>
      <c r="C64" s="39">
        <f t="shared" si="1"/>
        <v>118</v>
      </c>
      <c r="D64" s="39">
        <v>62</v>
      </c>
      <c r="E64" s="39">
        <f>VLOOKUP(C:C, 'Total Data Set'!B:J, IF(Summary!$F$2="M", 4, 8), FALSE)</f>
        <v>0.5</v>
      </c>
      <c r="F64" s="39">
        <f t="shared" si="6"/>
        <v>0.5</v>
      </c>
      <c r="G64" s="39">
        <f t="shared" si="7"/>
        <v>6.0849770706134098E-7</v>
      </c>
      <c r="H64" s="39">
        <f>1/(1+Summary!$O$3)^D64</f>
        <v>4.855829818276123E-2</v>
      </c>
      <c r="I64" s="39">
        <f>Summary!$J$2*'R1'!H64*'R1'!G64</f>
        <v>2.9547613103011089E-4</v>
      </c>
      <c r="L64" s="39" t="e">
        <f>IF(Summary!$F$2="M",VLOOKUP(C:C,#REF!,IF(B64&gt;2033,22,MATCH(B64,#REF!,0)),FALSE),VLOOKUP(C:C,#REF!,IF(B64&gt;2033,22,MATCH(B64,#REF!,0)),FALSE))</f>
        <v>#REF!</v>
      </c>
      <c r="M64" s="41" t="e">
        <f t="shared" si="2"/>
        <v>#REF!</v>
      </c>
      <c r="N64" s="39" t="e">
        <f t="shared" si="5"/>
        <v>#REF!</v>
      </c>
      <c r="O64" s="39" t="e">
        <f>Summary!$J$2*'R1'!N64*'R1'!H64</f>
        <v>#REF!</v>
      </c>
    </row>
    <row r="65" spans="2:15" ht="18" customHeight="1">
      <c r="B65" s="39">
        <f t="shared" si="3"/>
        <v>2082</v>
      </c>
      <c r="C65" s="39">
        <f t="shared" si="1"/>
        <v>119</v>
      </c>
      <c r="D65" s="39">
        <v>63</v>
      </c>
      <c r="E65" s="39">
        <f>VLOOKUP(C:C, 'Total Data Set'!B:J, IF(Summary!$F$2="M", 4, 8), FALSE)</f>
        <v>0.5</v>
      </c>
      <c r="F65" s="39">
        <f t="shared" si="6"/>
        <v>0.5</v>
      </c>
      <c r="G65" s="39">
        <f t="shared" si="7"/>
        <v>3.0424885353067049E-7</v>
      </c>
      <c r="H65" s="39">
        <f>1/(1+Summary!$O$3)^D65</f>
        <v>4.6245998269296387E-2</v>
      </c>
      <c r="I65" s="39">
        <f>Summary!$J$2*'R1'!H65*'R1'!G65</f>
        <v>1.4070291953814797E-4</v>
      </c>
      <c r="L65" s="39" t="e">
        <f>IF(Summary!$F$2="M",VLOOKUP(C:C,#REF!,IF(B65&gt;2033,22,MATCH(B65,#REF!,0)),FALSE),VLOOKUP(C:C,#REF!,IF(B65&gt;2033,22,MATCH(B65,#REF!,0)),FALSE))</f>
        <v>#REF!</v>
      </c>
      <c r="M65" s="41" t="e">
        <f t="shared" si="2"/>
        <v>#REF!</v>
      </c>
      <c r="N65" s="39" t="e">
        <f t="shared" si="5"/>
        <v>#REF!</v>
      </c>
      <c r="O65" s="39" t="e">
        <f>Summary!$J$2*'R1'!N65*'R1'!H65</f>
        <v>#REF!</v>
      </c>
    </row>
    <row r="66" spans="2:15" ht="18" customHeight="1">
      <c r="B66" s="39">
        <f t="shared" si="3"/>
        <v>2083</v>
      </c>
      <c r="C66" s="39">
        <f t="shared" si="1"/>
        <v>120</v>
      </c>
      <c r="D66" s="39">
        <v>64</v>
      </c>
      <c r="E66" s="39">
        <f>VLOOKUP(C:C, 'Total Data Set'!B:J, IF(Summary!$F$2="M", 4, 8), FALSE)</f>
        <v>1</v>
      </c>
      <c r="F66" s="39">
        <f>1-E66</f>
        <v>0</v>
      </c>
      <c r="G66" s="39">
        <f t="shared" si="7"/>
        <v>1.5212442676533525E-7</v>
      </c>
      <c r="H66" s="39">
        <f>1/(1+Summary!$O$3)^D66</f>
        <v>4.4043807875520369E-2</v>
      </c>
      <c r="I66" s="39">
        <f>Summary!$J$2*'R1'!H66*'R1'!G66</f>
        <v>6.7001390256260932E-5</v>
      </c>
      <c r="L66" s="39" t="e">
        <f>IF(Summary!$F$2="M",VLOOKUP(C:C,#REF!,IF(B66&gt;2033,22,MATCH(B66,#REF!,0)),FALSE),VLOOKUP(C:C,#REF!,IF(B66&gt;2033,22,MATCH(B66,#REF!,0)),FALSE))</f>
        <v>#REF!</v>
      </c>
      <c r="M66" s="41" t="e">
        <f t="shared" si="2"/>
        <v>#REF!</v>
      </c>
      <c r="N66" s="39" t="e">
        <f t="shared" si="5"/>
        <v>#REF!</v>
      </c>
      <c r="O66" s="39" t="e">
        <f>Summary!$J$2*'R1'!N66*'R1'!H66</f>
        <v>#REF!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66"/>
  <sheetViews>
    <sheetView topLeftCell="G1" workbookViewId="0">
      <selection activeCell="A6" sqref="A6"/>
    </sheetView>
  </sheetViews>
  <sheetFormatPr defaultColWidth="18" defaultRowHeight="24" customHeight="1"/>
  <cols>
    <col min="1" max="1" width="18" style="28"/>
    <col min="2" max="2" width="13.42578125" style="28" customWidth="1"/>
    <col min="3" max="6" width="18" style="28"/>
    <col min="7" max="7" width="24.42578125" style="28" customWidth="1"/>
    <col min="8" max="9" width="18" style="28"/>
    <col min="10" max="10" width="21.7109375" style="28" customWidth="1"/>
    <col min="11" max="14" width="18" style="28"/>
    <col min="15" max="15" width="29.5703125" style="28" customWidth="1"/>
    <col min="16" max="16384" width="18" style="28"/>
  </cols>
  <sheetData>
    <row r="1" spans="1:16" ht="24" customHeight="1">
      <c r="A1" s="28" t="s">
        <v>69</v>
      </c>
      <c r="B1" s="28" t="s">
        <v>74</v>
      </c>
      <c r="C1" s="28" t="s">
        <v>28</v>
      </c>
      <c r="D1" s="28" t="s">
        <v>29</v>
      </c>
      <c r="E1" s="28" t="s">
        <v>30</v>
      </c>
      <c r="F1" s="28" t="s">
        <v>71</v>
      </c>
      <c r="G1" s="28" t="s">
        <v>72</v>
      </c>
      <c r="H1" s="28" t="s">
        <v>31</v>
      </c>
      <c r="I1" s="28" t="s">
        <v>32</v>
      </c>
      <c r="J1" s="28" t="s">
        <v>33</v>
      </c>
      <c r="L1" s="39" t="s">
        <v>76</v>
      </c>
      <c r="M1" s="39" t="s">
        <v>77</v>
      </c>
      <c r="N1" s="39" t="s">
        <v>78</v>
      </c>
      <c r="O1" s="39" t="s">
        <v>79</v>
      </c>
      <c r="P1" s="39" t="s">
        <v>80</v>
      </c>
    </row>
    <row r="2" spans="1:16" ht="24" customHeight="1">
      <c r="A2" s="29">
        <v>43647</v>
      </c>
      <c r="B2" s="28">
        <f>YEAR(A2)</f>
        <v>2019</v>
      </c>
      <c r="C2" s="28">
        <f>$A$4+D2</f>
        <v>56</v>
      </c>
      <c r="D2" s="28">
        <v>0</v>
      </c>
      <c r="E2" s="28">
        <f>VLOOKUP(C:C, 'Total Data Set'!B:J, IF(Summary!$F$3="M", 4, 8), FALSE)</f>
        <v>3.8579999999999999E-3</v>
      </c>
      <c r="F2" s="28">
        <f>1-E2</f>
        <v>0.99614199999999997</v>
      </c>
      <c r="G2" s="28">
        <v>1</v>
      </c>
      <c r="H2" s="28">
        <f>1/(1+Summary!$O$3)^D2</f>
        <v>1</v>
      </c>
      <c r="I2" s="28">
        <f>Summary!$J$3*'R2'!H2*'R2'!G2</f>
        <v>8161</v>
      </c>
      <c r="J2" s="28">
        <f>SUM(I2:I67)</f>
        <v>126223.70894971534</v>
      </c>
      <c r="L2" s="28" t="e">
        <f>IF(Summary!$F$3="M",VLOOKUP(C:C,#REF!,IF(B2&gt;2033,22,MATCH(B2,#REF!,0)),FALSE),VLOOKUP(C:C,#REF!,IF(B2&gt;2033,22,MATCH(B2,#REF!,0)),FALSE))</f>
        <v>#REF!</v>
      </c>
      <c r="M2" s="28" t="e">
        <f>1-L2</f>
        <v>#REF!</v>
      </c>
      <c r="N2" s="28">
        <f>1</f>
        <v>1</v>
      </c>
      <c r="O2" s="28">
        <f>Summary!$J$3*'R2'!N2*'R2'!H2</f>
        <v>8161</v>
      </c>
      <c r="P2" s="28" t="e">
        <f>SUM(O2:O66)</f>
        <v>#REF!</v>
      </c>
    </row>
    <row r="3" spans="1:16" ht="24" customHeight="1">
      <c r="A3" s="28" t="s">
        <v>34</v>
      </c>
      <c r="B3" s="28">
        <f>$B2+1</f>
        <v>2020</v>
      </c>
      <c r="C3" s="28">
        <f t="shared" ref="C3:C66" si="0">$A$4+D3</f>
        <v>57</v>
      </c>
      <c r="D3" s="28">
        <v>1</v>
      </c>
      <c r="E3" s="28">
        <f>VLOOKUP(C:C, 'Total Data Set'!B:J, IF(Summary!$F$3="M", 4, 8), FALSE)</f>
        <v>4.1279999999999997E-3</v>
      </c>
      <c r="F3" s="28">
        <f t="shared" ref="F3:F66" si="1">1-E3</f>
        <v>0.99587199999999998</v>
      </c>
      <c r="G3" s="28">
        <f>F2</f>
        <v>0.99614199999999997</v>
      </c>
      <c r="H3" s="28">
        <f>1/(1+Summary!$O$3)^D3</f>
        <v>0.95238095238095233</v>
      </c>
      <c r="I3" s="28">
        <f>Summary!$J$3*'R2'!H3*'R2'!G3</f>
        <v>7742.3951066666659</v>
      </c>
      <c r="L3" s="28" t="e">
        <f>IF(Summary!$F$3="M",VLOOKUP(C:C,#REF!,IF(B3&gt;2033,22,MATCH(B3,#REF!,0)),FALSE),VLOOKUP(C:C,#REF!,IF(B3&gt;2033,22,MATCH(B3,#REF!,0)),FALSE))</f>
        <v>#REF!</v>
      </c>
      <c r="M3" s="28" t="e">
        <f t="shared" ref="M3:M66" si="2">1-L3</f>
        <v>#REF!</v>
      </c>
      <c r="N3" s="28" t="e">
        <f>N2*M2</f>
        <v>#REF!</v>
      </c>
      <c r="O3" s="28" t="e">
        <f>Summary!$J$3*'R2'!N3*'R2'!H3</f>
        <v>#REF!</v>
      </c>
    </row>
    <row r="4" spans="1:16" ht="24" customHeight="1">
      <c r="A4" s="28">
        <f>Summary!I3</f>
        <v>56</v>
      </c>
      <c r="B4" s="28">
        <f t="shared" ref="B4:B66" si="3">$B3+1</f>
        <v>2021</v>
      </c>
      <c r="C4" s="28">
        <f t="shared" si="0"/>
        <v>58</v>
      </c>
      <c r="D4" s="28">
        <v>2</v>
      </c>
      <c r="E4" s="28">
        <f>VLOOKUP(C:C, 'Total Data Set'!B:J, IF(Summary!$F$3="M", 4, 8), FALSE)</f>
        <v>4.4359999999999998E-3</v>
      </c>
      <c r="F4" s="28">
        <f t="shared" si="1"/>
        <v>0.995564</v>
      </c>
      <c r="G4" s="28">
        <f t="shared" ref="G4:G35" si="4">G3*F3</f>
        <v>0.99202992582399996</v>
      </c>
      <c r="H4" s="28">
        <f>1/(1+Summary!$O$3)^D4</f>
        <v>0.90702947845804982</v>
      </c>
      <c r="I4" s="28">
        <f>Summary!$J$3*'R2'!H4*'R2'!G4</f>
        <v>7343.2709520631861</v>
      </c>
      <c r="L4" s="28" t="e">
        <f>IF(Summary!$F$3="M",VLOOKUP(C:C,#REF!,IF(B4&gt;2033,22,MATCH(B4,#REF!,0)),FALSE),VLOOKUP(C:C,#REF!,IF(B4&gt;2033,22,MATCH(B4,#REF!,0)),FALSE))</f>
        <v>#REF!</v>
      </c>
      <c r="M4" s="28" t="e">
        <f t="shared" si="2"/>
        <v>#REF!</v>
      </c>
      <c r="N4" s="28" t="e">
        <f>N3*M3</f>
        <v>#REF!</v>
      </c>
      <c r="O4" s="28" t="e">
        <f>Summary!$J$3*'R2'!N4*'R2'!H4</f>
        <v>#REF!</v>
      </c>
    </row>
    <row r="5" spans="1:16" ht="24" customHeight="1">
      <c r="B5" s="28">
        <f t="shared" si="3"/>
        <v>2022</v>
      </c>
      <c r="C5" s="28">
        <f t="shared" si="0"/>
        <v>59</v>
      </c>
      <c r="D5" s="28">
        <v>3</v>
      </c>
      <c r="E5" s="28">
        <f>VLOOKUP(C:C, 'Total Data Set'!B:J, IF(Summary!$F$3="M", 4, 8), FALSE)</f>
        <v>4.7889999999999999E-3</v>
      </c>
      <c r="F5" s="28">
        <f t="shared" si="1"/>
        <v>0.99521099999999996</v>
      </c>
      <c r="G5" s="28">
        <f t="shared" si="4"/>
        <v>0.98762928107304471</v>
      </c>
      <c r="H5" s="28">
        <f>1/(1+Summary!$O$3)^D5</f>
        <v>0.86383759853147601</v>
      </c>
      <c r="I5" s="28">
        <f>Summary!$J$3*'R2'!H5*'R2'!G5</f>
        <v>6962.567811542699</v>
      </c>
      <c r="L5" s="28" t="e">
        <f>IF(Summary!$F$3="M",VLOOKUP(C:C,#REF!,IF(B5&gt;2033,22,MATCH(B5,#REF!,0)),FALSE),VLOOKUP(C:C,#REF!,IF(B5&gt;2033,22,MATCH(B5,#REF!,0)),FALSE))</f>
        <v>#REF!</v>
      </c>
      <c r="M5" s="28" t="e">
        <f t="shared" si="2"/>
        <v>#REF!</v>
      </c>
      <c r="N5" s="28" t="e">
        <f t="shared" ref="N5:N66" si="5">N4*M4</f>
        <v>#REF!</v>
      </c>
      <c r="O5" s="28" t="e">
        <f>Summary!$J$3*'R2'!N5*'R2'!H5</f>
        <v>#REF!</v>
      </c>
    </row>
    <row r="6" spans="1:16" ht="24" customHeight="1">
      <c r="B6" s="28">
        <f t="shared" si="3"/>
        <v>2023</v>
      </c>
      <c r="C6" s="28">
        <f t="shared" si="0"/>
        <v>60</v>
      </c>
      <c r="D6" s="28">
        <v>4</v>
      </c>
      <c r="E6" s="28">
        <f>VLOOKUP(C:C, 'Total Data Set'!B:J, IF(Summary!$F$3="M", 4, 8), FALSE)</f>
        <v>5.1910000000000003E-3</v>
      </c>
      <c r="F6" s="28">
        <f t="shared" si="1"/>
        <v>0.99480900000000005</v>
      </c>
      <c r="G6" s="28">
        <f t="shared" si="4"/>
        <v>0.98289952444598583</v>
      </c>
      <c r="H6" s="28">
        <f>1/(1+Summary!$O$3)^D6</f>
        <v>0.82270247479188197</v>
      </c>
      <c r="I6" s="28">
        <f>Summary!$J$3*'R2'!H6*'R2'!G6</f>
        <v>6599.2610231364006</v>
      </c>
      <c r="L6" s="28" t="e">
        <f>IF(Summary!$F$3="M",VLOOKUP(C:C,#REF!,IF(B6&gt;2033,22,MATCH(B6,#REF!,0)),FALSE),VLOOKUP(C:C,#REF!,IF(B6&gt;2033,22,MATCH(B6,#REF!,0)),FALSE))</f>
        <v>#REF!</v>
      </c>
      <c r="M6" s="28" t="e">
        <f t="shared" si="2"/>
        <v>#REF!</v>
      </c>
      <c r="N6" s="28" t="e">
        <f t="shared" si="5"/>
        <v>#REF!</v>
      </c>
      <c r="O6" s="28" t="e">
        <f>Summary!$J$3*'R2'!N6*'R2'!H6</f>
        <v>#REF!</v>
      </c>
    </row>
    <row r="7" spans="1:16" ht="24" customHeight="1">
      <c r="B7" s="28">
        <f t="shared" si="3"/>
        <v>2024</v>
      </c>
      <c r="C7" s="28">
        <f t="shared" si="0"/>
        <v>61</v>
      </c>
      <c r="D7" s="28">
        <v>5</v>
      </c>
      <c r="E7" s="28">
        <f>VLOOKUP(C:C, 'Total Data Set'!B:J, IF(Summary!$F$3="M", 4, 8), FALSE)</f>
        <v>5.646E-3</v>
      </c>
      <c r="F7" s="28">
        <f t="shared" si="1"/>
        <v>0.99435399999999996</v>
      </c>
      <c r="G7" s="28">
        <f t="shared" si="4"/>
        <v>0.97779729301458673</v>
      </c>
      <c r="H7" s="28">
        <f>1/(1+Summary!$O$3)^D7</f>
        <v>0.78352616646845896</v>
      </c>
      <c r="I7" s="28">
        <f>Summary!$J$3*'R2'!H7*'R2'!G7</f>
        <v>6252.3850087288565</v>
      </c>
      <c r="L7" s="28" t="e">
        <f>IF(Summary!$F$3="M",VLOOKUP(C:C,#REF!,IF(B7&gt;2033,22,MATCH(B7,#REF!,0)),FALSE),VLOOKUP(C:C,#REF!,IF(B7&gt;2033,22,MATCH(B7,#REF!,0)),FALSE))</f>
        <v>#REF!</v>
      </c>
      <c r="M7" s="28" t="e">
        <f t="shared" si="2"/>
        <v>#REF!</v>
      </c>
      <c r="N7" s="28" t="e">
        <f t="shared" si="5"/>
        <v>#REF!</v>
      </c>
      <c r="O7" s="28" t="e">
        <f>Summary!$J$3*'R2'!N7*'R2'!H7</f>
        <v>#REF!</v>
      </c>
    </row>
    <row r="8" spans="1:16" ht="24" customHeight="1">
      <c r="B8" s="28">
        <f t="shared" si="3"/>
        <v>2025</v>
      </c>
      <c r="C8" s="28">
        <f t="shared" si="0"/>
        <v>62</v>
      </c>
      <c r="D8" s="28">
        <v>6</v>
      </c>
      <c r="E8" s="28">
        <f>VLOOKUP(C:C, 'Total Data Set'!B:J, IF(Summary!$F$3="M", 4, 8), FALSE)</f>
        <v>6.156E-3</v>
      </c>
      <c r="F8" s="28">
        <f t="shared" si="1"/>
        <v>0.99384399999999995</v>
      </c>
      <c r="G8" s="28">
        <f t="shared" si="4"/>
        <v>0.97227664949822634</v>
      </c>
      <c r="H8" s="28">
        <f>1/(1+Summary!$O$3)^D8</f>
        <v>0.74621539663662761</v>
      </c>
      <c r="I8" s="28">
        <f>Summary!$J$3*'R2'!H8*'R2'!G8</f>
        <v>5921.0324218757842</v>
      </c>
      <c r="L8" s="28" t="e">
        <f>IF(Summary!$F$3="M",VLOOKUP(C:C,#REF!,IF(B8&gt;2033,22,MATCH(B8,#REF!,0)),FALSE),VLOOKUP(C:C,#REF!,IF(B8&gt;2033,22,MATCH(B8,#REF!,0)),FALSE))</f>
        <v>#REF!</v>
      </c>
      <c r="M8" s="28" t="e">
        <f t="shared" si="2"/>
        <v>#REF!</v>
      </c>
      <c r="N8" s="28" t="e">
        <f t="shared" si="5"/>
        <v>#REF!</v>
      </c>
      <c r="O8" s="28" t="e">
        <f>Summary!$J$3*'R2'!N8*'R2'!H8</f>
        <v>#REF!</v>
      </c>
    </row>
    <row r="9" spans="1:16" ht="24" customHeight="1">
      <c r="B9" s="28">
        <f t="shared" si="3"/>
        <v>2026</v>
      </c>
      <c r="C9" s="28">
        <f t="shared" si="0"/>
        <v>63</v>
      </c>
      <c r="D9" s="28">
        <v>7</v>
      </c>
      <c r="E9" s="28">
        <f>VLOOKUP(C:C, 'Total Data Set'!B:J, IF(Summary!$F$3="M", 4, 8), FALSE)</f>
        <v>6.7229999999999998E-3</v>
      </c>
      <c r="F9" s="28">
        <f t="shared" si="1"/>
        <v>0.99327699999999997</v>
      </c>
      <c r="G9" s="28">
        <f t="shared" si="4"/>
        <v>0.96629131444391525</v>
      </c>
      <c r="H9" s="28">
        <f>1/(1+Summary!$O$3)^D9</f>
        <v>0.71068133013012147</v>
      </c>
      <c r="I9" s="28">
        <f>Summary!$J$3*'R2'!H9*'R2'!G9</f>
        <v>5604.3643297968729</v>
      </c>
      <c r="L9" s="28" t="e">
        <f>IF(Summary!$F$3="M",VLOOKUP(C:C,#REF!,IF(B9&gt;2033,22,MATCH(B9,#REF!,0)),FALSE),VLOOKUP(C:C,#REF!,IF(B9&gt;2033,22,MATCH(B9,#REF!,0)),FALSE))</f>
        <v>#REF!</v>
      </c>
      <c r="M9" s="28" t="e">
        <f t="shared" si="2"/>
        <v>#REF!</v>
      </c>
      <c r="N9" s="28" t="e">
        <f t="shared" si="5"/>
        <v>#REF!</v>
      </c>
      <c r="O9" s="28" t="e">
        <f>Summary!$J$3*'R2'!N9*'R2'!H9</f>
        <v>#REF!</v>
      </c>
    </row>
    <row r="10" spans="1:16" ht="24" customHeight="1">
      <c r="B10" s="28">
        <f t="shared" si="3"/>
        <v>2027</v>
      </c>
      <c r="C10" s="28">
        <f t="shared" si="0"/>
        <v>64</v>
      </c>
      <c r="D10" s="28">
        <v>8</v>
      </c>
      <c r="E10" s="28">
        <f>VLOOKUP(C:C, 'Total Data Set'!B:J, IF(Summary!$F$3="M", 4, 8), FALSE)</f>
        <v>7.352E-3</v>
      </c>
      <c r="F10" s="28">
        <f t="shared" si="1"/>
        <v>0.99264799999999997</v>
      </c>
      <c r="G10" s="28">
        <f t="shared" si="4"/>
        <v>0.95979493793690873</v>
      </c>
      <c r="H10" s="28">
        <f>1/(1+Summary!$O$3)^D10</f>
        <v>0.67683936202868722</v>
      </c>
      <c r="I10" s="28">
        <f>Summary!$J$3*'R2'!H10*'R2'!G10</f>
        <v>5301.6058937215703</v>
      </c>
      <c r="L10" s="28" t="e">
        <f>IF(Summary!$F$3="M",VLOOKUP(C:C,#REF!,IF(B10&gt;2033,22,MATCH(B10,#REF!,0)),FALSE),VLOOKUP(C:C,#REF!,IF(B10&gt;2033,22,MATCH(B10,#REF!,0)),FALSE))</f>
        <v>#REF!</v>
      </c>
      <c r="M10" s="28" t="e">
        <f t="shared" si="2"/>
        <v>#REF!</v>
      </c>
      <c r="N10" s="28" t="e">
        <f t="shared" si="5"/>
        <v>#REF!</v>
      </c>
      <c r="O10" s="28" t="e">
        <f>Summary!$J$3*'R2'!N10*'R2'!H10</f>
        <v>#REF!</v>
      </c>
    </row>
    <row r="11" spans="1:16" ht="24" customHeight="1">
      <c r="B11" s="28">
        <f t="shared" si="3"/>
        <v>2028</v>
      </c>
      <c r="C11" s="28">
        <f t="shared" si="0"/>
        <v>65</v>
      </c>
      <c r="D11" s="28">
        <v>9</v>
      </c>
      <c r="E11" s="28">
        <f>VLOOKUP(C:C, 'Total Data Set'!B:J, IF(Summary!$F$3="M", 4, 8), FALSE)</f>
        <v>8.0479999999999996E-3</v>
      </c>
      <c r="F11" s="28">
        <f t="shared" si="1"/>
        <v>0.99195199999999994</v>
      </c>
      <c r="G11" s="28">
        <f t="shared" si="4"/>
        <v>0.9527385255531966</v>
      </c>
      <c r="H11" s="28">
        <f>1/(1+Summary!$O$3)^D11</f>
        <v>0.64460891621779726</v>
      </c>
      <c r="I11" s="28">
        <f>Summary!$J$3*'R2'!H11*'R2'!G11</f>
        <v>5012.027130658028</v>
      </c>
      <c r="L11" s="28" t="e">
        <f>IF(Summary!$F$3="M",VLOOKUP(C:C,#REF!,IF(B11&gt;2033,22,MATCH(B11,#REF!,0)),FALSE),VLOOKUP(C:C,#REF!,IF(B11&gt;2033,22,MATCH(B11,#REF!,0)),FALSE))</f>
        <v>#REF!</v>
      </c>
      <c r="M11" s="28" t="e">
        <f t="shared" si="2"/>
        <v>#REF!</v>
      </c>
      <c r="N11" s="28" t="e">
        <f t="shared" si="5"/>
        <v>#REF!</v>
      </c>
      <c r="O11" s="28" t="e">
        <f>Summary!$J$3*'R2'!N11*'R2'!H11</f>
        <v>#REF!</v>
      </c>
    </row>
    <row r="12" spans="1:16" ht="24" customHeight="1">
      <c r="B12" s="28">
        <f t="shared" si="3"/>
        <v>2029</v>
      </c>
      <c r="C12" s="28">
        <f t="shared" si="0"/>
        <v>66</v>
      </c>
      <c r="D12" s="28">
        <v>10</v>
      </c>
      <c r="E12" s="28">
        <f>VLOOKUP(C:C, 'Total Data Set'!B:J, IF(Summary!$F$3="M", 4, 8), FALSE)</f>
        <v>8.8210000000000007E-3</v>
      </c>
      <c r="F12" s="28">
        <f t="shared" si="1"/>
        <v>0.99117900000000003</v>
      </c>
      <c r="G12" s="28">
        <f t="shared" si="4"/>
        <v>0.94507088589954447</v>
      </c>
      <c r="H12" s="28">
        <f>1/(1+Summary!$O$3)^D12</f>
        <v>0.61391325354075932</v>
      </c>
      <c r="I12" s="28">
        <f>Summary!$J$3*'R2'!H12*'R2'!G12</f>
        <v>4734.943177438563</v>
      </c>
      <c r="L12" s="28" t="e">
        <f>IF(Summary!$F$3="M",VLOOKUP(C:C,#REF!,IF(B12&gt;2033,22,MATCH(B12,#REF!,0)),FALSE),VLOOKUP(C:C,#REF!,IF(B12&gt;2033,22,MATCH(B12,#REF!,0)),FALSE))</f>
        <v>#REF!</v>
      </c>
      <c r="M12" s="28" t="e">
        <f t="shared" si="2"/>
        <v>#REF!</v>
      </c>
      <c r="N12" s="28" t="e">
        <f t="shared" si="5"/>
        <v>#REF!</v>
      </c>
      <c r="O12" s="28" t="e">
        <f>Summary!$J$3*'R2'!N12*'R2'!H12</f>
        <v>#REF!</v>
      </c>
    </row>
    <row r="13" spans="1:16" ht="24" customHeight="1">
      <c r="B13" s="28">
        <f t="shared" si="3"/>
        <v>2030</v>
      </c>
      <c r="C13" s="28">
        <f t="shared" si="0"/>
        <v>67</v>
      </c>
      <c r="D13" s="28">
        <v>11</v>
      </c>
      <c r="E13" s="28">
        <f>VLOOKUP(C:C, 'Total Data Set'!B:J, IF(Summary!$F$3="M", 4, 8), FALSE)</f>
        <v>9.6790000000000001E-3</v>
      </c>
      <c r="F13" s="28">
        <f t="shared" si="1"/>
        <v>0.99032100000000001</v>
      </c>
      <c r="G13" s="28">
        <f t="shared" si="4"/>
        <v>0.93673441561502457</v>
      </c>
      <c r="H13" s="28">
        <f>1/(1+Summary!$O$3)^D13</f>
        <v>0.5846792890864374</v>
      </c>
      <c r="I13" s="28">
        <f>Summary!$J$3*'R2'!H13*'R2'!G13</f>
        <v>4469.6916606384548</v>
      </c>
      <c r="L13" s="28" t="e">
        <f>IF(Summary!$F$3="M",VLOOKUP(C:C,#REF!,IF(B13&gt;2033,22,MATCH(B13,#REF!,0)),FALSE),VLOOKUP(C:C,#REF!,IF(B13&gt;2033,22,MATCH(B13,#REF!,0)),FALSE))</f>
        <v>#REF!</v>
      </c>
      <c r="M13" s="28" t="e">
        <f t="shared" si="2"/>
        <v>#REF!</v>
      </c>
      <c r="N13" s="28" t="e">
        <f t="shared" si="5"/>
        <v>#REF!</v>
      </c>
      <c r="O13" s="28" t="e">
        <f>Summary!$J$3*'R2'!N13*'R2'!H13</f>
        <v>#REF!</v>
      </c>
    </row>
    <row r="14" spans="1:16" ht="24" customHeight="1">
      <c r="B14" s="28">
        <f t="shared" si="3"/>
        <v>2031</v>
      </c>
      <c r="C14" s="28">
        <f t="shared" si="0"/>
        <v>68</v>
      </c>
      <c r="D14" s="28">
        <v>12</v>
      </c>
      <c r="E14" s="28">
        <f>VLOOKUP(C:C, 'Total Data Set'!B:J, IF(Summary!$F$3="M", 4, 8), FALSE)</f>
        <v>1.0633E-2</v>
      </c>
      <c r="F14" s="28">
        <f t="shared" si="1"/>
        <v>0.989367</v>
      </c>
      <c r="G14" s="28">
        <f t="shared" si="4"/>
        <v>0.92766776320628674</v>
      </c>
      <c r="H14" s="28">
        <f>1/(1+Summary!$O$3)^D14</f>
        <v>0.5568374181775595</v>
      </c>
      <c r="I14" s="28">
        <f>Summary!$J$3*'R2'!H14*'R2'!G14</f>
        <v>4215.6471571953671</v>
      </c>
      <c r="L14" s="28" t="e">
        <f>IF(Summary!$F$3="M",VLOOKUP(C:C,#REF!,IF(B14&gt;2033,22,MATCH(B14,#REF!,0)),FALSE),VLOOKUP(C:C,#REF!,IF(B14&gt;2033,22,MATCH(B14,#REF!,0)),FALSE))</f>
        <v>#REF!</v>
      </c>
      <c r="M14" s="28" t="e">
        <f t="shared" si="2"/>
        <v>#REF!</v>
      </c>
      <c r="N14" s="28" t="e">
        <f t="shared" si="5"/>
        <v>#REF!</v>
      </c>
      <c r="O14" s="28" t="e">
        <f>Summary!$J$3*'R2'!N14*'R2'!H14</f>
        <v>#REF!</v>
      </c>
    </row>
    <row r="15" spans="1:16" ht="24" customHeight="1">
      <c r="B15" s="28">
        <f t="shared" si="3"/>
        <v>2032</v>
      </c>
      <c r="C15" s="28">
        <f t="shared" si="0"/>
        <v>69</v>
      </c>
      <c r="D15" s="28">
        <v>13</v>
      </c>
      <c r="E15" s="28">
        <f>VLOOKUP(C:C, 'Total Data Set'!B:J, IF(Summary!$F$3="M", 4, 8), FALSE)</f>
        <v>1.1691999999999999E-2</v>
      </c>
      <c r="F15" s="28">
        <f t="shared" si="1"/>
        <v>0.98830799999999996</v>
      </c>
      <c r="G15" s="28">
        <f t="shared" si="4"/>
        <v>0.91780387188011425</v>
      </c>
      <c r="H15" s="28">
        <f>1/(1+Summary!$O$3)^D15</f>
        <v>0.53032135064529462</v>
      </c>
      <c r="I15" s="28">
        <f>Summary!$J$3*'R2'!H15*'R2'!G15</f>
        <v>3972.2116009265787</v>
      </c>
      <c r="L15" s="28" t="e">
        <f>IF(Summary!$F$3="M",VLOOKUP(C:C,#REF!,IF(B15&gt;2033,22,MATCH(B15,#REF!,0)),FALSE),VLOOKUP(C:C,#REF!,IF(B15&gt;2033,22,MATCH(B15,#REF!,0)),FALSE))</f>
        <v>#REF!</v>
      </c>
      <c r="M15" s="28" t="e">
        <f t="shared" si="2"/>
        <v>#REF!</v>
      </c>
      <c r="N15" s="28" t="e">
        <f t="shared" si="5"/>
        <v>#REF!</v>
      </c>
      <c r="O15" s="28" t="e">
        <f>Summary!$J$3*'R2'!N15*'R2'!H15</f>
        <v>#REF!</v>
      </c>
    </row>
    <row r="16" spans="1:16" ht="24" customHeight="1">
      <c r="B16" s="28">
        <f t="shared" si="3"/>
        <v>2033</v>
      </c>
      <c r="C16" s="28">
        <f t="shared" si="0"/>
        <v>70</v>
      </c>
      <c r="D16" s="28">
        <v>14</v>
      </c>
      <c r="E16" s="28">
        <f>VLOOKUP(C:C, 'Total Data Set'!B:J, IF(Summary!$F$3="M", 4, 8), FALSE)</f>
        <v>1.2867999999999999E-2</v>
      </c>
      <c r="F16" s="28">
        <f t="shared" si="1"/>
        <v>0.98713200000000001</v>
      </c>
      <c r="G16" s="28">
        <f t="shared" si="4"/>
        <v>0.90707290901009197</v>
      </c>
      <c r="H16" s="28">
        <f>1/(1+Summary!$O$3)^D16</f>
        <v>0.50506795299551888</v>
      </c>
      <c r="I16" s="28">
        <f>Summary!$J$3*'R2'!H16*'R2'!G16</f>
        <v>3738.8271456081402</v>
      </c>
      <c r="L16" s="28" t="e">
        <f>IF(Summary!$F$3="M",VLOOKUP(C:C,#REF!,IF(B16&gt;2033,22,MATCH(B16,#REF!,0)),FALSE),VLOOKUP(C:C,#REF!,IF(B16&gt;2033,22,MATCH(B16,#REF!,0)),FALSE))</f>
        <v>#REF!</v>
      </c>
      <c r="M16" s="28" t="e">
        <f t="shared" si="2"/>
        <v>#REF!</v>
      </c>
      <c r="N16" s="28" t="e">
        <f t="shared" si="5"/>
        <v>#REF!</v>
      </c>
      <c r="O16" s="28" t="e">
        <f>Summary!$J$3*'R2'!N16*'R2'!H16</f>
        <v>#REF!</v>
      </c>
    </row>
    <row r="17" spans="2:15" ht="24" customHeight="1">
      <c r="B17" s="28">
        <f t="shared" si="3"/>
        <v>2034</v>
      </c>
      <c r="C17" s="28">
        <f t="shared" si="0"/>
        <v>71</v>
      </c>
      <c r="D17" s="28">
        <v>15</v>
      </c>
      <c r="E17" s="28">
        <f>VLOOKUP(C:C, 'Total Data Set'!B:J, IF(Summary!$F$3="M", 4, 8), FALSE)</f>
        <v>1.4171E-2</v>
      </c>
      <c r="F17" s="28">
        <f t="shared" si="1"/>
        <v>0.98582899999999996</v>
      </c>
      <c r="G17" s="28">
        <f t="shared" si="4"/>
        <v>0.89540069481695006</v>
      </c>
      <c r="H17" s="28">
        <f>1/(1+Summary!$O$3)^D17</f>
        <v>0.48101709809097021</v>
      </c>
      <c r="I17" s="28">
        <f>Summary!$J$3*'R2'!H17*'R2'!G17</f>
        <v>3514.9675408556695</v>
      </c>
      <c r="L17" s="28" t="e">
        <f>IF(Summary!$F$3="M",VLOOKUP(C:C,#REF!,IF(B17&gt;2033,22,MATCH(B17,#REF!,0)),FALSE),VLOOKUP(C:C,#REF!,IF(B17&gt;2033,22,MATCH(B17,#REF!,0)),FALSE))</f>
        <v>#REF!</v>
      </c>
      <c r="M17" s="28" t="e">
        <f t="shared" si="2"/>
        <v>#REF!</v>
      </c>
      <c r="N17" s="28" t="e">
        <f t="shared" si="5"/>
        <v>#REF!</v>
      </c>
      <c r="O17" s="28" t="e">
        <f>Summary!$J$3*'R2'!N17*'R2'!H17</f>
        <v>#REF!</v>
      </c>
    </row>
    <row r="18" spans="2:15" ht="24" customHeight="1">
      <c r="B18" s="28">
        <f t="shared" si="3"/>
        <v>2035</v>
      </c>
      <c r="C18" s="28">
        <f t="shared" si="0"/>
        <v>72</v>
      </c>
      <c r="D18" s="28">
        <v>16</v>
      </c>
      <c r="E18" s="28">
        <f>VLOOKUP(C:C, 'Total Data Set'!B:J, IF(Summary!$F$3="M", 4, 8), FALSE)</f>
        <v>1.5613999999999999E-2</v>
      </c>
      <c r="F18" s="28">
        <f t="shared" si="1"/>
        <v>0.98438599999999998</v>
      </c>
      <c r="G18" s="28">
        <f t="shared" si="4"/>
        <v>0.88271197157069903</v>
      </c>
      <c r="H18" s="28">
        <f>1/(1+Summary!$O$3)^D18</f>
        <v>0.45811152199140021</v>
      </c>
      <c r="I18" s="28">
        <f>Summary!$J$3*'R2'!H18*'R2'!G18</f>
        <v>3300.1494626992417</v>
      </c>
      <c r="L18" s="28" t="e">
        <f>IF(Summary!$F$3="M",VLOOKUP(C:C,#REF!,IF(B18&gt;2033,22,MATCH(B18,#REF!,0)),FALSE),VLOOKUP(C:C,#REF!,IF(B18&gt;2033,22,MATCH(B18,#REF!,0)),FALSE))</f>
        <v>#REF!</v>
      </c>
      <c r="M18" s="28" t="e">
        <f t="shared" si="2"/>
        <v>#REF!</v>
      </c>
      <c r="N18" s="28" t="e">
        <f t="shared" si="5"/>
        <v>#REF!</v>
      </c>
      <c r="O18" s="28" t="e">
        <f>Summary!$J$3*'R2'!N18*'R2'!H18</f>
        <v>#REF!</v>
      </c>
    </row>
    <row r="19" spans="2:15" ht="24" customHeight="1">
      <c r="B19" s="28">
        <f>$B18+1</f>
        <v>2036</v>
      </c>
      <c r="C19" s="28">
        <f t="shared" si="0"/>
        <v>73</v>
      </c>
      <c r="D19" s="28">
        <v>17</v>
      </c>
      <c r="E19" s="28">
        <f>VLOOKUP(C:C, 'Total Data Set'!B:J, IF(Summary!$F$3="M", 4, 8), FALSE)</f>
        <v>1.721E-2</v>
      </c>
      <c r="F19" s="28">
        <f t="shared" si="1"/>
        <v>0.98279000000000005</v>
      </c>
      <c r="G19" s="28">
        <f t="shared" si="4"/>
        <v>0.86892930684659409</v>
      </c>
      <c r="H19" s="28">
        <f>1/(1+Summary!$O$3)^D19</f>
        <v>0.43629668761085727</v>
      </c>
      <c r="I19" s="28">
        <f>Summary!$J$3*'R2'!H19*'R2'!G19</f>
        <v>3093.9246942749096</v>
      </c>
      <c r="L19" s="28" t="e">
        <f>IF(Summary!$F$3="M",VLOOKUP(C:C,#REF!,IF(B19&gt;2033,22,MATCH(B19,#REF!,0)),FALSE),VLOOKUP(C:C,#REF!,IF(B19&gt;2033,22,MATCH(B19,#REF!,0)),FALSE))</f>
        <v>#REF!</v>
      </c>
      <c r="M19" s="28" t="e">
        <f t="shared" si="2"/>
        <v>#REF!</v>
      </c>
      <c r="N19" s="28" t="e">
        <f t="shared" si="5"/>
        <v>#REF!</v>
      </c>
      <c r="O19" s="28" t="e">
        <f>Summary!$J$3*'R2'!N19*'R2'!H19</f>
        <v>#REF!</v>
      </c>
    </row>
    <row r="20" spans="2:15" ht="24" customHeight="1">
      <c r="B20" s="28">
        <f t="shared" si="3"/>
        <v>2037</v>
      </c>
      <c r="C20" s="28">
        <f t="shared" si="0"/>
        <v>74</v>
      </c>
      <c r="D20" s="28">
        <v>18</v>
      </c>
      <c r="E20" s="28">
        <f>VLOOKUP(C:C, 'Total Data Set'!B:J, IF(Summary!$F$3="M", 4, 8), FALSE)</f>
        <v>1.8977000000000001E-2</v>
      </c>
      <c r="F20" s="28">
        <f t="shared" si="1"/>
        <v>0.98102299999999998</v>
      </c>
      <c r="G20" s="28">
        <f t="shared" si="4"/>
        <v>0.8539750334757642</v>
      </c>
      <c r="H20" s="28">
        <f>1/(1+Summary!$O$3)^D20</f>
        <v>0.41552065486748313</v>
      </c>
      <c r="I20" s="28">
        <f>Summary!$J$3*'R2'!H20*'R2'!G20</f>
        <v>2895.884047891846</v>
      </c>
      <c r="L20" s="28" t="e">
        <f>IF(Summary!$F$3="M",VLOOKUP(C:C,#REF!,IF(B20&gt;2033,22,MATCH(B20,#REF!,0)),FALSE),VLOOKUP(C:C,#REF!,IF(B20&gt;2033,22,MATCH(B20,#REF!,0)),FALSE))</f>
        <v>#REF!</v>
      </c>
      <c r="M20" s="28" t="e">
        <f t="shared" si="2"/>
        <v>#REF!</v>
      </c>
      <c r="N20" s="28" t="e">
        <f t="shared" si="5"/>
        <v>#REF!</v>
      </c>
      <c r="O20" s="28" t="e">
        <f>Summary!$J$3*'R2'!N20*'R2'!H20</f>
        <v>#REF!</v>
      </c>
    </row>
    <row r="21" spans="2:15" ht="24" customHeight="1">
      <c r="B21" s="28">
        <f t="shared" si="3"/>
        <v>2038</v>
      </c>
      <c r="C21" s="28">
        <f t="shared" si="0"/>
        <v>75</v>
      </c>
      <c r="D21" s="28">
        <v>19</v>
      </c>
      <c r="E21" s="28">
        <f>VLOOKUP(C:C, 'Total Data Set'!B:J, IF(Summary!$F$3="M", 4, 8), FALSE)</f>
        <v>2.0937999999999998E-2</v>
      </c>
      <c r="F21" s="28">
        <f t="shared" si="1"/>
        <v>0.97906199999999999</v>
      </c>
      <c r="G21" s="28">
        <f t="shared" si="4"/>
        <v>0.83776914926549462</v>
      </c>
      <c r="H21" s="28">
        <f>1/(1+Summary!$O$3)^D21</f>
        <v>0.39573395701665059</v>
      </c>
      <c r="I21" s="28">
        <f>Summary!$J$3*'R2'!H21*'R2'!G21</f>
        <v>2705.6465298238118</v>
      </c>
      <c r="L21" s="28" t="e">
        <f>IF(Summary!$F$3="M",VLOOKUP(C:C,#REF!,IF(B21&gt;2033,22,MATCH(B21,#REF!,0)),FALSE),VLOOKUP(C:C,#REF!,IF(B21&gt;2033,22,MATCH(B21,#REF!,0)),FALSE))</f>
        <v>#REF!</v>
      </c>
      <c r="M21" s="28" t="e">
        <f t="shared" si="2"/>
        <v>#REF!</v>
      </c>
      <c r="N21" s="28" t="e">
        <f t="shared" si="5"/>
        <v>#REF!</v>
      </c>
      <c r="O21" s="28" t="e">
        <f>Summary!$J$3*'R2'!N21*'R2'!H21</f>
        <v>#REF!</v>
      </c>
    </row>
    <row r="22" spans="2:15" ht="24" customHeight="1">
      <c r="B22" s="28">
        <f t="shared" si="3"/>
        <v>2039</v>
      </c>
      <c r="C22" s="28">
        <f t="shared" si="0"/>
        <v>76</v>
      </c>
      <c r="D22" s="28">
        <v>20</v>
      </c>
      <c r="E22" s="28">
        <f>VLOOKUP(C:C, 'Total Data Set'!B:J, IF(Summary!$F$3="M", 4, 8), FALSE)</f>
        <v>2.3118E-2</v>
      </c>
      <c r="F22" s="28">
        <f t="shared" si="1"/>
        <v>0.97688200000000003</v>
      </c>
      <c r="G22" s="28">
        <f t="shared" si="4"/>
        <v>0.82022793881817369</v>
      </c>
      <c r="H22" s="28">
        <f>1/(1+Summary!$O$3)^D22</f>
        <v>0.37688948287300061</v>
      </c>
      <c r="I22" s="28">
        <f>Summary!$J$3*'R2'!H22*'R2'!G22</f>
        <v>2522.8530502689155</v>
      </c>
      <c r="L22" s="28" t="e">
        <f>IF(Summary!$F$3="M",VLOOKUP(C:C,#REF!,IF(B22&gt;2033,22,MATCH(B22,#REF!,0)),FALSE),VLOOKUP(C:C,#REF!,IF(B22&gt;2033,22,MATCH(B22,#REF!,0)),FALSE))</f>
        <v>#REF!</v>
      </c>
      <c r="M22" s="28" t="e">
        <f t="shared" si="2"/>
        <v>#REF!</v>
      </c>
      <c r="N22" s="28" t="e">
        <f t="shared" si="5"/>
        <v>#REF!</v>
      </c>
      <c r="O22" s="28" t="e">
        <f>Summary!$J$3*'R2'!N22*'R2'!H22</f>
        <v>#REF!</v>
      </c>
    </row>
    <row r="23" spans="2:15" ht="24" customHeight="1">
      <c r="B23" s="28">
        <f t="shared" si="3"/>
        <v>2040</v>
      </c>
      <c r="C23" s="28">
        <f t="shared" si="0"/>
        <v>77</v>
      </c>
      <c r="D23" s="28">
        <v>21</v>
      </c>
      <c r="E23" s="28">
        <f>VLOOKUP(C:C, 'Total Data Set'!B:J, IF(Summary!$F$3="M", 4, 8), FALSE)</f>
        <v>2.5554E-2</v>
      </c>
      <c r="F23" s="28">
        <f t="shared" si="1"/>
        <v>0.97444600000000003</v>
      </c>
      <c r="G23" s="28">
        <f t="shared" si="4"/>
        <v>0.80126590932857522</v>
      </c>
      <c r="H23" s="28">
        <f>1/(1+Summary!$O$3)^D23</f>
        <v>0.35894236464095297</v>
      </c>
      <c r="I23" s="28">
        <f>Summary!$J$3*'R2'!H23*'R2'!G23</f>
        <v>2347.1711747169511</v>
      </c>
      <c r="L23" s="28" t="e">
        <f>IF(Summary!$F$3="M",VLOOKUP(C:C,#REF!,IF(B23&gt;2033,22,MATCH(B23,#REF!,0)),FALSE),VLOOKUP(C:C,#REF!,IF(B23&gt;2033,22,MATCH(B23,#REF!,0)),FALSE))</f>
        <v>#REF!</v>
      </c>
      <c r="M23" s="28" t="e">
        <f t="shared" si="2"/>
        <v>#REF!</v>
      </c>
      <c r="N23" s="28" t="e">
        <f t="shared" si="5"/>
        <v>#REF!</v>
      </c>
      <c r="O23" s="28" t="e">
        <f>Summary!$J$3*'R2'!N23*'R2'!H23</f>
        <v>#REF!</v>
      </c>
    </row>
    <row r="24" spans="2:15" ht="24" customHeight="1">
      <c r="B24" s="28">
        <f t="shared" si="3"/>
        <v>2041</v>
      </c>
      <c r="C24" s="28">
        <f t="shared" si="0"/>
        <v>78</v>
      </c>
      <c r="D24" s="28">
        <v>22</v>
      </c>
      <c r="E24" s="28">
        <f>VLOOKUP(C:C, 'Total Data Set'!B:J, IF(Summary!$F$3="M", 4, 8), FALSE)</f>
        <v>2.8288000000000001E-2</v>
      </c>
      <c r="F24" s="28">
        <f t="shared" si="1"/>
        <v>0.97171200000000002</v>
      </c>
      <c r="G24" s="28">
        <f t="shared" si="4"/>
        <v>0.78079036028159288</v>
      </c>
      <c r="H24" s="28">
        <f>1/(1+Summary!$O$3)^D24</f>
        <v>0.3418498710866219</v>
      </c>
      <c r="I24" s="28">
        <f>Summary!$J$3*'R2'!H24*'R2'!G24</f>
        <v>2178.277678588795</v>
      </c>
      <c r="L24" s="28" t="e">
        <f>IF(Summary!$F$3="M",VLOOKUP(C:C,#REF!,IF(B24&gt;2033,22,MATCH(B24,#REF!,0)),FALSE),VLOOKUP(C:C,#REF!,IF(B24&gt;2033,22,MATCH(B24,#REF!,0)),FALSE))</f>
        <v>#REF!</v>
      </c>
      <c r="M24" s="28" t="e">
        <f t="shared" si="2"/>
        <v>#REF!</v>
      </c>
      <c r="N24" s="28" t="e">
        <f t="shared" si="5"/>
        <v>#REF!</v>
      </c>
      <c r="O24" s="28" t="e">
        <f>Summary!$J$3*'R2'!N24*'R2'!H24</f>
        <v>#REF!</v>
      </c>
    </row>
    <row r="25" spans="2:15" ht="24" customHeight="1">
      <c r="B25" s="28">
        <f t="shared" si="3"/>
        <v>2042</v>
      </c>
      <c r="C25" s="28">
        <f t="shared" si="0"/>
        <v>79</v>
      </c>
      <c r="D25" s="28">
        <v>23</v>
      </c>
      <c r="E25" s="28">
        <f>VLOOKUP(C:C, 'Total Data Set'!B:J, IF(Summary!$F$3="M", 4, 8), FALSE)</f>
        <v>3.1365999999999998E-2</v>
      </c>
      <c r="F25" s="28">
        <f t="shared" si="1"/>
        <v>0.968634</v>
      </c>
      <c r="G25" s="28">
        <f t="shared" si="4"/>
        <v>0.75870336256994719</v>
      </c>
      <c r="H25" s="28">
        <f>1/(1+Summary!$O$3)^D25</f>
        <v>0.32557130579678267</v>
      </c>
      <c r="I25" s="28">
        <f>Summary!$J$3*'R2'!H25*'R2'!G25</f>
        <v>2015.865294873214</v>
      </c>
      <c r="L25" s="28" t="e">
        <f>IF(Summary!$F$3="M",VLOOKUP(C:C,#REF!,IF(B25&gt;2033,22,MATCH(B25,#REF!,0)),FALSE),VLOOKUP(C:C,#REF!,IF(B25&gt;2033,22,MATCH(B25,#REF!,0)),FALSE))</f>
        <v>#REF!</v>
      </c>
      <c r="M25" s="28" t="e">
        <f t="shared" si="2"/>
        <v>#REF!</v>
      </c>
      <c r="N25" s="28" t="e">
        <f t="shared" si="5"/>
        <v>#REF!</v>
      </c>
      <c r="O25" s="28" t="e">
        <f>Summary!$J$3*'R2'!N25*'R2'!H25</f>
        <v>#REF!</v>
      </c>
    </row>
    <row r="26" spans="2:15" ht="24" customHeight="1">
      <c r="B26" s="28">
        <f t="shared" si="3"/>
        <v>2043</v>
      </c>
      <c r="C26" s="28">
        <f t="shared" si="0"/>
        <v>80</v>
      </c>
      <c r="D26" s="28">
        <v>24</v>
      </c>
      <c r="E26" s="28">
        <f>VLOOKUP(C:C, 'Total Data Set'!B:J, IF(Summary!$F$3="M", 4, 8), FALSE)</f>
        <v>3.4844E-2</v>
      </c>
      <c r="F26" s="28">
        <f t="shared" si="1"/>
        <v>0.96515600000000001</v>
      </c>
      <c r="G26" s="28">
        <f t="shared" si="4"/>
        <v>0.73490587289957821</v>
      </c>
      <c r="H26" s="28">
        <f>1/(1+Summary!$O$3)^D26</f>
        <v>0.31006791028265024</v>
      </c>
      <c r="I26" s="28">
        <f>Summary!$J$3*'R2'!H26*'R2'!G26</f>
        <v>1859.6530133659248</v>
      </c>
      <c r="L26" s="28" t="e">
        <f>IF(Summary!$F$3="M",VLOOKUP(C:C,#REF!,IF(B26&gt;2033,22,MATCH(B26,#REF!,0)),FALSE),VLOOKUP(C:C,#REF!,IF(B26&gt;2033,22,MATCH(B26,#REF!,0)),FALSE))</f>
        <v>#REF!</v>
      </c>
      <c r="M26" s="28" t="e">
        <f t="shared" si="2"/>
        <v>#REF!</v>
      </c>
      <c r="N26" s="28" t="e">
        <f t="shared" si="5"/>
        <v>#REF!</v>
      </c>
      <c r="O26" s="28" t="e">
        <f>Summary!$J$3*'R2'!N26*'R2'!H26</f>
        <v>#REF!</v>
      </c>
    </row>
    <row r="27" spans="2:15" ht="24" customHeight="1">
      <c r="B27" s="28">
        <f t="shared" si="3"/>
        <v>2044</v>
      </c>
      <c r="C27" s="28">
        <f t="shared" si="0"/>
        <v>81</v>
      </c>
      <c r="D27" s="28">
        <v>25</v>
      </c>
      <c r="E27" s="28">
        <f>VLOOKUP(C:C, 'Total Data Set'!B:J, IF(Summary!$F$3="M", 4, 8), FALSE)</f>
        <v>3.8782999999999998E-2</v>
      </c>
      <c r="F27" s="28">
        <f t="shared" si="1"/>
        <v>0.96121699999999999</v>
      </c>
      <c r="G27" s="28">
        <f t="shared" si="4"/>
        <v>0.70929881266426531</v>
      </c>
      <c r="H27" s="28">
        <f>1/(1+Summary!$O$3)^D27</f>
        <v>0.29530277169776209</v>
      </c>
      <c r="I27" s="28">
        <f>Summary!$J$3*'R2'!H27*'R2'!G27</f>
        <v>1709.3859654935259</v>
      </c>
      <c r="L27" s="28" t="e">
        <f>IF(Summary!$F$3="M",VLOOKUP(C:C,#REF!,IF(B27&gt;2033,22,MATCH(B27,#REF!,0)),FALSE),VLOOKUP(C:C,#REF!,IF(B27&gt;2033,22,MATCH(B27,#REF!,0)),FALSE))</f>
        <v>#REF!</v>
      </c>
      <c r="M27" s="28" t="e">
        <f t="shared" si="2"/>
        <v>#REF!</v>
      </c>
      <c r="N27" s="28" t="e">
        <f t="shared" si="5"/>
        <v>#REF!</v>
      </c>
      <c r="O27" s="28" t="e">
        <f>Summary!$J$3*'R2'!N27*'R2'!H27</f>
        <v>#REF!</v>
      </c>
    </row>
    <row r="28" spans="2:15" ht="24" customHeight="1">
      <c r="B28" s="28">
        <f t="shared" si="3"/>
        <v>2045</v>
      </c>
      <c r="C28" s="28">
        <f t="shared" si="0"/>
        <v>82</v>
      </c>
      <c r="D28" s="28">
        <v>26</v>
      </c>
      <c r="E28" s="28">
        <f>VLOOKUP(C:C, 'Total Data Set'!B:J, IF(Summary!$F$3="M", 4, 8), FALSE)</f>
        <v>4.3246E-2</v>
      </c>
      <c r="F28" s="28">
        <f t="shared" si="1"/>
        <v>0.95675399999999999</v>
      </c>
      <c r="G28" s="28">
        <f t="shared" si="4"/>
        <v>0.68179007681270709</v>
      </c>
      <c r="H28" s="28">
        <f>1/(1+Summary!$O$3)^D28</f>
        <v>0.28124073495024959</v>
      </c>
      <c r="I28" s="28">
        <f>Summary!$J$3*'R2'!H28*'R2'!G28</f>
        <v>1564.8484281845624</v>
      </c>
      <c r="L28" s="28" t="e">
        <f>IF(Summary!$F$3="M",VLOOKUP(C:C,#REF!,IF(B28&gt;2033,22,MATCH(B28,#REF!,0)),FALSE),VLOOKUP(C:C,#REF!,IF(B28&gt;2033,22,MATCH(B28,#REF!,0)),FALSE))</f>
        <v>#REF!</v>
      </c>
      <c r="M28" s="28" t="e">
        <f t="shared" si="2"/>
        <v>#REF!</v>
      </c>
      <c r="N28" s="28" t="e">
        <f t="shared" si="5"/>
        <v>#REF!</v>
      </c>
      <c r="O28" s="28" t="e">
        <f>Summary!$J$3*'R2'!N28*'R2'!H28</f>
        <v>#REF!</v>
      </c>
    </row>
    <row r="29" spans="2:15" ht="24" customHeight="1">
      <c r="B29" s="28">
        <f t="shared" si="3"/>
        <v>2046</v>
      </c>
      <c r="C29" s="28">
        <f t="shared" si="0"/>
        <v>83</v>
      </c>
      <c r="D29" s="28">
        <v>27</v>
      </c>
      <c r="E29" s="28">
        <f>VLOOKUP(C:C, 'Total Data Set'!B:J, IF(Summary!$F$3="M", 4, 8), FALSE)</f>
        <v>4.8305000000000001E-2</v>
      </c>
      <c r="F29" s="28">
        <f t="shared" si="1"/>
        <v>0.95169499999999996</v>
      </c>
      <c r="G29" s="28">
        <f t="shared" si="4"/>
        <v>0.65230538315086473</v>
      </c>
      <c r="H29" s="28">
        <f>1/(1+Summary!$O$3)^D29</f>
        <v>0.2678483190002377</v>
      </c>
      <c r="I29" s="28">
        <f>Summary!$J$3*'R2'!H29*'R2'!G29</f>
        <v>1425.880945770755</v>
      </c>
      <c r="L29" s="28" t="e">
        <f>IF(Summary!$F$3="M",VLOOKUP(C:C,#REF!,IF(B29&gt;2033,22,MATCH(B29,#REF!,0)),FALSE),VLOOKUP(C:C,#REF!,IF(B29&gt;2033,22,MATCH(B29,#REF!,0)),FALSE))</f>
        <v>#REF!</v>
      </c>
      <c r="M29" s="28" t="e">
        <f t="shared" si="2"/>
        <v>#REF!</v>
      </c>
      <c r="N29" s="28" t="e">
        <f t="shared" si="5"/>
        <v>#REF!</v>
      </c>
      <c r="O29" s="28" t="e">
        <f>Summary!$J$3*'R2'!N29*'R2'!H29</f>
        <v>#REF!</v>
      </c>
    </row>
    <row r="30" spans="2:15" ht="24" customHeight="1">
      <c r="B30" s="28">
        <f t="shared" si="3"/>
        <v>2047</v>
      </c>
      <c r="C30" s="28">
        <f t="shared" si="0"/>
        <v>84</v>
      </c>
      <c r="D30" s="28">
        <v>28</v>
      </c>
      <c r="E30" s="28">
        <f>VLOOKUP(C:C, 'Total Data Set'!B:J, IF(Summary!$F$3="M", 4, 8), FALSE)</f>
        <v>5.4031999999999997E-2</v>
      </c>
      <c r="F30" s="28">
        <f t="shared" si="1"/>
        <v>0.94596800000000003</v>
      </c>
      <c r="G30" s="28">
        <f t="shared" si="4"/>
        <v>0.62079577161776223</v>
      </c>
      <c r="H30" s="28">
        <f>1/(1+Summary!$O$3)^D30</f>
        <v>0.25509363714308358</v>
      </c>
      <c r="I30" s="28">
        <f>Summary!$J$3*'R2'!H30*'R2'!G30</f>
        <v>1292.3845397002847</v>
      </c>
      <c r="L30" s="28" t="e">
        <f>IF(Summary!$F$3="M",VLOOKUP(C:C,#REF!,IF(B30&gt;2033,22,MATCH(B30,#REF!,0)),FALSE),VLOOKUP(C:C,#REF!,IF(B30&gt;2033,22,MATCH(B30,#REF!,0)),FALSE))</f>
        <v>#REF!</v>
      </c>
      <c r="M30" s="28" t="e">
        <f t="shared" si="2"/>
        <v>#REF!</v>
      </c>
      <c r="N30" s="28" t="e">
        <f t="shared" si="5"/>
        <v>#REF!</v>
      </c>
      <c r="O30" s="28" t="e">
        <f>Summary!$J$3*'R2'!N30*'R2'!H30</f>
        <v>#REF!</v>
      </c>
    </row>
    <row r="31" spans="2:15" ht="24" customHeight="1">
      <c r="B31" s="28">
        <f t="shared" si="3"/>
        <v>2048</v>
      </c>
      <c r="C31" s="28">
        <f t="shared" si="0"/>
        <v>85</v>
      </c>
      <c r="D31" s="28">
        <v>29</v>
      </c>
      <c r="E31" s="28">
        <f>VLOOKUP(C:C, 'Total Data Set'!B:J, IF(Summary!$F$3="M", 4, 8), FALSE)</f>
        <v>6.0504000000000002E-2</v>
      </c>
      <c r="F31" s="28">
        <f t="shared" si="1"/>
        <v>0.939496</v>
      </c>
      <c r="G31" s="28">
        <f t="shared" si="4"/>
        <v>0.58725293448571136</v>
      </c>
      <c r="H31" s="28">
        <f>1/(1+Summary!$O$3)^D31</f>
        <v>0.24294632108865097</v>
      </c>
      <c r="I31" s="28">
        <f>Summary!$J$3*'R2'!H31*'R2'!G31</f>
        <v>1164.3375411916179</v>
      </c>
      <c r="L31" s="28" t="e">
        <f>IF(Summary!$F$3="M",VLOOKUP(C:C,#REF!,IF(B31&gt;2033,22,MATCH(B31,#REF!,0)),FALSE),VLOOKUP(C:C,#REF!,IF(B31&gt;2033,22,MATCH(B31,#REF!,0)),FALSE))</f>
        <v>#REF!</v>
      </c>
      <c r="M31" s="28" t="e">
        <f t="shared" si="2"/>
        <v>#REF!</v>
      </c>
      <c r="N31" s="28" t="e">
        <f t="shared" si="5"/>
        <v>#REF!</v>
      </c>
      <c r="O31" s="28" t="e">
        <f>Summary!$J$3*'R2'!N31*'R2'!H31</f>
        <v>#REF!</v>
      </c>
    </row>
    <row r="32" spans="2:15" ht="24" customHeight="1">
      <c r="B32" s="28">
        <f>$B31+1</f>
        <v>2049</v>
      </c>
      <c r="C32" s="28">
        <f t="shared" si="0"/>
        <v>86</v>
      </c>
      <c r="D32" s="28">
        <v>30</v>
      </c>
      <c r="E32" s="28">
        <f>VLOOKUP(C:C, 'Total Data Set'!B:J, IF(Summary!$F$3="M", 4, 8), FALSE)</f>
        <v>6.7801E-2</v>
      </c>
      <c r="F32" s="28">
        <f t="shared" si="1"/>
        <v>0.932199</v>
      </c>
      <c r="G32" s="28">
        <f t="shared" si="4"/>
        <v>0.55172178293758789</v>
      </c>
      <c r="H32" s="28">
        <f>1/(1+Summary!$O$3)^D32</f>
        <v>0.23137744865585813</v>
      </c>
      <c r="I32" s="28">
        <f>Summary!$J$3*'R2'!H32*'R2'!G32</f>
        <v>1041.8004405708195</v>
      </c>
      <c r="L32" s="28" t="e">
        <f>IF(Summary!$F$3="M",VLOOKUP(C:C,#REF!,IF(B32&gt;2033,22,MATCH(B32,#REF!,0)),FALSE),VLOOKUP(C:C,#REF!,IF(B32&gt;2033,22,MATCH(B32,#REF!,0)),FALSE))</f>
        <v>#REF!</v>
      </c>
      <c r="M32" s="28" t="e">
        <f t="shared" si="2"/>
        <v>#REF!</v>
      </c>
      <c r="N32" s="28" t="e">
        <f t="shared" si="5"/>
        <v>#REF!</v>
      </c>
      <c r="O32" s="28" t="e">
        <f>Summary!$J$3*'R2'!N32*'R2'!H32</f>
        <v>#REF!</v>
      </c>
    </row>
    <row r="33" spans="2:15" ht="24" customHeight="1">
      <c r="B33" s="28">
        <f t="shared" si="3"/>
        <v>2050</v>
      </c>
      <c r="C33" s="28">
        <f t="shared" si="0"/>
        <v>87</v>
      </c>
      <c r="D33" s="28">
        <v>31</v>
      </c>
      <c r="E33" s="28">
        <f>VLOOKUP(C:C, 'Total Data Set'!B:J, IF(Summary!$F$3="M", 4, 8), FALSE)</f>
        <v>7.6011999999999996E-2</v>
      </c>
      <c r="F33" s="28">
        <f t="shared" si="1"/>
        <v>0.92398800000000003</v>
      </c>
      <c r="G33" s="28">
        <f t="shared" si="4"/>
        <v>0.51431449433263654</v>
      </c>
      <c r="H33" s="28">
        <f>1/(1+Summary!$O$3)^D33</f>
        <v>0.220359474910341</v>
      </c>
      <c r="I33" s="28">
        <f>Summary!$J$3*'R2'!H33*'R2'!G33</f>
        <v>924.9193608568354</v>
      </c>
      <c r="L33" s="28" t="e">
        <f>IF(Summary!$F$3="M",VLOOKUP(C:C,#REF!,IF(B33&gt;2033,22,MATCH(B33,#REF!,0)),FALSE),VLOOKUP(C:C,#REF!,IF(B33&gt;2033,22,MATCH(B33,#REF!,0)),FALSE))</f>
        <v>#REF!</v>
      </c>
      <c r="M33" s="28" t="e">
        <f t="shared" si="2"/>
        <v>#REF!</v>
      </c>
      <c r="N33" s="28" t="e">
        <f t="shared" si="5"/>
        <v>#REF!</v>
      </c>
      <c r="O33" s="28" t="e">
        <f>Summary!$J$3*'R2'!N33*'R2'!H33</f>
        <v>#REF!</v>
      </c>
    </row>
    <row r="34" spans="2:15" ht="24" customHeight="1">
      <c r="B34" s="28">
        <f t="shared" si="3"/>
        <v>2051</v>
      </c>
      <c r="C34" s="28">
        <f t="shared" si="0"/>
        <v>88</v>
      </c>
      <c r="D34" s="28">
        <v>32</v>
      </c>
      <c r="E34" s="28">
        <f>VLOOKUP(C:C, 'Total Data Set'!B:J, IF(Summary!$F$3="M", 4, 8), FALSE)</f>
        <v>8.523E-2</v>
      </c>
      <c r="F34" s="28">
        <f t="shared" si="1"/>
        <v>0.91476999999999997</v>
      </c>
      <c r="G34" s="28">
        <f t="shared" si="4"/>
        <v>0.47522042098942419</v>
      </c>
      <c r="H34" s="28">
        <f>1/(1+Summary!$O$3)^D34</f>
        <v>0.20986616658127716</v>
      </c>
      <c r="I34" s="28">
        <f>Summary!$J$3*'R2'!H34*'R2'!G34</f>
        <v>813.91846704703403</v>
      </c>
      <c r="L34" s="28" t="e">
        <f>IF(Summary!$F$3="M",VLOOKUP(C:C,#REF!,IF(B34&gt;2033,22,MATCH(B34,#REF!,0)),FALSE),VLOOKUP(C:C,#REF!,IF(B34&gt;2033,22,MATCH(B34,#REF!,0)),FALSE))</f>
        <v>#REF!</v>
      </c>
      <c r="M34" s="28" t="e">
        <f t="shared" si="2"/>
        <v>#REF!</v>
      </c>
      <c r="N34" s="28" t="e">
        <f t="shared" si="5"/>
        <v>#REF!</v>
      </c>
      <c r="O34" s="28" t="e">
        <f>Summary!$J$3*'R2'!N34*'R2'!H34</f>
        <v>#REF!</v>
      </c>
    </row>
    <row r="35" spans="2:15" ht="24" customHeight="1">
      <c r="B35" s="28">
        <f t="shared" si="3"/>
        <v>2052</v>
      </c>
      <c r="C35" s="28">
        <f t="shared" si="0"/>
        <v>89</v>
      </c>
      <c r="D35" s="28">
        <v>33</v>
      </c>
      <c r="E35" s="28">
        <f>VLOOKUP(C:C, 'Total Data Set'!B:J, IF(Summary!$F$3="M", 4, 8), FALSE)</f>
        <v>9.5562999999999995E-2</v>
      </c>
      <c r="F35" s="28">
        <f t="shared" si="1"/>
        <v>0.90443700000000005</v>
      </c>
      <c r="G35" s="28">
        <f t="shared" si="4"/>
        <v>0.43471738450849556</v>
      </c>
      <c r="H35" s="28">
        <f>1/(1+Summary!$O$3)^D35</f>
        <v>0.19987253960121634</v>
      </c>
      <c r="I35" s="28">
        <f>Summary!$J$3*'R2'!H35*'R2'!G35</f>
        <v>709.09352009582415</v>
      </c>
      <c r="L35" s="28" t="e">
        <f>IF(Summary!$F$3="M",VLOOKUP(C:C,#REF!,IF(B35&gt;2033,22,MATCH(B35,#REF!,0)),FALSE),VLOOKUP(C:C,#REF!,IF(B35&gt;2033,22,MATCH(B35,#REF!,0)),FALSE))</f>
        <v>#REF!</v>
      </c>
      <c r="M35" s="28" t="e">
        <f t="shared" si="2"/>
        <v>#REF!</v>
      </c>
      <c r="N35" s="28" t="e">
        <f t="shared" si="5"/>
        <v>#REF!</v>
      </c>
      <c r="O35" s="28" t="e">
        <f>Summary!$J$3*'R2'!N35*'R2'!H35</f>
        <v>#REF!</v>
      </c>
    </row>
    <row r="36" spans="2:15" ht="24" customHeight="1">
      <c r="B36" s="28">
        <f t="shared" si="3"/>
        <v>2053</v>
      </c>
      <c r="C36" s="28">
        <f t="shared" si="0"/>
        <v>90</v>
      </c>
      <c r="D36" s="28">
        <v>34</v>
      </c>
      <c r="E36" s="28">
        <f>VLOOKUP(C:C, 'Total Data Set'!B:J, IF(Summary!$F$3="M", 4, 8), FALSE)</f>
        <v>0.107126</v>
      </c>
      <c r="F36" s="28">
        <f t="shared" si="1"/>
        <v>0.89287399999999995</v>
      </c>
      <c r="G36" s="28">
        <f t="shared" ref="G36:G66" si="6">G35*F35</f>
        <v>0.39317448709271025</v>
      </c>
      <c r="H36" s="28">
        <f>1/(1+Summary!$O$3)^D36</f>
        <v>0.19035479962020604</v>
      </c>
      <c r="I36" s="28">
        <f>Summary!$J$3*'R2'!H36*'R2'!G36</f>
        <v>610.79087241419711</v>
      </c>
      <c r="L36" s="28" t="e">
        <f>IF(Summary!$F$3="M",VLOOKUP(C:C,#REF!,IF(B36&gt;2033,22,MATCH(B36,#REF!,0)),FALSE),VLOOKUP(C:C,#REF!,IF(B36&gt;2033,22,MATCH(B36,#REF!,0)),FALSE))</f>
        <v>#REF!</v>
      </c>
      <c r="M36" s="28" t="e">
        <f t="shared" si="2"/>
        <v>#REF!</v>
      </c>
      <c r="N36" s="28" t="e">
        <f t="shared" si="5"/>
        <v>#REF!</v>
      </c>
      <c r="O36" s="28" t="e">
        <f>Summary!$J$3*'R2'!N36*'R2'!H36</f>
        <v>#REF!</v>
      </c>
    </row>
    <row r="37" spans="2:15" ht="24" customHeight="1">
      <c r="B37" s="28">
        <f t="shared" si="3"/>
        <v>2054</v>
      </c>
      <c r="C37" s="28">
        <f t="shared" si="0"/>
        <v>91</v>
      </c>
      <c r="D37" s="28">
        <v>35</v>
      </c>
      <c r="E37" s="28">
        <f>VLOOKUP(C:C, 'Total Data Set'!B:J, IF(Summary!$F$3="M", 4, 8), FALSE)</f>
        <v>0.119744</v>
      </c>
      <c r="F37" s="28">
        <f t="shared" si="1"/>
        <v>0.88025600000000004</v>
      </c>
      <c r="G37" s="28">
        <f t="shared" si="6"/>
        <v>0.35105527698841654</v>
      </c>
      <c r="H37" s="28">
        <f>1/(1+Summary!$O$3)^D37</f>
        <v>0.18129028535257716</v>
      </c>
      <c r="I37" s="28">
        <f>Summary!$J$3*'R2'!H37*'R2'!G37</f>
        <v>519.38979944376547</v>
      </c>
      <c r="L37" s="28" t="e">
        <f>IF(Summary!$F$3="M",VLOOKUP(C:C,#REF!,IF(B37&gt;2033,22,MATCH(B37,#REF!,0)),FALSE),VLOOKUP(C:C,#REF!,IF(B37&gt;2033,22,MATCH(B37,#REF!,0)),FALSE))</f>
        <v>#REF!</v>
      </c>
      <c r="M37" s="28" t="e">
        <f t="shared" si="2"/>
        <v>#REF!</v>
      </c>
      <c r="N37" s="28" t="e">
        <f t="shared" si="5"/>
        <v>#REF!</v>
      </c>
      <c r="O37" s="28" t="e">
        <f>Summary!$J$3*'R2'!N37*'R2'!H37</f>
        <v>#REF!</v>
      </c>
    </row>
    <row r="38" spans="2:15" ht="24" customHeight="1">
      <c r="B38" s="28">
        <f t="shared" si="3"/>
        <v>2055</v>
      </c>
      <c r="C38" s="28">
        <f>$A$4+D38</f>
        <v>92</v>
      </c>
      <c r="D38" s="28">
        <v>36</v>
      </c>
      <c r="E38" s="28">
        <f>VLOOKUP(C:C, 'Total Data Set'!B:J, IF(Summary!$F$3="M", 4, 8), FALSE)</f>
        <v>0.133299</v>
      </c>
      <c r="F38" s="28">
        <f t="shared" si="1"/>
        <v>0.86670099999999994</v>
      </c>
      <c r="G38" s="28">
        <f t="shared" si="6"/>
        <v>0.30901851390071561</v>
      </c>
      <c r="H38" s="28">
        <f>1/(1+Summary!$O$3)^D38</f>
        <v>0.17265741462150208</v>
      </c>
      <c r="I38" s="28">
        <f>Summary!$J$3*'R2'!H38*'R2'!G38</f>
        <v>435.42474980873459</v>
      </c>
      <c r="L38" s="28" t="e">
        <f>IF(Summary!$F$3="M",VLOOKUP(C:C,#REF!,IF(B38&gt;2033,22,MATCH(B38,#REF!,0)),FALSE),VLOOKUP(C:C,#REF!,IF(B38&gt;2033,22,MATCH(B38,#REF!,0)),FALSE))</f>
        <v>#REF!</v>
      </c>
      <c r="M38" s="28" t="e">
        <f t="shared" si="2"/>
        <v>#REF!</v>
      </c>
      <c r="N38" s="28" t="e">
        <f t="shared" si="5"/>
        <v>#REF!</v>
      </c>
      <c r="O38" s="28" t="e">
        <f>Summary!$J$3*'R2'!N38*'R2'!H38</f>
        <v>#REF!</v>
      </c>
    </row>
    <row r="39" spans="2:15" ht="24" customHeight="1">
      <c r="B39" s="28">
        <f t="shared" si="3"/>
        <v>2056</v>
      </c>
      <c r="C39" s="28">
        <f t="shared" si="0"/>
        <v>93</v>
      </c>
      <c r="D39" s="28">
        <v>37</v>
      </c>
      <c r="E39" s="28">
        <f>VLOOKUP(C:C, 'Total Data Set'!B:J, IF(Summary!$F$3="M", 4, 8), FALSE)</f>
        <v>0.14771999999999999</v>
      </c>
      <c r="F39" s="28">
        <f t="shared" si="1"/>
        <v>0.85228000000000004</v>
      </c>
      <c r="G39" s="28">
        <f t="shared" si="6"/>
        <v>0.26782665501626413</v>
      </c>
      <c r="H39" s="28">
        <f>1/(1+Summary!$O$3)^D39</f>
        <v>0.1644356329728591</v>
      </c>
      <c r="I39" s="28">
        <f>Summary!$J$3*'R2'!H39*'R2'!G39</f>
        <v>359.41244388950474</v>
      </c>
      <c r="L39" s="28" t="e">
        <f>IF(Summary!$F$3="M",VLOOKUP(C:C,#REF!,IF(B39&gt;2033,22,MATCH(B39,#REF!,0)),FALSE),VLOOKUP(C:C,#REF!,IF(B39&gt;2033,22,MATCH(B39,#REF!,0)),FALSE))</f>
        <v>#REF!</v>
      </c>
      <c r="M39" s="28" t="e">
        <f t="shared" si="2"/>
        <v>#REF!</v>
      </c>
      <c r="N39" s="28" t="e">
        <f t="shared" si="5"/>
        <v>#REF!</v>
      </c>
      <c r="O39" s="28" t="e">
        <f>Summary!$J$3*'R2'!N39*'R2'!H39</f>
        <v>#REF!</v>
      </c>
    </row>
    <row r="40" spans="2:15" ht="24" customHeight="1">
      <c r="B40" s="28">
        <f t="shared" si="3"/>
        <v>2057</v>
      </c>
      <c r="C40" s="28">
        <f t="shared" si="0"/>
        <v>94</v>
      </c>
      <c r="D40" s="28">
        <v>38</v>
      </c>
      <c r="E40" s="28">
        <f>VLOOKUP(C:C, 'Total Data Set'!B:J, IF(Summary!$F$3="M", 4, 8), FALSE)</f>
        <v>0.162971</v>
      </c>
      <c r="F40" s="28">
        <f t="shared" si="1"/>
        <v>0.83702900000000002</v>
      </c>
      <c r="G40" s="28">
        <f t="shared" si="6"/>
        <v>0.2282633015372616</v>
      </c>
      <c r="H40" s="28">
        <f>1/(1+Summary!$O$3)^D40</f>
        <v>0.15660536473605632</v>
      </c>
      <c r="I40" s="28">
        <f>Summary!$J$3*'R2'!H40*'R2'!G40</f>
        <v>291.73336921728304</v>
      </c>
      <c r="L40" s="28" t="e">
        <f>IF(Summary!$F$3="M",VLOOKUP(C:C,#REF!,IF(B40&gt;2033,22,MATCH(B40,#REF!,0)),FALSE),VLOOKUP(C:C,#REF!,IF(B40&gt;2033,22,MATCH(B40,#REF!,0)),FALSE))</f>
        <v>#REF!</v>
      </c>
      <c r="M40" s="28" t="e">
        <f t="shared" si="2"/>
        <v>#REF!</v>
      </c>
      <c r="N40" s="28" t="e">
        <f t="shared" si="5"/>
        <v>#REF!</v>
      </c>
      <c r="O40" s="28" t="e">
        <f>Summary!$J$3*'R2'!N40*'R2'!H40</f>
        <v>#REF!</v>
      </c>
    </row>
    <row r="41" spans="2:15" ht="24" customHeight="1">
      <c r="B41" s="28">
        <f t="shared" si="3"/>
        <v>2058</v>
      </c>
      <c r="C41" s="28">
        <f t="shared" si="0"/>
        <v>95</v>
      </c>
      <c r="D41" s="28">
        <v>39</v>
      </c>
      <c r="E41" s="28">
        <f>VLOOKUP(C:C, 'Total Data Set'!B:J, IF(Summary!$F$3="M", 4, 8), FALSE)</f>
        <v>0.179034</v>
      </c>
      <c r="F41" s="28">
        <f t="shared" si="1"/>
        <v>0.82096599999999997</v>
      </c>
      <c r="G41" s="28">
        <f t="shared" si="6"/>
        <v>0.19106300302243254</v>
      </c>
      <c r="H41" s="28">
        <f>1/(1+Summary!$O$3)^D41</f>
        <v>0.14914796641529171</v>
      </c>
      <c r="I41" s="28">
        <f>Summary!$J$3*'R2'!H41*'R2'!G41</f>
        <v>232.56122885959348</v>
      </c>
      <c r="L41" s="28" t="e">
        <f>IF(Summary!$F$3="M",VLOOKUP(C:C,#REF!,IF(B41&gt;2033,22,MATCH(B41,#REF!,0)),FALSE),VLOOKUP(C:C,#REF!,IF(B41&gt;2033,22,MATCH(B41,#REF!,0)),FALSE))</f>
        <v>#REF!</v>
      </c>
      <c r="M41" s="28" t="e">
        <f t="shared" si="2"/>
        <v>#REF!</v>
      </c>
      <c r="N41" s="28" t="e">
        <f t="shared" si="5"/>
        <v>#REF!</v>
      </c>
      <c r="O41" s="28" t="e">
        <f>Summary!$J$3*'R2'!N41*'R2'!H41</f>
        <v>#REF!</v>
      </c>
    </row>
    <row r="42" spans="2:15" ht="24" customHeight="1">
      <c r="B42" s="28">
        <f t="shared" si="3"/>
        <v>2059</v>
      </c>
      <c r="C42" s="28">
        <f t="shared" si="0"/>
        <v>96</v>
      </c>
      <c r="D42" s="28">
        <v>40</v>
      </c>
      <c r="E42" s="28">
        <f>VLOOKUP(C:C, 'Total Data Set'!B:J, IF(Summary!$F$3="M", 4, 8), FALSE)</f>
        <v>0.19590299999999999</v>
      </c>
      <c r="F42" s="28">
        <f t="shared" si="1"/>
        <v>0.80409700000000006</v>
      </c>
      <c r="G42" s="28">
        <f t="shared" si="6"/>
        <v>0.15685622933931434</v>
      </c>
      <c r="H42" s="28">
        <f>1/(1+Summary!$O$3)^D42</f>
        <v>0.14204568230027784</v>
      </c>
      <c r="I42" s="28">
        <f>Summary!$J$3*'R2'!H42*'R2'!G42</f>
        <v>181.83320172566195</v>
      </c>
      <c r="L42" s="28" t="e">
        <f>IF(Summary!$F$3="M",VLOOKUP(C:C,#REF!,IF(B42&gt;2033,22,MATCH(B42,#REF!,0)),FALSE),VLOOKUP(C:C,#REF!,IF(B42&gt;2033,22,MATCH(B42,#REF!,0)),FALSE))</f>
        <v>#REF!</v>
      </c>
      <c r="M42" s="28" t="e">
        <f t="shared" si="2"/>
        <v>#REF!</v>
      </c>
      <c r="N42" s="28" t="e">
        <f t="shared" si="5"/>
        <v>#REF!</v>
      </c>
      <c r="O42" s="28" t="e">
        <f>Summary!$J$3*'R2'!N42*'R2'!H42</f>
        <v>#REF!</v>
      </c>
    </row>
    <row r="43" spans="2:15" ht="24" customHeight="1">
      <c r="B43" s="28">
        <f>$B42+1</f>
        <v>2060</v>
      </c>
      <c r="C43" s="28">
        <f t="shared" si="0"/>
        <v>97</v>
      </c>
      <c r="D43" s="28">
        <v>41</v>
      </c>
      <c r="E43" s="28">
        <f>VLOOKUP(C:C, 'Total Data Set'!B:J, IF(Summary!$F$3="M", 4, 8), FALSE)</f>
        <v>0.213565</v>
      </c>
      <c r="F43" s="28">
        <f t="shared" si="1"/>
        <v>0.786435</v>
      </c>
      <c r="G43" s="28">
        <f t="shared" si="6"/>
        <v>0.12612762344305464</v>
      </c>
      <c r="H43" s="28">
        <f>1/(1+Summary!$O$3)^D43</f>
        <v>0.13528160219074079</v>
      </c>
      <c r="I43" s="28">
        <f>Summary!$J$3*'R2'!H43*'R2'!G43</f>
        <v>139.24907810285674</v>
      </c>
      <c r="L43" s="28" t="e">
        <f>IF(Summary!$F$3="M",VLOOKUP(C:C,#REF!,IF(B43&gt;2033,22,MATCH(B43,#REF!,0)),FALSE),VLOOKUP(C:C,#REF!,IF(B43&gt;2033,22,MATCH(B43,#REF!,0)),FALSE))</f>
        <v>#REF!</v>
      </c>
      <c r="M43" s="28" t="e">
        <f t="shared" si="2"/>
        <v>#REF!</v>
      </c>
      <c r="N43" s="28" t="e">
        <f t="shared" si="5"/>
        <v>#REF!</v>
      </c>
      <c r="O43" s="28" t="e">
        <f>Summary!$J$3*'R2'!N43*'R2'!H43</f>
        <v>#REF!</v>
      </c>
    </row>
    <row r="44" spans="2:15" ht="24" customHeight="1">
      <c r="B44" s="28">
        <f t="shared" si="3"/>
        <v>2061</v>
      </c>
      <c r="C44" s="28">
        <f t="shared" si="0"/>
        <v>98</v>
      </c>
      <c r="D44" s="28">
        <v>42</v>
      </c>
      <c r="E44" s="28">
        <f>VLOOKUP(C:C, 'Total Data Set'!B:J, IF(Summary!$F$3="M", 4, 8), FALSE)</f>
        <v>0.231991</v>
      </c>
      <c r="F44" s="28">
        <f t="shared" si="1"/>
        <v>0.76800899999999994</v>
      </c>
      <c r="G44" s="28">
        <f t="shared" si="6"/>
        <v>9.9191177542438683E-2</v>
      </c>
      <c r="H44" s="28">
        <f>1/(1+Summary!$O$3)^D44</f>
        <v>0.12883962113403885</v>
      </c>
      <c r="I44" s="28">
        <f>Summary!$J$3*'R2'!H44*'R2'!G44</f>
        <v>104.29557022649539</v>
      </c>
      <c r="L44" s="28" t="e">
        <f>IF(Summary!$F$3="M",VLOOKUP(C:C,#REF!,IF(B44&gt;2033,22,MATCH(B44,#REF!,0)),FALSE),VLOOKUP(C:C,#REF!,IF(B44&gt;2033,22,MATCH(B44,#REF!,0)),FALSE))</f>
        <v>#REF!</v>
      </c>
      <c r="M44" s="28" t="e">
        <f t="shared" si="2"/>
        <v>#REF!</v>
      </c>
      <c r="N44" s="28" t="e">
        <f t="shared" si="5"/>
        <v>#REF!</v>
      </c>
      <c r="O44" s="28" t="e">
        <f>Summary!$J$3*'R2'!N44*'R2'!H44</f>
        <v>#REF!</v>
      </c>
    </row>
    <row r="45" spans="2:15" ht="24" customHeight="1">
      <c r="B45" s="28">
        <f t="shared" si="3"/>
        <v>2062</v>
      </c>
      <c r="C45" s="28">
        <f t="shared" si="0"/>
        <v>99</v>
      </c>
      <c r="D45" s="28">
        <v>43</v>
      </c>
      <c r="E45" s="28">
        <f>VLOOKUP(C:C, 'Total Data Set'!B:J, IF(Summary!$F$3="M", 4, 8), FALSE)</f>
        <v>0.25112299999999999</v>
      </c>
      <c r="F45" s="28">
        <f t="shared" si="1"/>
        <v>0.74887700000000001</v>
      </c>
      <c r="G45" s="28">
        <f t="shared" si="6"/>
        <v>7.6179717073190781E-2</v>
      </c>
      <c r="H45" s="28">
        <f>1/(1+Summary!$O$3)^D45</f>
        <v>0.12270440108003698</v>
      </c>
      <c r="I45" s="28">
        <f>Summary!$J$3*'R2'!H45*'R2'!G45</f>
        <v>76.285653899124256</v>
      </c>
      <c r="L45" s="28" t="e">
        <f>IF(Summary!$F$3="M",VLOOKUP(C:C,#REF!,IF(B45&gt;2033,22,MATCH(B45,#REF!,0)),FALSE),VLOOKUP(C:C,#REF!,IF(B45&gt;2033,22,MATCH(B45,#REF!,0)),FALSE))</f>
        <v>#REF!</v>
      </c>
      <c r="M45" s="28" t="e">
        <f t="shared" si="2"/>
        <v>#REF!</v>
      </c>
      <c r="N45" s="28" t="e">
        <f t="shared" si="5"/>
        <v>#REF!</v>
      </c>
      <c r="O45" s="28" t="e">
        <f>Summary!$J$3*'R2'!N45*'R2'!H45</f>
        <v>#REF!</v>
      </c>
    </row>
    <row r="46" spans="2:15" ht="24" customHeight="1">
      <c r="B46" s="28">
        <f t="shared" si="3"/>
        <v>2063</v>
      </c>
      <c r="C46" s="28">
        <f t="shared" si="0"/>
        <v>100</v>
      </c>
      <c r="D46" s="28">
        <v>44</v>
      </c>
      <c r="E46" s="28">
        <f>VLOOKUP(C:C, 'Total Data Set'!B:J, IF(Summary!$F$3="M", 4, 8), FALSE)</f>
        <v>0.27085799999999999</v>
      </c>
      <c r="F46" s="28">
        <f t="shared" si="1"/>
        <v>0.72914199999999996</v>
      </c>
      <c r="G46" s="28">
        <f t="shared" si="6"/>
        <v>5.7049237982619891E-2</v>
      </c>
      <c r="H46" s="28">
        <f>1/(1+Summary!$O$3)^D46</f>
        <v>0.11686133436193999</v>
      </c>
      <c r="I46" s="28">
        <f>Summary!$J$3*'R2'!H46*'R2'!G46</f>
        <v>54.408163461918555</v>
      </c>
      <c r="L46" s="28" t="e">
        <f>IF(Summary!$F$3="M",VLOOKUP(C:C,#REF!,IF(B46&gt;2033,22,MATCH(B46,#REF!,0)),FALSE),VLOOKUP(C:C,#REF!,IF(B46&gt;2033,22,MATCH(B46,#REF!,0)),FALSE))</f>
        <v>#REF!</v>
      </c>
      <c r="M46" s="28" t="e">
        <f t="shared" si="2"/>
        <v>#REF!</v>
      </c>
      <c r="N46" s="28" t="e">
        <f t="shared" si="5"/>
        <v>#REF!</v>
      </c>
      <c r="O46" s="28" t="e">
        <f>Summary!$J$3*'R2'!N46*'R2'!H46</f>
        <v>#REF!</v>
      </c>
    </row>
    <row r="47" spans="2:15" ht="24" customHeight="1">
      <c r="B47" s="28">
        <f t="shared" si="3"/>
        <v>2064</v>
      </c>
      <c r="C47" s="28">
        <f t="shared" si="0"/>
        <v>101</v>
      </c>
      <c r="D47" s="28">
        <v>45</v>
      </c>
      <c r="E47" s="28">
        <f>VLOOKUP(C:C, 'Total Data Set'!B:J, IF(Summary!$F$3="M", 4, 8), FALSE)</f>
        <v>0.29104000000000002</v>
      </c>
      <c r="F47" s="28">
        <f t="shared" si="1"/>
        <v>0.70896000000000003</v>
      </c>
      <c r="G47" s="28">
        <f t="shared" si="6"/>
        <v>4.159699548112343E-2</v>
      </c>
      <c r="H47" s="28">
        <f>1/(1+Summary!$O$3)^D47</f>
        <v>0.1112965089161333</v>
      </c>
      <c r="I47" s="28">
        <f>Summary!$J$3*'R2'!H47*'R2'!G47</f>
        <v>37.782168688524003</v>
      </c>
      <c r="L47" s="28" t="e">
        <f>IF(Summary!$F$3="M",VLOOKUP(C:C,#REF!,IF(B47&gt;2033,22,MATCH(B47,#REF!,0)),FALSE),VLOOKUP(C:C,#REF!,IF(B47&gt;2033,22,MATCH(B47,#REF!,0)),FALSE))</f>
        <v>#REF!</v>
      </c>
      <c r="M47" s="28" t="e">
        <f t="shared" si="2"/>
        <v>#REF!</v>
      </c>
      <c r="N47" s="28" t="e">
        <f t="shared" si="5"/>
        <v>#REF!</v>
      </c>
      <c r="O47" s="28" t="e">
        <f>Summary!$J$3*'R2'!N47*'R2'!H47</f>
        <v>#REF!</v>
      </c>
    </row>
    <row r="48" spans="2:15" ht="24" customHeight="1">
      <c r="B48" s="28">
        <f t="shared" si="3"/>
        <v>2065</v>
      </c>
      <c r="C48" s="28">
        <f t="shared" si="0"/>
        <v>102</v>
      </c>
      <c r="D48" s="28">
        <v>46</v>
      </c>
      <c r="E48" s="28">
        <f>VLOOKUP(C:C, 'Total Data Set'!B:J, IF(Summary!$F$3="M", 4, 8), FALSE)</f>
        <v>0.311444</v>
      </c>
      <c r="F48" s="28">
        <f t="shared" si="1"/>
        <v>0.68855599999999995</v>
      </c>
      <c r="G48" s="28">
        <f t="shared" si="6"/>
        <v>2.949060591629727E-2</v>
      </c>
      <c r="H48" s="28">
        <f>1/(1+Summary!$O$3)^D48</f>
        <v>0.10599667515822221</v>
      </c>
      <c r="I48" s="28">
        <f>Summary!$J$3*'R2'!H48*'R2'!G48</f>
        <v>25.510520298491418</v>
      </c>
      <c r="L48" s="28" t="e">
        <f>IF(Summary!$F$3="M",VLOOKUP(C:C,#REF!,IF(B48&gt;2033,22,MATCH(B48,#REF!,0)),FALSE),VLOOKUP(C:C,#REF!,IF(B48&gt;2033,22,MATCH(B48,#REF!,0)),FALSE))</f>
        <v>#REF!</v>
      </c>
      <c r="M48" s="28" t="e">
        <f t="shared" si="2"/>
        <v>#REF!</v>
      </c>
      <c r="N48" s="28" t="e">
        <f t="shared" si="5"/>
        <v>#REF!</v>
      </c>
      <c r="O48" s="28" t="e">
        <f>Summary!$J$3*'R2'!N48*'R2'!H48</f>
        <v>#REF!</v>
      </c>
    </row>
    <row r="49" spans="2:15" ht="24" customHeight="1">
      <c r="B49" s="28">
        <f t="shared" si="3"/>
        <v>2066</v>
      </c>
      <c r="C49" s="28">
        <f t="shared" si="0"/>
        <v>103</v>
      </c>
      <c r="D49" s="28">
        <v>47</v>
      </c>
      <c r="E49" s="28">
        <f>VLOOKUP(C:C, 'Total Data Set'!B:J, IF(Summary!$F$3="M", 4, 8), FALSE)</f>
        <v>0.33189999999999997</v>
      </c>
      <c r="F49" s="28">
        <f t="shared" si="1"/>
        <v>0.66810000000000003</v>
      </c>
      <c r="G49" s="28">
        <f t="shared" si="6"/>
        <v>2.0305933647301981E-2</v>
      </c>
      <c r="H49" s="28">
        <f>1/(1+Summary!$O$3)^D49</f>
        <v>0.10094921443640208</v>
      </c>
      <c r="I49" s="28">
        <f>Summary!$J$3*'R2'!H49*'R2'!G49</f>
        <v>16.728973156807665</v>
      </c>
      <c r="L49" s="28" t="e">
        <f>IF(Summary!$F$3="M",VLOOKUP(C:C,#REF!,IF(B49&gt;2033,22,MATCH(B49,#REF!,0)),FALSE),VLOOKUP(C:C,#REF!,IF(B49&gt;2033,22,MATCH(B49,#REF!,0)),FALSE))</f>
        <v>#REF!</v>
      </c>
      <c r="M49" s="28" t="e">
        <f t="shared" si="2"/>
        <v>#REF!</v>
      </c>
      <c r="N49" s="28" t="e">
        <f t="shared" si="5"/>
        <v>#REF!</v>
      </c>
      <c r="O49" s="28" t="e">
        <f>Summary!$J$3*'R2'!N49*'R2'!H49</f>
        <v>#REF!</v>
      </c>
    </row>
    <row r="50" spans="2:15" ht="24" customHeight="1">
      <c r="B50" s="28">
        <f t="shared" si="3"/>
        <v>2067</v>
      </c>
      <c r="C50" s="28">
        <f t="shared" si="0"/>
        <v>104</v>
      </c>
      <c r="D50" s="28">
        <v>48</v>
      </c>
      <c r="E50" s="28">
        <f>VLOOKUP(C:C, 'Total Data Set'!B:J, IF(Summary!$F$3="M", 4, 8), FALSE)</f>
        <v>0.35223199999999999</v>
      </c>
      <c r="F50" s="28">
        <f t="shared" si="1"/>
        <v>0.64776800000000001</v>
      </c>
      <c r="G50" s="28">
        <f t="shared" si="6"/>
        <v>1.3566394269762454E-2</v>
      </c>
      <c r="H50" s="28">
        <f>1/(1+Summary!$O$3)^D50</f>
        <v>9.6142108987049613E-2</v>
      </c>
      <c r="I50" s="28">
        <f>Summary!$J$3*'R2'!H50*'R2'!G50</f>
        <v>10.644406634345909</v>
      </c>
      <c r="L50" s="28" t="e">
        <f>IF(Summary!$F$3="M",VLOOKUP(C:C,#REF!,IF(B50&gt;2033,22,MATCH(B50,#REF!,0)),FALSE),VLOOKUP(C:C,#REF!,IF(B50&gt;2033,22,MATCH(B50,#REF!,0)),FALSE))</f>
        <v>#REF!</v>
      </c>
      <c r="M50" s="28" t="e">
        <f t="shared" si="2"/>
        <v>#REF!</v>
      </c>
      <c r="N50" s="28" t="e">
        <f t="shared" si="5"/>
        <v>#REF!</v>
      </c>
      <c r="O50" s="28" t="e">
        <f>Summary!$J$3*'R2'!N50*'R2'!H50</f>
        <v>#REF!</v>
      </c>
    </row>
    <row r="51" spans="2:15" ht="24" customHeight="1">
      <c r="B51" s="28">
        <f t="shared" si="3"/>
        <v>2068</v>
      </c>
      <c r="C51" s="28">
        <f t="shared" si="0"/>
        <v>105</v>
      </c>
      <c r="D51" s="28">
        <v>49</v>
      </c>
      <c r="E51" s="28">
        <f>VLOOKUP(C:C, 'Total Data Set'!B:J, IF(Summary!$F$3="M", 4, 8), FALSE)</f>
        <v>0.37227300000000002</v>
      </c>
      <c r="F51" s="28">
        <f t="shared" si="1"/>
        <v>0.62772699999999992</v>
      </c>
      <c r="G51" s="28">
        <f t="shared" si="6"/>
        <v>8.7878760833354861E-3</v>
      </c>
      <c r="H51" s="28">
        <f>1/(1+Summary!$O$3)^D51</f>
        <v>9.1563913320999626E-2</v>
      </c>
      <c r="I51" s="28">
        <f>Summary!$J$3*'R2'!H51*'R2'!G51</f>
        <v>6.5667676159209343</v>
      </c>
      <c r="L51" s="28" t="e">
        <f>IF(Summary!$F$3="M",VLOOKUP(C:C,#REF!,IF(B51&gt;2033,22,MATCH(B51,#REF!,0)),FALSE),VLOOKUP(C:C,#REF!,IF(B51&gt;2033,22,MATCH(B51,#REF!,0)),FALSE))</f>
        <v>#REF!</v>
      </c>
      <c r="M51" s="28" t="e">
        <f t="shared" si="2"/>
        <v>#REF!</v>
      </c>
      <c r="N51" s="28" t="e">
        <f t="shared" si="5"/>
        <v>#REF!</v>
      </c>
      <c r="O51" s="28" t="e">
        <f>Summary!$J$3*'R2'!N51*'R2'!H51</f>
        <v>#REF!</v>
      </c>
    </row>
    <row r="52" spans="2:15" ht="24" customHeight="1">
      <c r="B52" s="28">
        <f t="shared" si="3"/>
        <v>2069</v>
      </c>
      <c r="C52" s="28">
        <f t="shared" si="0"/>
        <v>106</v>
      </c>
      <c r="D52" s="28">
        <v>50</v>
      </c>
      <c r="E52" s="28">
        <f>VLOOKUP(C:C, 'Total Data Set'!B:J, IF(Summary!$F$3="M", 4, 8), FALSE)</f>
        <v>0.39185999999999999</v>
      </c>
      <c r="F52" s="28">
        <f t="shared" si="1"/>
        <v>0.60814000000000001</v>
      </c>
      <c r="G52" s="28">
        <f t="shared" si="6"/>
        <v>5.5163870901639338E-3</v>
      </c>
      <c r="H52" s="28">
        <f>1/(1+Summary!$O$3)^D52</f>
        <v>8.7203726972380588E-2</v>
      </c>
      <c r="I52" s="28">
        <f>Summary!$J$3*'R2'!H52*'R2'!G52</f>
        <v>3.9258450811801895</v>
      </c>
      <c r="L52" s="28" t="e">
        <f>IF(Summary!$F$3="M",VLOOKUP(C:C,#REF!,IF(B52&gt;2033,22,MATCH(B52,#REF!,0)),FALSE),VLOOKUP(C:C,#REF!,IF(B52&gt;2033,22,MATCH(B52,#REF!,0)),FALSE))</f>
        <v>#REF!</v>
      </c>
      <c r="M52" s="28" t="e">
        <f t="shared" si="2"/>
        <v>#REF!</v>
      </c>
      <c r="N52" s="28" t="e">
        <f t="shared" si="5"/>
        <v>#REF!</v>
      </c>
      <c r="O52" s="28" t="e">
        <f>Summary!$J$3*'R2'!N52*'R2'!H52</f>
        <v>#REF!</v>
      </c>
    </row>
    <row r="53" spans="2:15" ht="24" customHeight="1">
      <c r="B53" s="28">
        <f>$B52+1</f>
        <v>2070</v>
      </c>
      <c r="C53" s="28">
        <f t="shared" si="0"/>
        <v>107</v>
      </c>
      <c r="D53" s="28">
        <v>51</v>
      </c>
      <c r="E53" s="28">
        <f>VLOOKUP(C:C, 'Total Data Set'!B:J, IF(Summary!$F$3="M", 4, 8), FALSE)</f>
        <v>0.41084900000000002</v>
      </c>
      <c r="F53" s="28">
        <f t="shared" si="1"/>
        <v>0.58915099999999998</v>
      </c>
      <c r="G53" s="28">
        <f t="shared" si="6"/>
        <v>3.3547356450122946E-3</v>
      </c>
      <c r="H53" s="28">
        <f>1/(1+Summary!$O$3)^D53</f>
        <v>8.3051168545124371E-2</v>
      </c>
      <c r="I53" s="28">
        <f>Summary!$J$3*'R2'!H53*'R2'!G53</f>
        <v>2.2737746930180194</v>
      </c>
      <c r="L53" s="28" t="e">
        <f>IF(Summary!$F$3="M",VLOOKUP(C:C,#REF!,IF(B53&gt;2033,22,MATCH(B53,#REF!,0)),FALSE),VLOOKUP(C:C,#REF!,IF(B53&gt;2033,22,MATCH(B53,#REF!,0)),FALSE))</f>
        <v>#REF!</v>
      </c>
      <c r="M53" s="28" t="e">
        <f t="shared" si="2"/>
        <v>#REF!</v>
      </c>
      <c r="N53" s="28" t="e">
        <f t="shared" si="5"/>
        <v>#REF!</v>
      </c>
      <c r="O53" s="28" t="e">
        <f>Summary!$J$3*'R2'!N53*'R2'!H53</f>
        <v>#REF!</v>
      </c>
    </row>
    <row r="54" spans="2:15" ht="24" customHeight="1">
      <c r="B54" s="28">
        <f t="shared" si="3"/>
        <v>2071</v>
      </c>
      <c r="C54" s="28">
        <f t="shared" si="0"/>
        <v>108</v>
      </c>
      <c r="D54" s="28">
        <v>52</v>
      </c>
      <c r="E54" s="28">
        <f>VLOOKUP(C:C, 'Total Data Set'!B:J, IF(Summary!$F$3="M", 4, 8), FALSE)</f>
        <v>0.42911199999999999</v>
      </c>
      <c r="F54" s="28">
        <f t="shared" si="1"/>
        <v>0.57088800000000006</v>
      </c>
      <c r="G54" s="28">
        <f t="shared" si="6"/>
        <v>1.9764458599946383E-3</v>
      </c>
      <c r="H54" s="28">
        <f>1/(1+Summary!$O$3)^D54</f>
        <v>7.9096350995356543E-2</v>
      </c>
      <c r="I54" s="28">
        <f>Summary!$J$3*'R2'!H54*'R2'!G54</f>
        <v>1.2758063182535802</v>
      </c>
      <c r="L54" s="28" t="e">
        <f>IF(Summary!$F$3="M",VLOOKUP(C:C,#REF!,IF(B54&gt;2033,22,MATCH(B54,#REF!,0)),FALSE),VLOOKUP(C:C,#REF!,IF(B54&gt;2033,22,MATCH(B54,#REF!,0)),FALSE))</f>
        <v>#REF!</v>
      </c>
      <c r="M54" s="28" t="e">
        <f t="shared" si="2"/>
        <v>#REF!</v>
      </c>
      <c r="N54" s="28" t="e">
        <f t="shared" si="5"/>
        <v>#REF!</v>
      </c>
      <c r="O54" s="28" t="e">
        <f>Summary!$J$3*'R2'!N54*'R2'!H54</f>
        <v>#REF!</v>
      </c>
    </row>
    <row r="55" spans="2:15" ht="24" customHeight="1">
      <c r="B55" s="28">
        <f t="shared" si="3"/>
        <v>2072</v>
      </c>
      <c r="C55" s="28">
        <f t="shared" si="0"/>
        <v>109</v>
      </c>
      <c r="D55" s="28">
        <v>53</v>
      </c>
      <c r="E55" s="28">
        <f>VLOOKUP(C:C, 'Total Data Set'!B:J, IF(Summary!$F$3="M", 4, 8), FALSE)</f>
        <v>0.446544</v>
      </c>
      <c r="F55" s="28">
        <f t="shared" si="1"/>
        <v>0.55345599999999995</v>
      </c>
      <c r="G55" s="28">
        <f t="shared" si="6"/>
        <v>1.1283292241206192E-3</v>
      </c>
      <c r="H55" s="28">
        <f>1/(1+Summary!$O$3)^D55</f>
        <v>7.5329858090815757E-2</v>
      </c>
      <c r="I55" s="28">
        <f>Summary!$J$3*'R2'!H55*'R2'!G55</f>
        <v>0.69365954039538091</v>
      </c>
      <c r="L55" s="28" t="e">
        <f>IF(Summary!$F$3="M",VLOOKUP(C:C,#REF!,IF(B55&gt;2033,22,MATCH(B55,#REF!,0)),FALSE),VLOOKUP(C:C,#REF!,IF(B55&gt;2033,22,MATCH(B55,#REF!,0)),FALSE))</f>
        <v>#REF!</v>
      </c>
      <c r="M55" s="28" t="e">
        <f t="shared" si="2"/>
        <v>#REF!</v>
      </c>
      <c r="N55" s="28" t="e">
        <f t="shared" si="5"/>
        <v>#REF!</v>
      </c>
      <c r="O55" s="28" t="e">
        <f>Summary!$J$3*'R2'!N55*'R2'!H55</f>
        <v>#REF!</v>
      </c>
    </row>
    <row r="56" spans="2:15" ht="24" customHeight="1">
      <c r="B56" s="28">
        <f t="shared" si="3"/>
        <v>2073</v>
      </c>
      <c r="C56" s="28">
        <f t="shared" si="0"/>
        <v>110</v>
      </c>
      <c r="D56" s="28">
        <v>54</v>
      </c>
      <c r="E56" s="28">
        <f>VLOOKUP(C:C, 'Total Data Set'!B:J, IF(Summary!$F$3="M", 4, 8), FALSE)</f>
        <v>0.463061</v>
      </c>
      <c r="F56" s="28">
        <f t="shared" si="1"/>
        <v>0.53693900000000006</v>
      </c>
      <c r="G56" s="28">
        <f t="shared" si="6"/>
        <v>6.2448057906490135E-4</v>
      </c>
      <c r="H56" s="28">
        <f>1/(1+Summary!$O$3)^D56</f>
        <v>7.1742721991253117E-2</v>
      </c>
      <c r="I56" s="28">
        <f>Summary!$J$3*'R2'!H56*'R2'!G56</f>
        <v>0.36562860437053896</v>
      </c>
      <c r="L56" s="28" t="e">
        <f>IF(Summary!$F$3="M",VLOOKUP(C:C,#REF!,IF(B56&gt;2033,22,MATCH(B56,#REF!,0)),FALSE),VLOOKUP(C:C,#REF!,IF(B56&gt;2033,22,MATCH(B56,#REF!,0)),FALSE))</f>
        <v>#REF!</v>
      </c>
      <c r="M56" s="28" t="e">
        <f t="shared" si="2"/>
        <v>#REF!</v>
      </c>
      <c r="N56" s="28" t="e">
        <f t="shared" si="5"/>
        <v>#REF!</v>
      </c>
      <c r="O56" s="28" t="e">
        <f>Summary!$J$3*'R2'!N56*'R2'!H56</f>
        <v>#REF!</v>
      </c>
    </row>
    <row r="57" spans="2:15" ht="24" customHeight="1">
      <c r="B57" s="28">
        <f t="shared" si="3"/>
        <v>2074</v>
      </c>
      <c r="C57" s="28">
        <f t="shared" si="0"/>
        <v>111</v>
      </c>
      <c r="D57" s="28">
        <v>55</v>
      </c>
      <c r="E57" s="28">
        <f>VLOOKUP(C:C, 'Total Data Set'!B:J, IF(Summary!$F$3="M", 4, 8), FALSE)</f>
        <v>0.47860399999999997</v>
      </c>
      <c r="F57" s="28">
        <f t="shared" si="1"/>
        <v>0.52139599999999997</v>
      </c>
      <c r="G57" s="28">
        <f t="shared" si="6"/>
        <v>3.3530797764252907E-4</v>
      </c>
      <c r="H57" s="28">
        <f>1/(1+Summary!$O$3)^D57</f>
        <v>6.8326401896431521E-2</v>
      </c>
      <c r="I57" s="28">
        <f>Summary!$J$3*'R2'!H57*'R2'!G57</f>
        <v>0.18697167352582172</v>
      </c>
      <c r="L57" s="28" t="e">
        <f>IF(Summary!$F$3="M",VLOOKUP(C:C,#REF!,IF(B57&gt;2033,22,MATCH(B57,#REF!,0)),FALSE),VLOOKUP(C:C,#REF!,IF(B57&gt;2033,22,MATCH(B57,#REF!,0)),FALSE))</f>
        <v>#REF!</v>
      </c>
      <c r="M57" s="28" t="e">
        <f t="shared" si="2"/>
        <v>#REF!</v>
      </c>
      <c r="N57" s="28" t="e">
        <f t="shared" si="5"/>
        <v>#REF!</v>
      </c>
      <c r="O57" s="28" t="e">
        <f>Summary!$J$3*'R2'!N57*'R2'!H57</f>
        <v>#REF!</v>
      </c>
    </row>
    <row r="58" spans="2:15" ht="24" customHeight="1">
      <c r="B58" s="28">
        <f t="shared" si="3"/>
        <v>2075</v>
      </c>
      <c r="C58" s="28">
        <f t="shared" si="0"/>
        <v>112</v>
      </c>
      <c r="D58" s="28">
        <v>56</v>
      </c>
      <c r="E58" s="28">
        <f>VLOOKUP(C:C, 'Total Data Set'!B:J, IF(Summary!$F$3="M", 4, 8), FALSE)</f>
        <v>0.49313699999999999</v>
      </c>
      <c r="F58" s="28">
        <f t="shared" si="1"/>
        <v>0.50686300000000006</v>
      </c>
      <c r="G58" s="28">
        <f t="shared" si="6"/>
        <v>1.7482823831090408E-4</v>
      </c>
      <c r="H58" s="28">
        <f>1/(1+Summary!$O$3)^D58</f>
        <v>6.5072763710887174E-2</v>
      </c>
      <c r="I58" s="28">
        <f>Summary!$J$3*'R2'!H58*'R2'!G58</f>
        <v>9.2844078752066045E-2</v>
      </c>
      <c r="L58" s="28" t="e">
        <f>IF(Summary!$F$3="M",VLOOKUP(C:C,#REF!,IF(B58&gt;2033,22,MATCH(B58,#REF!,0)),FALSE),VLOOKUP(C:C,#REF!,IF(B58&gt;2033,22,MATCH(B58,#REF!,0)),FALSE))</f>
        <v>#REF!</v>
      </c>
      <c r="M58" s="28" t="e">
        <f t="shared" si="2"/>
        <v>#REF!</v>
      </c>
      <c r="N58" s="28" t="e">
        <f t="shared" si="5"/>
        <v>#REF!</v>
      </c>
      <c r="O58" s="28" t="e">
        <f>Summary!$J$3*'R2'!N58*'R2'!H58</f>
        <v>#REF!</v>
      </c>
    </row>
    <row r="59" spans="2:15" ht="24" customHeight="1">
      <c r="B59" s="28">
        <f t="shared" si="3"/>
        <v>2076</v>
      </c>
      <c r="C59" s="28">
        <f t="shared" si="0"/>
        <v>113</v>
      </c>
      <c r="D59" s="28">
        <v>57</v>
      </c>
      <c r="E59" s="28">
        <f>VLOOKUP(C:C, 'Total Data Set'!B:J, IF(Summary!$F$3="M", 4, 8), FALSE)</f>
        <v>0.5</v>
      </c>
      <c r="F59" s="28">
        <f t="shared" si="1"/>
        <v>0.5</v>
      </c>
      <c r="G59" s="28">
        <f t="shared" si="6"/>
        <v>8.8613965354979778E-5</v>
      </c>
      <c r="H59" s="28">
        <f>1/(1+Summary!$O$3)^D59</f>
        <v>6.1974060677035397E-2</v>
      </c>
      <c r="I59" s="28">
        <f>Summary!$J$3*'R2'!H59*'R2'!G59</f>
        <v>4.4818312655722337E-2</v>
      </c>
      <c r="L59" s="28" t="e">
        <f>IF(Summary!$F$3="M",VLOOKUP(C:C,#REF!,IF(B59&gt;2033,22,MATCH(B59,#REF!,0)),FALSE),VLOOKUP(C:C,#REF!,IF(B59&gt;2033,22,MATCH(B59,#REF!,0)),FALSE))</f>
        <v>#REF!</v>
      </c>
      <c r="M59" s="28" t="e">
        <f t="shared" si="2"/>
        <v>#REF!</v>
      </c>
      <c r="N59" s="28" t="e">
        <f t="shared" si="5"/>
        <v>#REF!</v>
      </c>
      <c r="O59" s="28" t="e">
        <f>Summary!$J$3*'R2'!N59*'R2'!H59</f>
        <v>#REF!</v>
      </c>
    </row>
    <row r="60" spans="2:15" ht="24" customHeight="1">
      <c r="B60" s="28">
        <f t="shared" si="3"/>
        <v>2077</v>
      </c>
      <c r="C60" s="28">
        <f t="shared" si="0"/>
        <v>114</v>
      </c>
      <c r="D60" s="28">
        <v>58</v>
      </c>
      <c r="E60" s="28">
        <f>VLOOKUP(C:C, 'Total Data Set'!B:J, IF(Summary!$F$3="M", 4, 8), FALSE)</f>
        <v>0.5</v>
      </c>
      <c r="F60" s="28">
        <f t="shared" si="1"/>
        <v>0.5</v>
      </c>
      <c r="G60" s="28">
        <f t="shared" si="6"/>
        <v>4.4306982677489889E-5</v>
      </c>
      <c r="H60" s="28">
        <f>1/(1+Summary!$O$3)^D60</f>
        <v>5.9022914930509894E-2</v>
      </c>
      <c r="I60" s="28">
        <f>Summary!$J$3*'R2'!H60*'R2'!G60</f>
        <v>2.1342053645582063E-2</v>
      </c>
      <c r="L60" s="28" t="e">
        <f>IF(Summary!$F$3="M",VLOOKUP(C:C,#REF!,IF(B60&gt;2033,22,MATCH(B60,#REF!,0)),FALSE),VLOOKUP(C:C,#REF!,IF(B60&gt;2033,22,MATCH(B60,#REF!,0)),FALSE))</f>
        <v>#REF!</v>
      </c>
      <c r="M60" s="28" t="e">
        <f t="shared" si="2"/>
        <v>#REF!</v>
      </c>
      <c r="N60" s="28" t="e">
        <f t="shared" si="5"/>
        <v>#REF!</v>
      </c>
      <c r="O60" s="28" t="e">
        <f>Summary!$J$3*'R2'!N60*'R2'!H60</f>
        <v>#REF!</v>
      </c>
    </row>
    <row r="61" spans="2:15" ht="24" customHeight="1">
      <c r="B61" s="28">
        <f t="shared" si="3"/>
        <v>2078</v>
      </c>
      <c r="C61" s="28">
        <f t="shared" si="0"/>
        <v>115</v>
      </c>
      <c r="D61" s="28">
        <v>59</v>
      </c>
      <c r="E61" s="28">
        <f>VLOOKUP(C:C, 'Total Data Set'!B:J, IF(Summary!$F$3="M", 4, 8), FALSE)</f>
        <v>0.5</v>
      </c>
      <c r="F61" s="28">
        <f t="shared" si="1"/>
        <v>0.5</v>
      </c>
      <c r="G61" s="28">
        <f t="shared" si="6"/>
        <v>2.2153491338744945E-5</v>
      </c>
      <c r="H61" s="28">
        <f>1/(1+Summary!$O$3)^D61</f>
        <v>5.6212299933818946E-2</v>
      </c>
      <c r="I61" s="28">
        <f>Summary!$J$3*'R2'!H61*'R2'!G61</f>
        <v>1.0162882688372409E-2</v>
      </c>
      <c r="L61" s="28" t="e">
        <f>IF(Summary!$F$3="M",VLOOKUP(C:C,#REF!,IF(B61&gt;2033,22,MATCH(B61,#REF!,0)),FALSE),VLOOKUP(C:C,#REF!,IF(B61&gt;2033,22,MATCH(B61,#REF!,0)),FALSE))</f>
        <v>#REF!</v>
      </c>
      <c r="M61" s="28" t="e">
        <f t="shared" si="2"/>
        <v>#REF!</v>
      </c>
      <c r="N61" s="28" t="e">
        <f t="shared" si="5"/>
        <v>#REF!</v>
      </c>
      <c r="O61" s="28" t="e">
        <f>Summary!$J$3*'R2'!N61*'R2'!H61</f>
        <v>#REF!</v>
      </c>
    </row>
    <row r="62" spans="2:15" ht="24" customHeight="1">
      <c r="B62" s="28">
        <f t="shared" si="3"/>
        <v>2079</v>
      </c>
      <c r="C62" s="28">
        <f t="shared" si="0"/>
        <v>116</v>
      </c>
      <c r="D62" s="28">
        <v>60</v>
      </c>
      <c r="E62" s="28">
        <f>VLOOKUP(C:C, 'Total Data Set'!B:J, IF(Summary!$F$3="M", 4, 8), FALSE)</f>
        <v>0.5</v>
      </c>
      <c r="F62" s="28">
        <f t="shared" si="1"/>
        <v>0.5</v>
      </c>
      <c r="G62" s="28">
        <f t="shared" si="6"/>
        <v>1.1076745669372472E-5</v>
      </c>
      <c r="H62" s="28">
        <f>1/(1+Summary!$O$3)^D62</f>
        <v>5.3535523746494243E-2</v>
      </c>
      <c r="I62" s="28">
        <f>Summary!$J$3*'R2'!H62*'R2'!G62</f>
        <v>4.8394679468440052E-3</v>
      </c>
      <c r="L62" s="28" t="e">
        <f>IF(Summary!$F$3="M",VLOOKUP(C:C,#REF!,IF(B62&gt;2033,22,MATCH(B62,#REF!,0)),FALSE),VLOOKUP(C:C,#REF!,IF(B62&gt;2033,22,MATCH(B62,#REF!,0)),FALSE))</f>
        <v>#REF!</v>
      </c>
      <c r="M62" s="28" t="e">
        <f t="shared" si="2"/>
        <v>#REF!</v>
      </c>
      <c r="N62" s="28" t="e">
        <f t="shared" si="5"/>
        <v>#REF!</v>
      </c>
      <c r="O62" s="28" t="e">
        <f>Summary!$J$3*'R2'!N62*'R2'!H62</f>
        <v>#REF!</v>
      </c>
    </row>
    <row r="63" spans="2:15" ht="24" customHeight="1">
      <c r="B63" s="28">
        <f t="shared" si="3"/>
        <v>2080</v>
      </c>
      <c r="C63" s="28">
        <f t="shared" si="0"/>
        <v>117</v>
      </c>
      <c r="D63" s="28">
        <v>61</v>
      </c>
      <c r="E63" s="28">
        <f>VLOOKUP(C:C, 'Total Data Set'!B:J, IF(Summary!$F$3="M", 4, 8), FALSE)</f>
        <v>0.5</v>
      </c>
      <c r="F63" s="28">
        <f t="shared" si="1"/>
        <v>0.5</v>
      </c>
      <c r="G63" s="28">
        <f t="shared" si="6"/>
        <v>5.5383728346862361E-6</v>
      </c>
      <c r="H63" s="28">
        <f>1/(1+Summary!$O$3)^D63</f>
        <v>5.0986213091899268E-2</v>
      </c>
      <c r="I63" s="28">
        <f>Summary!$J$3*'R2'!H63*'R2'!G63</f>
        <v>2.3045085461161924E-3</v>
      </c>
      <c r="L63" s="28" t="e">
        <f>IF(Summary!$F$3="M",VLOOKUP(C:C,#REF!,IF(B63&gt;2033,22,MATCH(B63,#REF!,0)),FALSE),VLOOKUP(C:C,#REF!,IF(B63&gt;2033,22,MATCH(B63,#REF!,0)),FALSE))</f>
        <v>#REF!</v>
      </c>
      <c r="M63" s="28" t="e">
        <f t="shared" si="2"/>
        <v>#REF!</v>
      </c>
      <c r="N63" s="28" t="e">
        <f t="shared" si="5"/>
        <v>#REF!</v>
      </c>
      <c r="O63" s="28" t="e">
        <f>Summary!$J$3*'R2'!N63*'R2'!H63</f>
        <v>#REF!</v>
      </c>
    </row>
    <row r="64" spans="2:15" ht="24" customHeight="1">
      <c r="B64" s="28">
        <f t="shared" si="3"/>
        <v>2081</v>
      </c>
      <c r="C64" s="28">
        <f t="shared" si="0"/>
        <v>118</v>
      </c>
      <c r="D64" s="28">
        <v>62</v>
      </c>
      <c r="E64" s="28">
        <f>VLOOKUP(C:C, 'Total Data Set'!B:J, IF(Summary!$F$3="M", 4, 8), FALSE)</f>
        <v>0.5</v>
      </c>
      <c r="F64" s="28">
        <f t="shared" si="1"/>
        <v>0.5</v>
      </c>
      <c r="G64" s="28">
        <f t="shared" si="6"/>
        <v>2.7691864173431181E-6</v>
      </c>
      <c r="H64" s="28">
        <f>1/(1+Summary!$O$3)^D64</f>
        <v>4.855829818276123E-2</v>
      </c>
      <c r="I64" s="28">
        <f>Summary!$J$3*'R2'!H64*'R2'!G64</f>
        <v>1.0973850219600921E-3</v>
      </c>
      <c r="L64" s="28" t="e">
        <f>IF(Summary!$F$3="M",VLOOKUP(C:C,#REF!,IF(B64&gt;2033,22,MATCH(B64,#REF!,0)),FALSE),VLOOKUP(C:C,#REF!,IF(B64&gt;2033,22,MATCH(B64,#REF!,0)),FALSE))</f>
        <v>#REF!</v>
      </c>
      <c r="M64" s="28" t="e">
        <f t="shared" si="2"/>
        <v>#REF!</v>
      </c>
      <c r="N64" s="28" t="e">
        <f t="shared" si="5"/>
        <v>#REF!</v>
      </c>
      <c r="O64" s="28" t="e">
        <f>Summary!$J$3*'R2'!N64*'R2'!H64</f>
        <v>#REF!</v>
      </c>
    </row>
    <row r="65" spans="2:15" ht="24" customHeight="1">
      <c r="B65" s="28">
        <f t="shared" si="3"/>
        <v>2082</v>
      </c>
      <c r="C65" s="28">
        <f>$A$4+D65</f>
        <v>119</v>
      </c>
      <c r="D65" s="28">
        <v>63</v>
      </c>
      <c r="E65" s="28">
        <f>VLOOKUP(C:C, 'Total Data Set'!B:J, IF(Summary!$F$3="M", 4, 8), FALSE)</f>
        <v>0.5</v>
      </c>
      <c r="F65" s="28">
        <f t="shared" si="1"/>
        <v>0.5</v>
      </c>
      <c r="G65" s="28">
        <f t="shared" si="6"/>
        <v>1.384593208671559E-6</v>
      </c>
      <c r="H65" s="28">
        <f>1/(1+Summary!$O$3)^D65</f>
        <v>4.6245998269296387E-2</v>
      </c>
      <c r="I65" s="28">
        <f>Summary!$J$3*'R2'!H65*'R2'!G65</f>
        <v>5.2256429617147221E-4</v>
      </c>
      <c r="L65" s="28" t="e">
        <f>IF(Summary!$F$3="M",VLOOKUP(C:C,#REF!,IF(B65&gt;2033,22,MATCH(B65,#REF!,0)),FALSE),VLOOKUP(C:C,#REF!,IF(B65&gt;2033,22,MATCH(B65,#REF!,0)),FALSE))</f>
        <v>#REF!</v>
      </c>
      <c r="M65" s="28" t="e">
        <f t="shared" si="2"/>
        <v>#REF!</v>
      </c>
      <c r="N65" s="28" t="e">
        <f t="shared" si="5"/>
        <v>#REF!</v>
      </c>
      <c r="O65" s="28" t="e">
        <f>Summary!$J$3*'R2'!N65*'R2'!H65</f>
        <v>#REF!</v>
      </c>
    </row>
    <row r="66" spans="2:15" ht="24" customHeight="1">
      <c r="B66" s="28">
        <f t="shared" si="3"/>
        <v>2083</v>
      </c>
      <c r="C66" s="28">
        <f t="shared" si="0"/>
        <v>120</v>
      </c>
      <c r="D66" s="28">
        <v>64</v>
      </c>
      <c r="E66" s="28">
        <f>VLOOKUP(C:C, 'Total Data Set'!B:J, IF(Summary!$F$3="M", 4, 8), FALSE)</f>
        <v>1</v>
      </c>
      <c r="F66" s="28">
        <f t="shared" si="1"/>
        <v>0</v>
      </c>
      <c r="G66" s="28">
        <f t="shared" si="6"/>
        <v>6.9229660433577952E-7</v>
      </c>
      <c r="H66" s="28">
        <f>1/(1+Summary!$O$3)^D66</f>
        <v>4.4043807875520369E-2</v>
      </c>
      <c r="I66" s="28">
        <f>Summary!$J$3*'R2'!H66*'R2'!G66</f>
        <v>2.488401410340344E-4</v>
      </c>
      <c r="L66" s="28" t="e">
        <f>IF(Summary!$F$3="M",VLOOKUP(C:C,#REF!,IF(B66&gt;2033,22,MATCH(B66,#REF!,0)),FALSE),VLOOKUP(C:C,#REF!,IF(B66&gt;2033,22,MATCH(B66,#REF!,0)),FALSE))</f>
        <v>#REF!</v>
      </c>
      <c r="M66" s="28" t="e">
        <f t="shared" si="2"/>
        <v>#REF!</v>
      </c>
      <c r="N66" s="28" t="e">
        <f t="shared" si="5"/>
        <v>#REF!</v>
      </c>
      <c r="O66" s="28" t="e">
        <f>Summary!$J$3*'R2'!N66*'R2'!H66</f>
        <v>#REF!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65"/>
  <sheetViews>
    <sheetView topLeftCell="D64" workbookViewId="0">
      <selection activeCell="A6" sqref="A6"/>
    </sheetView>
  </sheetViews>
  <sheetFormatPr defaultColWidth="18" defaultRowHeight="24" customHeight="1"/>
  <cols>
    <col min="1" max="6" width="18" style="28"/>
    <col min="7" max="7" width="28.140625" style="28" customWidth="1"/>
    <col min="8" max="9" width="18" style="28"/>
    <col min="10" max="10" width="21.7109375" style="28" customWidth="1"/>
    <col min="11" max="16384" width="18" style="28"/>
  </cols>
  <sheetData>
    <row r="1" spans="1:16" ht="24" customHeight="1">
      <c r="A1" s="30" t="s">
        <v>69</v>
      </c>
      <c r="B1" s="30" t="s">
        <v>74</v>
      </c>
      <c r="C1" s="28" t="s">
        <v>28</v>
      </c>
      <c r="D1" s="28" t="s">
        <v>29</v>
      </c>
      <c r="E1" s="28" t="s">
        <v>30</v>
      </c>
      <c r="F1" s="28" t="s">
        <v>71</v>
      </c>
      <c r="G1" s="28" t="s">
        <v>72</v>
      </c>
      <c r="H1" s="28" t="s">
        <v>31</v>
      </c>
      <c r="I1" s="28" t="s">
        <v>32</v>
      </c>
      <c r="J1" s="28" t="s">
        <v>33</v>
      </c>
      <c r="L1" s="39" t="s">
        <v>76</v>
      </c>
      <c r="M1" s="39" t="s">
        <v>77</v>
      </c>
      <c r="N1" s="39" t="s">
        <v>78</v>
      </c>
      <c r="O1" s="39" t="s">
        <v>79</v>
      </c>
      <c r="P1" s="39" t="s">
        <v>80</v>
      </c>
    </row>
    <row r="2" spans="1:16" ht="24" customHeight="1">
      <c r="A2" s="31">
        <v>43647</v>
      </c>
      <c r="B2" s="30">
        <f>YEAR(A2)</f>
        <v>2019</v>
      </c>
      <c r="C2" s="28">
        <f>$A$4+D2</f>
        <v>57</v>
      </c>
      <c r="D2" s="28">
        <v>0</v>
      </c>
      <c r="E2" s="28">
        <f>VLOOKUP(C:C, 'Total Data Set'!B:J, IF(Summary!$F$4="M", 4, 8), FALSE)</f>
        <v>6.4780000000000003E-3</v>
      </c>
      <c r="F2" s="28">
        <f>1-E2</f>
        <v>0.99352200000000002</v>
      </c>
      <c r="G2" s="28">
        <v>1</v>
      </c>
      <c r="H2" s="28">
        <f>1/(1+Summary!$O$3)^D2</f>
        <v>1</v>
      </c>
      <c r="I2" s="28">
        <f>Summary!$J$4*'R3'!H2*'R3'!G2</f>
        <v>12914</v>
      </c>
      <c r="J2" s="28">
        <f>SUM(I2:I65)</f>
        <v>188011.40226622135</v>
      </c>
      <c r="L2" s="28" t="e">
        <f>IF(Summary!$F$5="M",VLOOKUP(C:C,#REF!,IF(B2&gt;2033,22,MATCH(B2,#REF!,0)),FALSE),VLOOKUP(C:C,#REF!,IF(B2&gt;2033,22,MATCH(B2,#REF!,0)),FALSE))</f>
        <v>#REF!</v>
      </c>
      <c r="M2" s="28" t="e">
        <f>1-L2</f>
        <v>#REF!</v>
      </c>
      <c r="N2" s="28">
        <v>1</v>
      </c>
      <c r="O2" s="28">
        <f>Summary!$J$4*'R3'!N2*'R3'!H2</f>
        <v>12914</v>
      </c>
      <c r="P2" s="28" t="e">
        <f>SUM(O2:O65)</f>
        <v>#REF!</v>
      </c>
    </row>
    <row r="3" spans="1:16" ht="24" customHeight="1">
      <c r="A3" s="28" t="s">
        <v>34</v>
      </c>
      <c r="B3" s="30">
        <f>$B2+1</f>
        <v>2020</v>
      </c>
      <c r="C3" s="28">
        <f t="shared" ref="C3:C65" si="0">$A$4+D3</f>
        <v>58</v>
      </c>
      <c r="D3" s="28">
        <v>1</v>
      </c>
      <c r="E3" s="28">
        <f>VLOOKUP(C:C, 'Total Data Set'!B:J, IF(Summary!$F$4="M", 4, 8), FALSE)</f>
        <v>6.8770000000000003E-3</v>
      </c>
      <c r="F3" s="28">
        <f t="shared" ref="F3:F65" si="1">1-E3</f>
        <v>0.99312299999999998</v>
      </c>
      <c r="G3" s="28">
        <f>F2</f>
        <v>0.99352200000000002</v>
      </c>
      <c r="H3" s="28">
        <f>1/(1+Summary!$O$3)^D3</f>
        <v>0.95238095238095233</v>
      </c>
      <c r="I3" s="28">
        <f>Summary!$J$4*'R3'!H3*'R3'!G3</f>
        <v>12219.374388571428</v>
      </c>
      <c r="L3" s="28" t="e">
        <f>IF(Summary!$F$4="M",VLOOKUP(C:C,#REF!,IF(B3&gt;2033,22,MATCH(B3,#REF!,0)),FALSE),VLOOKUP(C:C,#REF!,IF(B3&gt;2033,22,MATCH(B3,#REF!,0)),FALSE))</f>
        <v>#REF!</v>
      </c>
      <c r="M3" s="28" t="e">
        <f>1-L3</f>
        <v>#REF!</v>
      </c>
      <c r="N3" s="28" t="e">
        <f>N2*M2</f>
        <v>#REF!</v>
      </c>
      <c r="O3" s="28" t="e">
        <f>Summary!$J$4*'R3'!N3*'R3'!H3</f>
        <v>#REF!</v>
      </c>
    </row>
    <row r="4" spans="1:16" ht="24" customHeight="1">
      <c r="A4" s="28">
        <f>Summary!I4</f>
        <v>57</v>
      </c>
      <c r="B4" s="30">
        <f t="shared" ref="B4:B65" si="2">$B3+1</f>
        <v>2021</v>
      </c>
      <c r="C4" s="28">
        <f t="shared" si="0"/>
        <v>59</v>
      </c>
      <c r="D4" s="28">
        <v>2</v>
      </c>
      <c r="E4" s="28">
        <f>VLOOKUP(C:C, 'Total Data Set'!B:J, IF(Summary!$F$4="M", 4, 8), FALSE)</f>
        <v>7.3049999999999999E-3</v>
      </c>
      <c r="F4" s="28">
        <f t="shared" si="1"/>
        <v>0.99269499999999999</v>
      </c>
      <c r="G4" s="28">
        <f t="shared" ref="G4:G35" si="3">G3*F3</f>
        <v>0.98668954920600005</v>
      </c>
      <c r="H4" s="28">
        <f>1/(1+Summary!$O$3)^D4</f>
        <v>0.90702947845804982</v>
      </c>
      <c r="I4" s="28">
        <f>Summary!$J$4*'R3'!H4*'R3'!G4</f>
        <v>11557.468334191641</v>
      </c>
      <c r="L4" s="28" t="e">
        <f>IF(Summary!$F$4="M",VLOOKUP(C:C,#REF!,IF(B4&gt;2033,22,MATCH(B4,#REF!,0)),FALSE),VLOOKUP(C:C,#REF!,IF(B4&gt;2033,22,MATCH(B4,#REF!,0)),FALSE))</f>
        <v>#REF!</v>
      </c>
      <c r="M4" s="28" t="e">
        <f t="shared" ref="M4:M65" si="4">1-L4</f>
        <v>#REF!</v>
      </c>
      <c r="N4" s="28" t="e">
        <f t="shared" ref="N4:N65" si="5">N3*M3</f>
        <v>#REF!</v>
      </c>
      <c r="O4" s="28" t="e">
        <f>Summary!$J$4*'R3'!N4*'R3'!H4</f>
        <v>#REF!</v>
      </c>
    </row>
    <row r="5" spans="1:16" ht="24" customHeight="1">
      <c r="B5" s="30">
        <f t="shared" si="2"/>
        <v>2022</v>
      </c>
      <c r="C5" s="28">
        <f t="shared" si="0"/>
        <v>60</v>
      </c>
      <c r="D5" s="28">
        <v>3</v>
      </c>
      <c r="E5" s="28">
        <f>VLOOKUP(C:C, 'Total Data Set'!B:J, IF(Summary!$F$4="M", 4, 8), FALSE)</f>
        <v>7.7710000000000001E-3</v>
      </c>
      <c r="F5" s="28">
        <f t="shared" si="1"/>
        <v>0.99222900000000003</v>
      </c>
      <c r="G5" s="28">
        <f t="shared" si="3"/>
        <v>0.97948178204905023</v>
      </c>
      <c r="H5" s="28">
        <f>1/(1+Summary!$O$3)^D5</f>
        <v>0.86383759853147601</v>
      </c>
      <c r="I5" s="28">
        <f>Summary!$J$4*'R3'!H5*'R3'!G5</f>
        <v>10926.705740962258</v>
      </c>
      <c r="L5" s="28" t="e">
        <f>IF(Summary!$F$4="M",VLOOKUP(C:C,#REF!,IF(B5&gt;2033,22,MATCH(B5,#REF!,0)),FALSE),VLOOKUP(C:C,#REF!,IF(B5&gt;2033,22,MATCH(B5,#REF!,0)),FALSE))</f>
        <v>#REF!</v>
      </c>
      <c r="M5" s="28" t="e">
        <f t="shared" si="4"/>
        <v>#REF!</v>
      </c>
      <c r="N5" s="28" t="e">
        <f t="shared" si="5"/>
        <v>#REF!</v>
      </c>
      <c r="O5" s="28" t="e">
        <f>Summary!$J$4*'R3'!N5*'R3'!H5</f>
        <v>#REF!</v>
      </c>
    </row>
    <row r="6" spans="1:16" ht="24" customHeight="1">
      <c r="B6" s="30">
        <f t="shared" si="2"/>
        <v>2023</v>
      </c>
      <c r="C6" s="28">
        <f t="shared" si="0"/>
        <v>61</v>
      </c>
      <c r="D6" s="28">
        <v>4</v>
      </c>
      <c r="E6" s="28">
        <f>VLOOKUP(C:C, 'Total Data Set'!B:J, IF(Summary!$F$4="M", 4, 8), FALSE)</f>
        <v>8.2839999999999997E-3</v>
      </c>
      <c r="F6" s="28">
        <f t="shared" si="1"/>
        <v>0.99171600000000004</v>
      </c>
      <c r="G6" s="28">
        <f t="shared" si="3"/>
        <v>0.97187022912074705</v>
      </c>
      <c r="H6" s="28">
        <f>1/(1+Summary!$O$3)^D6</f>
        <v>0.82270247479188197</v>
      </c>
      <c r="I6" s="28">
        <f>Summary!$J$4*'R3'!H6*'R3'!G6</f>
        <v>10325.518391094514</v>
      </c>
      <c r="L6" s="28" t="e">
        <f>IF(Summary!$F$4="M",VLOOKUP(C:C,#REF!,IF(B6&gt;2033,22,MATCH(B6,#REF!,0)),FALSE),VLOOKUP(C:C,#REF!,IF(B6&gt;2033,22,MATCH(B6,#REF!,0)),FALSE))</f>
        <v>#REF!</v>
      </c>
      <c r="M6" s="28" t="e">
        <f t="shared" si="4"/>
        <v>#REF!</v>
      </c>
      <c r="N6" s="28" t="e">
        <f t="shared" si="5"/>
        <v>#REF!</v>
      </c>
      <c r="O6" s="28" t="e">
        <f>Summary!$J$4*'R3'!N6*'R3'!H6</f>
        <v>#REF!</v>
      </c>
    </row>
    <row r="7" spans="1:16" ht="24" customHeight="1">
      <c r="B7" s="30">
        <f t="shared" si="2"/>
        <v>2024</v>
      </c>
      <c r="C7" s="28">
        <f t="shared" si="0"/>
        <v>62</v>
      </c>
      <c r="D7" s="28">
        <v>5</v>
      </c>
      <c r="E7" s="28">
        <f>VLOOKUP(C:C, 'Total Data Set'!B:J, IF(Summary!$F$4="M", 4, 8), FALSE)</f>
        <v>8.8540000000000008E-3</v>
      </c>
      <c r="F7" s="28">
        <f t="shared" si="1"/>
        <v>0.99114599999999997</v>
      </c>
      <c r="G7" s="28">
        <f t="shared" si="3"/>
        <v>0.9638192561427108</v>
      </c>
      <c r="H7" s="28">
        <f>1/(1+Summary!$O$3)^D7</f>
        <v>0.78352616646845896</v>
      </c>
      <c r="I7" s="28">
        <f>Summary!$J$4*'R3'!H7*'R3'!G7</f>
        <v>9752.3636159454181</v>
      </c>
      <c r="L7" s="28" t="e">
        <f>IF(Summary!$F$4="M",VLOOKUP(C:C,#REF!,IF(B7&gt;2033,22,MATCH(B7,#REF!,0)),FALSE),VLOOKUP(C:C,#REF!,IF(B7&gt;2033,22,MATCH(B7,#REF!,0)),FALSE))</f>
        <v>#REF!</v>
      </c>
      <c r="M7" s="28" t="e">
        <f t="shared" si="4"/>
        <v>#REF!</v>
      </c>
      <c r="N7" s="28" t="e">
        <f t="shared" si="5"/>
        <v>#REF!</v>
      </c>
      <c r="O7" s="28" t="e">
        <f>Summary!$J$4*'R3'!N7*'R3'!H7</f>
        <v>#REF!</v>
      </c>
    </row>
    <row r="8" spans="1:16" ht="24" customHeight="1">
      <c r="B8" s="30">
        <f t="shared" si="2"/>
        <v>2025</v>
      </c>
      <c r="C8" s="28">
        <f t="shared" si="0"/>
        <v>63</v>
      </c>
      <c r="D8" s="28">
        <v>6</v>
      </c>
      <c r="E8" s="28">
        <f>VLOOKUP(C:C, 'Total Data Set'!B:J, IF(Summary!$F$4="M", 4, 8), FALSE)</f>
        <v>9.4920000000000004E-3</v>
      </c>
      <c r="F8" s="28">
        <f t="shared" si="1"/>
        <v>0.99050799999999994</v>
      </c>
      <c r="G8" s="28">
        <f t="shared" si="3"/>
        <v>0.95528560044882316</v>
      </c>
      <c r="H8" s="28">
        <f>1/(1+Summary!$O$3)^D8</f>
        <v>0.74621539663662761</v>
      </c>
      <c r="I8" s="28">
        <f>Summary!$J$4*'R3'!H8*'R3'!G8</f>
        <v>9205.7297033236537</v>
      </c>
      <c r="L8" s="28" t="e">
        <f>IF(Summary!$F$4="M",VLOOKUP(C:C,#REF!,IF(B8&gt;2033,22,MATCH(B8,#REF!,0)),FALSE),VLOOKUP(C:C,#REF!,IF(B8&gt;2033,22,MATCH(B8,#REF!,0)),FALSE))</f>
        <v>#REF!</v>
      </c>
      <c r="M8" s="28" t="e">
        <f t="shared" si="4"/>
        <v>#REF!</v>
      </c>
      <c r="N8" s="28" t="e">
        <f t="shared" si="5"/>
        <v>#REF!</v>
      </c>
      <c r="O8" s="28" t="e">
        <f>Summary!$J$4*'R3'!N8*'R3'!H8</f>
        <v>#REF!</v>
      </c>
    </row>
    <row r="9" spans="1:16" ht="24" customHeight="1">
      <c r="B9" s="30">
        <f t="shared" si="2"/>
        <v>2026</v>
      </c>
      <c r="C9" s="28">
        <f t="shared" si="0"/>
        <v>64</v>
      </c>
      <c r="D9" s="28">
        <v>7</v>
      </c>
      <c r="E9" s="28">
        <f>VLOOKUP(C:C, 'Total Data Set'!B:J, IF(Summary!$F$4="M", 4, 8), FALSE)</f>
        <v>1.0208999999999999E-2</v>
      </c>
      <c r="F9" s="28">
        <f t="shared" si="1"/>
        <v>0.98979099999999998</v>
      </c>
      <c r="G9" s="28">
        <f t="shared" si="3"/>
        <v>0.94621802952936285</v>
      </c>
      <c r="H9" s="28">
        <f>1/(1+Summary!$O$3)^D9</f>
        <v>0.71068133013012147</v>
      </c>
      <c r="I9" s="28">
        <f>Summary!$J$4*'R3'!H9*'R3'!G9</f>
        <v>8684.1418256949546</v>
      </c>
      <c r="L9" s="28" t="e">
        <f>IF(Summary!$F$4="M",VLOOKUP(C:C,#REF!,IF(B9&gt;2033,22,MATCH(B9,#REF!,0)),FALSE),VLOOKUP(C:C,#REF!,IF(B9&gt;2033,22,MATCH(B9,#REF!,0)),FALSE))</f>
        <v>#REF!</v>
      </c>
      <c r="M9" s="28" t="e">
        <f t="shared" si="4"/>
        <v>#REF!</v>
      </c>
      <c r="N9" s="28" t="e">
        <f t="shared" si="5"/>
        <v>#REF!</v>
      </c>
      <c r="O9" s="28" t="e">
        <f>Summary!$J$4*'R3'!N9*'R3'!H9</f>
        <v>#REF!</v>
      </c>
    </row>
    <row r="10" spans="1:16" ht="24" customHeight="1">
      <c r="B10" s="30">
        <f t="shared" si="2"/>
        <v>2027</v>
      </c>
      <c r="C10" s="28">
        <f t="shared" si="0"/>
        <v>65</v>
      </c>
      <c r="D10" s="28">
        <v>8</v>
      </c>
      <c r="E10" s="28">
        <f>VLOOKUP(C:C, 'Total Data Set'!B:J, IF(Summary!$F$4="M", 4, 8), FALSE)</f>
        <v>1.1013E-2</v>
      </c>
      <c r="F10" s="28">
        <f t="shared" si="1"/>
        <v>0.98898699999999995</v>
      </c>
      <c r="G10" s="28">
        <f t="shared" si="3"/>
        <v>0.9365580896658976</v>
      </c>
      <c r="H10" s="28">
        <f>1/(1+Summary!$O$3)^D10</f>
        <v>0.67683936202868722</v>
      </c>
      <c r="I10" s="28">
        <f>Summary!$J$4*'R3'!H10*'R3'!G10</f>
        <v>8186.1765921870829</v>
      </c>
      <c r="L10" s="28" t="e">
        <f>IF(Summary!$F$4="M",VLOOKUP(C:C,#REF!,IF(B10&gt;2033,22,MATCH(B10,#REF!,0)),FALSE),VLOOKUP(C:C,#REF!,IF(B10&gt;2033,22,MATCH(B10,#REF!,0)),FALSE))</f>
        <v>#REF!</v>
      </c>
      <c r="M10" s="28" t="e">
        <f t="shared" si="4"/>
        <v>#REF!</v>
      </c>
      <c r="N10" s="28" t="e">
        <f t="shared" si="5"/>
        <v>#REF!</v>
      </c>
      <c r="O10" s="28" t="e">
        <f>Summary!$J$4*'R3'!N10*'R3'!H10</f>
        <v>#REF!</v>
      </c>
    </row>
    <row r="11" spans="1:16" ht="24" customHeight="1">
      <c r="B11" s="30">
        <f t="shared" si="2"/>
        <v>2028</v>
      </c>
      <c r="C11" s="28">
        <f t="shared" si="0"/>
        <v>66</v>
      </c>
      <c r="D11" s="28">
        <v>9</v>
      </c>
      <c r="E11" s="28">
        <f>VLOOKUP(C:C, 'Total Data Set'!B:J, IF(Summary!$F$4="M", 4, 8), FALSE)</f>
        <v>1.1916E-2</v>
      </c>
      <c r="F11" s="28">
        <f t="shared" si="1"/>
        <v>0.98808399999999996</v>
      </c>
      <c r="G11" s="28">
        <f t="shared" si="3"/>
        <v>0.92624377542440706</v>
      </c>
      <c r="H11" s="28">
        <f>1/(1+Summary!$O$3)^D11</f>
        <v>0.64460891621779726</v>
      </c>
      <c r="I11" s="28">
        <f>Summary!$J$4*'R3'!H11*'R3'!G11</f>
        <v>7710.497361311739</v>
      </c>
      <c r="L11" s="28" t="e">
        <f>IF(Summary!$F$4="M",VLOOKUP(C:C,#REF!,IF(B11&gt;2033,22,MATCH(B11,#REF!,0)),FALSE),VLOOKUP(C:C,#REF!,IF(B11&gt;2033,22,MATCH(B11,#REF!,0)),FALSE))</f>
        <v>#REF!</v>
      </c>
      <c r="M11" s="28" t="e">
        <f t="shared" si="4"/>
        <v>#REF!</v>
      </c>
      <c r="N11" s="28" t="e">
        <f t="shared" si="5"/>
        <v>#REF!</v>
      </c>
      <c r="O11" s="28" t="e">
        <f>Summary!$J$4*'R3'!N11*'R3'!H11</f>
        <v>#REF!</v>
      </c>
    </row>
    <row r="12" spans="1:16" ht="24" customHeight="1">
      <c r="B12" s="30">
        <f t="shared" si="2"/>
        <v>2029</v>
      </c>
      <c r="C12" s="28">
        <f t="shared" si="0"/>
        <v>67</v>
      </c>
      <c r="D12" s="28">
        <v>10</v>
      </c>
      <c r="E12" s="28">
        <f>VLOOKUP(C:C, 'Total Data Set'!B:J, IF(Summary!$F$4="M", 4, 8), FALSE)</f>
        <v>1.2930000000000001E-2</v>
      </c>
      <c r="F12" s="28">
        <f t="shared" si="1"/>
        <v>0.98707</v>
      </c>
      <c r="G12" s="28">
        <f t="shared" si="3"/>
        <v>0.91520665459644979</v>
      </c>
      <c r="H12" s="28">
        <f>1/(1+Summary!$O$3)^D12</f>
        <v>0.61391325354075932</v>
      </c>
      <c r="I12" s="28">
        <f>Summary!$J$4*'R3'!H12*'R3'!G12</f>
        <v>7255.8276902422358</v>
      </c>
      <c r="L12" s="28" t="e">
        <f>IF(Summary!$F$4="M",VLOOKUP(C:C,#REF!,IF(B12&gt;2033,22,MATCH(B12,#REF!,0)),FALSE),VLOOKUP(C:C,#REF!,IF(B12&gt;2033,22,MATCH(B12,#REF!,0)),FALSE))</f>
        <v>#REF!</v>
      </c>
      <c r="M12" s="28" t="e">
        <f t="shared" si="4"/>
        <v>#REF!</v>
      </c>
      <c r="N12" s="28" t="e">
        <f t="shared" si="5"/>
        <v>#REF!</v>
      </c>
      <c r="O12" s="28" t="e">
        <f>Summary!$J$4*'R3'!N12*'R3'!H12</f>
        <v>#REF!</v>
      </c>
    </row>
    <row r="13" spans="1:16" ht="24" customHeight="1">
      <c r="B13" s="30">
        <f t="shared" si="2"/>
        <v>2030</v>
      </c>
      <c r="C13" s="28">
        <f t="shared" si="0"/>
        <v>68</v>
      </c>
      <c r="D13" s="28">
        <v>11</v>
      </c>
      <c r="E13" s="28">
        <f>VLOOKUP(C:C, 'Total Data Set'!B:J, IF(Summary!$F$4="M", 4, 8), FALSE)</f>
        <v>1.4067E-2</v>
      </c>
      <c r="F13" s="28">
        <f t="shared" si="1"/>
        <v>0.98593299999999995</v>
      </c>
      <c r="G13" s="28">
        <f t="shared" si="3"/>
        <v>0.90337303255251766</v>
      </c>
      <c r="H13" s="28">
        <f>1/(1+Summary!$O$3)^D13</f>
        <v>0.5846792890864374</v>
      </c>
      <c r="I13" s="28">
        <f>Summary!$J$4*'R3'!H13*'R3'!G13</f>
        <v>6820.9617506737168</v>
      </c>
      <c r="L13" s="28" t="e">
        <f>IF(Summary!$F$4="M",VLOOKUP(C:C,#REF!,IF(B13&gt;2033,22,MATCH(B13,#REF!,0)),FALSE),VLOOKUP(C:C,#REF!,IF(B13&gt;2033,22,MATCH(B13,#REF!,0)),FALSE))</f>
        <v>#REF!</v>
      </c>
      <c r="M13" s="28" t="e">
        <f t="shared" si="4"/>
        <v>#REF!</v>
      </c>
      <c r="N13" s="28" t="e">
        <f t="shared" si="5"/>
        <v>#REF!</v>
      </c>
      <c r="O13" s="28" t="e">
        <f>Summary!$J$4*'R3'!N13*'R3'!H13</f>
        <v>#REF!</v>
      </c>
    </row>
    <row r="14" spans="1:16" ht="24" customHeight="1">
      <c r="B14" s="30">
        <f t="shared" si="2"/>
        <v>2031</v>
      </c>
      <c r="C14" s="28">
        <f t="shared" si="0"/>
        <v>69</v>
      </c>
      <c r="D14" s="28">
        <v>12</v>
      </c>
      <c r="E14" s="28">
        <f>VLOOKUP(C:C, 'Total Data Set'!B:J, IF(Summary!$F$4="M", 4, 8), FALSE)</f>
        <v>1.5342E-2</v>
      </c>
      <c r="F14" s="28">
        <f t="shared" si="1"/>
        <v>0.98465800000000003</v>
      </c>
      <c r="G14" s="28">
        <f t="shared" si="3"/>
        <v>0.89066528410360135</v>
      </c>
      <c r="H14" s="28">
        <f>1/(1+Summary!$O$3)^D14</f>
        <v>0.5568374181775595</v>
      </c>
      <c r="I14" s="28">
        <f>Summary!$J$4*'R3'!H14*'R3'!G14</f>
        <v>6404.7726492638003</v>
      </c>
      <c r="L14" s="28" t="e">
        <f>IF(Summary!$F$4="M",VLOOKUP(C:C,#REF!,IF(B14&gt;2033,22,MATCH(B14,#REF!,0)),FALSE),VLOOKUP(C:C,#REF!,IF(B14&gt;2033,22,MATCH(B14,#REF!,0)),FALSE))</f>
        <v>#REF!</v>
      </c>
      <c r="M14" s="28" t="e">
        <f t="shared" si="4"/>
        <v>#REF!</v>
      </c>
      <c r="N14" s="28" t="e">
        <f t="shared" si="5"/>
        <v>#REF!</v>
      </c>
      <c r="O14" s="28" t="e">
        <f>Summary!$J$4*'R3'!N14*'R3'!H14</f>
        <v>#REF!</v>
      </c>
    </row>
    <row r="15" spans="1:16" ht="24" customHeight="1">
      <c r="B15" s="30">
        <f t="shared" si="2"/>
        <v>2032</v>
      </c>
      <c r="C15" s="28">
        <f t="shared" si="0"/>
        <v>70</v>
      </c>
      <c r="D15" s="28">
        <v>13</v>
      </c>
      <c r="E15" s="28">
        <f>VLOOKUP(C:C, 'Total Data Set'!B:J, IF(Summary!$F$4="M", 4, 8), FALSE)</f>
        <v>1.6768999999999999E-2</v>
      </c>
      <c r="F15" s="28">
        <f t="shared" si="1"/>
        <v>0.98323099999999997</v>
      </c>
      <c r="G15" s="28">
        <f t="shared" si="3"/>
        <v>0.87700069731488395</v>
      </c>
      <c r="H15" s="28">
        <f>1/(1+Summary!$O$3)^D15</f>
        <v>0.53032135064529462</v>
      </c>
      <c r="I15" s="28">
        <f>Summary!$J$4*'R3'!H15*'R3'!G15</f>
        <v>6006.200597408375</v>
      </c>
      <c r="L15" s="28" t="e">
        <f>IF(Summary!$F$4="M",VLOOKUP(C:C,#REF!,IF(B15&gt;2033,22,MATCH(B15,#REF!,0)),FALSE),VLOOKUP(C:C,#REF!,IF(B15&gt;2033,22,MATCH(B15,#REF!,0)),FALSE))</f>
        <v>#REF!</v>
      </c>
      <c r="M15" s="28" t="e">
        <f t="shared" si="4"/>
        <v>#REF!</v>
      </c>
      <c r="N15" s="28" t="e">
        <f t="shared" si="5"/>
        <v>#REF!</v>
      </c>
      <c r="O15" s="28" t="e">
        <f>Summary!$J$4*'R3'!N15*'R3'!H15</f>
        <v>#REF!</v>
      </c>
    </row>
    <row r="16" spans="1:16" ht="24" customHeight="1">
      <c r="B16" s="30">
        <f t="shared" si="2"/>
        <v>2033</v>
      </c>
      <c r="C16" s="28">
        <f t="shared" si="0"/>
        <v>71</v>
      </c>
      <c r="D16" s="28">
        <v>14</v>
      </c>
      <c r="E16" s="28">
        <f>VLOOKUP(C:C, 'Total Data Set'!B:J, IF(Summary!$F$4="M", 4, 8), FALSE)</f>
        <v>1.8363000000000001E-2</v>
      </c>
      <c r="F16" s="28">
        <f t="shared" si="1"/>
        <v>0.98163699999999998</v>
      </c>
      <c r="G16" s="28">
        <f t="shared" si="3"/>
        <v>0.86229427262161062</v>
      </c>
      <c r="H16" s="28">
        <f>1/(1+Summary!$O$3)^D16</f>
        <v>0.50506795299551888</v>
      </c>
      <c r="I16" s="28">
        <f>Summary!$J$4*'R3'!H16*'R3'!G16</f>
        <v>5624.2691615147014</v>
      </c>
      <c r="L16" s="28" t="e">
        <f>IF(Summary!$F$4="M",VLOOKUP(C:C,#REF!,IF(B16&gt;2033,22,MATCH(B16,#REF!,0)),FALSE),VLOOKUP(C:C,#REF!,IF(B16&gt;2033,22,MATCH(B16,#REF!,0)),FALSE))</f>
        <v>#REF!</v>
      </c>
      <c r="M16" s="28" t="e">
        <f t="shared" si="4"/>
        <v>#REF!</v>
      </c>
      <c r="N16" s="28" t="e">
        <f t="shared" si="5"/>
        <v>#REF!</v>
      </c>
      <c r="O16" s="28" t="e">
        <f>Summary!$J$4*'R3'!N16*'R3'!H16</f>
        <v>#REF!</v>
      </c>
    </row>
    <row r="17" spans="2:15" ht="24" customHeight="1">
      <c r="B17" s="30">
        <f t="shared" si="2"/>
        <v>2034</v>
      </c>
      <c r="C17" s="28">
        <f t="shared" si="0"/>
        <v>72</v>
      </c>
      <c r="D17" s="28">
        <v>15</v>
      </c>
      <c r="E17" s="28">
        <f>VLOOKUP(C:C, 'Total Data Set'!B:J, IF(Summary!$F$4="M", 4, 8), FALSE)</f>
        <v>2.0140999999999999E-2</v>
      </c>
      <c r="F17" s="28">
        <f t="shared" si="1"/>
        <v>0.97985900000000004</v>
      </c>
      <c r="G17" s="28">
        <f t="shared" si="3"/>
        <v>0.84645996289345993</v>
      </c>
      <c r="H17" s="28">
        <f>1/(1+Summary!$O$3)^D17</f>
        <v>0.48101709809097021</v>
      </c>
      <c r="I17" s="28">
        <f>Summary!$J$4*'R3'!H17*'R3'!G17</f>
        <v>5258.0863875255282</v>
      </c>
      <c r="L17" s="28" t="e">
        <f>IF(Summary!$F$4="M",VLOOKUP(C:C,#REF!,IF(B17&gt;2033,22,MATCH(B17,#REF!,0)),FALSE),VLOOKUP(C:C,#REF!,IF(B17&gt;2033,22,MATCH(B17,#REF!,0)),FALSE))</f>
        <v>#REF!</v>
      </c>
      <c r="M17" s="28" t="e">
        <f t="shared" si="4"/>
        <v>#REF!</v>
      </c>
      <c r="N17" s="28" t="e">
        <f t="shared" si="5"/>
        <v>#REF!</v>
      </c>
      <c r="O17" s="28" t="e">
        <f>Summary!$J$4*'R3'!N17*'R3'!H17</f>
        <v>#REF!</v>
      </c>
    </row>
    <row r="18" spans="2:15" ht="24" customHeight="1">
      <c r="B18" s="30">
        <f t="shared" si="2"/>
        <v>2035</v>
      </c>
      <c r="C18" s="28">
        <f t="shared" si="0"/>
        <v>73</v>
      </c>
      <c r="D18" s="28">
        <v>16</v>
      </c>
      <c r="E18" s="28">
        <f>VLOOKUP(C:C, 'Total Data Set'!B:J, IF(Summary!$F$4="M", 4, 8), FALSE)</f>
        <v>2.2127000000000001E-2</v>
      </c>
      <c r="F18" s="28">
        <f t="shared" si="1"/>
        <v>0.97787299999999999</v>
      </c>
      <c r="G18" s="28">
        <f t="shared" si="3"/>
        <v>0.82941141278082275</v>
      </c>
      <c r="H18" s="28">
        <f>1/(1+Summary!$O$3)^D18</f>
        <v>0.45811152199140021</v>
      </c>
      <c r="I18" s="28">
        <f>Summary!$J$4*'R3'!H18*'R3'!G18</f>
        <v>4906.8412091375012</v>
      </c>
      <c r="L18" s="28" t="e">
        <f>IF(Summary!$F$4="M",VLOOKUP(C:C,#REF!,IF(B18&gt;2033,22,MATCH(B18,#REF!,0)),FALSE),VLOOKUP(C:C,#REF!,IF(B18&gt;2033,22,MATCH(B18,#REF!,0)),FALSE))</f>
        <v>#REF!</v>
      </c>
      <c r="M18" s="28" t="e">
        <f t="shared" si="4"/>
        <v>#REF!</v>
      </c>
      <c r="N18" s="28" t="e">
        <f t="shared" si="5"/>
        <v>#REF!</v>
      </c>
      <c r="O18" s="28" t="e">
        <f>Summary!$J$4*'R3'!N18*'R3'!H18</f>
        <v>#REF!</v>
      </c>
    </row>
    <row r="19" spans="2:15" ht="24" customHeight="1">
      <c r="B19" s="30">
        <f t="shared" si="2"/>
        <v>2036</v>
      </c>
      <c r="C19" s="28">
        <f t="shared" si="0"/>
        <v>74</v>
      </c>
      <c r="D19" s="28">
        <v>17</v>
      </c>
      <c r="E19" s="28">
        <f>VLOOKUP(C:C, 'Total Data Set'!B:J, IF(Summary!$F$4="M", 4, 8), FALSE)</f>
        <v>2.4344999999999999E-2</v>
      </c>
      <c r="F19" s="28">
        <f t="shared" si="1"/>
        <v>0.97565500000000005</v>
      </c>
      <c r="G19" s="28">
        <f t="shared" si="3"/>
        <v>0.81105902645022143</v>
      </c>
      <c r="H19" s="28">
        <f>1/(1+Summary!$O$3)^D19</f>
        <v>0.43629668761085727</v>
      </c>
      <c r="I19" s="28">
        <f>Summary!$J$4*'R3'!H19*'R3'!G19</f>
        <v>4569.7786035265854</v>
      </c>
      <c r="L19" s="28" t="e">
        <f>IF(Summary!$F$4="M",VLOOKUP(C:C,#REF!,IF(B19&gt;2033,22,MATCH(B19,#REF!,0)),FALSE),VLOOKUP(C:C,#REF!,IF(B19&gt;2033,22,MATCH(B19,#REF!,0)),FALSE))</f>
        <v>#REF!</v>
      </c>
      <c r="M19" s="28" t="e">
        <f t="shared" si="4"/>
        <v>#REF!</v>
      </c>
      <c r="N19" s="28" t="e">
        <f t="shared" si="5"/>
        <v>#REF!</v>
      </c>
      <c r="O19" s="28" t="e">
        <f>Summary!$J$4*'R3'!N19*'R3'!H19</f>
        <v>#REF!</v>
      </c>
    </row>
    <row r="20" spans="2:15" ht="24" customHeight="1">
      <c r="B20" s="30">
        <f t="shared" si="2"/>
        <v>2037</v>
      </c>
      <c r="C20" s="28">
        <f t="shared" si="0"/>
        <v>75</v>
      </c>
      <c r="D20" s="28">
        <v>18</v>
      </c>
      <c r="E20" s="28">
        <f>VLOOKUP(C:C, 'Total Data Set'!B:J, IF(Summary!$F$4="M", 4, 8), FALSE)</f>
        <v>2.6825999999999999E-2</v>
      </c>
      <c r="F20" s="28">
        <f t="shared" si="1"/>
        <v>0.97317399999999998</v>
      </c>
      <c r="G20" s="28">
        <f t="shared" si="3"/>
        <v>0.7913137944512908</v>
      </c>
      <c r="H20" s="28">
        <f>1/(1+Summary!$O$3)^D20</f>
        <v>0.41552065486748313</v>
      </c>
      <c r="I20" s="28">
        <f>Summary!$J$4*'R3'!H20*'R3'!G20</f>
        <v>4246.2165175464106</v>
      </c>
      <c r="L20" s="28" t="e">
        <f>IF(Summary!$F$4="M",VLOOKUP(C:C,#REF!,IF(B20&gt;2033,22,MATCH(B20,#REF!,0)),FALSE),VLOOKUP(C:C,#REF!,IF(B20&gt;2033,22,MATCH(B20,#REF!,0)),FALSE))</f>
        <v>#REF!</v>
      </c>
      <c r="M20" s="28" t="e">
        <f t="shared" si="4"/>
        <v>#REF!</v>
      </c>
      <c r="N20" s="28" t="e">
        <f t="shared" si="5"/>
        <v>#REF!</v>
      </c>
      <c r="O20" s="28" t="e">
        <f>Summary!$J$4*'R3'!N20*'R3'!H20</f>
        <v>#REF!</v>
      </c>
    </row>
    <row r="21" spans="2:15" ht="24" customHeight="1">
      <c r="B21" s="30">
        <f t="shared" si="2"/>
        <v>2038</v>
      </c>
      <c r="C21" s="28">
        <f t="shared" si="0"/>
        <v>76</v>
      </c>
      <c r="D21" s="28">
        <v>19</v>
      </c>
      <c r="E21" s="28">
        <f>VLOOKUP(C:C, 'Total Data Set'!B:J, IF(Summary!$F$4="M", 4, 8), FALSE)</f>
        <v>2.9607999999999999E-2</v>
      </c>
      <c r="F21" s="28">
        <f t="shared" si="1"/>
        <v>0.97039200000000003</v>
      </c>
      <c r="G21" s="28">
        <f t="shared" si="3"/>
        <v>0.77008601060134041</v>
      </c>
      <c r="H21" s="28">
        <f>1/(1+Summary!$O$3)^D21</f>
        <v>0.39573395701665059</v>
      </c>
      <c r="I21" s="28">
        <f>Summary!$J$4*'R3'!H21*'R3'!G21</f>
        <v>3935.5309649968672</v>
      </c>
      <c r="L21" s="28" t="e">
        <f>IF(Summary!$F$4="M",VLOOKUP(C:C,#REF!,IF(B21&gt;2033,22,MATCH(B21,#REF!,0)),FALSE),VLOOKUP(C:C,#REF!,IF(B21&gt;2033,22,MATCH(B21,#REF!,0)),FALSE))</f>
        <v>#REF!</v>
      </c>
      <c r="M21" s="28" t="e">
        <f t="shared" si="4"/>
        <v>#REF!</v>
      </c>
      <c r="N21" s="28" t="e">
        <f t="shared" si="5"/>
        <v>#REF!</v>
      </c>
      <c r="O21" s="28" t="e">
        <f>Summary!$J$4*'R3'!N21*'R3'!H21</f>
        <v>#REF!</v>
      </c>
    </row>
    <row r="22" spans="2:15" ht="24" customHeight="1">
      <c r="B22" s="30">
        <f t="shared" si="2"/>
        <v>2039</v>
      </c>
      <c r="C22" s="28">
        <f t="shared" si="0"/>
        <v>77</v>
      </c>
      <c r="D22" s="28">
        <v>20</v>
      </c>
      <c r="E22" s="28">
        <f>VLOOKUP(C:C, 'Total Data Set'!B:J, IF(Summary!$F$4="M", 4, 8), FALSE)</f>
        <v>3.2735E-2</v>
      </c>
      <c r="F22" s="28">
        <f t="shared" si="1"/>
        <v>0.96726500000000004</v>
      </c>
      <c r="G22" s="28">
        <f t="shared" si="3"/>
        <v>0.74728530399945592</v>
      </c>
      <c r="H22" s="28">
        <f>1/(1+Summary!$O$3)^D22</f>
        <v>0.37688948287300061</v>
      </c>
      <c r="I22" s="28">
        <f>Summary!$J$4*'R3'!H22*'R3'!G22</f>
        <v>3637.1502516049904</v>
      </c>
      <c r="L22" s="28" t="e">
        <f>IF(Summary!$F$4="M",VLOOKUP(C:C,#REF!,IF(B22&gt;2033,22,MATCH(B22,#REF!,0)),FALSE),VLOOKUP(C:C,#REF!,IF(B22&gt;2033,22,MATCH(B22,#REF!,0)),FALSE))</f>
        <v>#REF!</v>
      </c>
      <c r="M22" s="28" t="e">
        <f t="shared" si="4"/>
        <v>#REF!</v>
      </c>
      <c r="N22" s="28" t="e">
        <f t="shared" si="5"/>
        <v>#REF!</v>
      </c>
      <c r="O22" s="28" t="e">
        <f>Summary!$J$4*'R3'!N22*'R3'!H22</f>
        <v>#REF!</v>
      </c>
    </row>
    <row r="23" spans="2:15" ht="24" customHeight="1">
      <c r="B23" s="30">
        <f t="shared" si="2"/>
        <v>2040</v>
      </c>
      <c r="C23" s="28">
        <f t="shared" si="0"/>
        <v>78</v>
      </c>
      <c r="D23" s="28">
        <v>21</v>
      </c>
      <c r="E23" s="28">
        <f>VLOOKUP(C:C, 'Total Data Set'!B:J, IF(Summary!$F$4="M", 4, 8), FALSE)</f>
        <v>3.6257999999999999E-2</v>
      </c>
      <c r="F23" s="28">
        <f t="shared" si="1"/>
        <v>0.96374199999999999</v>
      </c>
      <c r="G23" s="28">
        <f t="shared" si="3"/>
        <v>0.7228229195730338</v>
      </c>
      <c r="H23" s="28">
        <f>1/(1+Summary!$O$3)^D23</f>
        <v>0.35894236464095297</v>
      </c>
      <c r="I23" s="28">
        <f>Summary!$J$4*'R3'!H23*'R3'!G23</f>
        <v>3350.5601315416206</v>
      </c>
      <c r="L23" s="28" t="e">
        <f>IF(Summary!$F$4="M",VLOOKUP(C:C,#REF!,IF(B23&gt;2033,22,MATCH(B23,#REF!,0)),FALSE),VLOOKUP(C:C,#REF!,IF(B23&gt;2033,22,MATCH(B23,#REF!,0)),FALSE))</f>
        <v>#REF!</v>
      </c>
      <c r="M23" s="28" t="e">
        <f t="shared" si="4"/>
        <v>#REF!</v>
      </c>
      <c r="N23" s="28" t="e">
        <f t="shared" si="5"/>
        <v>#REF!</v>
      </c>
      <c r="O23" s="28" t="e">
        <f>Summary!$J$4*'R3'!N23*'R3'!H23</f>
        <v>#REF!</v>
      </c>
    </row>
    <row r="24" spans="2:15" ht="24" customHeight="1">
      <c r="B24" s="30">
        <f t="shared" si="2"/>
        <v>2041</v>
      </c>
      <c r="C24" s="28">
        <f t="shared" si="0"/>
        <v>79</v>
      </c>
      <c r="D24" s="28">
        <v>22</v>
      </c>
      <c r="E24" s="28">
        <f>VLOOKUP(C:C, 'Total Data Set'!B:J, IF(Summary!$F$4="M", 4, 8), FALSE)</f>
        <v>4.0231999999999997E-2</v>
      </c>
      <c r="F24" s="28">
        <f t="shared" si="1"/>
        <v>0.95976799999999995</v>
      </c>
      <c r="G24" s="28">
        <f t="shared" si="3"/>
        <v>0.6966148061551547</v>
      </c>
      <c r="H24" s="28">
        <f>1/(1+Summary!$O$3)^D24</f>
        <v>0.3418498710866219</v>
      </c>
      <c r="I24" s="28">
        <f>Summary!$J$4*'R3'!H24*'R3'!G24</f>
        <v>3075.3100212306517</v>
      </c>
      <c r="L24" s="28" t="e">
        <f>IF(Summary!$F$4="M",VLOOKUP(C:C,#REF!,IF(B24&gt;2033,22,MATCH(B24,#REF!,0)),FALSE),VLOOKUP(C:C,#REF!,IF(B24&gt;2033,22,MATCH(B24,#REF!,0)),FALSE))</f>
        <v>#REF!</v>
      </c>
      <c r="M24" s="28" t="e">
        <f t="shared" si="4"/>
        <v>#REF!</v>
      </c>
      <c r="N24" s="28" t="e">
        <f t="shared" si="5"/>
        <v>#REF!</v>
      </c>
      <c r="O24" s="28" t="e">
        <f>Summary!$J$4*'R3'!N24*'R3'!H24</f>
        <v>#REF!</v>
      </c>
    </row>
    <row r="25" spans="2:15" ht="24" customHeight="1">
      <c r="B25" s="30">
        <f t="shared" si="2"/>
        <v>2042</v>
      </c>
      <c r="C25" s="28">
        <f t="shared" si="0"/>
        <v>80</v>
      </c>
      <c r="D25" s="28">
        <v>23</v>
      </c>
      <c r="E25" s="28">
        <f>VLOOKUP(C:C, 'Total Data Set'!B:J, IF(Summary!$F$4="M", 4, 8), FALSE)</f>
        <v>4.4721999999999998E-2</v>
      </c>
      <c r="F25" s="28">
        <f t="shared" si="1"/>
        <v>0.95527799999999996</v>
      </c>
      <c r="G25" s="28">
        <f t="shared" si="3"/>
        <v>0.66858859927392045</v>
      </c>
      <c r="H25" s="28">
        <f>1/(1+Summary!$O$3)^D25</f>
        <v>0.32557130579678267</v>
      </c>
      <c r="I25" s="28">
        <f>Summary!$J$4*'R3'!H25*'R3'!G25</f>
        <v>2811.032522339523</v>
      </c>
      <c r="L25" s="28" t="e">
        <f>IF(Summary!$F$4="M",VLOOKUP(C:C,#REF!,IF(B25&gt;2033,22,MATCH(B25,#REF!,0)),FALSE),VLOOKUP(C:C,#REF!,IF(B25&gt;2033,22,MATCH(B25,#REF!,0)),FALSE))</f>
        <v>#REF!</v>
      </c>
      <c r="M25" s="28" t="e">
        <f t="shared" si="4"/>
        <v>#REF!</v>
      </c>
      <c r="N25" s="28" t="e">
        <f t="shared" si="5"/>
        <v>#REF!</v>
      </c>
      <c r="O25" s="28" t="e">
        <f>Summary!$J$4*'R3'!N25*'R3'!H25</f>
        <v>#REF!</v>
      </c>
    </row>
    <row r="26" spans="2:15" ht="24" customHeight="1">
      <c r="B26" s="30">
        <f t="shared" si="2"/>
        <v>2043</v>
      </c>
      <c r="C26" s="28">
        <f t="shared" si="0"/>
        <v>81</v>
      </c>
      <c r="D26" s="28">
        <v>24</v>
      </c>
      <c r="E26" s="28">
        <f>VLOOKUP(C:C, 'Total Data Set'!B:J, IF(Summary!$F$4="M", 4, 8), FALSE)</f>
        <v>4.9794999999999999E-2</v>
      </c>
      <c r="F26" s="28">
        <f t="shared" si="1"/>
        <v>0.95020499999999997</v>
      </c>
      <c r="G26" s="28">
        <f t="shared" si="3"/>
        <v>0.63868797993719217</v>
      </c>
      <c r="H26" s="28">
        <f>1/(1+Summary!$O$3)^D26</f>
        <v>0.31006791028265024</v>
      </c>
      <c r="I26" s="28">
        <f>Summary!$J$4*'R3'!H26*'R3'!G26</f>
        <v>2557.445262738529</v>
      </c>
      <c r="L26" s="28" t="e">
        <f>IF(Summary!$F$4="M",VLOOKUP(C:C,#REF!,IF(B26&gt;2033,22,MATCH(B26,#REF!,0)),FALSE),VLOOKUP(C:C,#REF!,IF(B26&gt;2033,22,MATCH(B26,#REF!,0)),FALSE))</f>
        <v>#REF!</v>
      </c>
      <c r="M26" s="28" t="e">
        <f t="shared" si="4"/>
        <v>#REF!</v>
      </c>
      <c r="N26" s="28" t="e">
        <f t="shared" si="5"/>
        <v>#REF!</v>
      </c>
      <c r="O26" s="28" t="e">
        <f>Summary!$J$4*'R3'!N26*'R3'!H26</f>
        <v>#REF!</v>
      </c>
    </row>
    <row r="27" spans="2:15" ht="24" customHeight="1">
      <c r="B27" s="30">
        <f t="shared" si="2"/>
        <v>2044</v>
      </c>
      <c r="C27" s="28">
        <f t="shared" si="0"/>
        <v>82</v>
      </c>
      <c r="D27" s="28">
        <v>25</v>
      </c>
      <c r="E27" s="28">
        <f>VLOOKUP(C:C, 'Total Data Set'!B:J, IF(Summary!$F$4="M", 4, 8), FALSE)</f>
        <v>5.5525999999999999E-2</v>
      </c>
      <c r="F27" s="28">
        <f t="shared" si="1"/>
        <v>0.94447400000000004</v>
      </c>
      <c r="G27" s="28">
        <f t="shared" si="3"/>
        <v>0.60688451197621962</v>
      </c>
      <c r="H27" s="28">
        <f>1/(1+Summary!$O$3)^D27</f>
        <v>0.29530277169776209</v>
      </c>
      <c r="I27" s="28">
        <f>Summary!$J$4*'R3'!H27*'R3'!G27</f>
        <v>2314.3783579813935</v>
      </c>
      <c r="L27" s="28" t="e">
        <f>IF(Summary!$F$4="M",VLOOKUP(C:C,#REF!,IF(B27&gt;2033,22,MATCH(B27,#REF!,0)),FALSE),VLOOKUP(C:C,#REF!,IF(B27&gt;2033,22,MATCH(B27,#REF!,0)),FALSE))</f>
        <v>#REF!</v>
      </c>
      <c r="M27" s="28" t="e">
        <f t="shared" si="4"/>
        <v>#REF!</v>
      </c>
      <c r="N27" s="28" t="e">
        <f t="shared" si="5"/>
        <v>#REF!</v>
      </c>
      <c r="O27" s="28" t="e">
        <f>Summary!$J$4*'R3'!N27*'R3'!H27</f>
        <v>#REF!</v>
      </c>
    </row>
    <row r="28" spans="2:15" ht="24" customHeight="1">
      <c r="B28" s="30">
        <f t="shared" si="2"/>
        <v>2045</v>
      </c>
      <c r="C28" s="28">
        <f t="shared" si="0"/>
        <v>83</v>
      </c>
      <c r="D28" s="28">
        <v>26</v>
      </c>
      <c r="E28" s="28">
        <f>VLOOKUP(C:C, 'Total Data Set'!B:J, IF(Summary!$F$4="M", 4, 8), FALSE)</f>
        <v>6.1996000000000002E-2</v>
      </c>
      <c r="F28" s="28">
        <f t="shared" si="1"/>
        <v>0.93800399999999995</v>
      </c>
      <c r="G28" s="28">
        <f t="shared" si="3"/>
        <v>0.57318664256422802</v>
      </c>
      <c r="H28" s="28">
        <f>1/(1+Summary!$O$3)^D28</f>
        <v>0.28124073495024959</v>
      </c>
      <c r="I28" s="28">
        <f>Summary!$J$4*'R3'!H28*'R3'!G28</f>
        <v>2081.7811288343987</v>
      </c>
      <c r="L28" s="28" t="e">
        <f>IF(Summary!$F$4="M",VLOOKUP(C:C,#REF!,IF(B28&gt;2033,22,MATCH(B28,#REF!,0)),FALSE),VLOOKUP(C:C,#REF!,IF(B28&gt;2033,22,MATCH(B28,#REF!,0)),FALSE))</f>
        <v>#REF!</v>
      </c>
      <c r="M28" s="28" t="e">
        <f t="shared" si="4"/>
        <v>#REF!</v>
      </c>
      <c r="N28" s="28" t="e">
        <f t="shared" si="5"/>
        <v>#REF!</v>
      </c>
      <c r="O28" s="28" t="e">
        <f>Summary!$J$4*'R3'!N28*'R3'!H28</f>
        <v>#REF!</v>
      </c>
    </row>
    <row r="29" spans="2:15" ht="24" customHeight="1">
      <c r="B29" s="30">
        <f t="shared" si="2"/>
        <v>2046</v>
      </c>
      <c r="C29" s="28">
        <f t="shared" si="0"/>
        <v>84</v>
      </c>
      <c r="D29" s="28">
        <v>27</v>
      </c>
      <c r="E29" s="28">
        <f>VLOOKUP(C:C, 'Total Data Set'!B:J, IF(Summary!$F$4="M", 4, 8), FALSE)</f>
        <v>6.9290000000000004E-2</v>
      </c>
      <c r="F29" s="28">
        <f t="shared" si="1"/>
        <v>0.93071000000000004</v>
      </c>
      <c r="G29" s="28">
        <f t="shared" si="3"/>
        <v>0.53765136347181608</v>
      </c>
      <c r="H29" s="28">
        <f>1/(1+Summary!$O$3)^D29</f>
        <v>0.2678483190002377</v>
      </c>
      <c r="I29" s="28">
        <f>Summary!$J$4*'R3'!H29*'R3'!G29</f>
        <v>1859.732405686839</v>
      </c>
      <c r="L29" s="28" t="e">
        <f>IF(Summary!$F$4="M",VLOOKUP(C:C,#REF!,IF(B29&gt;2033,22,MATCH(B29,#REF!,0)),FALSE),VLOOKUP(C:C,#REF!,IF(B29&gt;2033,22,MATCH(B29,#REF!,0)),FALSE))</f>
        <v>#REF!</v>
      </c>
      <c r="M29" s="28" t="e">
        <f t="shared" si="4"/>
        <v>#REF!</v>
      </c>
      <c r="N29" s="28" t="e">
        <f t="shared" si="5"/>
        <v>#REF!</v>
      </c>
      <c r="O29" s="28" t="e">
        <f>Summary!$J$4*'R3'!N29*'R3'!H29</f>
        <v>#REF!</v>
      </c>
    </row>
    <row r="30" spans="2:15" ht="24" customHeight="1">
      <c r="B30" s="30">
        <f t="shared" si="2"/>
        <v>2047</v>
      </c>
      <c r="C30" s="28">
        <f t="shared" si="0"/>
        <v>85</v>
      </c>
      <c r="D30" s="28">
        <v>28</v>
      </c>
      <c r="E30" s="28">
        <f>VLOOKUP(C:C, 'Total Data Set'!B:J, IF(Summary!$F$4="M", 4, 8), FALSE)</f>
        <v>7.7496999999999996E-2</v>
      </c>
      <c r="F30" s="28">
        <f t="shared" si="1"/>
        <v>0.92250299999999996</v>
      </c>
      <c r="G30" s="28">
        <f t="shared" si="3"/>
        <v>0.50039750049685394</v>
      </c>
      <c r="H30" s="28">
        <f>1/(1+Summary!$O$3)^D30</f>
        <v>0.25509363714308358</v>
      </c>
      <c r="I30" s="28">
        <f>Summary!$J$4*'R3'!H30*'R3'!G30</f>
        <v>1648.4490926636176</v>
      </c>
      <c r="L30" s="28" t="e">
        <f>IF(Summary!$F$4="M",VLOOKUP(C:C,#REF!,IF(B30&gt;2033,22,MATCH(B30,#REF!,0)),FALSE),VLOOKUP(C:C,#REF!,IF(B30&gt;2033,22,MATCH(B30,#REF!,0)),FALSE))</f>
        <v>#REF!</v>
      </c>
      <c r="M30" s="28" t="e">
        <f t="shared" si="4"/>
        <v>#REF!</v>
      </c>
      <c r="N30" s="28" t="e">
        <f t="shared" si="5"/>
        <v>#REF!</v>
      </c>
      <c r="O30" s="28" t="e">
        <f>Summary!$J$4*'R3'!N30*'R3'!H30</f>
        <v>#REF!</v>
      </c>
    </row>
    <row r="31" spans="2:15" ht="24" customHeight="1">
      <c r="B31" s="30">
        <f t="shared" si="2"/>
        <v>2048</v>
      </c>
      <c r="C31" s="28">
        <f t="shared" si="0"/>
        <v>86</v>
      </c>
      <c r="D31" s="28">
        <v>29</v>
      </c>
      <c r="E31" s="28">
        <f>VLOOKUP(C:C, 'Total Data Set'!B:J, IF(Summary!$F$4="M", 4, 8), FALSE)</f>
        <v>8.6711999999999997E-2</v>
      </c>
      <c r="F31" s="28">
        <f t="shared" si="1"/>
        <v>0.91328799999999999</v>
      </c>
      <c r="G31" s="28">
        <f t="shared" si="3"/>
        <v>0.46161819540084925</v>
      </c>
      <c r="H31" s="28">
        <f>1/(1+Summary!$O$3)^D31</f>
        <v>0.24294632108865097</v>
      </c>
      <c r="I31" s="28">
        <f>Summary!$J$4*'R3'!H31*'R3'!G31</f>
        <v>1448.2849841232999</v>
      </c>
      <c r="L31" s="28" t="e">
        <f>IF(Summary!$F$4="M",VLOOKUP(C:C,#REF!,IF(B31&gt;2033,22,MATCH(B31,#REF!,0)),FALSE),VLOOKUP(C:C,#REF!,IF(B31&gt;2033,22,MATCH(B31,#REF!,0)),FALSE))</f>
        <v>#REF!</v>
      </c>
      <c r="M31" s="28" t="e">
        <f t="shared" si="4"/>
        <v>#REF!</v>
      </c>
      <c r="N31" s="28" t="e">
        <f t="shared" si="5"/>
        <v>#REF!</v>
      </c>
      <c r="O31" s="28" t="e">
        <f>Summary!$J$4*'R3'!N31*'R3'!H31</f>
        <v>#REF!</v>
      </c>
    </row>
    <row r="32" spans="2:15" ht="24" customHeight="1">
      <c r="B32" s="30">
        <f t="shared" si="2"/>
        <v>2049</v>
      </c>
      <c r="C32" s="28">
        <f t="shared" si="0"/>
        <v>87</v>
      </c>
      <c r="D32" s="28">
        <v>30</v>
      </c>
      <c r="E32" s="28">
        <f>VLOOKUP(C:C, 'Total Data Set'!B:J, IF(Summary!$F$4="M", 4, 8), FALSE)</f>
        <v>9.7037999999999999E-2</v>
      </c>
      <c r="F32" s="28">
        <f t="shared" si="1"/>
        <v>0.90296200000000004</v>
      </c>
      <c r="G32" s="28">
        <f t="shared" si="3"/>
        <v>0.42159035844125081</v>
      </c>
      <c r="H32" s="28">
        <f>1/(1+Summary!$O$3)^D32</f>
        <v>0.23137744865585813</v>
      </c>
      <c r="I32" s="28">
        <f>Summary!$J$4*'R3'!H32*'R3'!G32</f>
        <v>1259.7155205523816</v>
      </c>
      <c r="L32" s="28" t="e">
        <f>IF(Summary!$F$4="M",VLOOKUP(C:C,#REF!,IF(B32&gt;2033,22,MATCH(B32,#REF!,0)),FALSE),VLOOKUP(C:C,#REF!,IF(B32&gt;2033,22,MATCH(B32,#REF!,0)),FALSE))</f>
        <v>#REF!</v>
      </c>
      <c r="M32" s="28" t="e">
        <f t="shared" si="4"/>
        <v>#REF!</v>
      </c>
      <c r="N32" s="28" t="e">
        <f t="shared" si="5"/>
        <v>#REF!</v>
      </c>
      <c r="O32" s="28" t="e">
        <f>Summary!$J$4*'R3'!N32*'R3'!H32</f>
        <v>#REF!</v>
      </c>
    </row>
    <row r="33" spans="2:15" ht="24" customHeight="1">
      <c r="B33" s="30">
        <f t="shared" si="2"/>
        <v>2050</v>
      </c>
      <c r="C33" s="28">
        <f t="shared" si="0"/>
        <v>88</v>
      </c>
      <c r="D33" s="28">
        <v>31</v>
      </c>
      <c r="E33" s="28">
        <f>VLOOKUP(C:C, 'Total Data Set'!B:J, IF(Summary!$F$4="M", 4, 8), FALSE)</f>
        <v>0.10859099999999999</v>
      </c>
      <c r="F33" s="28">
        <f t="shared" si="1"/>
        <v>0.89140900000000001</v>
      </c>
      <c r="G33" s="28">
        <f t="shared" si="3"/>
        <v>0.38068007323882874</v>
      </c>
      <c r="H33" s="28">
        <f>1/(1+Summary!$O$3)^D33</f>
        <v>0.220359474910341</v>
      </c>
      <c r="I33" s="28">
        <f>Summary!$J$4*'R3'!H33*'R3'!G33</f>
        <v>1083.3097579704943</v>
      </c>
      <c r="L33" s="28" t="e">
        <f>IF(Summary!$F$4="M",VLOOKUP(C:C,#REF!,IF(B33&gt;2033,22,MATCH(B33,#REF!,0)),FALSE),VLOOKUP(C:C,#REF!,IF(B33&gt;2033,22,MATCH(B33,#REF!,0)),FALSE))</f>
        <v>#REF!</v>
      </c>
      <c r="M33" s="28" t="e">
        <f t="shared" si="4"/>
        <v>#REF!</v>
      </c>
      <c r="N33" s="28" t="e">
        <f t="shared" si="5"/>
        <v>#REF!</v>
      </c>
      <c r="O33" s="28" t="e">
        <f>Summary!$J$4*'R3'!N33*'R3'!H33</f>
        <v>#REF!</v>
      </c>
    </row>
    <row r="34" spans="2:15" ht="24" customHeight="1">
      <c r="B34" s="30">
        <f t="shared" si="2"/>
        <v>2051</v>
      </c>
      <c r="C34" s="28">
        <f t="shared" si="0"/>
        <v>89</v>
      </c>
      <c r="D34" s="28">
        <v>32</v>
      </c>
      <c r="E34" s="28">
        <f>VLOOKUP(C:C, 'Total Data Set'!B:J, IF(Summary!$F$4="M", 4, 8), FALSE)</f>
        <v>0.121499</v>
      </c>
      <c r="F34" s="28">
        <f t="shared" si="1"/>
        <v>0.87850099999999998</v>
      </c>
      <c r="G34" s="28">
        <f t="shared" si="3"/>
        <v>0.33934164340575107</v>
      </c>
      <c r="H34" s="28">
        <f>1/(1+Summary!$O$3)^D34</f>
        <v>0.20986616658127716</v>
      </c>
      <c r="I34" s="28">
        <f>Summary!$J$4*'R3'!H34*'R3'!G34</f>
        <v>919.68768385020996</v>
      </c>
      <c r="L34" s="28" t="e">
        <f>IF(Summary!$F$4="M",VLOOKUP(C:C,#REF!,IF(B34&gt;2033,22,MATCH(B34,#REF!,0)),FALSE),VLOOKUP(C:C,#REF!,IF(B34&gt;2033,22,MATCH(B34,#REF!,0)),FALSE))</f>
        <v>#REF!</v>
      </c>
      <c r="M34" s="28" t="e">
        <f t="shared" si="4"/>
        <v>#REF!</v>
      </c>
      <c r="N34" s="28" t="e">
        <f t="shared" si="5"/>
        <v>#REF!</v>
      </c>
      <c r="O34" s="28" t="e">
        <f>Summary!$J$4*'R3'!N34*'R3'!H34</f>
        <v>#REF!</v>
      </c>
    </row>
    <row r="35" spans="2:15" ht="24" customHeight="1">
      <c r="B35" s="30">
        <f t="shared" si="2"/>
        <v>2052</v>
      </c>
      <c r="C35" s="28">
        <f t="shared" si="0"/>
        <v>90</v>
      </c>
      <c r="D35" s="28">
        <v>33</v>
      </c>
      <c r="E35" s="28">
        <f>VLOOKUP(C:C, 'Total Data Set'!B:J, IF(Summary!$F$4="M", 4, 8), FALSE)</f>
        <v>0.135908</v>
      </c>
      <c r="F35" s="28">
        <f t="shared" si="1"/>
        <v>0.86409199999999997</v>
      </c>
      <c r="G35" s="28">
        <f t="shared" si="3"/>
        <v>0.29811197307359572</v>
      </c>
      <c r="H35" s="28">
        <f>1/(1+Summary!$O$3)^D35</f>
        <v>0.19987253960121634</v>
      </c>
      <c r="I35" s="28">
        <f>Summary!$J$4*'R3'!H35*'R3'!G35</f>
        <v>769.47290471437464</v>
      </c>
      <c r="L35" s="28" t="e">
        <f>IF(Summary!$F$4="M",VLOOKUP(C:C,#REF!,IF(B35&gt;2033,22,MATCH(B35,#REF!,0)),FALSE),VLOOKUP(C:C,#REF!,IF(B35&gt;2033,22,MATCH(B35,#REF!,0)),FALSE))</f>
        <v>#REF!</v>
      </c>
      <c r="M35" s="28" t="e">
        <f t="shared" si="4"/>
        <v>#REF!</v>
      </c>
      <c r="N35" s="28" t="e">
        <f t="shared" si="5"/>
        <v>#REF!</v>
      </c>
      <c r="O35" s="28" t="e">
        <f>Summary!$J$4*'R3'!N35*'R3'!H35</f>
        <v>#REF!</v>
      </c>
    </row>
    <row r="36" spans="2:15" ht="24" customHeight="1">
      <c r="B36" s="30">
        <f t="shared" si="2"/>
        <v>2053</v>
      </c>
      <c r="C36" s="28">
        <f t="shared" si="0"/>
        <v>91</v>
      </c>
      <c r="D36" s="28">
        <v>34</v>
      </c>
      <c r="E36" s="28">
        <f>VLOOKUP(C:C, 'Total Data Set'!B:J, IF(Summary!$F$4="M", 4, 8), FALSE)</f>
        <v>0.15132200000000001</v>
      </c>
      <c r="F36" s="28">
        <f t="shared" si="1"/>
        <v>0.84867800000000004</v>
      </c>
      <c r="G36" s="28">
        <f t="shared" ref="G36:G65" si="6">G35*F35</f>
        <v>0.25759617103710947</v>
      </c>
      <c r="H36" s="28">
        <f>1/(1+Summary!$O$3)^D36</f>
        <v>0.19035479962020604</v>
      </c>
      <c r="I36" s="28">
        <f>Summary!$J$4*'R3'!H36*'R3'!G36</f>
        <v>633.23369636233656</v>
      </c>
      <c r="L36" s="28" t="e">
        <f>IF(Summary!$F$4="M",VLOOKUP(C:C,#REF!,IF(B36&gt;2033,22,MATCH(B36,#REF!,0)),FALSE),VLOOKUP(C:C,#REF!,IF(B36&gt;2033,22,MATCH(B36,#REF!,0)),FALSE))</f>
        <v>#REF!</v>
      </c>
      <c r="M36" s="28" t="e">
        <f t="shared" si="4"/>
        <v>#REF!</v>
      </c>
      <c r="N36" s="28" t="e">
        <f t="shared" si="5"/>
        <v>#REF!</v>
      </c>
      <c r="O36" s="28" t="e">
        <f>Summary!$J$4*'R3'!N36*'R3'!H36</f>
        <v>#REF!</v>
      </c>
    </row>
    <row r="37" spans="2:15" ht="24" customHeight="1">
      <c r="B37" s="30">
        <f t="shared" si="2"/>
        <v>2054</v>
      </c>
      <c r="C37" s="28">
        <f t="shared" si="0"/>
        <v>92</v>
      </c>
      <c r="D37" s="28">
        <v>35</v>
      </c>
      <c r="E37" s="28">
        <f>VLOOKUP(C:C, 'Total Data Set'!B:J, IF(Summary!$F$4="M", 4, 8), FALSE)</f>
        <v>0.16742199999999999</v>
      </c>
      <c r="F37" s="28">
        <f t="shared" si="1"/>
        <v>0.83257800000000004</v>
      </c>
      <c r="G37" s="28">
        <f t="shared" si="6"/>
        <v>0.21861620324343201</v>
      </c>
      <c r="H37" s="28">
        <f>1/(1+Summary!$O$3)^D37</f>
        <v>0.18129028535257716</v>
      </c>
      <c r="I37" s="28">
        <f>Summary!$J$4*'R3'!H37*'R3'!G37</f>
        <v>511.82048282037624</v>
      </c>
      <c r="L37" s="28" t="e">
        <f>IF(Summary!$F$4="M",VLOOKUP(C:C,#REF!,IF(B37&gt;2033,22,MATCH(B37,#REF!,0)),FALSE),VLOOKUP(C:C,#REF!,IF(B37&gt;2033,22,MATCH(B37,#REF!,0)),FALSE))</f>
        <v>#REF!</v>
      </c>
      <c r="M37" s="28" t="e">
        <f t="shared" si="4"/>
        <v>#REF!</v>
      </c>
      <c r="N37" s="28" t="e">
        <f t="shared" si="5"/>
        <v>#REF!</v>
      </c>
      <c r="O37" s="28" t="e">
        <f>Summary!$J$4*'R3'!N37*'R3'!H37</f>
        <v>#REF!</v>
      </c>
    </row>
    <row r="38" spans="2:15" ht="24" customHeight="1">
      <c r="B38" s="30">
        <f t="shared" si="2"/>
        <v>2055</v>
      </c>
      <c r="C38" s="28">
        <f t="shared" si="0"/>
        <v>93</v>
      </c>
      <c r="D38" s="28">
        <v>36</v>
      </c>
      <c r="E38" s="28">
        <f>VLOOKUP(C:C, 'Total Data Set'!B:J, IF(Summary!$F$4="M", 4, 8), FALSE)</f>
        <v>0.18403</v>
      </c>
      <c r="F38" s="28">
        <f t="shared" si="1"/>
        <v>0.81596999999999997</v>
      </c>
      <c r="G38" s="28">
        <f t="shared" si="6"/>
        <v>0.18201504126401014</v>
      </c>
      <c r="H38" s="28">
        <f>1/(1+Summary!$O$3)^D38</f>
        <v>0.17265741462150208</v>
      </c>
      <c r="I38" s="28">
        <f>Summary!$J$4*'R3'!H38*'R3'!G38</f>
        <v>405.83854661487931</v>
      </c>
      <c r="L38" s="28" t="e">
        <f>IF(Summary!$F$4="M",VLOOKUP(C:C,#REF!,IF(B38&gt;2033,22,MATCH(B38,#REF!,0)),FALSE),VLOOKUP(C:C,#REF!,IF(B38&gt;2033,22,MATCH(B38,#REF!,0)),FALSE))</f>
        <v>#REF!</v>
      </c>
      <c r="M38" s="28" t="e">
        <f t="shared" si="4"/>
        <v>#REF!</v>
      </c>
      <c r="N38" s="28" t="e">
        <f t="shared" si="5"/>
        <v>#REF!</v>
      </c>
      <c r="O38" s="28" t="e">
        <f>Summary!$J$4*'R3'!N38*'R3'!H38</f>
        <v>#REF!</v>
      </c>
    </row>
    <row r="39" spans="2:15" ht="24" customHeight="1">
      <c r="B39" s="30">
        <f t="shared" si="2"/>
        <v>2056</v>
      </c>
      <c r="C39" s="28">
        <f t="shared" si="0"/>
        <v>94</v>
      </c>
      <c r="D39" s="28">
        <v>37</v>
      </c>
      <c r="E39" s="28">
        <f>VLOOKUP(C:C, 'Total Data Set'!B:J, IF(Summary!$F$4="M", 4, 8), FALSE)</f>
        <v>0.201074</v>
      </c>
      <c r="F39" s="28">
        <f t="shared" si="1"/>
        <v>0.79892600000000003</v>
      </c>
      <c r="G39" s="28">
        <f t="shared" si="6"/>
        <v>0.14851881322019433</v>
      </c>
      <c r="H39" s="28">
        <f>1/(1+Summary!$O$3)^D39</f>
        <v>0.1644356329728591</v>
      </c>
      <c r="I39" s="28">
        <f>Summary!$J$4*'R3'!H39*'R3'!G39</f>
        <v>315.38293226794565</v>
      </c>
      <c r="L39" s="28" t="e">
        <f>IF(Summary!$F$4="M",VLOOKUP(C:C,#REF!,IF(B39&gt;2033,22,MATCH(B39,#REF!,0)),FALSE),VLOOKUP(C:C,#REF!,IF(B39&gt;2033,22,MATCH(B39,#REF!,0)),FALSE))</f>
        <v>#REF!</v>
      </c>
      <c r="M39" s="28" t="e">
        <f t="shared" si="4"/>
        <v>#REF!</v>
      </c>
      <c r="N39" s="28" t="e">
        <f t="shared" si="5"/>
        <v>#REF!</v>
      </c>
      <c r="O39" s="28" t="e">
        <f>Summary!$J$4*'R3'!N39*'R3'!H39</f>
        <v>#REF!</v>
      </c>
    </row>
    <row r="40" spans="2:15" ht="24" customHeight="1">
      <c r="B40" s="30">
        <f t="shared" si="2"/>
        <v>2057</v>
      </c>
      <c r="C40" s="28">
        <f t="shared" si="0"/>
        <v>95</v>
      </c>
      <c r="D40" s="28">
        <v>38</v>
      </c>
      <c r="E40" s="28">
        <f>VLOOKUP(C:C, 'Total Data Set'!B:J, IF(Summary!$F$4="M", 4, 8), FALSE)</f>
        <v>0.218559</v>
      </c>
      <c r="F40" s="28">
        <f t="shared" si="1"/>
        <v>0.78144100000000005</v>
      </c>
      <c r="G40" s="28">
        <f t="shared" si="6"/>
        <v>0.11865554137075698</v>
      </c>
      <c r="H40" s="28">
        <f>1/(1+Summary!$O$3)^D40</f>
        <v>0.15660536473605632</v>
      </c>
      <c r="I40" s="28">
        <f>Summary!$J$4*'R3'!H40*'R3'!G40</f>
        <v>239.96916623342938</v>
      </c>
      <c r="L40" s="28" t="e">
        <f>IF(Summary!$F$4="M",VLOOKUP(C:C,#REF!,IF(B40&gt;2033,22,MATCH(B40,#REF!,0)),FALSE),VLOOKUP(C:C,#REF!,IF(B40&gt;2033,22,MATCH(B40,#REF!,0)),FALSE))</f>
        <v>#REF!</v>
      </c>
      <c r="M40" s="28" t="e">
        <f t="shared" si="4"/>
        <v>#REF!</v>
      </c>
      <c r="N40" s="28" t="e">
        <f t="shared" si="5"/>
        <v>#REF!</v>
      </c>
      <c r="O40" s="28" t="e">
        <f>Summary!$J$4*'R3'!N40*'R3'!H40</f>
        <v>#REF!</v>
      </c>
    </row>
    <row r="41" spans="2:15" ht="24" customHeight="1">
      <c r="B41" s="30">
        <f t="shared" si="2"/>
        <v>2058</v>
      </c>
      <c r="C41" s="28">
        <f t="shared" si="0"/>
        <v>96</v>
      </c>
      <c r="D41" s="28">
        <v>39</v>
      </c>
      <c r="E41" s="28">
        <f>VLOOKUP(C:C, 'Total Data Set'!B:J, IF(Summary!$F$4="M", 4, 8), FALSE)</f>
        <v>0.236535</v>
      </c>
      <c r="F41" s="28">
        <f t="shared" si="1"/>
        <v>0.76346500000000006</v>
      </c>
      <c r="G41" s="28">
        <f t="shared" si="6"/>
        <v>9.2722304904305719E-2</v>
      </c>
      <c r="H41" s="28">
        <f>1/(1+Summary!$O$3)^D41</f>
        <v>0.14914796641529171</v>
      </c>
      <c r="I41" s="28">
        <f>Summary!$J$4*'R3'!H41*'R3'!G41</f>
        <v>178.59213831487361</v>
      </c>
      <c r="L41" s="28" t="e">
        <f>IF(Summary!$F$4="M",VLOOKUP(C:C,#REF!,IF(B41&gt;2033,22,MATCH(B41,#REF!,0)),FALSE),VLOOKUP(C:C,#REF!,IF(B41&gt;2033,22,MATCH(B41,#REF!,0)),FALSE))</f>
        <v>#REF!</v>
      </c>
      <c r="M41" s="28" t="e">
        <f t="shared" si="4"/>
        <v>#REF!</v>
      </c>
      <c r="N41" s="28" t="e">
        <f t="shared" si="5"/>
        <v>#REF!</v>
      </c>
      <c r="O41" s="28" t="e">
        <f>Summary!$J$4*'R3'!N41*'R3'!H41</f>
        <v>#REF!</v>
      </c>
    </row>
    <row r="42" spans="2:15" ht="24" customHeight="1">
      <c r="B42" s="30">
        <f t="shared" si="2"/>
        <v>2059</v>
      </c>
      <c r="C42" s="28">
        <f t="shared" si="0"/>
        <v>97</v>
      </c>
      <c r="D42" s="28">
        <v>40</v>
      </c>
      <c r="E42" s="28">
        <f>VLOOKUP(C:C, 'Total Data Set'!B:J, IF(Summary!$F$4="M", 4, 8), FALSE)</f>
        <v>0.25505899999999998</v>
      </c>
      <c r="F42" s="28">
        <f t="shared" si="1"/>
        <v>0.74494100000000008</v>
      </c>
      <c r="G42" s="28">
        <f t="shared" si="6"/>
        <v>7.0790234513765773E-2</v>
      </c>
      <c r="H42" s="28">
        <f>1/(1+Summary!$O$3)^D42</f>
        <v>0.14204568230027784</v>
      </c>
      <c r="I42" s="28">
        <f>Summary!$J$4*'R3'!H42*'R3'!G42</f>
        <v>129.85604464625237</v>
      </c>
      <c r="L42" s="28" t="e">
        <f>IF(Summary!$F$4="M",VLOOKUP(C:C,#REF!,IF(B42&gt;2033,22,MATCH(B42,#REF!,0)),FALSE),VLOOKUP(C:C,#REF!,IF(B42&gt;2033,22,MATCH(B42,#REF!,0)),FALSE))</f>
        <v>#REF!</v>
      </c>
      <c r="M42" s="28" t="e">
        <f t="shared" si="4"/>
        <v>#REF!</v>
      </c>
      <c r="N42" s="28" t="e">
        <f t="shared" si="5"/>
        <v>#REF!</v>
      </c>
      <c r="O42" s="28" t="e">
        <f>Summary!$J$4*'R3'!N42*'R3'!H42</f>
        <v>#REF!</v>
      </c>
    </row>
    <row r="43" spans="2:15" ht="24" customHeight="1">
      <c r="B43" s="30">
        <f t="shared" si="2"/>
        <v>2060</v>
      </c>
      <c r="C43" s="28">
        <f t="shared" si="0"/>
        <v>98</v>
      </c>
      <c r="D43" s="28">
        <v>41</v>
      </c>
      <c r="E43" s="28">
        <f>VLOOKUP(C:C, 'Total Data Set'!B:J, IF(Summary!$F$4="M", 4, 8), FALSE)</f>
        <v>0.27417000000000002</v>
      </c>
      <c r="F43" s="28">
        <f t="shared" si="1"/>
        <v>0.72582999999999998</v>
      </c>
      <c r="G43" s="28">
        <f t="shared" si="6"/>
        <v>5.2734548088919198E-2</v>
      </c>
      <c r="H43" s="28">
        <f>1/(1+Summary!$O$3)^D43</f>
        <v>0.13528160219074079</v>
      </c>
      <c r="I43" s="28">
        <f>Summary!$J$4*'R3'!H43*'R3'!G43</f>
        <v>92.128658814117998</v>
      </c>
      <c r="L43" s="28" t="e">
        <f>IF(Summary!$F$4="M",VLOOKUP(C:C,#REF!,IF(B43&gt;2033,22,MATCH(B43,#REF!,0)),FALSE),VLOOKUP(C:C,#REF!,IF(B43&gt;2033,22,MATCH(B43,#REF!,0)),FALSE))</f>
        <v>#REF!</v>
      </c>
      <c r="M43" s="28" t="e">
        <f t="shared" si="4"/>
        <v>#REF!</v>
      </c>
      <c r="N43" s="28" t="e">
        <f t="shared" si="5"/>
        <v>#REF!</v>
      </c>
      <c r="O43" s="28" t="e">
        <f>Summary!$J$4*'R3'!N43*'R3'!H43</f>
        <v>#REF!</v>
      </c>
    </row>
    <row r="44" spans="2:15" ht="24" customHeight="1">
      <c r="B44" s="30">
        <f t="shared" si="2"/>
        <v>2061</v>
      </c>
      <c r="C44" s="28">
        <f t="shared" si="0"/>
        <v>99</v>
      </c>
      <c r="D44" s="28">
        <v>42</v>
      </c>
      <c r="E44" s="28">
        <f>VLOOKUP(C:C, 'Total Data Set'!B:J, IF(Summary!$F$4="M", 4, 8), FALSE)</f>
        <v>0.293848</v>
      </c>
      <c r="F44" s="28">
        <f t="shared" si="1"/>
        <v>0.706152</v>
      </c>
      <c r="G44" s="28">
        <f t="shared" si="6"/>
        <v>3.8276317039380219E-2</v>
      </c>
      <c r="H44" s="28">
        <f>1/(1+Summary!$O$3)^D44</f>
        <v>0.12883962113403885</v>
      </c>
      <c r="I44" s="28">
        <f>Summary!$J$4*'R3'!H44*'R3'!G44</f>
        <v>63.685470882905967</v>
      </c>
      <c r="L44" s="28" t="e">
        <f>IF(Summary!$F$4="M",VLOOKUP(C:C,#REF!,IF(B44&gt;2033,22,MATCH(B44,#REF!,0)),FALSE),VLOOKUP(C:C,#REF!,IF(B44&gt;2033,22,MATCH(B44,#REF!,0)),FALSE))</f>
        <v>#REF!</v>
      </c>
      <c r="M44" s="28" t="e">
        <f t="shared" si="4"/>
        <v>#REF!</v>
      </c>
      <c r="N44" s="28" t="e">
        <f t="shared" si="5"/>
        <v>#REF!</v>
      </c>
      <c r="O44" s="28" t="e">
        <f>Summary!$J$4*'R3'!N44*'R3'!H44</f>
        <v>#REF!</v>
      </c>
    </row>
    <row r="45" spans="2:15" ht="24" customHeight="1">
      <c r="B45" s="30">
        <f t="shared" si="2"/>
        <v>2062</v>
      </c>
      <c r="C45" s="28">
        <f t="shared" si="0"/>
        <v>100</v>
      </c>
      <c r="D45" s="28">
        <v>43</v>
      </c>
      <c r="E45" s="28">
        <f>VLOOKUP(C:C, 'Total Data Set'!B:J, IF(Summary!$F$4="M", 4, 8), FALSE)</f>
        <v>0.31398799999999999</v>
      </c>
      <c r="F45" s="28">
        <f t="shared" si="1"/>
        <v>0.68601200000000007</v>
      </c>
      <c r="G45" s="28">
        <f t="shared" si="6"/>
        <v>2.7028897829992422E-2</v>
      </c>
      <c r="H45" s="28">
        <f>1/(1+Summary!$O$3)^D45</f>
        <v>0.12270440108003698</v>
      </c>
      <c r="I45" s="28">
        <f>Summary!$J$4*'R3'!H45*'R3'!G45</f>
        <v>42.830116795148392</v>
      </c>
      <c r="L45" s="28" t="e">
        <f>IF(Summary!$F$4="M",VLOOKUP(C:C,#REF!,IF(B45&gt;2033,22,MATCH(B45,#REF!,0)),FALSE),VLOOKUP(C:C,#REF!,IF(B45&gt;2033,22,MATCH(B45,#REF!,0)),FALSE))</f>
        <v>#REF!</v>
      </c>
      <c r="M45" s="28" t="e">
        <f t="shared" si="4"/>
        <v>#REF!</v>
      </c>
      <c r="N45" s="28" t="e">
        <f t="shared" si="5"/>
        <v>#REF!</v>
      </c>
      <c r="O45" s="28" t="e">
        <f>Summary!$J$4*'R3'!N45*'R3'!H45</f>
        <v>#REF!</v>
      </c>
    </row>
    <row r="46" spans="2:15" ht="24" customHeight="1">
      <c r="B46" s="30">
        <f t="shared" si="2"/>
        <v>2063</v>
      </c>
      <c r="C46" s="28">
        <f t="shared" si="0"/>
        <v>101</v>
      </c>
      <c r="D46" s="28">
        <v>44</v>
      </c>
      <c r="E46" s="28">
        <f>VLOOKUP(C:C, 'Total Data Set'!B:J, IF(Summary!$F$4="M", 4, 8), FALSE)</f>
        <v>0.33436500000000002</v>
      </c>
      <c r="F46" s="28">
        <f t="shared" si="1"/>
        <v>0.66563499999999998</v>
      </c>
      <c r="G46" s="28">
        <f t="shared" si="6"/>
        <v>1.8542148258148764E-2</v>
      </c>
      <c r="H46" s="28">
        <f>1/(1+Summary!$O$3)^D46</f>
        <v>0.11686133436193999</v>
      </c>
      <c r="I46" s="28">
        <f>Summary!$J$4*'R3'!H46*'R3'!G46</f>
        <v>27.982832459879376</v>
      </c>
      <c r="L46" s="28" t="e">
        <f>IF(Summary!$F$4="M",VLOOKUP(C:C,#REF!,IF(B46&gt;2033,22,MATCH(B46,#REF!,0)),FALSE),VLOOKUP(C:C,#REF!,IF(B46&gt;2033,22,MATCH(B46,#REF!,0)),FALSE))</f>
        <v>#REF!</v>
      </c>
      <c r="M46" s="28" t="e">
        <f t="shared" si="4"/>
        <v>#REF!</v>
      </c>
      <c r="N46" s="28" t="e">
        <f t="shared" si="5"/>
        <v>#REF!</v>
      </c>
      <c r="O46" s="28" t="e">
        <f>Summary!$J$4*'R3'!N46*'R3'!H46</f>
        <v>#REF!</v>
      </c>
    </row>
    <row r="47" spans="2:15" ht="24" customHeight="1">
      <c r="B47" s="30">
        <f t="shared" si="2"/>
        <v>2064</v>
      </c>
      <c r="C47" s="28">
        <f t="shared" si="0"/>
        <v>102</v>
      </c>
      <c r="D47" s="28">
        <v>45</v>
      </c>
      <c r="E47" s="28">
        <f>VLOOKUP(C:C, 'Total Data Set'!B:J, IF(Summary!$F$4="M", 4, 8), FALSE)</f>
        <v>0.354599</v>
      </c>
      <c r="F47" s="28">
        <f t="shared" si="1"/>
        <v>0.645401</v>
      </c>
      <c r="G47" s="28">
        <f t="shared" si="6"/>
        <v>1.2342302855812852E-2</v>
      </c>
      <c r="H47" s="28">
        <f>1/(1+Summary!$O$3)^D47</f>
        <v>0.1112965089161333</v>
      </c>
      <c r="I47" s="28">
        <f>Summary!$J$4*'R3'!H47*'R3'!G47</f>
        <v>17.739383508982669</v>
      </c>
      <c r="L47" s="28" t="e">
        <f>IF(Summary!$F$4="M",VLOOKUP(C:C,#REF!,IF(B47&gt;2033,22,MATCH(B47,#REF!,0)),FALSE),VLOOKUP(C:C,#REF!,IF(B47&gt;2033,22,MATCH(B47,#REF!,0)),FALSE))</f>
        <v>#REF!</v>
      </c>
      <c r="M47" s="28" t="e">
        <f t="shared" si="4"/>
        <v>#REF!</v>
      </c>
      <c r="N47" s="28" t="e">
        <f t="shared" si="5"/>
        <v>#REF!</v>
      </c>
      <c r="O47" s="28" t="e">
        <f>Summary!$J$4*'R3'!N47*'R3'!H47</f>
        <v>#REF!</v>
      </c>
    </row>
    <row r="48" spans="2:15" ht="24" customHeight="1">
      <c r="B48" s="30">
        <f t="shared" si="2"/>
        <v>2065</v>
      </c>
      <c r="C48" s="28">
        <f t="shared" si="0"/>
        <v>103</v>
      </c>
      <c r="D48" s="28">
        <v>46</v>
      </c>
      <c r="E48" s="28">
        <f>VLOOKUP(C:C, 'Total Data Set'!B:J, IF(Summary!$F$4="M", 4, 8), FALSE)</f>
        <v>0.37452400000000002</v>
      </c>
      <c r="F48" s="28">
        <f t="shared" si="1"/>
        <v>0.62547599999999992</v>
      </c>
      <c r="G48" s="28">
        <f t="shared" si="6"/>
        <v>7.965734605444471E-3</v>
      </c>
      <c r="H48" s="28">
        <f>1/(1+Summary!$O$3)^D48</f>
        <v>0.10599667515822221</v>
      </c>
      <c r="I48" s="28">
        <f>Summary!$J$4*'R3'!H48*'R3'!G48</f>
        <v>10.903824624838979</v>
      </c>
      <c r="L48" s="28" t="e">
        <f>IF(Summary!$F$4="M",VLOOKUP(C:C,#REF!,IF(B48&gt;2033,22,MATCH(B48,#REF!,0)),FALSE),VLOOKUP(C:C,#REF!,IF(B48&gt;2033,22,MATCH(B48,#REF!,0)),FALSE))</f>
        <v>#REF!</v>
      </c>
      <c r="M48" s="28" t="e">
        <f t="shared" si="4"/>
        <v>#REF!</v>
      </c>
      <c r="N48" s="28" t="e">
        <f t="shared" si="5"/>
        <v>#REF!</v>
      </c>
      <c r="O48" s="28" t="e">
        <f>Summary!$J$4*'R3'!N48*'R3'!H48</f>
        <v>#REF!</v>
      </c>
    </row>
    <row r="49" spans="2:15" ht="24" customHeight="1">
      <c r="B49" s="30">
        <f t="shared" si="2"/>
        <v>2066</v>
      </c>
      <c r="C49" s="28">
        <f t="shared" si="0"/>
        <v>104</v>
      </c>
      <c r="D49" s="28">
        <v>47</v>
      </c>
      <c r="E49" s="28">
        <f>VLOOKUP(C:C, 'Total Data Set'!B:J, IF(Summary!$F$4="M", 4, 8), FALSE)</f>
        <v>0.393982</v>
      </c>
      <c r="F49" s="28">
        <f t="shared" si="1"/>
        <v>0.60601799999999995</v>
      </c>
      <c r="G49" s="28">
        <f t="shared" si="6"/>
        <v>4.9823758180749852E-3</v>
      </c>
      <c r="H49" s="28">
        <f>1/(1+Summary!$O$3)^D49</f>
        <v>0.10094921443640208</v>
      </c>
      <c r="I49" s="28">
        <f>Summary!$J$4*'R3'!H49*'R3'!G49</f>
        <v>6.4953148676626489</v>
      </c>
      <c r="L49" s="28" t="e">
        <f>IF(Summary!$F$4="M",VLOOKUP(C:C,#REF!,IF(B49&gt;2033,22,MATCH(B49,#REF!,0)),FALSE),VLOOKUP(C:C,#REF!,IF(B49&gt;2033,22,MATCH(B49,#REF!,0)),FALSE))</f>
        <v>#REF!</v>
      </c>
      <c r="M49" s="28" t="e">
        <f t="shared" si="4"/>
        <v>#REF!</v>
      </c>
      <c r="N49" s="28" t="e">
        <f t="shared" si="5"/>
        <v>#REF!</v>
      </c>
      <c r="O49" s="28" t="e">
        <f>Summary!$J$4*'R3'!N49*'R3'!H49</f>
        <v>#REF!</v>
      </c>
    </row>
    <row r="50" spans="2:15" ht="24" customHeight="1">
      <c r="B50" s="30">
        <f t="shared" si="2"/>
        <v>2067</v>
      </c>
      <c r="C50" s="28">
        <f t="shared" si="0"/>
        <v>105</v>
      </c>
      <c r="D50" s="28">
        <v>48</v>
      </c>
      <c r="E50" s="28">
        <f>VLOOKUP(C:C, 'Total Data Set'!B:J, IF(Summary!$F$4="M", 4, 8), FALSE)</f>
        <v>0.412831</v>
      </c>
      <c r="F50" s="28">
        <f t="shared" si="1"/>
        <v>0.58716900000000005</v>
      </c>
      <c r="G50" s="28">
        <f t="shared" si="6"/>
        <v>3.0194094285181661E-3</v>
      </c>
      <c r="H50" s="28">
        <f>1/(1+Summary!$O$3)^D50</f>
        <v>9.6142108987049613E-2</v>
      </c>
      <c r="I50" s="28">
        <f>Summary!$J$4*'R3'!H50*'R3'!G50</f>
        <v>3.7488359290201752</v>
      </c>
      <c r="L50" s="28" t="e">
        <f>IF(Summary!$F$4="M",VLOOKUP(C:C,#REF!,IF(B50&gt;2033,22,MATCH(B50,#REF!,0)),FALSE),VLOOKUP(C:C,#REF!,IF(B50&gt;2033,22,MATCH(B50,#REF!,0)),FALSE))</f>
        <v>#REF!</v>
      </c>
      <c r="M50" s="28" t="e">
        <f t="shared" si="4"/>
        <v>#REF!</v>
      </c>
      <c r="N50" s="28" t="e">
        <f t="shared" si="5"/>
        <v>#REF!</v>
      </c>
      <c r="O50" s="28" t="e">
        <f>Summary!$J$4*'R3'!N50*'R3'!H50</f>
        <v>#REF!</v>
      </c>
    </row>
    <row r="51" spans="2:15" ht="24" customHeight="1">
      <c r="B51" s="30">
        <f t="shared" si="2"/>
        <v>2068</v>
      </c>
      <c r="C51" s="28">
        <f t="shared" si="0"/>
        <v>106</v>
      </c>
      <c r="D51" s="28">
        <v>49</v>
      </c>
      <c r="E51" s="28">
        <f>VLOOKUP(C:C, 'Total Data Set'!B:J, IF(Summary!$F$4="M", 4, 8), FALSE)</f>
        <v>0.430946</v>
      </c>
      <c r="F51" s="28">
        <f t="shared" si="1"/>
        <v>0.56905399999999995</v>
      </c>
      <c r="G51" s="28">
        <f t="shared" si="6"/>
        <v>1.7729036147335832E-3</v>
      </c>
      <c r="H51" s="28">
        <f>1/(1+Summary!$O$3)^D51</f>
        <v>9.1563913320999626E-2</v>
      </c>
      <c r="I51" s="28">
        <f>Summary!$J$4*'R3'!H51*'R3'!G51</f>
        <v>2.0963811843874733</v>
      </c>
      <c r="L51" s="28" t="e">
        <f>IF(Summary!$F$4="M",VLOOKUP(C:C,#REF!,IF(B51&gt;2033,22,MATCH(B51,#REF!,0)),FALSE),VLOOKUP(C:C,#REF!,IF(B51&gt;2033,22,MATCH(B51,#REF!,0)),FALSE))</f>
        <v>#REF!</v>
      </c>
      <c r="M51" s="28" t="e">
        <f t="shared" si="4"/>
        <v>#REF!</v>
      </c>
      <c r="N51" s="28" t="e">
        <f t="shared" si="5"/>
        <v>#REF!</v>
      </c>
      <c r="O51" s="28" t="e">
        <f>Summary!$J$4*'R3'!N51*'R3'!H51</f>
        <v>#REF!</v>
      </c>
    </row>
    <row r="52" spans="2:15" ht="24" customHeight="1">
      <c r="B52" s="30">
        <f t="shared" si="2"/>
        <v>2069</v>
      </c>
      <c r="C52" s="28">
        <f t="shared" si="0"/>
        <v>107</v>
      </c>
      <c r="D52" s="28">
        <v>50</v>
      </c>
      <c r="E52" s="28">
        <f>VLOOKUP(C:C, 'Total Data Set'!B:J, IF(Summary!$F$4="M", 4, 8), FALSE)</f>
        <v>0.44822699999999999</v>
      </c>
      <c r="F52" s="28">
        <f t="shared" si="1"/>
        <v>0.55177300000000007</v>
      </c>
      <c r="G52" s="28">
        <f t="shared" si="6"/>
        <v>1.0088778935786044E-3</v>
      </c>
      <c r="H52" s="28">
        <f>1/(1+Summary!$O$3)^D52</f>
        <v>8.7203726972380588E-2</v>
      </c>
      <c r="I52" s="28">
        <f>Summary!$J$4*'R3'!H52*'R3'!G52</f>
        <v>1.1361467604765993</v>
      </c>
      <c r="L52" s="28" t="e">
        <f>IF(Summary!$F$4="M",VLOOKUP(C:C,#REF!,IF(B52&gt;2033,22,MATCH(B52,#REF!,0)),FALSE),VLOOKUP(C:C,#REF!,IF(B52&gt;2033,22,MATCH(B52,#REF!,0)),FALSE))</f>
        <v>#REF!</v>
      </c>
      <c r="M52" s="28" t="e">
        <f t="shared" si="4"/>
        <v>#REF!</v>
      </c>
      <c r="N52" s="28" t="e">
        <f t="shared" si="5"/>
        <v>#REF!</v>
      </c>
      <c r="O52" s="28" t="e">
        <f>Summary!$J$4*'R3'!N52*'R3'!H52</f>
        <v>#REF!</v>
      </c>
    </row>
    <row r="53" spans="2:15" ht="24" customHeight="1">
      <c r="B53" s="30">
        <f t="shared" si="2"/>
        <v>2070</v>
      </c>
      <c r="C53" s="28">
        <f t="shared" si="0"/>
        <v>108</v>
      </c>
      <c r="D53" s="28">
        <v>51</v>
      </c>
      <c r="E53" s="28">
        <f>VLOOKUP(C:C, 'Total Data Set'!B:J, IF(Summary!$F$4="M", 4, 8), FALSE)</f>
        <v>0.464592</v>
      </c>
      <c r="F53" s="28">
        <f t="shared" si="1"/>
        <v>0.535408</v>
      </c>
      <c r="G53" s="28">
        <f t="shared" si="6"/>
        <v>5.5667158197354738E-4</v>
      </c>
      <c r="H53" s="28">
        <f>1/(1+Summary!$O$3)^D53</f>
        <v>8.3051168545124371E-2</v>
      </c>
      <c r="I53" s="28">
        <f>Summary!$J$4*'R3'!H53*'R3'!G53</f>
        <v>0.59704295854138545</v>
      </c>
      <c r="L53" s="28" t="e">
        <f>IF(Summary!$F$4="M",VLOOKUP(C:C,#REF!,IF(B53&gt;2033,22,MATCH(B53,#REF!,0)),FALSE),VLOOKUP(C:C,#REF!,IF(B53&gt;2033,22,MATCH(B53,#REF!,0)),FALSE))</f>
        <v>#REF!</v>
      </c>
      <c r="M53" s="28" t="e">
        <f t="shared" si="4"/>
        <v>#REF!</v>
      </c>
      <c r="N53" s="28" t="e">
        <f t="shared" si="5"/>
        <v>#REF!</v>
      </c>
      <c r="O53" s="28" t="e">
        <f>Summary!$J$4*'R3'!N53*'R3'!H53</f>
        <v>#REF!</v>
      </c>
    </row>
    <row r="54" spans="2:15" ht="24" customHeight="1">
      <c r="B54" s="30">
        <f t="shared" si="2"/>
        <v>2071</v>
      </c>
      <c r="C54" s="28">
        <f t="shared" si="0"/>
        <v>109</v>
      </c>
      <c r="D54" s="28">
        <v>52</v>
      </c>
      <c r="E54" s="28">
        <f>VLOOKUP(C:C, 'Total Data Set'!B:J, IF(Summary!$F$4="M", 4, 8), FALSE)</f>
        <v>0.479987</v>
      </c>
      <c r="F54" s="28">
        <f t="shared" si="1"/>
        <v>0.52001300000000006</v>
      </c>
      <c r="G54" s="28">
        <f t="shared" si="6"/>
        <v>2.9804641836129304E-4</v>
      </c>
      <c r="H54" s="28">
        <f>1/(1+Summary!$O$3)^D54</f>
        <v>7.9096350995356543E-2</v>
      </c>
      <c r="I54" s="28">
        <f>Summary!$J$4*'R3'!H54*'R3'!G54</f>
        <v>0.30443959652069147</v>
      </c>
      <c r="L54" s="28" t="e">
        <f>IF(Summary!$F$4="M",VLOOKUP(C:C,#REF!,IF(B54&gt;2033,22,MATCH(B54,#REF!,0)),FALSE),VLOOKUP(C:C,#REF!,IF(B54&gt;2033,22,MATCH(B54,#REF!,0)),FALSE))</f>
        <v>#REF!</v>
      </c>
      <c r="M54" s="28" t="e">
        <f t="shared" si="4"/>
        <v>#REF!</v>
      </c>
      <c r="N54" s="28" t="e">
        <f t="shared" si="5"/>
        <v>#REF!</v>
      </c>
      <c r="O54" s="28" t="e">
        <f>Summary!$J$4*'R3'!N54*'R3'!H54</f>
        <v>#REF!</v>
      </c>
    </row>
    <row r="55" spans="2:15" ht="24" customHeight="1">
      <c r="B55" s="30">
        <f t="shared" si="2"/>
        <v>2072</v>
      </c>
      <c r="C55" s="28">
        <f>$A$4+D55</f>
        <v>110</v>
      </c>
      <c r="D55" s="28">
        <v>53</v>
      </c>
      <c r="E55" s="28">
        <f>VLOOKUP(C:C, 'Total Data Set'!B:J, IF(Summary!$F$4="M", 4, 8), FALSE)</f>
        <v>0.49437599999999998</v>
      </c>
      <c r="F55" s="28">
        <f t="shared" si="1"/>
        <v>0.50562400000000007</v>
      </c>
      <c r="G55" s="28">
        <f t="shared" si="6"/>
        <v>1.549880121513111E-4</v>
      </c>
      <c r="H55" s="28">
        <f>1/(1+Summary!$O$3)^D55</f>
        <v>7.5329858090815757E-2</v>
      </c>
      <c r="I55" s="28">
        <f>Summary!$J$4*'R3'!H55*'R3'!G55</f>
        <v>0.15077385514810893</v>
      </c>
      <c r="L55" s="28" t="e">
        <f>IF(Summary!$F$4="M",VLOOKUP(C:C,#REF!,IF(B55&gt;2033,22,MATCH(B55,#REF!,0)),FALSE),VLOOKUP(C:C,#REF!,IF(B55&gt;2033,22,MATCH(B55,#REF!,0)),FALSE))</f>
        <v>#REF!</v>
      </c>
      <c r="M55" s="28" t="e">
        <f t="shared" si="4"/>
        <v>#REF!</v>
      </c>
      <c r="N55" s="28" t="e">
        <f t="shared" si="5"/>
        <v>#REF!</v>
      </c>
      <c r="O55" s="28" t="e">
        <f>Summary!$J$4*'R3'!N55*'R3'!H55</f>
        <v>#REF!</v>
      </c>
    </row>
    <row r="56" spans="2:15" ht="24" customHeight="1">
      <c r="B56" s="30">
        <f t="shared" si="2"/>
        <v>2073</v>
      </c>
      <c r="C56" s="28">
        <f t="shared" si="0"/>
        <v>111</v>
      </c>
      <c r="D56" s="28">
        <v>54</v>
      </c>
      <c r="E56" s="28">
        <f>VLOOKUP(C:C, 'Total Data Set'!B:J, IF(Summary!$F$4="M", 4, 8), FALSE)</f>
        <v>0.5</v>
      </c>
      <c r="F56" s="28">
        <f t="shared" si="1"/>
        <v>0.5</v>
      </c>
      <c r="G56" s="28">
        <f t="shared" si="6"/>
        <v>7.8365658655994532E-5</v>
      </c>
      <c r="H56" s="28">
        <f>1/(1+Summary!$O$3)^D56</f>
        <v>7.1742721991253117E-2</v>
      </c>
      <c r="I56" s="28">
        <f>Summary!$J$4*'R3'!H56*'R3'!G56</f>
        <v>7.2604647367054714E-2</v>
      </c>
      <c r="L56" s="28" t="e">
        <f>IF(Summary!$F$4="M",VLOOKUP(C:C,#REF!,IF(B56&gt;2033,22,MATCH(B56,#REF!,0)),FALSE),VLOOKUP(C:C,#REF!,IF(B56&gt;2033,22,MATCH(B56,#REF!,0)),FALSE))</f>
        <v>#REF!</v>
      </c>
      <c r="M56" s="28" t="e">
        <f t="shared" si="4"/>
        <v>#REF!</v>
      </c>
      <c r="N56" s="28" t="e">
        <f t="shared" si="5"/>
        <v>#REF!</v>
      </c>
      <c r="O56" s="28" t="e">
        <f>Summary!$J$4*'R3'!N56*'R3'!H56</f>
        <v>#REF!</v>
      </c>
    </row>
    <row r="57" spans="2:15" ht="24" customHeight="1">
      <c r="B57" s="30">
        <f t="shared" si="2"/>
        <v>2074</v>
      </c>
      <c r="C57" s="28">
        <f t="shared" si="0"/>
        <v>112</v>
      </c>
      <c r="D57" s="28">
        <v>55</v>
      </c>
      <c r="E57" s="28">
        <f>VLOOKUP(C:C, 'Total Data Set'!B:J, IF(Summary!$F$4="M", 4, 8), FALSE)</f>
        <v>0.5</v>
      </c>
      <c r="F57" s="28">
        <f t="shared" si="1"/>
        <v>0.5</v>
      </c>
      <c r="G57" s="28">
        <f t="shared" si="6"/>
        <v>3.9182829327997266E-5</v>
      </c>
      <c r="H57" s="28">
        <f>1/(1+Summary!$O$3)^D57</f>
        <v>6.8326401896431521E-2</v>
      </c>
      <c r="I57" s="28">
        <f>Summary!$J$4*'R3'!H57*'R3'!G57</f>
        <v>3.4573641603359379E-2</v>
      </c>
      <c r="L57" s="28" t="e">
        <f>IF(Summary!$F$4="M",VLOOKUP(C:C,#REF!,IF(B57&gt;2033,22,MATCH(B57,#REF!,0)),FALSE),VLOOKUP(C:C,#REF!,IF(B57&gt;2033,22,MATCH(B57,#REF!,0)),FALSE))</f>
        <v>#REF!</v>
      </c>
      <c r="M57" s="28" t="e">
        <f t="shared" si="4"/>
        <v>#REF!</v>
      </c>
      <c r="N57" s="28" t="e">
        <f t="shared" si="5"/>
        <v>#REF!</v>
      </c>
      <c r="O57" s="28" t="e">
        <f>Summary!$J$4*'R3'!N57*'R3'!H57</f>
        <v>#REF!</v>
      </c>
    </row>
    <row r="58" spans="2:15" ht="24" customHeight="1">
      <c r="B58" s="30">
        <f t="shared" si="2"/>
        <v>2075</v>
      </c>
      <c r="C58" s="28">
        <f t="shared" si="0"/>
        <v>113</v>
      </c>
      <c r="D58" s="28">
        <v>56</v>
      </c>
      <c r="E58" s="28">
        <f>VLOOKUP(C:C, 'Total Data Set'!B:J, IF(Summary!$F$4="M", 4, 8), FALSE)</f>
        <v>0.5</v>
      </c>
      <c r="F58" s="28">
        <f t="shared" si="1"/>
        <v>0.5</v>
      </c>
      <c r="G58" s="28">
        <f t="shared" si="6"/>
        <v>1.9591414663998633E-5</v>
      </c>
      <c r="H58" s="28">
        <f>1/(1+Summary!$O$3)^D58</f>
        <v>6.5072763710887174E-2</v>
      </c>
      <c r="I58" s="28">
        <f>Summary!$J$4*'R3'!H58*'R3'!G58</f>
        <v>1.6463638858742566E-2</v>
      </c>
      <c r="L58" s="28" t="e">
        <f>IF(Summary!$F$4="M",VLOOKUP(C:C,#REF!,IF(B58&gt;2033,22,MATCH(B58,#REF!,0)),FALSE),VLOOKUP(C:C,#REF!,IF(B58&gt;2033,22,MATCH(B58,#REF!,0)),FALSE))</f>
        <v>#REF!</v>
      </c>
      <c r="M58" s="28" t="e">
        <f t="shared" si="4"/>
        <v>#REF!</v>
      </c>
      <c r="N58" s="28" t="e">
        <f t="shared" si="5"/>
        <v>#REF!</v>
      </c>
      <c r="O58" s="28" t="e">
        <f>Summary!$J$4*'R3'!N58*'R3'!H58</f>
        <v>#REF!</v>
      </c>
    </row>
    <row r="59" spans="2:15" ht="24" customHeight="1">
      <c r="B59" s="30">
        <f t="shared" si="2"/>
        <v>2076</v>
      </c>
      <c r="C59" s="28">
        <f t="shared" si="0"/>
        <v>114</v>
      </c>
      <c r="D59" s="28">
        <v>57</v>
      </c>
      <c r="E59" s="28">
        <f>VLOOKUP(C:C, 'Total Data Set'!B:J, IF(Summary!$F$4="M", 4, 8), FALSE)</f>
        <v>0.5</v>
      </c>
      <c r="F59" s="28">
        <f t="shared" si="1"/>
        <v>0.5</v>
      </c>
      <c r="G59" s="28">
        <f t="shared" si="6"/>
        <v>9.7957073319993164E-6</v>
      </c>
      <c r="H59" s="28">
        <f>1/(1+Summary!$O$3)^D59</f>
        <v>6.1974060677035397E-2</v>
      </c>
      <c r="I59" s="28">
        <f>Summary!$J$4*'R3'!H59*'R3'!G59</f>
        <v>7.8398280279726486E-3</v>
      </c>
      <c r="L59" s="28" t="e">
        <f>IF(Summary!$F$4="M",VLOOKUP(C:C,#REF!,IF(B59&gt;2033,22,MATCH(B59,#REF!,0)),FALSE),VLOOKUP(C:C,#REF!,IF(B59&gt;2033,22,MATCH(B59,#REF!,0)),FALSE))</f>
        <v>#REF!</v>
      </c>
      <c r="M59" s="28" t="e">
        <f t="shared" si="4"/>
        <v>#REF!</v>
      </c>
      <c r="N59" s="28" t="e">
        <f t="shared" si="5"/>
        <v>#REF!</v>
      </c>
      <c r="O59" s="28" t="e">
        <f>Summary!$J$4*'R3'!N59*'R3'!H59</f>
        <v>#REF!</v>
      </c>
    </row>
    <row r="60" spans="2:15" ht="24" customHeight="1">
      <c r="B60" s="30">
        <f t="shared" si="2"/>
        <v>2077</v>
      </c>
      <c r="C60" s="28">
        <f t="shared" si="0"/>
        <v>115</v>
      </c>
      <c r="D60" s="28">
        <v>58</v>
      </c>
      <c r="E60" s="28">
        <f>VLOOKUP(C:C, 'Total Data Set'!B:J, IF(Summary!$F$4="M", 4, 8), FALSE)</f>
        <v>0.5</v>
      </c>
      <c r="F60" s="28">
        <f t="shared" si="1"/>
        <v>0.5</v>
      </c>
      <c r="G60" s="28">
        <f t="shared" si="6"/>
        <v>4.8978536659996582E-6</v>
      </c>
      <c r="H60" s="28">
        <f>1/(1+Summary!$O$3)^D60</f>
        <v>5.9022914930509894E-2</v>
      </c>
      <c r="I60" s="28">
        <f>Summary!$J$4*'R3'!H60*'R3'!G60</f>
        <v>3.7332514418917367E-3</v>
      </c>
      <c r="L60" s="28" t="e">
        <f>IF(Summary!$F$4="M",VLOOKUP(C:C,#REF!,IF(B60&gt;2033,22,MATCH(B60,#REF!,0)),FALSE),VLOOKUP(C:C,#REF!,IF(B60&gt;2033,22,MATCH(B60,#REF!,0)),FALSE))</f>
        <v>#REF!</v>
      </c>
      <c r="M60" s="28" t="e">
        <f t="shared" si="4"/>
        <v>#REF!</v>
      </c>
      <c r="N60" s="28" t="e">
        <f t="shared" si="5"/>
        <v>#REF!</v>
      </c>
      <c r="O60" s="28" t="e">
        <f>Summary!$J$4*'R3'!N60*'R3'!H60</f>
        <v>#REF!</v>
      </c>
    </row>
    <row r="61" spans="2:15" ht="24" customHeight="1">
      <c r="B61" s="30">
        <f t="shared" si="2"/>
        <v>2078</v>
      </c>
      <c r="C61" s="28">
        <f t="shared" si="0"/>
        <v>116</v>
      </c>
      <c r="D61" s="28">
        <v>59</v>
      </c>
      <c r="E61" s="28">
        <f>VLOOKUP(C:C, 'Total Data Set'!B:J, IF(Summary!$F$4="M", 4, 8), FALSE)</f>
        <v>0.5</v>
      </c>
      <c r="F61" s="28">
        <f t="shared" si="1"/>
        <v>0.5</v>
      </c>
      <c r="G61" s="28">
        <f t="shared" si="6"/>
        <v>2.4489268329998291E-6</v>
      </c>
      <c r="H61" s="28">
        <f>1/(1+Summary!$O$3)^D61</f>
        <v>5.6212299933818946E-2</v>
      </c>
      <c r="I61" s="28">
        <f>Summary!$J$4*'R3'!H61*'R3'!G61</f>
        <v>1.7777387818532081E-3</v>
      </c>
      <c r="L61" s="28" t="e">
        <f>IF(Summary!$F$4="M",VLOOKUP(C:C,#REF!,IF(B61&gt;2033,22,MATCH(B61,#REF!,0)),FALSE),VLOOKUP(C:C,#REF!,IF(B61&gt;2033,22,MATCH(B61,#REF!,0)),FALSE))</f>
        <v>#REF!</v>
      </c>
      <c r="M61" s="28" t="e">
        <f t="shared" si="4"/>
        <v>#REF!</v>
      </c>
      <c r="N61" s="28" t="e">
        <f t="shared" si="5"/>
        <v>#REF!</v>
      </c>
      <c r="O61" s="28" t="e">
        <f>Summary!$J$4*'R3'!N61*'R3'!H61</f>
        <v>#REF!</v>
      </c>
    </row>
    <row r="62" spans="2:15" ht="24" customHeight="1">
      <c r="B62" s="30">
        <f t="shared" si="2"/>
        <v>2079</v>
      </c>
      <c r="C62" s="28">
        <f t="shared" si="0"/>
        <v>117</v>
      </c>
      <c r="D62" s="28">
        <v>60</v>
      </c>
      <c r="E62" s="28">
        <f>VLOOKUP(C:C, 'Total Data Set'!B:J, IF(Summary!$F$4="M", 4, 8), FALSE)</f>
        <v>0.5</v>
      </c>
      <c r="F62" s="28">
        <f t="shared" si="1"/>
        <v>0.5</v>
      </c>
      <c r="G62" s="28">
        <f t="shared" si="6"/>
        <v>1.2244634164999146E-6</v>
      </c>
      <c r="H62" s="28">
        <f>1/(1+Summary!$O$3)^D62</f>
        <v>5.3535523746494243E-2</v>
      </c>
      <c r="I62" s="28">
        <f>Summary!$J$4*'R3'!H62*'R3'!G62</f>
        <v>8.4654227707295631E-4</v>
      </c>
      <c r="L62" s="28" t="e">
        <f>IF(Summary!$F$4="M",VLOOKUP(C:C,#REF!,IF(B62&gt;2033,22,MATCH(B62,#REF!,0)),FALSE),VLOOKUP(C:C,#REF!,IF(B62&gt;2033,22,MATCH(B62,#REF!,0)),FALSE))</f>
        <v>#REF!</v>
      </c>
      <c r="M62" s="28" t="e">
        <f t="shared" si="4"/>
        <v>#REF!</v>
      </c>
      <c r="N62" s="28" t="e">
        <f t="shared" si="5"/>
        <v>#REF!</v>
      </c>
      <c r="O62" s="28" t="e">
        <f>Summary!$J$4*'R3'!N62*'R3'!H62</f>
        <v>#REF!</v>
      </c>
    </row>
    <row r="63" spans="2:15" ht="24" customHeight="1">
      <c r="B63" s="30">
        <f t="shared" si="2"/>
        <v>2080</v>
      </c>
      <c r="C63" s="28">
        <f t="shared" si="0"/>
        <v>118</v>
      </c>
      <c r="D63" s="28">
        <v>61</v>
      </c>
      <c r="E63" s="28">
        <f>VLOOKUP(C:C, 'Total Data Set'!B:J, IF(Summary!$F$4="M", 4, 8), FALSE)</f>
        <v>0.5</v>
      </c>
      <c r="F63" s="28">
        <f t="shared" si="1"/>
        <v>0.5</v>
      </c>
      <c r="G63" s="28">
        <f t="shared" si="6"/>
        <v>6.1223170824995728E-7</v>
      </c>
      <c r="H63" s="28">
        <f>1/(1+Summary!$O$3)^D63</f>
        <v>5.0986213091899268E-2</v>
      </c>
      <c r="I63" s="28">
        <f>Summary!$J$4*'R3'!H63*'R3'!G63</f>
        <v>4.0311537003474103E-4</v>
      </c>
      <c r="L63" s="28" t="e">
        <f>IF(Summary!$F$4="M",VLOOKUP(C:C,#REF!,IF(B63&gt;2033,22,MATCH(B63,#REF!,0)),FALSE),VLOOKUP(C:C,#REF!,IF(B63&gt;2033,22,MATCH(B63,#REF!,0)),FALSE))</f>
        <v>#REF!</v>
      </c>
      <c r="M63" s="28" t="e">
        <f t="shared" si="4"/>
        <v>#REF!</v>
      </c>
      <c r="N63" s="28" t="e">
        <f t="shared" si="5"/>
        <v>#REF!</v>
      </c>
      <c r="O63" s="28" t="e">
        <f>Summary!$J$4*'R3'!N63*'R3'!H63</f>
        <v>#REF!</v>
      </c>
    </row>
    <row r="64" spans="2:15" ht="24" customHeight="1">
      <c r="B64" s="30">
        <f t="shared" si="2"/>
        <v>2081</v>
      </c>
      <c r="C64" s="28">
        <f>$A$4+D64</f>
        <v>119</v>
      </c>
      <c r="D64" s="28">
        <v>62</v>
      </c>
      <c r="E64" s="28">
        <f>VLOOKUP(C:C, 'Total Data Set'!B:J, IF(Summary!$F$4="M", 4, 8), FALSE)</f>
        <v>0.5</v>
      </c>
      <c r="F64" s="28">
        <f t="shared" si="1"/>
        <v>0.5</v>
      </c>
      <c r="G64" s="28">
        <f t="shared" si="6"/>
        <v>3.0611585412497864E-7</v>
      </c>
      <c r="H64" s="28">
        <f>1/(1+Summary!$O$3)^D64</f>
        <v>4.855829818276123E-2</v>
      </c>
      <c r="I64" s="28">
        <f>Summary!$J$4*'R3'!H64*'R3'!G64</f>
        <v>1.9195970001654344E-4</v>
      </c>
      <c r="L64" s="28" t="e">
        <f>IF(Summary!$F$4="M",VLOOKUP(C:C,#REF!,IF(B64&gt;2033,22,MATCH(B64,#REF!,0)),FALSE),VLOOKUP(C:C,#REF!,IF(B64&gt;2033,22,MATCH(B64,#REF!,0)),FALSE))</f>
        <v>#REF!</v>
      </c>
      <c r="M64" s="28" t="e">
        <f t="shared" si="4"/>
        <v>#REF!</v>
      </c>
      <c r="N64" s="28" t="e">
        <f t="shared" si="5"/>
        <v>#REF!</v>
      </c>
      <c r="O64" s="28" t="e">
        <f>Summary!$J$4*'R3'!N64*'R3'!H64</f>
        <v>#REF!</v>
      </c>
    </row>
    <row r="65" spans="2:15" ht="24" customHeight="1">
      <c r="B65" s="30">
        <f t="shared" si="2"/>
        <v>2082</v>
      </c>
      <c r="C65" s="28">
        <f t="shared" si="0"/>
        <v>120</v>
      </c>
      <c r="D65" s="28">
        <v>63</v>
      </c>
      <c r="E65" s="28">
        <f>VLOOKUP(C:C, 'Total Data Set'!B:J, IF(Summary!$F$4="M", 4, 8), FALSE)</f>
        <v>1</v>
      </c>
      <c r="F65" s="28">
        <f t="shared" si="1"/>
        <v>0</v>
      </c>
      <c r="G65" s="28">
        <f t="shared" si="6"/>
        <v>1.5305792706248932E-7</v>
      </c>
      <c r="H65" s="28">
        <f>1/(1+Summary!$O$3)^D65</f>
        <v>4.6245998269296387E-2</v>
      </c>
      <c r="I65" s="28">
        <f>Summary!$J$4*'R3'!H65*'R3'!G65</f>
        <v>9.1409380960258733E-5</v>
      </c>
      <c r="L65" s="28" t="e">
        <f>IF(Summary!$F$4="M",VLOOKUP(C:C,#REF!,IF(B65&gt;2033,22,MATCH(B65,#REF!,0)),FALSE),VLOOKUP(C:C,#REF!,IF(B65&gt;2033,22,MATCH(B65,#REF!,0)),FALSE))</f>
        <v>#REF!</v>
      </c>
      <c r="M65" s="28" t="e">
        <f t="shared" si="4"/>
        <v>#REF!</v>
      </c>
      <c r="N65" s="28" t="e">
        <f t="shared" si="5"/>
        <v>#REF!</v>
      </c>
      <c r="O65" s="28" t="e">
        <f>Summary!$J$4*'R3'!N65*'R3'!H65</f>
        <v>#REF!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62"/>
  <sheetViews>
    <sheetView topLeftCell="G1" workbookViewId="0">
      <selection activeCell="A6" sqref="A6"/>
    </sheetView>
  </sheetViews>
  <sheetFormatPr defaultColWidth="18" defaultRowHeight="24" customHeight="1"/>
  <cols>
    <col min="1" max="6" width="18" style="28"/>
    <col min="7" max="7" width="26.7109375" style="28" customWidth="1"/>
    <col min="8" max="9" width="18" style="28"/>
    <col min="10" max="10" width="21.7109375" style="28" customWidth="1"/>
    <col min="11" max="14" width="18" style="28"/>
    <col min="15" max="15" width="27.28515625" style="28" customWidth="1"/>
    <col min="16" max="16384" width="18" style="28"/>
  </cols>
  <sheetData>
    <row r="1" spans="1:16" ht="24" customHeight="1">
      <c r="A1" s="30" t="s">
        <v>69</v>
      </c>
      <c r="B1" s="30" t="s">
        <v>83</v>
      </c>
      <c r="C1" s="28" t="s">
        <v>28</v>
      </c>
      <c r="D1" s="28" t="s">
        <v>29</v>
      </c>
      <c r="E1" s="28" t="s">
        <v>30</v>
      </c>
      <c r="F1" s="28" t="s">
        <v>71</v>
      </c>
      <c r="G1" s="28" t="s">
        <v>72</v>
      </c>
      <c r="H1" s="28" t="s">
        <v>31</v>
      </c>
      <c r="I1" s="28" t="s">
        <v>32</v>
      </c>
      <c r="J1" s="28" t="s">
        <v>33</v>
      </c>
      <c r="L1" s="39" t="s">
        <v>76</v>
      </c>
      <c r="M1" s="39" t="s">
        <v>77</v>
      </c>
      <c r="N1" s="39" t="s">
        <v>78</v>
      </c>
      <c r="O1" s="39" t="s">
        <v>79</v>
      </c>
      <c r="P1" s="39" t="s">
        <v>80</v>
      </c>
    </row>
    <row r="2" spans="1:16" ht="24" customHeight="1">
      <c r="A2" s="31">
        <v>43647</v>
      </c>
      <c r="B2" s="28">
        <f>YEAR(Summary!$O$5)</f>
        <v>2019</v>
      </c>
      <c r="C2" s="28">
        <f>$A$4+D2</f>
        <v>60</v>
      </c>
      <c r="D2" s="28">
        <v>0</v>
      </c>
      <c r="E2" s="28">
        <f>VLOOKUP(C:C, 'Total Data Set'!B:J, IF(Summary!$F$5="M", 4, 8), FALSE)</f>
        <v>7.7710000000000001E-3</v>
      </c>
      <c r="F2" s="28">
        <f>1-E2</f>
        <v>0.99222900000000003</v>
      </c>
      <c r="G2" s="28">
        <v>1</v>
      </c>
      <c r="H2" s="28">
        <f>1/(1+Summary!$O$3)^D2</f>
        <v>1</v>
      </c>
      <c r="I2" s="28">
        <f>Summary!$J$5*'R4'!H2*'R4'!G2</f>
        <v>13445</v>
      </c>
      <c r="J2" s="28">
        <f>SUM(I2:I62)</f>
        <v>186195.63583878736</v>
      </c>
      <c r="L2" s="28" t="e">
        <f>IF(Summary!$F$5="M",VLOOKUP(C:C,#REF!,IF(B2&gt;2033,22,MATCH(B2,#REF!,0)),FALSE),VLOOKUP(C:C,#REF!,IF(B2&gt;2033,22,MATCH(B2,#REF!,0)),FALSE))</f>
        <v>#REF!</v>
      </c>
      <c r="M2" s="28" t="e">
        <f>1-L2</f>
        <v>#REF!</v>
      </c>
      <c r="N2" s="28">
        <v>1</v>
      </c>
      <c r="O2" s="28">
        <f>Summary!$J$5*'R4'!N2*'R4'!H2</f>
        <v>13445</v>
      </c>
      <c r="P2" s="28" t="e">
        <f>SUM(O2:O62)</f>
        <v>#REF!</v>
      </c>
    </row>
    <row r="3" spans="1:16" ht="24" customHeight="1">
      <c r="A3" s="28" t="s">
        <v>34</v>
      </c>
      <c r="B3" s="28">
        <f>B2+1</f>
        <v>2020</v>
      </c>
      <c r="C3" s="28">
        <f>$A$4+D3</f>
        <v>61</v>
      </c>
      <c r="D3" s="28">
        <v>1</v>
      </c>
      <c r="E3" s="28">
        <f>VLOOKUP(C:C, 'Total Data Set'!B:J, IF(Summary!$F$5="M", 4, 8), FALSE)</f>
        <v>8.2839999999999997E-3</v>
      </c>
      <c r="F3" s="28">
        <f>1-E3</f>
        <v>0.99171600000000004</v>
      </c>
      <c r="G3" s="28">
        <f>F2</f>
        <v>0.99222900000000003</v>
      </c>
      <c r="H3" s="28">
        <f>1/(1+Summary!$O$3)^D3</f>
        <v>0.95238095238095233</v>
      </c>
      <c r="I3" s="28">
        <f>Summary!$J$5*'R4'!H3*'R4'!G3</f>
        <v>12705.256100000001</v>
      </c>
      <c r="L3" s="28" t="e">
        <f>IF(Summary!$F$5="M",VLOOKUP(C:C,#REF!,IF(B3&gt;2033,22,MATCH(B3,#REF!,0)),FALSE),VLOOKUP(C:C,#REF!,IF(B3&gt;2033,22,MATCH(B3,#REF!,0)),FALSE))</f>
        <v>#REF!</v>
      </c>
      <c r="M3" s="28" t="e">
        <f>1-L3</f>
        <v>#REF!</v>
      </c>
      <c r="N3" s="28" t="e">
        <f>N2*M2</f>
        <v>#REF!</v>
      </c>
      <c r="O3" s="28" t="e">
        <f>Summary!$J$5*'R4'!N3*'R4'!H3</f>
        <v>#REF!</v>
      </c>
    </row>
    <row r="4" spans="1:16" ht="24" customHeight="1">
      <c r="A4" s="28">
        <f>Summary!I5</f>
        <v>60</v>
      </c>
      <c r="B4" s="28">
        <f t="shared" ref="B4:B62" si="0">B3+1</f>
        <v>2021</v>
      </c>
      <c r="C4" s="28">
        <f t="shared" ref="C4:C62" si="1">$A$4+D4</f>
        <v>62</v>
      </c>
      <c r="D4" s="28">
        <v>2</v>
      </c>
      <c r="E4" s="28">
        <f>VLOOKUP(C:C, 'Total Data Set'!B:J, IF(Summary!$F$5="M", 4, 8), FALSE)</f>
        <v>8.8540000000000008E-3</v>
      </c>
      <c r="F4" s="28">
        <f t="shared" ref="F4:F62" si="2">1-E4</f>
        <v>0.99114599999999997</v>
      </c>
      <c r="G4" s="28">
        <f t="shared" ref="G4:G35" si="3">G3*F3</f>
        <v>0.98400937496400009</v>
      </c>
      <c r="H4" s="28">
        <f>1/(1+Summary!$O$3)^D4</f>
        <v>0.90702947845804982</v>
      </c>
      <c r="I4" s="28">
        <f>Summary!$J$5*'R4'!H4*'R4'!G4</f>
        <v>12000.005484254858</v>
      </c>
      <c r="L4" s="28" t="e">
        <f>IF(Summary!$F$5="M",VLOOKUP(C:C,#REF!,IF(B4&gt;2033,22,MATCH(B4,#REF!,0)),FALSE),VLOOKUP(C:C,#REF!,IF(B4&gt;2033,22,MATCH(B4,#REF!,0)),FALSE))</f>
        <v>#REF!</v>
      </c>
      <c r="M4" s="28" t="e">
        <f t="shared" ref="M4:M62" si="4">1-L4</f>
        <v>#REF!</v>
      </c>
      <c r="N4" s="28" t="e">
        <f t="shared" ref="N4:N62" si="5">N3*M3</f>
        <v>#REF!</v>
      </c>
      <c r="O4" s="28" t="e">
        <f>Summary!$J$5*'R4'!N4*'R4'!H4</f>
        <v>#REF!</v>
      </c>
    </row>
    <row r="5" spans="1:16" ht="24" customHeight="1">
      <c r="B5" s="28">
        <f t="shared" si="0"/>
        <v>2022</v>
      </c>
      <c r="C5" s="28">
        <f t="shared" si="1"/>
        <v>63</v>
      </c>
      <c r="D5" s="28">
        <v>3</v>
      </c>
      <c r="E5" s="28">
        <f>VLOOKUP(C:C, 'Total Data Set'!B:J, IF(Summary!$F$5="M", 4, 8), FALSE)</f>
        <v>9.4920000000000004E-3</v>
      </c>
      <c r="F5" s="28">
        <f t="shared" si="2"/>
        <v>0.99050799999999994</v>
      </c>
      <c r="G5" s="28">
        <f t="shared" si="3"/>
        <v>0.97529695595806876</v>
      </c>
      <c r="H5" s="28">
        <f>1/(1+Summary!$O$3)^D5</f>
        <v>0.86383759853147601</v>
      </c>
      <c r="I5" s="28">
        <f>Summary!$J$5*'R4'!H5*'R4'!G5</f>
        <v>11327.388033997393</v>
      </c>
      <c r="L5" s="28" t="e">
        <f>IF(Summary!$F$5="M",VLOOKUP(C:C,#REF!,IF(B5&gt;2033,22,MATCH(B5,#REF!,0)),FALSE),VLOOKUP(C:C,#REF!,IF(B5&gt;2033,22,MATCH(B5,#REF!,0)),FALSE))</f>
        <v>#REF!</v>
      </c>
      <c r="M5" s="28" t="e">
        <f t="shared" si="4"/>
        <v>#REF!</v>
      </c>
      <c r="N5" s="28" t="e">
        <f t="shared" si="5"/>
        <v>#REF!</v>
      </c>
      <c r="O5" s="28" t="e">
        <f>Summary!$J$5*'R4'!N5*'R4'!H5</f>
        <v>#REF!</v>
      </c>
    </row>
    <row r="6" spans="1:16" ht="24" customHeight="1">
      <c r="B6" s="28">
        <f t="shared" si="0"/>
        <v>2023</v>
      </c>
      <c r="C6" s="28">
        <f t="shared" si="1"/>
        <v>64</v>
      </c>
      <c r="D6" s="28">
        <v>4</v>
      </c>
      <c r="E6" s="28">
        <f>VLOOKUP(C:C, 'Total Data Set'!B:J, IF(Summary!$F$5="M", 4, 8), FALSE)</f>
        <v>1.0208999999999999E-2</v>
      </c>
      <c r="F6" s="28">
        <f t="shared" si="2"/>
        <v>0.98979099999999998</v>
      </c>
      <c r="G6" s="28">
        <f t="shared" si="3"/>
        <v>0.96603943725211472</v>
      </c>
      <c r="H6" s="28">
        <f>1/(1+Summary!$O$3)^D6</f>
        <v>0.82270247479188197</v>
      </c>
      <c r="I6" s="28">
        <f>Summary!$J$5*'R4'!H6*'R4'!G6</f>
        <v>10685.589015979705</v>
      </c>
      <c r="L6" s="28" t="e">
        <f>IF(Summary!$F$5="M",VLOOKUP(C:C,#REF!,IF(B6&gt;2033,22,MATCH(B6,#REF!,0)),FALSE),VLOOKUP(C:C,#REF!,IF(B6&gt;2033,22,MATCH(B6,#REF!,0)),FALSE))</f>
        <v>#REF!</v>
      </c>
      <c r="M6" s="28" t="e">
        <f t="shared" si="4"/>
        <v>#REF!</v>
      </c>
      <c r="N6" s="28" t="e">
        <f t="shared" si="5"/>
        <v>#REF!</v>
      </c>
      <c r="O6" s="28" t="e">
        <f>Summary!$J$5*'R4'!N6*'R4'!H6</f>
        <v>#REF!</v>
      </c>
    </row>
    <row r="7" spans="1:16" ht="24" customHeight="1">
      <c r="B7" s="28">
        <f t="shared" si="0"/>
        <v>2024</v>
      </c>
      <c r="C7" s="28">
        <f t="shared" si="1"/>
        <v>65</v>
      </c>
      <c r="D7" s="28">
        <v>5</v>
      </c>
      <c r="E7" s="28">
        <f>VLOOKUP(C:C, 'Total Data Set'!B:J, IF(Summary!$F$5="M", 4, 8), FALSE)</f>
        <v>1.1013E-2</v>
      </c>
      <c r="F7" s="28">
        <f t="shared" si="2"/>
        <v>0.98898699999999995</v>
      </c>
      <c r="G7" s="28">
        <f t="shared" si="3"/>
        <v>0.95617714063720782</v>
      </c>
      <c r="H7" s="28">
        <f>1/(1+Summary!$O$3)^D7</f>
        <v>0.78352616646845896</v>
      </c>
      <c r="I7" s="28">
        <f>Summary!$J$5*'R4'!H7*'R4'!G7</f>
        <v>10072.85698830054</v>
      </c>
      <c r="L7" s="28" t="e">
        <f>IF(Summary!$F$5="M",VLOOKUP(C:C,#REF!,IF(B7&gt;2033,22,MATCH(B7,#REF!,0)),FALSE),VLOOKUP(C:C,#REF!,IF(B7&gt;2033,22,MATCH(B7,#REF!,0)),FALSE))</f>
        <v>#REF!</v>
      </c>
      <c r="M7" s="28" t="e">
        <f t="shared" si="4"/>
        <v>#REF!</v>
      </c>
      <c r="N7" s="28" t="e">
        <f t="shared" si="5"/>
        <v>#REF!</v>
      </c>
      <c r="O7" s="28" t="e">
        <f>Summary!$J$5*'R4'!N7*'R4'!H7</f>
        <v>#REF!</v>
      </c>
    </row>
    <row r="8" spans="1:16" ht="24" customHeight="1">
      <c r="B8" s="28">
        <f t="shared" si="0"/>
        <v>2025</v>
      </c>
      <c r="C8" s="28">
        <f t="shared" si="1"/>
        <v>66</v>
      </c>
      <c r="D8" s="28">
        <v>6</v>
      </c>
      <c r="E8" s="28">
        <f>VLOOKUP(C:C, 'Total Data Set'!B:J, IF(Summary!$F$5="M", 4, 8), FALSE)</f>
        <v>1.1916E-2</v>
      </c>
      <c r="F8" s="28">
        <f t="shared" si="2"/>
        <v>0.98808399999999996</v>
      </c>
      <c r="G8" s="28">
        <f t="shared" si="3"/>
        <v>0.94564676178737017</v>
      </c>
      <c r="H8" s="28">
        <f>1/(1+Summary!$O$3)^D8</f>
        <v>0.74621539663662761</v>
      </c>
      <c r="I8" s="28">
        <f>Summary!$J$5*'R4'!H8*'R4'!G8</f>
        <v>9487.5472517032249</v>
      </c>
      <c r="L8" s="28" t="e">
        <f>IF(Summary!$F$5="M",VLOOKUP(C:C,#REF!,IF(B8&gt;2033,22,MATCH(B8,#REF!,0)),FALSE),VLOOKUP(C:C,#REF!,IF(B8&gt;2033,22,MATCH(B8,#REF!,0)),FALSE))</f>
        <v>#REF!</v>
      </c>
      <c r="M8" s="28" t="e">
        <f t="shared" si="4"/>
        <v>#REF!</v>
      </c>
      <c r="N8" s="28" t="e">
        <f t="shared" si="5"/>
        <v>#REF!</v>
      </c>
      <c r="O8" s="28" t="e">
        <f>Summary!$J$5*'R4'!N8*'R4'!H8</f>
        <v>#REF!</v>
      </c>
    </row>
    <row r="9" spans="1:16" ht="24" customHeight="1">
      <c r="B9" s="28">
        <f t="shared" si="0"/>
        <v>2026</v>
      </c>
      <c r="C9" s="28">
        <f t="shared" si="1"/>
        <v>67</v>
      </c>
      <c r="D9" s="28">
        <v>7</v>
      </c>
      <c r="E9" s="28">
        <f>VLOOKUP(C:C, 'Total Data Set'!B:J, IF(Summary!$F$5="M", 4, 8), FALSE)</f>
        <v>1.2930000000000001E-2</v>
      </c>
      <c r="F9" s="28">
        <f t="shared" si="2"/>
        <v>0.98707</v>
      </c>
      <c r="G9" s="28">
        <f t="shared" si="3"/>
        <v>0.93437843497391182</v>
      </c>
      <c r="H9" s="28">
        <f>1/(1+Summary!$O$3)^D9</f>
        <v>0.71068133013012147</v>
      </c>
      <c r="I9" s="28">
        <f>Summary!$J$5*'R4'!H9*'R4'!G9</f>
        <v>8928.0891796685028</v>
      </c>
      <c r="L9" s="28" t="e">
        <f>IF(Summary!$F$5="M",VLOOKUP(C:C,#REF!,IF(B9&gt;2033,22,MATCH(B9,#REF!,0)),FALSE),VLOOKUP(C:C,#REF!,IF(B9&gt;2033,22,MATCH(B9,#REF!,0)),FALSE))</f>
        <v>#REF!</v>
      </c>
      <c r="M9" s="28" t="e">
        <f t="shared" si="4"/>
        <v>#REF!</v>
      </c>
      <c r="N9" s="28" t="e">
        <f t="shared" si="5"/>
        <v>#REF!</v>
      </c>
      <c r="O9" s="28" t="e">
        <f>Summary!$J$5*'R4'!N9*'R4'!H9</f>
        <v>#REF!</v>
      </c>
    </row>
    <row r="10" spans="1:16" ht="24" customHeight="1">
      <c r="B10" s="28">
        <f t="shared" si="0"/>
        <v>2027</v>
      </c>
      <c r="C10" s="28">
        <f t="shared" si="1"/>
        <v>68</v>
      </c>
      <c r="D10" s="28">
        <v>8</v>
      </c>
      <c r="E10" s="28">
        <f>VLOOKUP(C:C, 'Total Data Set'!B:J, IF(Summary!$F$5="M", 4, 8), FALSE)</f>
        <v>1.4067E-2</v>
      </c>
      <c r="F10" s="28">
        <f t="shared" si="2"/>
        <v>0.98593299999999995</v>
      </c>
      <c r="G10" s="28">
        <f t="shared" si="3"/>
        <v>0.92229692180969913</v>
      </c>
      <c r="H10" s="28">
        <f>1/(1+Summary!$O$3)^D10</f>
        <v>0.67683936202868722</v>
      </c>
      <c r="I10" s="28">
        <f>Summary!$J$5*'R4'!H10*'R4'!G10</f>
        <v>8392.9990348337051</v>
      </c>
      <c r="L10" s="28" t="e">
        <f>IF(Summary!$F$5="M",VLOOKUP(C:C,#REF!,IF(B10&gt;2033,22,MATCH(B10,#REF!,0)),FALSE),VLOOKUP(C:C,#REF!,IF(B10&gt;2033,22,MATCH(B10,#REF!,0)),FALSE))</f>
        <v>#REF!</v>
      </c>
      <c r="M10" s="28" t="e">
        <f t="shared" si="4"/>
        <v>#REF!</v>
      </c>
      <c r="N10" s="28" t="e">
        <f t="shared" si="5"/>
        <v>#REF!</v>
      </c>
      <c r="O10" s="28" t="e">
        <f>Summary!$J$5*'R4'!N10*'R4'!H10</f>
        <v>#REF!</v>
      </c>
    </row>
    <row r="11" spans="1:16" ht="24" customHeight="1">
      <c r="B11" s="28">
        <f t="shared" si="0"/>
        <v>2028</v>
      </c>
      <c r="C11" s="28">
        <f t="shared" si="1"/>
        <v>69</v>
      </c>
      <c r="D11" s="28">
        <v>9</v>
      </c>
      <c r="E11" s="28">
        <f>VLOOKUP(C:C, 'Total Data Set'!B:J, IF(Summary!$F$5="M", 4, 8), FALSE)</f>
        <v>1.5342E-2</v>
      </c>
      <c r="F11" s="28">
        <f t="shared" si="2"/>
        <v>0.98465800000000003</v>
      </c>
      <c r="G11" s="28">
        <f t="shared" si="3"/>
        <v>0.909322971010602</v>
      </c>
      <c r="H11" s="28">
        <f>1/(1+Summary!$O$3)^D11</f>
        <v>0.64460891621779726</v>
      </c>
      <c r="I11" s="28">
        <f>Summary!$J$5*'R4'!H11*'R4'!G11</f>
        <v>7880.8902070578069</v>
      </c>
      <c r="L11" s="28" t="e">
        <f>IF(Summary!$F$5="M",VLOOKUP(C:C,#REF!,IF(B11&gt;2033,22,MATCH(B11,#REF!,0)),FALSE),VLOOKUP(C:C,#REF!,IF(B11&gt;2033,22,MATCH(B11,#REF!,0)),FALSE))</f>
        <v>#REF!</v>
      </c>
      <c r="M11" s="28" t="e">
        <f t="shared" si="4"/>
        <v>#REF!</v>
      </c>
      <c r="N11" s="28" t="e">
        <f t="shared" si="5"/>
        <v>#REF!</v>
      </c>
      <c r="O11" s="28" t="e">
        <f>Summary!$J$5*'R4'!N11*'R4'!H11</f>
        <v>#REF!</v>
      </c>
    </row>
    <row r="12" spans="1:16" ht="24" customHeight="1">
      <c r="B12" s="28">
        <f t="shared" si="0"/>
        <v>2029</v>
      </c>
      <c r="C12" s="28">
        <f t="shared" si="1"/>
        <v>70</v>
      </c>
      <c r="D12" s="28">
        <v>10</v>
      </c>
      <c r="E12" s="28">
        <f>VLOOKUP(C:C, 'Total Data Set'!B:J, IF(Summary!$F$5="M", 4, 8), FALSE)</f>
        <v>1.6768999999999999E-2</v>
      </c>
      <c r="F12" s="28">
        <f t="shared" si="2"/>
        <v>0.98323099999999997</v>
      </c>
      <c r="G12" s="28">
        <f t="shared" si="3"/>
        <v>0.89537213798935733</v>
      </c>
      <c r="H12" s="28">
        <f>1/(1+Summary!$O$3)^D12</f>
        <v>0.61391325354075932</v>
      </c>
      <c r="I12" s="28">
        <f>Summary!$J$5*'R4'!H12*'R4'!G12</f>
        <v>7390.458656667739</v>
      </c>
      <c r="L12" s="28" t="e">
        <f>IF(Summary!$F$5="M",VLOOKUP(C:C,#REF!,IF(B12&gt;2033,22,MATCH(B12,#REF!,0)),FALSE),VLOOKUP(C:C,#REF!,IF(B12&gt;2033,22,MATCH(B12,#REF!,0)),FALSE))</f>
        <v>#REF!</v>
      </c>
      <c r="M12" s="28" t="e">
        <f t="shared" si="4"/>
        <v>#REF!</v>
      </c>
      <c r="N12" s="28" t="e">
        <f t="shared" si="5"/>
        <v>#REF!</v>
      </c>
      <c r="O12" s="28" t="e">
        <f>Summary!$J$5*'R4'!N12*'R4'!H12</f>
        <v>#REF!</v>
      </c>
    </row>
    <row r="13" spans="1:16" ht="24" customHeight="1">
      <c r="B13" s="28">
        <f t="shared" si="0"/>
        <v>2030</v>
      </c>
      <c r="C13" s="28">
        <f t="shared" si="1"/>
        <v>71</v>
      </c>
      <c r="D13" s="28">
        <v>11</v>
      </c>
      <c r="E13" s="28">
        <f>VLOOKUP(C:C, 'Total Data Set'!B:J, IF(Summary!$F$5="M", 4, 8), FALSE)</f>
        <v>1.8363000000000001E-2</v>
      </c>
      <c r="F13" s="28">
        <f t="shared" si="2"/>
        <v>0.98163699999999998</v>
      </c>
      <c r="G13" s="28">
        <f t="shared" si="3"/>
        <v>0.88035764260741378</v>
      </c>
      <c r="H13" s="28">
        <f>1/(1+Summary!$O$3)^D13</f>
        <v>0.5846792890864374</v>
      </c>
      <c r="I13" s="28">
        <f>Summary!$J$5*'R4'!H13*'R4'!G13</f>
        <v>6920.5029099562644</v>
      </c>
      <c r="L13" s="28" t="e">
        <f>IF(Summary!$F$5="M",VLOOKUP(C:C,#REF!,IF(B13&gt;2033,22,MATCH(B13,#REF!,0)),FALSE),VLOOKUP(C:C,#REF!,IF(B13&gt;2033,22,MATCH(B13,#REF!,0)),FALSE))</f>
        <v>#REF!</v>
      </c>
      <c r="M13" s="28" t="e">
        <f t="shared" si="4"/>
        <v>#REF!</v>
      </c>
      <c r="N13" s="28" t="e">
        <f t="shared" si="5"/>
        <v>#REF!</v>
      </c>
      <c r="O13" s="28" t="e">
        <f>Summary!$J$5*'R4'!N13*'R4'!H13</f>
        <v>#REF!</v>
      </c>
    </row>
    <row r="14" spans="1:16" ht="24" customHeight="1">
      <c r="B14" s="28">
        <f t="shared" si="0"/>
        <v>2031</v>
      </c>
      <c r="C14" s="28">
        <f t="shared" si="1"/>
        <v>72</v>
      </c>
      <c r="D14" s="28">
        <v>12</v>
      </c>
      <c r="E14" s="28">
        <f>VLOOKUP(C:C, 'Total Data Set'!B:J, IF(Summary!$F$5="M", 4, 8), FALSE)</f>
        <v>2.0140999999999999E-2</v>
      </c>
      <c r="F14" s="28">
        <f t="shared" si="2"/>
        <v>0.97985900000000004</v>
      </c>
      <c r="G14" s="28">
        <f t="shared" si="3"/>
        <v>0.86419163521621378</v>
      </c>
      <c r="H14" s="28">
        <f>1/(1+Summary!$O$3)^D14</f>
        <v>0.5568374181775595</v>
      </c>
      <c r="I14" s="28">
        <f>Summary!$J$5*'R4'!H14*'R4'!G14</f>
        <v>6469.9254428768936</v>
      </c>
      <c r="L14" s="28" t="e">
        <f>IF(Summary!$F$5="M",VLOOKUP(C:C,#REF!,IF(B14&gt;2033,22,MATCH(B14,#REF!,0)),FALSE),VLOOKUP(C:C,#REF!,IF(B14&gt;2033,22,MATCH(B14,#REF!,0)),FALSE))</f>
        <v>#REF!</v>
      </c>
      <c r="M14" s="28" t="e">
        <f t="shared" si="4"/>
        <v>#REF!</v>
      </c>
      <c r="N14" s="28" t="e">
        <f t="shared" si="5"/>
        <v>#REF!</v>
      </c>
      <c r="O14" s="28" t="e">
        <f>Summary!$J$5*'R4'!N14*'R4'!H14</f>
        <v>#REF!</v>
      </c>
    </row>
    <row r="15" spans="1:16" ht="24" customHeight="1">
      <c r="B15" s="28">
        <f t="shared" si="0"/>
        <v>2032</v>
      </c>
      <c r="C15" s="28">
        <f t="shared" si="1"/>
        <v>73</v>
      </c>
      <c r="D15" s="28">
        <v>13</v>
      </c>
      <c r="E15" s="28">
        <f>VLOOKUP(C:C, 'Total Data Set'!B:J, IF(Summary!$F$5="M", 4, 8), FALSE)</f>
        <v>2.2127000000000001E-2</v>
      </c>
      <c r="F15" s="28">
        <f t="shared" si="2"/>
        <v>0.97787299999999999</v>
      </c>
      <c r="G15" s="28">
        <f t="shared" si="3"/>
        <v>0.84678595149132407</v>
      </c>
      <c r="H15" s="28">
        <f>1/(1+Summary!$O$3)^D15</f>
        <v>0.53032135064529462</v>
      </c>
      <c r="I15" s="28">
        <f>Summary!$J$5*'R4'!H15*'R4'!G15</f>
        <v>6037.7282614589603</v>
      </c>
      <c r="L15" s="28" t="e">
        <f>IF(Summary!$F$5="M",VLOOKUP(C:C,#REF!,IF(B15&gt;2033,22,MATCH(B15,#REF!,0)),FALSE),VLOOKUP(C:C,#REF!,IF(B15&gt;2033,22,MATCH(B15,#REF!,0)),FALSE))</f>
        <v>#REF!</v>
      </c>
      <c r="M15" s="28" t="e">
        <f t="shared" si="4"/>
        <v>#REF!</v>
      </c>
      <c r="N15" s="28" t="e">
        <f t="shared" si="5"/>
        <v>#REF!</v>
      </c>
      <c r="O15" s="28" t="e">
        <f>Summary!$J$5*'R4'!N15*'R4'!H15</f>
        <v>#REF!</v>
      </c>
    </row>
    <row r="16" spans="1:16" ht="24" customHeight="1">
      <c r="B16" s="28">
        <f t="shared" si="0"/>
        <v>2033</v>
      </c>
      <c r="C16" s="28">
        <f t="shared" si="1"/>
        <v>74</v>
      </c>
      <c r="D16" s="28">
        <v>14</v>
      </c>
      <c r="E16" s="28">
        <f>VLOOKUP(C:C, 'Total Data Set'!B:J, IF(Summary!$F$5="M", 4, 8), FALSE)</f>
        <v>2.4344999999999999E-2</v>
      </c>
      <c r="F16" s="28">
        <f t="shared" si="2"/>
        <v>0.97565500000000005</v>
      </c>
      <c r="G16" s="28">
        <f t="shared" si="3"/>
        <v>0.82804911874267551</v>
      </c>
      <c r="H16" s="28">
        <f>1/(1+Summary!$O$3)^D16</f>
        <v>0.50506795299551888</v>
      </c>
      <c r="I16" s="28">
        <f>Summary!$J$5*'R4'!H16*'R4'!G16</f>
        <v>5622.982331635867</v>
      </c>
      <c r="L16" s="28" t="e">
        <f>IF(Summary!$F$5="M",VLOOKUP(C:C,#REF!,IF(B16&gt;2033,22,MATCH(B16,#REF!,0)),FALSE),VLOOKUP(C:C,#REF!,IF(B16&gt;2033,22,MATCH(B16,#REF!,0)),FALSE))</f>
        <v>#REF!</v>
      </c>
      <c r="M16" s="28" t="e">
        <f t="shared" si="4"/>
        <v>#REF!</v>
      </c>
      <c r="N16" s="28" t="e">
        <f t="shared" si="5"/>
        <v>#REF!</v>
      </c>
      <c r="O16" s="28" t="e">
        <f>Summary!$J$5*'R4'!N16*'R4'!H16</f>
        <v>#REF!</v>
      </c>
    </row>
    <row r="17" spans="2:15" ht="24" customHeight="1">
      <c r="B17" s="28">
        <f t="shared" si="0"/>
        <v>2034</v>
      </c>
      <c r="C17" s="28">
        <f t="shared" si="1"/>
        <v>75</v>
      </c>
      <c r="D17" s="28">
        <v>15</v>
      </c>
      <c r="E17" s="28">
        <f>VLOOKUP(C:C, 'Total Data Set'!B:J, IF(Summary!$F$5="M", 4, 8), FALSE)</f>
        <v>2.6825999999999999E-2</v>
      </c>
      <c r="F17" s="28">
        <f t="shared" si="2"/>
        <v>0.97317399999999998</v>
      </c>
      <c r="G17" s="28">
        <f t="shared" si="3"/>
        <v>0.80789026294688515</v>
      </c>
      <c r="H17" s="28">
        <f>1/(1+Summary!$O$3)^D17</f>
        <v>0.48101709809097021</v>
      </c>
      <c r="I17" s="28">
        <f>Summary!$J$5*'R4'!H17*'R4'!G17</f>
        <v>5224.8484064497052</v>
      </c>
      <c r="L17" s="28" t="e">
        <f>IF(Summary!$F$5="M",VLOOKUP(C:C,#REF!,IF(B17&gt;2033,22,MATCH(B17,#REF!,0)),FALSE),VLOOKUP(C:C,#REF!,IF(B17&gt;2033,22,MATCH(B17,#REF!,0)),FALSE))</f>
        <v>#REF!</v>
      </c>
      <c r="M17" s="28" t="e">
        <f t="shared" si="4"/>
        <v>#REF!</v>
      </c>
      <c r="N17" s="28" t="e">
        <f t="shared" si="5"/>
        <v>#REF!</v>
      </c>
      <c r="O17" s="28" t="e">
        <f>Summary!$J$5*'R4'!N17*'R4'!H17</f>
        <v>#REF!</v>
      </c>
    </row>
    <row r="18" spans="2:15" ht="24" customHeight="1">
      <c r="B18" s="28">
        <f t="shared" si="0"/>
        <v>2035</v>
      </c>
      <c r="C18" s="28">
        <f t="shared" si="1"/>
        <v>76</v>
      </c>
      <c r="D18" s="28">
        <v>16</v>
      </c>
      <c r="E18" s="28">
        <f>VLOOKUP(C:C, 'Total Data Set'!B:J, IF(Summary!$F$5="M", 4, 8), FALSE)</f>
        <v>2.9607999999999999E-2</v>
      </c>
      <c r="F18" s="28">
        <f t="shared" si="2"/>
        <v>0.97039200000000003</v>
      </c>
      <c r="G18" s="28">
        <f t="shared" si="3"/>
        <v>0.78621779875307196</v>
      </c>
      <c r="H18" s="28">
        <f>1/(1+Summary!$O$3)^D18</f>
        <v>0.45811152199140021</v>
      </c>
      <c r="I18" s="28">
        <f>Summary!$J$5*'R4'!H18*'R4'!G18</f>
        <v>4842.5586886650326</v>
      </c>
      <c r="L18" s="28" t="e">
        <f>IF(Summary!$F$5="M",VLOOKUP(C:C,#REF!,IF(B18&gt;2033,22,MATCH(B18,#REF!,0)),FALSE),VLOOKUP(C:C,#REF!,IF(B18&gt;2033,22,MATCH(B18,#REF!,0)),FALSE))</f>
        <v>#REF!</v>
      </c>
      <c r="M18" s="28" t="e">
        <f t="shared" si="4"/>
        <v>#REF!</v>
      </c>
      <c r="N18" s="28" t="e">
        <f t="shared" si="5"/>
        <v>#REF!</v>
      </c>
      <c r="O18" s="28" t="e">
        <f>Summary!$J$5*'R4'!N18*'R4'!H18</f>
        <v>#REF!</v>
      </c>
    </row>
    <row r="19" spans="2:15" ht="24" customHeight="1">
      <c r="B19" s="28">
        <f t="shared" si="0"/>
        <v>2036</v>
      </c>
      <c r="C19" s="28">
        <f t="shared" si="1"/>
        <v>77</v>
      </c>
      <c r="D19" s="28">
        <v>17</v>
      </c>
      <c r="E19" s="28">
        <f>VLOOKUP(C:C, 'Total Data Set'!B:J, IF(Summary!$F$5="M", 4, 8), FALSE)</f>
        <v>3.2735E-2</v>
      </c>
      <c r="F19" s="28">
        <f t="shared" si="2"/>
        <v>0.96726500000000004</v>
      </c>
      <c r="G19" s="28">
        <f t="shared" si="3"/>
        <v>0.76293946216759101</v>
      </c>
      <c r="H19" s="28">
        <f>1/(1+Summary!$O$3)^D19</f>
        <v>0.43629668761085727</v>
      </c>
      <c r="I19" s="28">
        <f>Summary!$J$5*'R4'!H19*'R4'!G19</f>
        <v>4475.4097247724176</v>
      </c>
      <c r="L19" s="28" t="e">
        <f>IF(Summary!$F$5="M",VLOOKUP(C:C,#REF!,IF(B19&gt;2033,22,MATCH(B19,#REF!,0)),FALSE),VLOOKUP(C:C,#REF!,IF(B19&gt;2033,22,MATCH(B19,#REF!,0)),FALSE))</f>
        <v>#REF!</v>
      </c>
      <c r="M19" s="28" t="e">
        <f t="shared" si="4"/>
        <v>#REF!</v>
      </c>
      <c r="N19" s="28" t="e">
        <f t="shared" si="5"/>
        <v>#REF!</v>
      </c>
      <c r="O19" s="28" t="e">
        <f>Summary!$J$5*'R4'!N19*'R4'!H19</f>
        <v>#REF!</v>
      </c>
    </row>
    <row r="20" spans="2:15" ht="24" customHeight="1">
      <c r="B20" s="28">
        <f t="shared" si="0"/>
        <v>2037</v>
      </c>
      <c r="C20" s="28">
        <f t="shared" si="1"/>
        <v>78</v>
      </c>
      <c r="D20" s="28">
        <v>18</v>
      </c>
      <c r="E20" s="28">
        <f>VLOOKUP(C:C, 'Total Data Set'!B:J, IF(Summary!$F$5="M", 4, 8), FALSE)</f>
        <v>3.6257999999999999E-2</v>
      </c>
      <c r="F20" s="28">
        <f t="shared" si="2"/>
        <v>0.96374199999999999</v>
      </c>
      <c r="G20" s="28">
        <f t="shared" si="3"/>
        <v>0.73796463887353492</v>
      </c>
      <c r="H20" s="28">
        <f>1/(1+Summary!$O$3)^D20</f>
        <v>0.41552065486748313</v>
      </c>
      <c r="I20" s="28">
        <f>Summary!$J$5*'R4'!H20*'R4'!G20</f>
        <v>4122.7687499352305</v>
      </c>
      <c r="L20" s="28" t="e">
        <f>IF(Summary!$F$5="M",VLOOKUP(C:C,#REF!,IF(B20&gt;2033,22,MATCH(B20,#REF!,0)),FALSE),VLOOKUP(C:C,#REF!,IF(B20&gt;2033,22,MATCH(B20,#REF!,0)),FALSE))</f>
        <v>#REF!</v>
      </c>
      <c r="M20" s="28" t="e">
        <f t="shared" si="4"/>
        <v>#REF!</v>
      </c>
      <c r="N20" s="28" t="e">
        <f t="shared" si="5"/>
        <v>#REF!</v>
      </c>
      <c r="O20" s="28" t="e">
        <f>Summary!$J$5*'R4'!N20*'R4'!H20</f>
        <v>#REF!</v>
      </c>
    </row>
    <row r="21" spans="2:15" ht="24" customHeight="1">
      <c r="B21" s="28">
        <f t="shared" si="0"/>
        <v>2038</v>
      </c>
      <c r="C21" s="28">
        <f t="shared" si="1"/>
        <v>79</v>
      </c>
      <c r="D21" s="28">
        <v>19</v>
      </c>
      <c r="E21" s="28">
        <f>VLOOKUP(C:C, 'Total Data Set'!B:J, IF(Summary!$F$5="M", 4, 8), FALSE)</f>
        <v>4.0231999999999997E-2</v>
      </c>
      <c r="F21" s="28">
        <f t="shared" si="2"/>
        <v>0.95976799999999995</v>
      </c>
      <c r="G21" s="28">
        <f t="shared" si="3"/>
        <v>0.71120751699725826</v>
      </c>
      <c r="H21" s="28">
        <f>1/(1+Summary!$O$3)^D21</f>
        <v>0.39573395701665059</v>
      </c>
      <c r="I21" s="28">
        <f>Summary!$J$5*'R4'!H21*'R4'!G21</f>
        <v>3784.0813339048368</v>
      </c>
      <c r="L21" s="28" t="e">
        <f>IF(Summary!$F$5="M",VLOOKUP(C:C,#REF!,IF(B21&gt;2033,22,MATCH(B21,#REF!,0)),FALSE),VLOOKUP(C:C,#REF!,IF(B21&gt;2033,22,MATCH(B21,#REF!,0)),FALSE))</f>
        <v>#REF!</v>
      </c>
      <c r="M21" s="28" t="e">
        <f t="shared" si="4"/>
        <v>#REF!</v>
      </c>
      <c r="N21" s="28" t="e">
        <f t="shared" si="5"/>
        <v>#REF!</v>
      </c>
      <c r="O21" s="28" t="e">
        <f>Summary!$J$5*'R4'!N21*'R4'!H21</f>
        <v>#REF!</v>
      </c>
    </row>
    <row r="22" spans="2:15" ht="24" customHeight="1">
      <c r="B22" s="28">
        <f t="shared" si="0"/>
        <v>2039</v>
      </c>
      <c r="C22" s="28">
        <f t="shared" si="1"/>
        <v>80</v>
      </c>
      <c r="D22" s="28">
        <v>20</v>
      </c>
      <c r="E22" s="28">
        <f>VLOOKUP(C:C, 'Total Data Set'!B:J, IF(Summary!$F$5="M", 4, 8), FALSE)</f>
        <v>4.4721999999999998E-2</v>
      </c>
      <c r="F22" s="28">
        <f t="shared" si="2"/>
        <v>0.95527799999999996</v>
      </c>
      <c r="G22" s="28">
        <f t="shared" si="3"/>
        <v>0.68259421617342453</v>
      </c>
      <c r="H22" s="28">
        <f>1/(1+Summary!$O$3)^D22</f>
        <v>0.37688948287300061</v>
      </c>
      <c r="I22" s="28">
        <f>Summary!$J$5*'R4'!H22*'R4'!G22</f>
        <v>3458.8954035039792</v>
      </c>
      <c r="L22" s="28" t="e">
        <f>IF(Summary!$F$5="M",VLOOKUP(C:C,#REF!,IF(B22&gt;2033,22,MATCH(B22,#REF!,0)),FALSE),VLOOKUP(C:C,#REF!,IF(B22&gt;2033,22,MATCH(B22,#REF!,0)),FALSE))</f>
        <v>#REF!</v>
      </c>
      <c r="M22" s="28" t="e">
        <f t="shared" si="4"/>
        <v>#REF!</v>
      </c>
      <c r="N22" s="28" t="e">
        <f t="shared" si="5"/>
        <v>#REF!</v>
      </c>
      <c r="O22" s="28" t="e">
        <f>Summary!$J$5*'R4'!N22*'R4'!H22</f>
        <v>#REF!</v>
      </c>
    </row>
    <row r="23" spans="2:15" ht="24" customHeight="1">
      <c r="B23" s="28">
        <f t="shared" si="0"/>
        <v>2040</v>
      </c>
      <c r="C23" s="28">
        <f t="shared" si="1"/>
        <v>81</v>
      </c>
      <c r="D23" s="28">
        <v>21</v>
      </c>
      <c r="E23" s="28">
        <f>VLOOKUP(C:C, 'Total Data Set'!B:J, IF(Summary!$F$5="M", 4, 8), FALSE)</f>
        <v>4.9794999999999999E-2</v>
      </c>
      <c r="F23" s="28">
        <f t="shared" si="2"/>
        <v>0.95020499999999997</v>
      </c>
      <c r="G23" s="28">
        <f t="shared" si="3"/>
        <v>0.65206723763771657</v>
      </c>
      <c r="H23" s="28">
        <f>1/(1+Summary!$O$3)^D23</f>
        <v>0.35894236464095297</v>
      </c>
      <c r="I23" s="28">
        <f>Summary!$J$5*'R4'!H23*'R4'!G23</f>
        <v>3146.8635078747366</v>
      </c>
      <c r="L23" s="28" t="e">
        <f>IF(Summary!$F$5="M",VLOOKUP(C:C,#REF!,IF(B23&gt;2033,22,MATCH(B23,#REF!,0)),FALSE),VLOOKUP(C:C,#REF!,IF(B23&gt;2033,22,MATCH(B23,#REF!,0)),FALSE))</f>
        <v>#REF!</v>
      </c>
      <c r="M23" s="28" t="e">
        <f t="shared" si="4"/>
        <v>#REF!</v>
      </c>
      <c r="N23" s="28" t="e">
        <f t="shared" si="5"/>
        <v>#REF!</v>
      </c>
      <c r="O23" s="28" t="e">
        <f>Summary!$J$5*'R4'!N23*'R4'!H23</f>
        <v>#REF!</v>
      </c>
    </row>
    <row r="24" spans="2:15" ht="24" customHeight="1">
      <c r="B24" s="28">
        <f t="shared" si="0"/>
        <v>2041</v>
      </c>
      <c r="C24" s="28">
        <f t="shared" si="1"/>
        <v>82</v>
      </c>
      <c r="D24" s="28">
        <v>22</v>
      </c>
      <c r="E24" s="28">
        <f>VLOOKUP(C:C, 'Total Data Set'!B:J, IF(Summary!$F$5="M", 4, 8), FALSE)</f>
        <v>5.5525999999999999E-2</v>
      </c>
      <c r="F24" s="28">
        <f t="shared" si="2"/>
        <v>0.94447400000000004</v>
      </c>
      <c r="G24" s="28">
        <f t="shared" si="3"/>
        <v>0.61959754953954649</v>
      </c>
      <c r="H24" s="28">
        <f>1/(1+Summary!$O$3)^D24</f>
        <v>0.3418498710866219</v>
      </c>
      <c r="I24" s="28">
        <f>Summary!$J$5*'R4'!H24*'R4'!G24</f>
        <v>2847.776609047728</v>
      </c>
      <c r="L24" s="28" t="e">
        <f>IF(Summary!$F$5="M",VLOOKUP(C:C,#REF!,IF(B24&gt;2033,22,MATCH(B24,#REF!,0)),FALSE),VLOOKUP(C:C,#REF!,IF(B24&gt;2033,22,MATCH(B24,#REF!,0)),FALSE))</f>
        <v>#REF!</v>
      </c>
      <c r="M24" s="28" t="e">
        <f t="shared" si="4"/>
        <v>#REF!</v>
      </c>
      <c r="N24" s="28" t="e">
        <f t="shared" si="5"/>
        <v>#REF!</v>
      </c>
      <c r="O24" s="28" t="e">
        <f>Summary!$J$5*'R4'!N24*'R4'!H24</f>
        <v>#REF!</v>
      </c>
    </row>
    <row r="25" spans="2:15" ht="24" customHeight="1">
      <c r="B25" s="28">
        <f t="shared" si="0"/>
        <v>2042</v>
      </c>
      <c r="C25" s="28">
        <f t="shared" si="1"/>
        <v>83</v>
      </c>
      <c r="D25" s="28">
        <v>23</v>
      </c>
      <c r="E25" s="28">
        <f>VLOOKUP(C:C, 'Total Data Set'!B:J, IF(Summary!$F$5="M", 4, 8), FALSE)</f>
        <v>6.1996000000000002E-2</v>
      </c>
      <c r="F25" s="28">
        <f t="shared" si="2"/>
        <v>0.93800399999999995</v>
      </c>
      <c r="G25" s="28">
        <f t="shared" si="3"/>
        <v>0.58519377600381361</v>
      </c>
      <c r="H25" s="28">
        <f>1/(1+Summary!$O$3)^D25</f>
        <v>0.32557130579678267</v>
      </c>
      <c r="I25" s="28">
        <f>Summary!$J$5*'R4'!H25*'R4'!G25</f>
        <v>2561.5723476702315</v>
      </c>
      <c r="L25" s="28" t="e">
        <f>IF(Summary!$F$5="M",VLOOKUP(C:C,#REF!,IF(B25&gt;2033,22,MATCH(B25,#REF!,0)),FALSE),VLOOKUP(C:C,#REF!,IF(B25&gt;2033,22,MATCH(B25,#REF!,0)),FALSE))</f>
        <v>#REF!</v>
      </c>
      <c r="M25" s="28" t="e">
        <f t="shared" si="4"/>
        <v>#REF!</v>
      </c>
      <c r="N25" s="28" t="e">
        <f t="shared" si="5"/>
        <v>#REF!</v>
      </c>
      <c r="O25" s="28" t="e">
        <f>Summary!$J$5*'R4'!N25*'R4'!H25</f>
        <v>#REF!</v>
      </c>
    </row>
    <row r="26" spans="2:15" ht="24" customHeight="1">
      <c r="B26" s="28">
        <f t="shared" si="0"/>
        <v>2043</v>
      </c>
      <c r="C26" s="28">
        <f t="shared" si="1"/>
        <v>84</v>
      </c>
      <c r="D26" s="28">
        <v>24</v>
      </c>
      <c r="E26" s="28">
        <f>VLOOKUP(C:C, 'Total Data Set'!B:J, IF(Summary!$F$5="M", 4, 8), FALSE)</f>
        <v>6.9290000000000004E-2</v>
      </c>
      <c r="F26" s="28">
        <f t="shared" si="2"/>
        <v>0.93071000000000004</v>
      </c>
      <c r="G26" s="28">
        <f t="shared" si="3"/>
        <v>0.54891410266668117</v>
      </c>
      <c r="H26" s="28">
        <f>1/(1+Summary!$O$3)^D26</f>
        <v>0.31006791028265024</v>
      </c>
      <c r="I26" s="28">
        <f>Summary!$J$5*'R4'!H26*'R4'!G26</f>
        <v>2288.347722289589</v>
      </c>
      <c r="L26" s="28" t="e">
        <f>IF(Summary!$F$5="M",VLOOKUP(C:C,#REF!,IF(B26&gt;2033,22,MATCH(B26,#REF!,0)),FALSE),VLOOKUP(C:C,#REF!,IF(B26&gt;2033,22,MATCH(B26,#REF!,0)),FALSE))</f>
        <v>#REF!</v>
      </c>
      <c r="M26" s="28" t="e">
        <f t="shared" si="4"/>
        <v>#REF!</v>
      </c>
      <c r="N26" s="28" t="e">
        <f t="shared" si="5"/>
        <v>#REF!</v>
      </c>
      <c r="O26" s="28" t="e">
        <f>Summary!$J$5*'R4'!N26*'R4'!H26</f>
        <v>#REF!</v>
      </c>
    </row>
    <row r="27" spans="2:15" ht="24" customHeight="1">
      <c r="B27" s="28">
        <f t="shared" si="0"/>
        <v>2044</v>
      </c>
      <c r="C27" s="28">
        <f t="shared" si="1"/>
        <v>85</v>
      </c>
      <c r="D27" s="28">
        <v>25</v>
      </c>
      <c r="E27" s="28">
        <f>VLOOKUP(C:C, 'Total Data Set'!B:J, IF(Summary!$F$5="M", 4, 8), FALSE)</f>
        <v>7.7496999999999996E-2</v>
      </c>
      <c r="F27" s="28">
        <f t="shared" si="2"/>
        <v>0.92250299999999996</v>
      </c>
      <c r="G27" s="28">
        <f t="shared" si="3"/>
        <v>0.5108798444929068</v>
      </c>
      <c r="H27" s="28">
        <f>1/(1+Summary!$O$3)^D27</f>
        <v>0.29530277169776209</v>
      </c>
      <c r="I27" s="28">
        <f>Summary!$J$5*'R4'!H27*'R4'!G27</f>
        <v>2028.36962724966</v>
      </c>
      <c r="L27" s="28" t="e">
        <f>IF(Summary!$F$5="M",VLOOKUP(C:C,#REF!,IF(B27&gt;2033,22,MATCH(B27,#REF!,0)),FALSE),VLOOKUP(C:C,#REF!,IF(B27&gt;2033,22,MATCH(B27,#REF!,0)),FALSE))</f>
        <v>#REF!</v>
      </c>
      <c r="M27" s="28" t="e">
        <f t="shared" si="4"/>
        <v>#REF!</v>
      </c>
      <c r="N27" s="28" t="e">
        <f t="shared" si="5"/>
        <v>#REF!</v>
      </c>
      <c r="O27" s="28" t="e">
        <f>Summary!$J$5*'R4'!N27*'R4'!H27</f>
        <v>#REF!</v>
      </c>
    </row>
    <row r="28" spans="2:15" ht="24" customHeight="1">
      <c r="B28" s="28">
        <f t="shared" si="0"/>
        <v>2045</v>
      </c>
      <c r="C28" s="28">
        <f t="shared" si="1"/>
        <v>86</v>
      </c>
      <c r="D28" s="28">
        <v>26</v>
      </c>
      <c r="E28" s="28">
        <f>VLOOKUP(C:C, 'Total Data Set'!B:J, IF(Summary!$F$5="M", 4, 8), FALSE)</f>
        <v>8.6711999999999997E-2</v>
      </c>
      <c r="F28" s="28">
        <f t="shared" si="2"/>
        <v>0.91328799999999999</v>
      </c>
      <c r="G28" s="28">
        <f t="shared" si="3"/>
        <v>0.47128818918423998</v>
      </c>
      <c r="H28" s="28">
        <f>1/(1+Summary!$O$3)^D28</f>
        <v>0.28124073495024959</v>
      </c>
      <c r="I28" s="28">
        <f>Summary!$J$5*'R4'!H28*'R4'!G28</f>
        <v>1782.0733964254218</v>
      </c>
      <c r="L28" s="28" t="e">
        <f>IF(Summary!$F$5="M",VLOOKUP(C:C,#REF!,IF(B28&gt;2033,22,MATCH(B28,#REF!,0)),FALSE),VLOOKUP(C:C,#REF!,IF(B28&gt;2033,22,MATCH(B28,#REF!,0)),FALSE))</f>
        <v>#REF!</v>
      </c>
      <c r="M28" s="28" t="e">
        <f t="shared" si="4"/>
        <v>#REF!</v>
      </c>
      <c r="N28" s="28" t="e">
        <f t="shared" si="5"/>
        <v>#REF!</v>
      </c>
      <c r="O28" s="28" t="e">
        <f>Summary!$J$5*'R4'!N28*'R4'!H28</f>
        <v>#REF!</v>
      </c>
    </row>
    <row r="29" spans="2:15" ht="24" customHeight="1">
      <c r="B29" s="28">
        <f t="shared" si="0"/>
        <v>2046</v>
      </c>
      <c r="C29" s="28">
        <f t="shared" si="1"/>
        <v>87</v>
      </c>
      <c r="D29" s="28">
        <v>27</v>
      </c>
      <c r="E29" s="28">
        <f>VLOOKUP(C:C, 'Total Data Set'!B:J, IF(Summary!$F$5="M", 4, 8), FALSE)</f>
        <v>9.7037999999999999E-2</v>
      </c>
      <c r="F29" s="28">
        <f t="shared" si="2"/>
        <v>0.90296200000000004</v>
      </c>
      <c r="G29" s="28">
        <f t="shared" si="3"/>
        <v>0.43042184772369618</v>
      </c>
      <c r="H29" s="28">
        <f>1/(1+Summary!$O$3)^D29</f>
        <v>0.2678483190002377</v>
      </c>
      <c r="I29" s="28">
        <f>Summary!$J$5*'R4'!H29*'R4'!G29</f>
        <v>1550.0440457853149</v>
      </c>
      <c r="L29" s="28" t="e">
        <f>IF(Summary!$F$5="M",VLOOKUP(C:C,#REF!,IF(B29&gt;2033,22,MATCH(B29,#REF!,0)),FALSE),VLOOKUP(C:C,#REF!,IF(B29&gt;2033,22,MATCH(B29,#REF!,0)),FALSE))</f>
        <v>#REF!</v>
      </c>
      <c r="M29" s="28" t="e">
        <f t="shared" si="4"/>
        <v>#REF!</v>
      </c>
      <c r="N29" s="28" t="e">
        <f t="shared" si="5"/>
        <v>#REF!</v>
      </c>
      <c r="O29" s="28" t="e">
        <f>Summary!$J$5*'R4'!N29*'R4'!H29</f>
        <v>#REF!</v>
      </c>
    </row>
    <row r="30" spans="2:15" ht="24" customHeight="1">
      <c r="B30" s="28">
        <f t="shared" si="0"/>
        <v>2047</v>
      </c>
      <c r="C30" s="28">
        <f t="shared" si="1"/>
        <v>88</v>
      </c>
      <c r="D30" s="28">
        <v>28</v>
      </c>
      <c r="E30" s="28">
        <f>VLOOKUP(C:C, 'Total Data Set'!B:J, IF(Summary!$F$5="M", 4, 8), FALSE)</f>
        <v>0.10859099999999999</v>
      </c>
      <c r="F30" s="28">
        <f t="shared" si="2"/>
        <v>0.89140900000000001</v>
      </c>
      <c r="G30" s="28">
        <f t="shared" si="3"/>
        <v>0.3886545724642842</v>
      </c>
      <c r="H30" s="28">
        <f>1/(1+Summary!$O$3)^D30</f>
        <v>0.25509363714308358</v>
      </c>
      <c r="I30" s="28">
        <f>Summary!$J$5*'R4'!H30*'R4'!G30</f>
        <v>1332.9817825432381</v>
      </c>
      <c r="L30" s="28" t="e">
        <f>IF(Summary!$F$5="M",VLOOKUP(C:C,#REF!,IF(B30&gt;2033,22,MATCH(B30,#REF!,0)),FALSE),VLOOKUP(C:C,#REF!,IF(B30&gt;2033,22,MATCH(B30,#REF!,0)),FALSE))</f>
        <v>#REF!</v>
      </c>
      <c r="M30" s="28" t="e">
        <f t="shared" si="4"/>
        <v>#REF!</v>
      </c>
      <c r="N30" s="28" t="e">
        <f t="shared" si="5"/>
        <v>#REF!</v>
      </c>
      <c r="O30" s="28" t="e">
        <f>Summary!$J$5*'R4'!N30*'R4'!H30</f>
        <v>#REF!</v>
      </c>
    </row>
    <row r="31" spans="2:15" ht="24" customHeight="1">
      <c r="B31" s="28">
        <f t="shared" si="0"/>
        <v>2048</v>
      </c>
      <c r="C31" s="28">
        <f t="shared" si="1"/>
        <v>89</v>
      </c>
      <c r="D31" s="28">
        <v>29</v>
      </c>
      <c r="E31" s="28">
        <f>VLOOKUP(C:C, 'Total Data Set'!B:J, IF(Summary!$F$5="M", 4, 8), FALSE)</f>
        <v>0.121499</v>
      </c>
      <c r="F31" s="28">
        <f t="shared" si="2"/>
        <v>0.87850099999999998</v>
      </c>
      <c r="G31" s="28">
        <f t="shared" si="3"/>
        <v>0.3464501837858151</v>
      </c>
      <c r="H31" s="28">
        <f>1/(1+Summary!$O$3)^D31</f>
        <v>0.24294632108865097</v>
      </c>
      <c r="I31" s="28">
        <f>Summary!$J$5*'R4'!H31*'R4'!G31</f>
        <v>1131.6494836143665</v>
      </c>
      <c r="L31" s="28" t="e">
        <f>IF(Summary!$F$5="M",VLOOKUP(C:C,#REF!,IF(B31&gt;2033,22,MATCH(B31,#REF!,0)),FALSE),VLOOKUP(C:C,#REF!,IF(B31&gt;2033,22,MATCH(B31,#REF!,0)),FALSE))</f>
        <v>#REF!</v>
      </c>
      <c r="M31" s="28" t="e">
        <f t="shared" si="4"/>
        <v>#REF!</v>
      </c>
      <c r="N31" s="28" t="e">
        <f t="shared" si="5"/>
        <v>#REF!</v>
      </c>
      <c r="O31" s="28" t="e">
        <f>Summary!$J$5*'R4'!N31*'R4'!H31</f>
        <v>#REF!</v>
      </c>
    </row>
    <row r="32" spans="2:15" ht="24" customHeight="1">
      <c r="B32" s="28">
        <f t="shared" si="0"/>
        <v>2049</v>
      </c>
      <c r="C32" s="28">
        <f t="shared" si="1"/>
        <v>90</v>
      </c>
      <c r="D32" s="28">
        <v>30</v>
      </c>
      <c r="E32" s="28">
        <f>VLOOKUP(C:C, 'Total Data Set'!B:J, IF(Summary!$F$5="M", 4, 8), FALSE)</f>
        <v>0.135908</v>
      </c>
      <c r="F32" s="28">
        <f t="shared" si="2"/>
        <v>0.86409199999999997</v>
      </c>
      <c r="G32" s="28">
        <f t="shared" si="3"/>
        <v>0.30435683290602233</v>
      </c>
      <c r="H32" s="28">
        <f>1/(1+Summary!$O$3)^D32</f>
        <v>0.23137744865585813</v>
      </c>
      <c r="I32" s="28">
        <f>Summary!$J$5*'R4'!H32*'R4'!G32</f>
        <v>946.81447905209995</v>
      </c>
      <c r="L32" s="28" t="e">
        <f>IF(Summary!$F$5="M",VLOOKUP(C:C,#REF!,IF(B32&gt;2033,22,MATCH(B32,#REF!,0)),FALSE),VLOOKUP(C:C,#REF!,IF(B32&gt;2033,22,MATCH(B32,#REF!,0)),FALSE))</f>
        <v>#REF!</v>
      </c>
      <c r="M32" s="28" t="e">
        <f t="shared" si="4"/>
        <v>#REF!</v>
      </c>
      <c r="N32" s="28" t="e">
        <f t="shared" si="5"/>
        <v>#REF!</v>
      </c>
      <c r="O32" s="28" t="e">
        <f>Summary!$J$5*'R4'!N32*'R4'!H32</f>
        <v>#REF!</v>
      </c>
    </row>
    <row r="33" spans="2:15" ht="24" customHeight="1">
      <c r="B33" s="28">
        <f t="shared" si="0"/>
        <v>2050</v>
      </c>
      <c r="C33" s="28">
        <f>$A$4+D33</f>
        <v>91</v>
      </c>
      <c r="D33" s="28">
        <v>31</v>
      </c>
      <c r="E33" s="28">
        <f>VLOOKUP(C:C, 'Total Data Set'!B:J, IF(Summary!$F$5="M", 4, 8), FALSE)</f>
        <v>0.15132200000000001</v>
      </c>
      <c r="F33" s="28">
        <f>1-E33</f>
        <v>0.84867800000000004</v>
      </c>
      <c r="G33" s="28">
        <f t="shared" si="3"/>
        <v>0.26299230445943061</v>
      </c>
      <c r="H33" s="28">
        <f>1/(1+Summary!$O$3)^D33</f>
        <v>0.220359474910341</v>
      </c>
      <c r="I33" s="28">
        <f>Summary!$J$5*'R4'!H33*'R4'!G33</f>
        <v>779.17601603151115</v>
      </c>
      <c r="L33" s="28" t="e">
        <f>IF(Summary!$F$5="M",VLOOKUP(C:C,#REF!,IF(B33&gt;2033,22,MATCH(B33,#REF!,0)),FALSE),VLOOKUP(C:C,#REF!,IF(B33&gt;2033,22,MATCH(B33,#REF!,0)),FALSE))</f>
        <v>#REF!</v>
      </c>
      <c r="M33" s="28" t="e">
        <f t="shared" si="4"/>
        <v>#REF!</v>
      </c>
      <c r="N33" s="28" t="e">
        <f t="shared" si="5"/>
        <v>#REF!</v>
      </c>
      <c r="O33" s="28" t="e">
        <f>Summary!$J$5*'R4'!N33*'R4'!H33</f>
        <v>#REF!</v>
      </c>
    </row>
    <row r="34" spans="2:15" ht="24" customHeight="1">
      <c r="B34" s="28">
        <f t="shared" si="0"/>
        <v>2051</v>
      </c>
      <c r="C34" s="28">
        <f t="shared" si="1"/>
        <v>92</v>
      </c>
      <c r="D34" s="28">
        <v>32</v>
      </c>
      <c r="E34" s="28">
        <f>VLOOKUP(C:C, 'Total Data Set'!B:J, IF(Summary!$F$5="M", 4, 8), FALSE)</f>
        <v>0.16742199999999999</v>
      </c>
      <c r="F34" s="28">
        <f t="shared" si="2"/>
        <v>0.83257800000000004</v>
      </c>
      <c r="G34" s="28">
        <f t="shared" si="3"/>
        <v>0.22319578296402068</v>
      </c>
      <c r="H34" s="28">
        <f>1/(1+Summary!$O$3)^D34</f>
        <v>0.20986616658127716</v>
      </c>
      <c r="I34" s="28">
        <f>Summary!$J$5*'R4'!H34*'R4'!G34</f>
        <v>629.78051707961049</v>
      </c>
      <c r="L34" s="28" t="e">
        <f>IF(Summary!$F$5="M",VLOOKUP(C:C,#REF!,IF(B34&gt;2033,22,MATCH(B34,#REF!,0)),FALSE),VLOOKUP(C:C,#REF!,IF(B34&gt;2033,22,MATCH(B34,#REF!,0)),FALSE))</f>
        <v>#REF!</v>
      </c>
      <c r="M34" s="28" t="e">
        <f t="shared" si="4"/>
        <v>#REF!</v>
      </c>
      <c r="N34" s="28" t="e">
        <f t="shared" si="5"/>
        <v>#REF!</v>
      </c>
      <c r="O34" s="28" t="e">
        <f>Summary!$J$5*'R4'!N34*'R4'!H34</f>
        <v>#REF!</v>
      </c>
    </row>
    <row r="35" spans="2:15" ht="24" customHeight="1">
      <c r="B35" s="28">
        <f t="shared" si="0"/>
        <v>2052</v>
      </c>
      <c r="C35" s="28">
        <f t="shared" si="1"/>
        <v>93</v>
      </c>
      <c r="D35" s="28">
        <v>33</v>
      </c>
      <c r="E35" s="28">
        <f>VLOOKUP(C:C, 'Total Data Set'!B:J, IF(Summary!$F$5="M", 4, 8), FALSE)</f>
        <v>0.18403</v>
      </c>
      <c r="F35" s="28">
        <f t="shared" si="2"/>
        <v>0.81596999999999997</v>
      </c>
      <c r="G35" s="28">
        <f t="shared" si="3"/>
        <v>0.18582789858861842</v>
      </c>
      <c r="H35" s="28">
        <f>1/(1+Summary!$O$3)^D35</f>
        <v>0.19987253960121634</v>
      </c>
      <c r="I35" s="28">
        <f>Summary!$J$5*'R4'!H35*'R4'!G35</f>
        <v>499.37276509438857</v>
      </c>
      <c r="L35" s="28" t="e">
        <f>IF(Summary!$F$5="M",VLOOKUP(C:C,#REF!,IF(B35&gt;2033,22,MATCH(B35,#REF!,0)),FALSE),VLOOKUP(C:C,#REF!,IF(B35&gt;2033,22,MATCH(B35,#REF!,0)),FALSE))</f>
        <v>#REF!</v>
      </c>
      <c r="M35" s="28" t="e">
        <f t="shared" si="4"/>
        <v>#REF!</v>
      </c>
      <c r="N35" s="28" t="e">
        <f t="shared" si="5"/>
        <v>#REF!</v>
      </c>
      <c r="O35" s="28" t="e">
        <f>Summary!$J$5*'R4'!N35*'R4'!H35</f>
        <v>#REF!</v>
      </c>
    </row>
    <row r="36" spans="2:15" ht="24" customHeight="1">
      <c r="B36" s="28">
        <f t="shared" si="0"/>
        <v>2053</v>
      </c>
      <c r="C36" s="28">
        <f t="shared" si="1"/>
        <v>94</v>
      </c>
      <c r="D36" s="28">
        <v>34</v>
      </c>
      <c r="E36" s="28">
        <f>VLOOKUP(C:C, 'Total Data Set'!B:J, IF(Summary!$F$5="M", 4, 8), FALSE)</f>
        <v>0.201074</v>
      </c>
      <c r="F36" s="28">
        <f t="shared" si="2"/>
        <v>0.79892600000000003</v>
      </c>
      <c r="G36" s="28">
        <f t="shared" ref="G36:G62" si="6">G35*F35</f>
        <v>0.15162999041135497</v>
      </c>
      <c r="H36" s="28">
        <f>1/(1+Summary!$O$3)^D36</f>
        <v>0.19035479962020604</v>
      </c>
      <c r="I36" s="28">
        <f>Summary!$J$5*'R4'!H36*'R4'!G36</f>
        <v>388.06970965149355</v>
      </c>
      <c r="L36" s="28" t="e">
        <f>IF(Summary!$F$5="M",VLOOKUP(C:C,#REF!,IF(B36&gt;2033,22,MATCH(B36,#REF!,0)),FALSE),VLOOKUP(C:C,#REF!,IF(B36&gt;2033,22,MATCH(B36,#REF!,0)),FALSE))</f>
        <v>#REF!</v>
      </c>
      <c r="M36" s="28" t="e">
        <f t="shared" si="4"/>
        <v>#REF!</v>
      </c>
      <c r="N36" s="28" t="e">
        <f t="shared" si="5"/>
        <v>#REF!</v>
      </c>
      <c r="O36" s="28" t="e">
        <f>Summary!$J$5*'R4'!N36*'R4'!H36</f>
        <v>#REF!</v>
      </c>
    </row>
    <row r="37" spans="2:15" ht="24" customHeight="1">
      <c r="B37" s="28">
        <f t="shared" si="0"/>
        <v>2054</v>
      </c>
      <c r="C37" s="28">
        <f t="shared" si="1"/>
        <v>95</v>
      </c>
      <c r="D37" s="28">
        <v>35</v>
      </c>
      <c r="E37" s="28">
        <f>VLOOKUP(C:C, 'Total Data Set'!B:J, IF(Summary!$F$5="M", 4, 8), FALSE)</f>
        <v>0.218559</v>
      </c>
      <c r="F37" s="28">
        <f t="shared" si="2"/>
        <v>0.78144100000000005</v>
      </c>
      <c r="G37" s="28">
        <f t="shared" si="6"/>
        <v>0.12114114171938219</v>
      </c>
      <c r="H37" s="28">
        <f>1/(1+Summary!$O$3)^D37</f>
        <v>0.18129028535257716</v>
      </c>
      <c r="I37" s="28">
        <f>Summary!$J$5*'R4'!H37*'R4'!G37</f>
        <v>295.27521986002773</v>
      </c>
      <c r="L37" s="28" t="e">
        <f>IF(Summary!$F$5="M",VLOOKUP(C:C,#REF!,IF(B37&gt;2033,22,MATCH(B37,#REF!,0)),FALSE),VLOOKUP(C:C,#REF!,IF(B37&gt;2033,22,MATCH(B37,#REF!,0)),FALSE))</f>
        <v>#REF!</v>
      </c>
      <c r="M37" s="28" t="e">
        <f t="shared" si="4"/>
        <v>#REF!</v>
      </c>
      <c r="N37" s="28" t="e">
        <f t="shared" si="5"/>
        <v>#REF!</v>
      </c>
      <c r="O37" s="28" t="e">
        <f>Summary!$J$5*'R4'!N37*'R4'!H37</f>
        <v>#REF!</v>
      </c>
    </row>
    <row r="38" spans="2:15" ht="24" customHeight="1">
      <c r="B38" s="28">
        <f t="shared" si="0"/>
        <v>2055</v>
      </c>
      <c r="C38" s="28">
        <f t="shared" si="1"/>
        <v>96</v>
      </c>
      <c r="D38" s="28">
        <v>36</v>
      </c>
      <c r="E38" s="28">
        <f>VLOOKUP(C:C, 'Total Data Set'!B:J, IF(Summary!$F$5="M", 4, 8), FALSE)</f>
        <v>0.236535</v>
      </c>
      <c r="F38" s="28">
        <f t="shared" si="2"/>
        <v>0.76346500000000006</v>
      </c>
      <c r="G38" s="28">
        <f t="shared" si="6"/>
        <v>9.4664654926335745E-2</v>
      </c>
      <c r="H38" s="28">
        <f>1/(1+Summary!$O$3)^D38</f>
        <v>0.17265741462150208</v>
      </c>
      <c r="I38" s="28">
        <f>Summary!$J$5*'R4'!H38*'R4'!G38</f>
        <v>219.75253626918092</v>
      </c>
      <c r="L38" s="28" t="e">
        <f>IF(Summary!$F$5="M",VLOOKUP(C:C,#REF!,IF(B38&gt;2033,22,MATCH(B38,#REF!,0)),FALSE),VLOOKUP(C:C,#REF!,IF(B38&gt;2033,22,MATCH(B38,#REF!,0)),FALSE))</f>
        <v>#REF!</v>
      </c>
      <c r="M38" s="28" t="e">
        <f t="shared" si="4"/>
        <v>#REF!</v>
      </c>
      <c r="N38" s="28" t="e">
        <f t="shared" si="5"/>
        <v>#REF!</v>
      </c>
      <c r="O38" s="28" t="e">
        <f>Summary!$J$5*'R4'!N38*'R4'!H38</f>
        <v>#REF!</v>
      </c>
    </row>
    <row r="39" spans="2:15" ht="24" customHeight="1">
      <c r="B39" s="28">
        <f t="shared" si="0"/>
        <v>2056</v>
      </c>
      <c r="C39" s="28">
        <f t="shared" si="1"/>
        <v>97</v>
      </c>
      <c r="D39" s="28">
        <v>37</v>
      </c>
      <c r="E39" s="28">
        <f>VLOOKUP(C:C, 'Total Data Set'!B:J, IF(Summary!$F$5="M", 4, 8), FALSE)</f>
        <v>0.25505899999999998</v>
      </c>
      <c r="F39" s="28">
        <f t="shared" si="2"/>
        <v>0.74494100000000008</v>
      </c>
      <c r="G39" s="28">
        <f t="shared" si="6"/>
        <v>7.2273150773334932E-2</v>
      </c>
      <c r="H39" s="28">
        <f>1/(1+Summary!$O$3)^D39</f>
        <v>0.1644356329728591</v>
      </c>
      <c r="I39" s="28">
        <f>Summary!$J$5*'R4'!H39*'R4'!G39</f>
        <v>159.78416200261924</v>
      </c>
      <c r="L39" s="28" t="e">
        <f>IF(Summary!$F$5="M",VLOOKUP(C:C,#REF!,IF(B39&gt;2033,22,MATCH(B39,#REF!,0)),FALSE),VLOOKUP(C:C,#REF!,IF(B39&gt;2033,22,MATCH(B39,#REF!,0)),FALSE))</f>
        <v>#REF!</v>
      </c>
      <c r="M39" s="28" t="e">
        <f t="shared" si="4"/>
        <v>#REF!</v>
      </c>
      <c r="N39" s="28" t="e">
        <f t="shared" si="5"/>
        <v>#REF!</v>
      </c>
      <c r="O39" s="28" t="e">
        <f>Summary!$J$5*'R4'!N39*'R4'!H39</f>
        <v>#REF!</v>
      </c>
    </row>
    <row r="40" spans="2:15" ht="24" customHeight="1">
      <c r="B40" s="28">
        <f t="shared" si="0"/>
        <v>2057</v>
      </c>
      <c r="C40" s="28">
        <f t="shared" si="1"/>
        <v>98</v>
      </c>
      <c r="D40" s="28">
        <v>38</v>
      </c>
      <c r="E40" s="28">
        <f>VLOOKUP(C:C, 'Total Data Set'!B:J, IF(Summary!$F$5="M", 4, 8), FALSE)</f>
        <v>0.27417000000000002</v>
      </c>
      <c r="F40" s="28">
        <f t="shared" si="2"/>
        <v>0.72582999999999998</v>
      </c>
      <c r="G40" s="28">
        <f t="shared" si="6"/>
        <v>5.3839233210238903E-2</v>
      </c>
      <c r="H40" s="28">
        <f>1/(1+Summary!$O$3)^D40</f>
        <v>0.15660536473605632</v>
      </c>
      <c r="I40" s="28">
        <f>Summary!$J$5*'R4'!H40*'R4'!G40</f>
        <v>113.36168897751735</v>
      </c>
      <c r="L40" s="28" t="e">
        <f>IF(Summary!$F$5="M",VLOOKUP(C:C,#REF!,IF(B40&gt;2033,22,MATCH(B40,#REF!,0)),FALSE),VLOOKUP(C:C,#REF!,IF(B40&gt;2033,22,MATCH(B40,#REF!,0)),FALSE))</f>
        <v>#REF!</v>
      </c>
      <c r="M40" s="28" t="e">
        <f t="shared" si="4"/>
        <v>#REF!</v>
      </c>
      <c r="N40" s="28" t="e">
        <f t="shared" si="5"/>
        <v>#REF!</v>
      </c>
      <c r="O40" s="28" t="e">
        <f>Summary!$J$5*'R4'!N40*'R4'!H40</f>
        <v>#REF!</v>
      </c>
    </row>
    <row r="41" spans="2:15" ht="24" customHeight="1">
      <c r="B41" s="28">
        <f t="shared" si="0"/>
        <v>2058</v>
      </c>
      <c r="C41" s="28">
        <f t="shared" si="1"/>
        <v>99</v>
      </c>
      <c r="D41" s="28">
        <v>39</v>
      </c>
      <c r="E41" s="28">
        <f>VLOOKUP(C:C, 'Total Data Set'!B:J, IF(Summary!$F$5="M", 4, 8), FALSE)</f>
        <v>0.293848</v>
      </c>
      <c r="F41" s="28">
        <f t="shared" si="2"/>
        <v>0.706152</v>
      </c>
      <c r="G41" s="28">
        <f t="shared" si="6"/>
        <v>3.9078130640987703E-2</v>
      </c>
      <c r="H41" s="28">
        <f>1/(1+Summary!$O$3)^D41</f>
        <v>0.14914796641529171</v>
      </c>
      <c r="I41" s="28">
        <f>Summary!$J$5*'R4'!H41*'R4'!G41</f>
        <v>78.363156867191819</v>
      </c>
      <c r="L41" s="28" t="e">
        <f>IF(Summary!$F$5="M",VLOOKUP(C:C,#REF!,IF(B41&gt;2033,22,MATCH(B41,#REF!,0)),FALSE),VLOOKUP(C:C,#REF!,IF(B41&gt;2033,22,MATCH(B41,#REF!,0)),FALSE))</f>
        <v>#REF!</v>
      </c>
      <c r="M41" s="28" t="e">
        <f t="shared" si="4"/>
        <v>#REF!</v>
      </c>
      <c r="N41" s="28" t="e">
        <f t="shared" si="5"/>
        <v>#REF!</v>
      </c>
      <c r="O41" s="28" t="e">
        <f>Summary!$J$5*'R4'!N41*'R4'!H41</f>
        <v>#REF!</v>
      </c>
    </row>
    <row r="42" spans="2:15" ht="24" customHeight="1">
      <c r="B42" s="28">
        <f t="shared" si="0"/>
        <v>2059</v>
      </c>
      <c r="C42" s="28">
        <f t="shared" si="1"/>
        <v>100</v>
      </c>
      <c r="D42" s="28">
        <v>40</v>
      </c>
      <c r="E42" s="28">
        <f>VLOOKUP(C:C, 'Total Data Set'!B:J, IF(Summary!$F$5="M", 4, 8), FALSE)</f>
        <v>0.31398799999999999</v>
      </c>
      <c r="F42" s="28">
        <f t="shared" si="2"/>
        <v>0.68601200000000007</v>
      </c>
      <c r="G42" s="28">
        <f t="shared" si="6"/>
        <v>2.7595100108394749E-2</v>
      </c>
      <c r="H42" s="28">
        <f>1/(1+Summary!$O$3)^D42</f>
        <v>0.14204568230027784</v>
      </c>
      <c r="I42" s="28">
        <f>Summary!$J$5*'R4'!H42*'R4'!G42</f>
        <v>52.701238045791662</v>
      </c>
      <c r="L42" s="28" t="e">
        <f>IF(Summary!$F$5="M",VLOOKUP(C:C,#REF!,IF(B42&gt;2033,22,MATCH(B42,#REF!,0)),FALSE),VLOOKUP(C:C,#REF!,IF(B42&gt;2033,22,MATCH(B42,#REF!,0)),FALSE))</f>
        <v>#REF!</v>
      </c>
      <c r="M42" s="28" t="e">
        <f t="shared" si="4"/>
        <v>#REF!</v>
      </c>
      <c r="N42" s="28" t="e">
        <f t="shared" si="5"/>
        <v>#REF!</v>
      </c>
      <c r="O42" s="28" t="e">
        <f>Summary!$J$5*'R4'!N42*'R4'!H42</f>
        <v>#REF!</v>
      </c>
    </row>
    <row r="43" spans="2:15" ht="24" customHeight="1">
      <c r="B43" s="28">
        <f t="shared" si="0"/>
        <v>2060</v>
      </c>
      <c r="C43" s="28">
        <f t="shared" si="1"/>
        <v>101</v>
      </c>
      <c r="D43" s="28">
        <v>41</v>
      </c>
      <c r="E43" s="28">
        <f>VLOOKUP(C:C, 'Total Data Set'!B:J, IF(Summary!$F$5="M", 4, 8), FALSE)</f>
        <v>0.33436500000000002</v>
      </c>
      <c r="F43" s="28">
        <f t="shared" si="2"/>
        <v>0.66563499999999998</v>
      </c>
      <c r="G43" s="28">
        <f t="shared" si="6"/>
        <v>1.89305698155601E-2</v>
      </c>
      <c r="H43" s="28">
        <f>1/(1+Summary!$O$3)^D43</f>
        <v>0.13528160219074079</v>
      </c>
      <c r="I43" s="28">
        <f>Summary!$J$5*'R4'!H43*'R4'!G43</f>
        <v>34.432077823113936</v>
      </c>
      <c r="L43" s="28" t="e">
        <f>IF(Summary!$F$5="M",VLOOKUP(C:C,#REF!,IF(B43&gt;2033,22,MATCH(B43,#REF!,0)),FALSE),VLOOKUP(C:C,#REF!,IF(B43&gt;2033,22,MATCH(B43,#REF!,0)),FALSE))</f>
        <v>#REF!</v>
      </c>
      <c r="M43" s="28" t="e">
        <f t="shared" si="4"/>
        <v>#REF!</v>
      </c>
      <c r="N43" s="28" t="e">
        <f t="shared" si="5"/>
        <v>#REF!</v>
      </c>
      <c r="O43" s="28" t="e">
        <f>Summary!$J$5*'R4'!N43*'R4'!H43</f>
        <v>#REF!</v>
      </c>
    </row>
    <row r="44" spans="2:15" ht="24" customHeight="1">
      <c r="B44" s="28">
        <f t="shared" si="0"/>
        <v>2061</v>
      </c>
      <c r="C44" s="28">
        <f t="shared" si="1"/>
        <v>102</v>
      </c>
      <c r="D44" s="28">
        <v>42</v>
      </c>
      <c r="E44" s="28">
        <f>VLOOKUP(C:C, 'Total Data Set'!B:J, IF(Summary!$F$5="M", 4, 8), FALSE)</f>
        <v>0.354599</v>
      </c>
      <c r="F44" s="28">
        <f t="shared" si="2"/>
        <v>0.645401</v>
      </c>
      <c r="G44" s="28">
        <f t="shared" si="6"/>
        <v>1.2600849839180346E-2</v>
      </c>
      <c r="H44" s="28">
        <f>1/(1+Summary!$O$3)^D44</f>
        <v>0.12883962113403885</v>
      </c>
      <c r="I44" s="28">
        <f>Summary!$J$5*'R4'!H44*'R4'!G44</f>
        <v>21.827805830274709</v>
      </c>
      <c r="L44" s="28" t="e">
        <f>IF(Summary!$F$5="M",VLOOKUP(C:C,#REF!,IF(B44&gt;2033,22,MATCH(B44,#REF!,0)),FALSE),VLOOKUP(C:C,#REF!,IF(B44&gt;2033,22,MATCH(B44,#REF!,0)),FALSE))</f>
        <v>#REF!</v>
      </c>
      <c r="M44" s="28" t="e">
        <f t="shared" si="4"/>
        <v>#REF!</v>
      </c>
      <c r="N44" s="28" t="e">
        <f t="shared" si="5"/>
        <v>#REF!</v>
      </c>
      <c r="O44" s="28" t="e">
        <f>Summary!$J$5*'R4'!N44*'R4'!H44</f>
        <v>#REF!</v>
      </c>
    </row>
    <row r="45" spans="2:15" ht="24" customHeight="1">
      <c r="B45" s="28">
        <f t="shared" si="0"/>
        <v>2062</v>
      </c>
      <c r="C45" s="28">
        <f t="shared" si="1"/>
        <v>103</v>
      </c>
      <c r="D45" s="28">
        <v>43</v>
      </c>
      <c r="E45" s="28">
        <f>VLOOKUP(C:C, 'Total Data Set'!B:J, IF(Summary!$F$5="M", 4, 8), FALSE)</f>
        <v>0.37452400000000002</v>
      </c>
      <c r="F45" s="28">
        <f t="shared" si="2"/>
        <v>0.62547599999999992</v>
      </c>
      <c r="G45" s="28">
        <f t="shared" si="6"/>
        <v>8.1326010870568337E-3</v>
      </c>
      <c r="H45" s="28">
        <f>1/(1+Summary!$O$3)^D45</f>
        <v>0.12270440108003698</v>
      </c>
      <c r="I45" s="28">
        <f>Summary!$J$5*'R4'!H45*'R4'!G45</f>
        <v>13.416845438728688</v>
      </c>
      <c r="L45" s="28" t="e">
        <f>IF(Summary!$F$5="M",VLOOKUP(C:C,#REF!,IF(B45&gt;2033,22,MATCH(B45,#REF!,0)),FALSE),VLOOKUP(C:C,#REF!,IF(B45&gt;2033,22,MATCH(B45,#REF!,0)),FALSE))</f>
        <v>#REF!</v>
      </c>
      <c r="M45" s="28" t="e">
        <f t="shared" si="4"/>
        <v>#REF!</v>
      </c>
      <c r="N45" s="28" t="e">
        <f t="shared" si="5"/>
        <v>#REF!</v>
      </c>
      <c r="O45" s="28" t="e">
        <f>Summary!$J$5*'R4'!N45*'R4'!H45</f>
        <v>#REF!</v>
      </c>
    </row>
    <row r="46" spans="2:15" ht="24" customHeight="1">
      <c r="B46" s="28">
        <f t="shared" si="0"/>
        <v>2063</v>
      </c>
      <c r="C46" s="28">
        <f t="shared" si="1"/>
        <v>104</v>
      </c>
      <c r="D46" s="28">
        <v>44</v>
      </c>
      <c r="E46" s="28">
        <f>VLOOKUP(C:C, 'Total Data Set'!B:J, IF(Summary!$F$5="M", 4, 8), FALSE)</f>
        <v>0.393982</v>
      </c>
      <c r="F46" s="28">
        <f t="shared" si="2"/>
        <v>0.60601799999999995</v>
      </c>
      <c r="G46" s="28">
        <f t="shared" si="6"/>
        <v>5.0867467975279591E-3</v>
      </c>
      <c r="H46" s="28">
        <f>1/(1+Summary!$O$3)^D46</f>
        <v>0.11686133436193999</v>
      </c>
      <c r="I46" s="28">
        <f>Summary!$J$5*'R4'!H46*'R4'!G46</f>
        <v>7.9922998263183462</v>
      </c>
      <c r="L46" s="28" t="e">
        <f>IF(Summary!$F$5="M",VLOOKUP(C:C,#REF!,IF(B46&gt;2033,22,MATCH(B46,#REF!,0)),FALSE),VLOOKUP(C:C,#REF!,IF(B46&gt;2033,22,MATCH(B46,#REF!,0)),FALSE))</f>
        <v>#REF!</v>
      </c>
      <c r="M46" s="28" t="e">
        <f t="shared" si="4"/>
        <v>#REF!</v>
      </c>
      <c r="N46" s="28" t="e">
        <f t="shared" si="5"/>
        <v>#REF!</v>
      </c>
      <c r="O46" s="28" t="e">
        <f>Summary!$J$5*'R4'!N46*'R4'!H46</f>
        <v>#REF!</v>
      </c>
    </row>
    <row r="47" spans="2:15" ht="24" customHeight="1">
      <c r="B47" s="28">
        <f t="shared" si="0"/>
        <v>2064</v>
      </c>
      <c r="C47" s="28">
        <f t="shared" si="1"/>
        <v>105</v>
      </c>
      <c r="D47" s="28">
        <v>45</v>
      </c>
      <c r="E47" s="28">
        <f>VLOOKUP(C:C, 'Total Data Set'!B:J, IF(Summary!$F$5="M", 4, 8), FALSE)</f>
        <v>0.412831</v>
      </c>
      <c r="F47" s="28">
        <f t="shared" si="2"/>
        <v>0.58716900000000005</v>
      </c>
      <c r="G47" s="28">
        <f t="shared" si="6"/>
        <v>3.0826601207442983E-3</v>
      </c>
      <c r="H47" s="28">
        <f>1/(1+Summary!$O$3)^D47</f>
        <v>0.1112965089161333</v>
      </c>
      <c r="I47" s="28">
        <f>Summary!$J$5*'R4'!H47*'R4'!G47</f>
        <v>4.6128357677578951</v>
      </c>
      <c r="L47" s="28" t="e">
        <f>IF(Summary!$F$5="M",VLOOKUP(C:C,#REF!,IF(B47&gt;2033,22,MATCH(B47,#REF!,0)),FALSE),VLOOKUP(C:C,#REF!,IF(B47&gt;2033,22,MATCH(B47,#REF!,0)),FALSE))</f>
        <v>#REF!</v>
      </c>
      <c r="M47" s="28" t="e">
        <f t="shared" si="4"/>
        <v>#REF!</v>
      </c>
      <c r="N47" s="28" t="e">
        <f t="shared" si="5"/>
        <v>#REF!</v>
      </c>
      <c r="O47" s="28" t="e">
        <f>Summary!$J$5*'R4'!N47*'R4'!H47</f>
        <v>#REF!</v>
      </c>
    </row>
    <row r="48" spans="2:15" ht="24" customHeight="1">
      <c r="B48" s="28">
        <f t="shared" si="0"/>
        <v>2065</v>
      </c>
      <c r="C48" s="28">
        <f>$A$4+D48</f>
        <v>106</v>
      </c>
      <c r="D48" s="28">
        <v>46</v>
      </c>
      <c r="E48" s="28">
        <f>VLOOKUP(C:C, 'Total Data Set'!B:J, IF(Summary!$F$5="M", 4, 8), FALSE)</f>
        <v>0.430946</v>
      </c>
      <c r="F48" s="28">
        <f>1-E48</f>
        <v>0.56905399999999995</v>
      </c>
      <c r="G48" s="28">
        <f t="shared" si="6"/>
        <v>1.8100424604373091E-3</v>
      </c>
      <c r="H48" s="28">
        <f>1/(1+Summary!$O$3)^D48</f>
        <v>0.10599667515822221</v>
      </c>
      <c r="I48" s="28">
        <f>Summary!$J$5*'R4'!H48*'R4'!G48</f>
        <v>2.579537299922511</v>
      </c>
      <c r="L48" s="28" t="e">
        <f>IF(Summary!$F$5="M",VLOOKUP(C:C,#REF!,IF(B48&gt;2033,22,MATCH(B48,#REF!,0)),FALSE),VLOOKUP(C:C,#REF!,IF(B48&gt;2033,22,MATCH(B48,#REF!,0)),FALSE))</f>
        <v>#REF!</v>
      </c>
      <c r="M48" s="28" t="e">
        <f t="shared" si="4"/>
        <v>#REF!</v>
      </c>
      <c r="N48" s="28" t="e">
        <f t="shared" si="5"/>
        <v>#REF!</v>
      </c>
      <c r="O48" s="28" t="e">
        <f>Summary!$J$5*'R4'!N48*'R4'!H48</f>
        <v>#REF!</v>
      </c>
    </row>
    <row r="49" spans="2:15" ht="24" customHeight="1">
      <c r="B49" s="28">
        <f t="shared" si="0"/>
        <v>2066</v>
      </c>
      <c r="C49" s="28">
        <f t="shared" si="1"/>
        <v>107</v>
      </c>
      <c r="D49" s="28">
        <v>47</v>
      </c>
      <c r="E49" s="28">
        <f>VLOOKUP(C:C, 'Total Data Set'!B:J, IF(Summary!$F$5="M", 4, 8), FALSE)</f>
        <v>0.44822699999999999</v>
      </c>
      <c r="F49" s="28">
        <f t="shared" si="2"/>
        <v>0.55177300000000007</v>
      </c>
      <c r="G49" s="28">
        <f t="shared" si="6"/>
        <v>1.0300119022816925E-3</v>
      </c>
      <c r="H49" s="28">
        <f>1/(1+Summary!$O$3)^D49</f>
        <v>0.10094921443640208</v>
      </c>
      <c r="I49" s="28">
        <f>Summary!$J$5*'R4'!H49*'R4'!G49</f>
        <v>1.3979962082572419</v>
      </c>
      <c r="L49" s="28" t="e">
        <f>IF(Summary!$F$5="M",VLOOKUP(C:C,#REF!,IF(B49&gt;2033,22,MATCH(B49,#REF!,0)),FALSE),VLOOKUP(C:C,#REF!,IF(B49&gt;2033,22,MATCH(B49,#REF!,0)),FALSE))</f>
        <v>#REF!</v>
      </c>
      <c r="M49" s="28" t="e">
        <f t="shared" si="4"/>
        <v>#REF!</v>
      </c>
      <c r="N49" s="28" t="e">
        <f t="shared" si="5"/>
        <v>#REF!</v>
      </c>
      <c r="O49" s="28" t="e">
        <f>Summary!$J$5*'R4'!N49*'R4'!H49</f>
        <v>#REF!</v>
      </c>
    </row>
    <row r="50" spans="2:15" ht="24" customHeight="1">
      <c r="B50" s="28">
        <f t="shared" si="0"/>
        <v>2067</v>
      </c>
      <c r="C50" s="28">
        <f t="shared" si="1"/>
        <v>108</v>
      </c>
      <c r="D50" s="28">
        <v>48</v>
      </c>
      <c r="E50" s="28">
        <f>VLOOKUP(C:C, 'Total Data Set'!B:J, IF(Summary!$F$5="M", 4, 8), FALSE)</f>
        <v>0.464592</v>
      </c>
      <c r="F50" s="28">
        <f t="shared" si="2"/>
        <v>0.535408</v>
      </c>
      <c r="G50" s="28">
        <f t="shared" si="6"/>
        <v>5.6833275735767631E-4</v>
      </c>
      <c r="H50" s="28">
        <f>1/(1+Summary!$O$3)^D50</f>
        <v>9.6142108987049613E-2</v>
      </c>
      <c r="I50" s="28">
        <f>Summary!$J$5*'R4'!H50*'R4'!G50</f>
        <v>0.73464434458926031</v>
      </c>
      <c r="L50" s="28" t="e">
        <f>IF(Summary!$F$5="M",VLOOKUP(C:C,#REF!,IF(B50&gt;2033,22,MATCH(B50,#REF!,0)),FALSE),VLOOKUP(C:C,#REF!,IF(B50&gt;2033,22,MATCH(B50,#REF!,0)),FALSE))</f>
        <v>#REF!</v>
      </c>
      <c r="M50" s="28" t="e">
        <f t="shared" si="4"/>
        <v>#REF!</v>
      </c>
      <c r="N50" s="28" t="e">
        <f t="shared" si="5"/>
        <v>#REF!</v>
      </c>
      <c r="O50" s="28" t="e">
        <f>Summary!$J$5*'R4'!N50*'R4'!H50</f>
        <v>#REF!</v>
      </c>
    </row>
    <row r="51" spans="2:15" ht="24" customHeight="1">
      <c r="B51" s="28">
        <f t="shared" si="0"/>
        <v>2068</v>
      </c>
      <c r="C51" s="28">
        <f t="shared" si="1"/>
        <v>109</v>
      </c>
      <c r="D51" s="28">
        <v>49</v>
      </c>
      <c r="E51" s="28">
        <f>VLOOKUP(C:C, 'Total Data Set'!B:J, IF(Summary!$F$5="M", 4, 8), FALSE)</f>
        <v>0.479987</v>
      </c>
      <c r="F51" s="28">
        <f t="shared" si="2"/>
        <v>0.52001300000000006</v>
      </c>
      <c r="G51" s="28">
        <f t="shared" si="6"/>
        <v>3.0428990495135876E-4</v>
      </c>
      <c r="H51" s="28">
        <f>1/(1+Summary!$O$3)^D51</f>
        <v>9.1563913320999626E-2</v>
      </c>
      <c r="I51" s="28">
        <f>Summary!$J$5*'R4'!H51*'R4'!G51</f>
        <v>0.3746042469027111</v>
      </c>
      <c r="L51" s="28" t="e">
        <f>IF(Summary!$F$5="M",VLOOKUP(C:C,#REF!,IF(B51&gt;2033,22,MATCH(B51,#REF!,0)),FALSE),VLOOKUP(C:C,#REF!,IF(B51&gt;2033,22,MATCH(B51,#REF!,0)),FALSE))</f>
        <v>#REF!</v>
      </c>
      <c r="M51" s="28" t="e">
        <f t="shared" si="4"/>
        <v>#REF!</v>
      </c>
      <c r="N51" s="28" t="e">
        <f t="shared" si="5"/>
        <v>#REF!</v>
      </c>
      <c r="O51" s="28" t="e">
        <f>Summary!$J$5*'R4'!N51*'R4'!H51</f>
        <v>#REF!</v>
      </c>
    </row>
    <row r="52" spans="2:15" ht="24" customHeight="1">
      <c r="B52" s="28">
        <f t="shared" si="0"/>
        <v>2069</v>
      </c>
      <c r="C52" s="28">
        <f t="shared" si="1"/>
        <v>110</v>
      </c>
      <c r="D52" s="28">
        <v>50</v>
      </c>
      <c r="E52" s="28">
        <f>VLOOKUP(C:C, 'Total Data Set'!B:J, IF(Summary!$F$5="M", 4, 8), FALSE)</f>
        <v>0.49437599999999998</v>
      </c>
      <c r="F52" s="28">
        <f t="shared" si="2"/>
        <v>0.50562400000000007</v>
      </c>
      <c r="G52" s="28">
        <f t="shared" si="6"/>
        <v>1.5823470634347095E-4</v>
      </c>
      <c r="H52" s="28">
        <f>1/(1+Summary!$O$3)^D52</f>
        <v>8.7203726972380588E-2</v>
      </c>
      <c r="I52" s="28">
        <f>Summary!$J$5*'R4'!H52*'R4'!G52</f>
        <v>0.18552293166154241</v>
      </c>
      <c r="L52" s="28" t="e">
        <f>IF(Summary!$F$5="M",VLOOKUP(C:C,#REF!,IF(B52&gt;2033,22,MATCH(B52,#REF!,0)),FALSE),VLOOKUP(C:C,#REF!,IF(B52&gt;2033,22,MATCH(B52,#REF!,0)),FALSE))</f>
        <v>#REF!</v>
      </c>
      <c r="M52" s="28" t="e">
        <f t="shared" si="4"/>
        <v>#REF!</v>
      </c>
      <c r="N52" s="28" t="e">
        <f t="shared" si="5"/>
        <v>#REF!</v>
      </c>
      <c r="O52" s="28" t="e">
        <f>Summary!$J$5*'R4'!N52*'R4'!H52</f>
        <v>#REF!</v>
      </c>
    </row>
    <row r="53" spans="2:15" ht="24" customHeight="1">
      <c r="B53" s="28">
        <f t="shared" si="0"/>
        <v>2070</v>
      </c>
      <c r="C53" s="28">
        <f t="shared" si="1"/>
        <v>111</v>
      </c>
      <c r="D53" s="28">
        <v>51</v>
      </c>
      <c r="E53" s="28">
        <f>VLOOKUP(C:C, 'Total Data Set'!B:J, IF(Summary!$F$5="M", 4, 8), FALSE)</f>
        <v>0.5</v>
      </c>
      <c r="F53" s="28">
        <f t="shared" si="2"/>
        <v>0.5</v>
      </c>
      <c r="G53" s="28">
        <f t="shared" si="6"/>
        <v>8.0007265160211166E-5</v>
      </c>
      <c r="H53" s="28">
        <f>1/(1+Summary!$O$3)^D53</f>
        <v>8.3051168545124371E-2</v>
      </c>
      <c r="I53" s="28">
        <f>Summary!$J$5*'R4'!H53*'R4'!G53</f>
        <v>8.9337949331843552E-2</v>
      </c>
      <c r="L53" s="28" t="e">
        <f>IF(Summary!$F$5="M",VLOOKUP(C:C,#REF!,IF(B53&gt;2033,22,MATCH(B53,#REF!,0)),FALSE),VLOOKUP(C:C,#REF!,IF(B53&gt;2033,22,MATCH(B53,#REF!,0)),FALSE))</f>
        <v>#REF!</v>
      </c>
      <c r="M53" s="28" t="e">
        <f t="shared" si="4"/>
        <v>#REF!</v>
      </c>
      <c r="N53" s="28" t="e">
        <f t="shared" si="5"/>
        <v>#REF!</v>
      </c>
      <c r="O53" s="28" t="e">
        <f>Summary!$J$5*'R4'!N53*'R4'!H53</f>
        <v>#REF!</v>
      </c>
    </row>
    <row r="54" spans="2:15" ht="24" customHeight="1">
      <c r="B54" s="28">
        <f t="shared" si="0"/>
        <v>2071</v>
      </c>
      <c r="C54" s="28">
        <f t="shared" si="1"/>
        <v>112</v>
      </c>
      <c r="D54" s="28">
        <v>52</v>
      </c>
      <c r="E54" s="28">
        <f>VLOOKUP(C:C, 'Total Data Set'!B:J, IF(Summary!$F$5="M", 4, 8), FALSE)</f>
        <v>0.5</v>
      </c>
      <c r="F54" s="28">
        <f t="shared" si="2"/>
        <v>0.5</v>
      </c>
      <c r="G54" s="28">
        <f t="shared" si="6"/>
        <v>4.0003632580105583E-5</v>
      </c>
      <c r="H54" s="28">
        <f>1/(1+Summary!$O$3)^D54</f>
        <v>7.9096350995356543E-2</v>
      </c>
      <c r="I54" s="28">
        <f>Summary!$J$5*'R4'!H54*'R4'!G54</f>
        <v>4.2541880634211222E-2</v>
      </c>
      <c r="L54" s="28" t="e">
        <f>IF(Summary!$F$5="M",VLOOKUP(C:C,#REF!,IF(B54&gt;2033,22,MATCH(B54,#REF!,0)),FALSE),VLOOKUP(C:C,#REF!,IF(B54&gt;2033,22,MATCH(B54,#REF!,0)),FALSE))</f>
        <v>#REF!</v>
      </c>
      <c r="M54" s="28" t="e">
        <f t="shared" si="4"/>
        <v>#REF!</v>
      </c>
      <c r="N54" s="28" t="e">
        <f t="shared" si="5"/>
        <v>#REF!</v>
      </c>
      <c r="O54" s="28" t="e">
        <f>Summary!$J$5*'R4'!N54*'R4'!H54</f>
        <v>#REF!</v>
      </c>
    </row>
    <row r="55" spans="2:15" ht="24" customHeight="1">
      <c r="B55" s="28">
        <f t="shared" si="0"/>
        <v>2072</v>
      </c>
      <c r="C55" s="28">
        <f t="shared" si="1"/>
        <v>113</v>
      </c>
      <c r="D55" s="28">
        <v>53</v>
      </c>
      <c r="E55" s="28">
        <f>VLOOKUP(C:C, 'Total Data Set'!B:J, IF(Summary!$F$5="M", 4, 8), FALSE)</f>
        <v>0.5</v>
      </c>
      <c r="F55" s="28">
        <f t="shared" si="2"/>
        <v>0.5</v>
      </c>
      <c r="G55" s="28">
        <f t="shared" si="6"/>
        <v>2.0001816290052791E-5</v>
      </c>
      <c r="H55" s="28">
        <f>1/(1+Summary!$O$3)^D55</f>
        <v>7.5329858090815757E-2</v>
      </c>
      <c r="I55" s="28">
        <f>Summary!$J$5*'R4'!H55*'R4'!G55</f>
        <v>2.0258038397243435E-2</v>
      </c>
      <c r="L55" s="28" t="e">
        <f>IF(Summary!$F$5="M",VLOOKUP(C:C,#REF!,IF(B55&gt;2033,22,MATCH(B55,#REF!,0)),FALSE),VLOOKUP(C:C,#REF!,IF(B55&gt;2033,22,MATCH(B55,#REF!,0)),FALSE))</f>
        <v>#REF!</v>
      </c>
      <c r="M55" s="28" t="e">
        <f t="shared" si="4"/>
        <v>#REF!</v>
      </c>
      <c r="N55" s="28" t="e">
        <f t="shared" si="5"/>
        <v>#REF!</v>
      </c>
      <c r="O55" s="28" t="e">
        <f>Summary!$J$5*'R4'!N55*'R4'!H55</f>
        <v>#REF!</v>
      </c>
    </row>
    <row r="56" spans="2:15" ht="24" customHeight="1">
      <c r="B56" s="28">
        <f t="shared" si="0"/>
        <v>2073</v>
      </c>
      <c r="C56" s="28">
        <f t="shared" si="1"/>
        <v>114</v>
      </c>
      <c r="D56" s="28">
        <v>54</v>
      </c>
      <c r="E56" s="28">
        <f>VLOOKUP(C:C, 'Total Data Set'!B:J, IF(Summary!$F$5="M", 4, 8), FALSE)</f>
        <v>0.5</v>
      </c>
      <c r="F56" s="28">
        <f t="shared" si="2"/>
        <v>0.5</v>
      </c>
      <c r="G56" s="28">
        <f t="shared" si="6"/>
        <v>1.0000908145026396E-5</v>
      </c>
      <c r="H56" s="28">
        <f>1/(1+Summary!$O$3)^D56</f>
        <v>7.1742721991253117E-2</v>
      </c>
      <c r="I56" s="28">
        <f>Summary!$J$5*'R4'!H56*'R4'!G56</f>
        <v>9.6466849510683048E-3</v>
      </c>
      <c r="L56" s="28" t="e">
        <f>IF(Summary!$F$5="M",VLOOKUP(C:C,#REF!,IF(B56&gt;2033,22,MATCH(B56,#REF!,0)),FALSE),VLOOKUP(C:C,#REF!,IF(B56&gt;2033,22,MATCH(B56,#REF!,0)),FALSE))</f>
        <v>#REF!</v>
      </c>
      <c r="M56" s="28" t="e">
        <f t="shared" si="4"/>
        <v>#REF!</v>
      </c>
      <c r="N56" s="28" t="e">
        <f t="shared" si="5"/>
        <v>#REF!</v>
      </c>
      <c r="O56" s="28" t="e">
        <f>Summary!$J$5*'R4'!N56*'R4'!H56</f>
        <v>#REF!</v>
      </c>
    </row>
    <row r="57" spans="2:15" ht="24" customHeight="1">
      <c r="B57" s="28">
        <f t="shared" si="0"/>
        <v>2074</v>
      </c>
      <c r="C57" s="28">
        <f t="shared" si="1"/>
        <v>115</v>
      </c>
      <c r="D57" s="28">
        <v>55</v>
      </c>
      <c r="E57" s="28">
        <f>VLOOKUP(C:C, 'Total Data Set'!B:J, IF(Summary!$F$5="M", 4, 8), FALSE)</f>
        <v>0.5</v>
      </c>
      <c r="F57" s="28">
        <f t="shared" si="2"/>
        <v>0.5</v>
      </c>
      <c r="G57" s="28">
        <f t="shared" si="6"/>
        <v>5.0004540725131979E-6</v>
      </c>
      <c r="H57" s="28">
        <f>1/(1+Summary!$O$3)^D57</f>
        <v>6.8326401896431521E-2</v>
      </c>
      <c r="I57" s="28">
        <f>Summary!$J$5*'R4'!H57*'R4'!G57</f>
        <v>4.5936595005087151E-3</v>
      </c>
      <c r="L57" s="28" t="e">
        <f>IF(Summary!$F$5="M",VLOOKUP(C:C,#REF!,IF(B57&gt;2033,22,MATCH(B57,#REF!,0)),FALSE),VLOOKUP(C:C,#REF!,IF(B57&gt;2033,22,MATCH(B57,#REF!,0)),FALSE))</f>
        <v>#REF!</v>
      </c>
      <c r="M57" s="28" t="e">
        <f t="shared" si="4"/>
        <v>#REF!</v>
      </c>
      <c r="N57" s="28" t="e">
        <f t="shared" si="5"/>
        <v>#REF!</v>
      </c>
      <c r="O57" s="28" t="e">
        <f>Summary!$J$5*'R4'!N57*'R4'!H57</f>
        <v>#REF!</v>
      </c>
    </row>
    <row r="58" spans="2:15" ht="24" customHeight="1">
      <c r="B58" s="28">
        <f t="shared" si="0"/>
        <v>2075</v>
      </c>
      <c r="C58" s="28">
        <f t="shared" si="1"/>
        <v>116</v>
      </c>
      <c r="D58" s="28">
        <v>56</v>
      </c>
      <c r="E58" s="28">
        <f>VLOOKUP(C:C, 'Total Data Set'!B:J, IF(Summary!$F$5="M", 4, 8), FALSE)</f>
        <v>0.5</v>
      </c>
      <c r="F58" s="28">
        <f t="shared" si="2"/>
        <v>0.5</v>
      </c>
      <c r="G58" s="28">
        <f t="shared" si="6"/>
        <v>2.5002270362565989E-6</v>
      </c>
      <c r="H58" s="28">
        <f>1/(1+Summary!$O$3)^D58</f>
        <v>6.5072763710887174E-2</v>
      </c>
      <c r="I58" s="28">
        <f>Summary!$J$5*'R4'!H58*'R4'!G58</f>
        <v>2.1874569050041506E-3</v>
      </c>
      <c r="L58" s="28" t="e">
        <f>IF(Summary!$F$5="M",VLOOKUP(C:C,#REF!,IF(B58&gt;2033,22,MATCH(B58,#REF!,0)),FALSE),VLOOKUP(C:C,#REF!,IF(B58&gt;2033,22,MATCH(B58,#REF!,0)),FALSE))</f>
        <v>#REF!</v>
      </c>
      <c r="M58" s="28" t="e">
        <f t="shared" si="4"/>
        <v>#REF!</v>
      </c>
      <c r="N58" s="28" t="e">
        <f t="shared" si="5"/>
        <v>#REF!</v>
      </c>
      <c r="O58" s="28" t="e">
        <f>Summary!$J$5*'R4'!N58*'R4'!H58</f>
        <v>#REF!</v>
      </c>
    </row>
    <row r="59" spans="2:15" ht="24" customHeight="1">
      <c r="B59" s="28">
        <f t="shared" si="0"/>
        <v>2076</v>
      </c>
      <c r="C59" s="28">
        <f t="shared" si="1"/>
        <v>117</v>
      </c>
      <c r="D59" s="28">
        <v>57</v>
      </c>
      <c r="E59" s="28">
        <f>VLOOKUP(C:C, 'Total Data Set'!B:J, IF(Summary!$F$5="M", 4, 8), FALSE)</f>
        <v>0.5</v>
      </c>
      <c r="F59" s="28">
        <f t="shared" si="2"/>
        <v>0.5</v>
      </c>
      <c r="G59" s="28">
        <f t="shared" si="6"/>
        <v>1.2501135181282995E-6</v>
      </c>
      <c r="H59" s="28">
        <f>1/(1+Summary!$O$3)^D59</f>
        <v>6.1974060677035397E-2</v>
      </c>
      <c r="I59" s="28">
        <f>Summary!$J$5*'R4'!H59*'R4'!G59</f>
        <v>1.0416461452400715E-3</v>
      </c>
      <c r="L59" s="28" t="e">
        <f>IF(Summary!$F$5="M",VLOOKUP(C:C,#REF!,IF(B59&gt;2033,22,MATCH(B59,#REF!,0)),FALSE),VLOOKUP(C:C,#REF!,IF(B59&gt;2033,22,MATCH(B59,#REF!,0)),FALSE))</f>
        <v>#REF!</v>
      </c>
      <c r="M59" s="28" t="e">
        <f t="shared" si="4"/>
        <v>#REF!</v>
      </c>
      <c r="N59" s="28" t="e">
        <f t="shared" si="5"/>
        <v>#REF!</v>
      </c>
      <c r="O59" s="28" t="e">
        <f>Summary!$J$5*'R4'!N59*'R4'!H59</f>
        <v>#REF!</v>
      </c>
    </row>
    <row r="60" spans="2:15" ht="24" customHeight="1">
      <c r="B60" s="28">
        <f t="shared" si="0"/>
        <v>2077</v>
      </c>
      <c r="C60" s="28">
        <f>$A$4+D60</f>
        <v>118</v>
      </c>
      <c r="D60" s="28">
        <v>58</v>
      </c>
      <c r="E60" s="28">
        <f>VLOOKUP(C:C, 'Total Data Set'!B:J, IF(Summary!$F$5="M", 4, 8), FALSE)</f>
        <v>0.5</v>
      </c>
      <c r="F60" s="28">
        <f>1-E60</f>
        <v>0.5</v>
      </c>
      <c r="G60" s="28">
        <f t="shared" si="6"/>
        <v>6.2505675906414973E-7</v>
      </c>
      <c r="H60" s="28">
        <f>1/(1+Summary!$O$3)^D60</f>
        <v>5.9022914930509894E-2</v>
      </c>
      <c r="I60" s="28">
        <f>Summary!$J$5*'R4'!H60*'R4'!G60</f>
        <v>4.9602197392384351E-4</v>
      </c>
      <c r="L60" s="28" t="e">
        <f>IF(Summary!$F$5="M",VLOOKUP(C:C,#REF!,IF(B60&gt;2033,22,MATCH(B60,#REF!,0)),FALSE),VLOOKUP(C:C,#REF!,IF(B60&gt;2033,22,MATCH(B60,#REF!,0)),FALSE))</f>
        <v>#REF!</v>
      </c>
      <c r="M60" s="28" t="e">
        <f t="shared" si="4"/>
        <v>#REF!</v>
      </c>
      <c r="N60" s="28" t="e">
        <f t="shared" si="5"/>
        <v>#REF!</v>
      </c>
      <c r="O60" s="28" t="e">
        <f>Summary!$J$5*'R4'!N60*'R4'!H60</f>
        <v>#REF!</v>
      </c>
    </row>
    <row r="61" spans="2:15" ht="24" customHeight="1">
      <c r="B61" s="28">
        <f t="shared" si="0"/>
        <v>2078</v>
      </c>
      <c r="C61" s="28">
        <f t="shared" si="1"/>
        <v>119</v>
      </c>
      <c r="D61" s="28">
        <v>59</v>
      </c>
      <c r="E61" s="28">
        <f>VLOOKUP(C:C, 'Total Data Set'!B:J, IF(Summary!$F$5="M", 4, 8), FALSE)</f>
        <v>0.5</v>
      </c>
      <c r="F61" s="28">
        <f t="shared" si="2"/>
        <v>0.5</v>
      </c>
      <c r="G61" s="28">
        <f t="shared" si="6"/>
        <v>3.1252837953207487E-7</v>
      </c>
      <c r="H61" s="28">
        <f>1/(1+Summary!$O$3)^D61</f>
        <v>5.6212299933818946E-2</v>
      </c>
      <c r="I61" s="28">
        <f>Summary!$J$5*'R4'!H61*'R4'!G61</f>
        <v>2.3620093996373504E-4</v>
      </c>
      <c r="L61" s="28" t="e">
        <f>IF(Summary!$F$5="M",VLOOKUP(C:C,#REF!,IF(B61&gt;2033,22,MATCH(B61,#REF!,0)),FALSE),VLOOKUP(C:C,#REF!,IF(B61&gt;2033,22,MATCH(B61,#REF!,0)),FALSE))</f>
        <v>#REF!</v>
      </c>
      <c r="M61" s="28" t="e">
        <f t="shared" si="4"/>
        <v>#REF!</v>
      </c>
      <c r="N61" s="28" t="e">
        <f t="shared" si="5"/>
        <v>#REF!</v>
      </c>
      <c r="O61" s="28" t="e">
        <f>Summary!$J$5*'R4'!N61*'R4'!H61</f>
        <v>#REF!</v>
      </c>
    </row>
    <row r="62" spans="2:15" ht="24" customHeight="1">
      <c r="B62" s="28">
        <f t="shared" si="0"/>
        <v>2079</v>
      </c>
      <c r="C62" s="28">
        <f t="shared" si="1"/>
        <v>120</v>
      </c>
      <c r="D62" s="28">
        <v>60</v>
      </c>
      <c r="E62" s="28">
        <f>VLOOKUP(C:C, 'Total Data Set'!B:J, IF(Summary!$F$5="M", 4, 8), FALSE)</f>
        <v>1</v>
      </c>
      <c r="F62" s="28">
        <f t="shared" si="2"/>
        <v>0</v>
      </c>
      <c r="G62" s="28">
        <f t="shared" si="6"/>
        <v>1.5626418976603743E-7</v>
      </c>
      <c r="H62" s="28">
        <f>1/(1+Summary!$O$3)^D62</f>
        <v>5.3535523746494243E-2</v>
      </c>
      <c r="I62" s="28">
        <f>Summary!$J$5*'R4'!H62*'R4'!G62</f>
        <v>1.1247663807796907E-4</v>
      </c>
      <c r="L62" s="28" t="e">
        <f>IF(Summary!$F$5="M",VLOOKUP(C:C,#REF!,IF(B62&gt;2033,22,MATCH(B62,#REF!,0)),FALSE),VLOOKUP(C:C,#REF!,IF(B62&gt;2033,22,MATCH(B62,#REF!,0)),FALSE))</f>
        <v>#REF!</v>
      </c>
      <c r="M62" s="28" t="e">
        <f t="shared" si="4"/>
        <v>#REF!</v>
      </c>
      <c r="N62" s="28" t="e">
        <f t="shared" si="5"/>
        <v>#REF!</v>
      </c>
      <c r="O62" s="28" t="e">
        <f>Summary!$J$5*'R4'!N62*'R4'!H62</f>
        <v>#REF!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60"/>
  <sheetViews>
    <sheetView topLeftCell="A57" workbookViewId="0">
      <selection activeCell="A6" sqref="A6"/>
    </sheetView>
  </sheetViews>
  <sheetFormatPr defaultColWidth="18" defaultRowHeight="24" customHeight="1"/>
  <cols>
    <col min="1" max="6" width="18" style="28"/>
    <col min="7" max="7" width="25" style="28" customWidth="1"/>
    <col min="8" max="9" width="18" style="28"/>
    <col min="10" max="10" width="21.7109375" style="28" customWidth="1"/>
    <col min="11" max="11" width="14.140625" style="28" customWidth="1"/>
    <col min="12" max="13" width="18" style="28"/>
    <col min="14" max="14" width="17.7109375" style="28" customWidth="1"/>
    <col min="15" max="15" width="29.5703125" style="28" customWidth="1"/>
    <col min="16" max="16384" width="18" style="28"/>
  </cols>
  <sheetData>
    <row r="1" spans="1:16" ht="24" customHeight="1">
      <c r="A1" s="30" t="s">
        <v>69</v>
      </c>
      <c r="B1" s="30" t="s">
        <v>83</v>
      </c>
      <c r="C1" s="28" t="s">
        <v>28</v>
      </c>
      <c r="D1" s="28" t="s">
        <v>29</v>
      </c>
      <c r="E1" s="28" t="s">
        <v>30</v>
      </c>
      <c r="F1" s="28" t="s">
        <v>71</v>
      </c>
      <c r="G1" s="28" t="s">
        <v>72</v>
      </c>
      <c r="H1" s="28" t="s">
        <v>31</v>
      </c>
      <c r="I1" s="28" t="s">
        <v>32</v>
      </c>
      <c r="J1" s="28" t="s">
        <v>33</v>
      </c>
      <c r="L1" s="39" t="s">
        <v>76</v>
      </c>
      <c r="M1" s="39" t="s">
        <v>77</v>
      </c>
      <c r="N1" s="39" t="s">
        <v>78</v>
      </c>
      <c r="O1" s="39" t="s">
        <v>79</v>
      </c>
      <c r="P1" s="39" t="s">
        <v>80</v>
      </c>
    </row>
    <row r="2" spans="1:16" ht="24" customHeight="1">
      <c r="A2" s="31">
        <v>43647</v>
      </c>
      <c r="B2" s="28">
        <f>YEAR(Summary!$O$5)</f>
        <v>2019</v>
      </c>
      <c r="C2" s="28">
        <f>$A$4+D2</f>
        <v>62</v>
      </c>
      <c r="D2" s="28">
        <v>0</v>
      </c>
      <c r="E2" s="28">
        <f>VLOOKUP(C:C, 'Total Data Set'!B:J, IF(Summary!$F$6="M", 4, 8), FALSE)</f>
        <v>8.8540000000000008E-3</v>
      </c>
      <c r="F2" s="28">
        <f>1-E2</f>
        <v>0.99114599999999997</v>
      </c>
      <c r="G2" s="28">
        <v>1</v>
      </c>
      <c r="H2" s="28">
        <f>1/(1+Summary!$O$3)^D2</f>
        <v>1</v>
      </c>
      <c r="I2" s="28">
        <f>Summary!$J$6*'R5'!H2*'R5'!G2</f>
        <v>21337</v>
      </c>
      <c r="J2" s="28">
        <f>SUM(I2:I60)</f>
        <v>284573.89223422948</v>
      </c>
      <c r="L2" s="28" t="e">
        <f>IF(Summary!$F$6="M",VLOOKUP(C:C,#REF!,IF(B2&gt;2033,22,MATCH(B2,#REF!,0)),FALSE),VLOOKUP(C:C,#REF!,IF(B2&gt;2033,22,MATCH(B2,#REF!,0)),FALSE))</f>
        <v>#REF!</v>
      </c>
      <c r="M2" s="28" t="e">
        <f>1-L2</f>
        <v>#REF!</v>
      </c>
      <c r="N2" s="28">
        <v>1</v>
      </c>
      <c r="O2" s="28">
        <f>Summary!$J$6*'R5'!N2*'R5'!H2</f>
        <v>21337</v>
      </c>
      <c r="P2" s="28" t="e">
        <f>SUM(O2:O60)</f>
        <v>#REF!</v>
      </c>
    </row>
    <row r="3" spans="1:16" ht="24" customHeight="1">
      <c r="A3" s="28" t="s">
        <v>34</v>
      </c>
      <c r="B3" s="28">
        <f>B2+1</f>
        <v>2020</v>
      </c>
      <c r="C3" s="28">
        <f>$A$4+D3</f>
        <v>63</v>
      </c>
      <c r="D3" s="28">
        <v>1</v>
      </c>
      <c r="E3" s="28">
        <f>VLOOKUP(C:C, 'Total Data Set'!B:J, IF(Summary!$F$6="M", 4, 8), FALSE)</f>
        <v>9.4920000000000004E-3</v>
      </c>
      <c r="F3" s="28">
        <f>1-E3</f>
        <v>0.99050799999999994</v>
      </c>
      <c r="G3" s="28">
        <f>F2</f>
        <v>0.99114599999999997</v>
      </c>
      <c r="H3" s="28">
        <f>1/(1+Summary!$O$3)^D3</f>
        <v>0.95238095238095233</v>
      </c>
      <c r="I3" s="28">
        <f>Summary!$J$6*'R5'!H3*'R5'!G3</f>
        <v>20141.030668571424</v>
      </c>
      <c r="L3" s="28" t="e">
        <f>IF(Summary!$F$6="M",VLOOKUP(C:C,#REF!,IF(B3&gt;2033,22,MATCH(B3,#REF!,0)),FALSE),VLOOKUP(C:C,#REF!,IF(B3&gt;2033,22,MATCH(B3,#REF!,0)),FALSE))</f>
        <v>#REF!</v>
      </c>
      <c r="M3" s="28" t="e">
        <f>1-L3</f>
        <v>#REF!</v>
      </c>
      <c r="N3" s="28" t="e">
        <f>N2*M2</f>
        <v>#REF!</v>
      </c>
      <c r="O3" s="28" t="e">
        <f>Summary!$J$6*'R5'!N3*'R5'!H3</f>
        <v>#REF!</v>
      </c>
    </row>
    <row r="4" spans="1:16" ht="24" customHeight="1">
      <c r="A4" s="28">
        <f>Summary!I6</f>
        <v>62</v>
      </c>
      <c r="B4" s="28">
        <f t="shared" ref="B4:B60" si="0">B3+1</f>
        <v>2021</v>
      </c>
      <c r="C4" s="28">
        <f t="shared" ref="C4:C60" si="1">$A$4+D4</f>
        <v>64</v>
      </c>
      <c r="D4" s="28">
        <v>2</v>
      </c>
      <c r="E4" s="28">
        <f>VLOOKUP(C:C, 'Total Data Set'!B:J, IF(Summary!$F$6="M", 4, 8), FALSE)</f>
        <v>1.0208999999999999E-2</v>
      </c>
      <c r="F4" s="28">
        <f t="shared" ref="F4:F60" si="2">1-E4</f>
        <v>0.98979099999999998</v>
      </c>
      <c r="G4" s="28">
        <f t="shared" ref="G4:G35" si="3">G3*F3</f>
        <v>0.98173804216799987</v>
      </c>
      <c r="H4" s="28">
        <f>1/(1+Summary!$O$3)^D4</f>
        <v>0.90702947845804982</v>
      </c>
      <c r="I4" s="28">
        <f>Summary!$J$6*'R5'!H4*'R5'!G4</f>
        <v>18999.859052824137</v>
      </c>
      <c r="L4" s="28" t="e">
        <f>IF(Summary!$F$6="M",VLOOKUP(C:C,#REF!,IF(B4&gt;2033,22,MATCH(B4,#REF!,0)),FALSE),VLOOKUP(C:C,#REF!,IF(B4&gt;2033,22,MATCH(B4,#REF!,0)),FALSE))</f>
        <v>#REF!</v>
      </c>
      <c r="M4" s="28" t="e">
        <f t="shared" ref="M4:M60" si="4">1-L4</f>
        <v>#REF!</v>
      </c>
      <c r="N4" s="28" t="e">
        <f t="shared" ref="N4:N60" si="5">N3*M3</f>
        <v>#REF!</v>
      </c>
      <c r="O4" s="28" t="e">
        <f>Summary!$J$6*'R5'!N4*'R5'!H4</f>
        <v>#REF!</v>
      </c>
    </row>
    <row r="5" spans="1:16" ht="24" customHeight="1">
      <c r="B5" s="28">
        <f t="shared" si="0"/>
        <v>2022</v>
      </c>
      <c r="C5" s="28">
        <f t="shared" si="1"/>
        <v>65</v>
      </c>
      <c r="D5" s="28">
        <v>3</v>
      </c>
      <c r="E5" s="28">
        <f>VLOOKUP(C:C, 'Total Data Set'!B:J, IF(Summary!$F$6="M", 4, 8), FALSE)</f>
        <v>1.1013E-2</v>
      </c>
      <c r="F5" s="28">
        <f t="shared" si="2"/>
        <v>0.98898699999999995</v>
      </c>
      <c r="G5" s="28">
        <f t="shared" si="3"/>
        <v>0.97171547849550677</v>
      </c>
      <c r="H5" s="28">
        <f>1/(1+Summary!$O$3)^D5</f>
        <v>0.86383759853147601</v>
      </c>
      <c r="I5" s="28">
        <f>Summary!$J$6*'R5'!H5*'R5'!G5</f>
        <v>17910.37094452748</v>
      </c>
      <c r="L5" s="28" t="e">
        <f>IF(Summary!$F$6="M",VLOOKUP(C:C,#REF!,IF(B5&gt;2033,22,MATCH(B5,#REF!,0)),FALSE),VLOOKUP(C:C,#REF!,IF(B5&gt;2033,22,MATCH(B5,#REF!,0)),FALSE))</f>
        <v>#REF!</v>
      </c>
      <c r="M5" s="28" t="e">
        <f t="shared" si="4"/>
        <v>#REF!</v>
      </c>
      <c r="N5" s="28" t="e">
        <f t="shared" si="5"/>
        <v>#REF!</v>
      </c>
      <c r="O5" s="28" t="e">
        <f>Summary!$J$6*'R5'!N5*'R5'!H5</f>
        <v>#REF!</v>
      </c>
    </row>
    <row r="6" spans="1:16" ht="24" customHeight="1">
      <c r="B6" s="28">
        <f t="shared" si="0"/>
        <v>2023</v>
      </c>
      <c r="C6" s="28">
        <f t="shared" si="1"/>
        <v>66</v>
      </c>
      <c r="D6" s="28">
        <v>4</v>
      </c>
      <c r="E6" s="28">
        <f>VLOOKUP(C:C, 'Total Data Set'!B:J, IF(Summary!$F$6="M", 4, 8), FALSE)</f>
        <v>1.1916E-2</v>
      </c>
      <c r="F6" s="28">
        <f t="shared" si="2"/>
        <v>0.98808399999999996</v>
      </c>
      <c r="G6" s="28">
        <f t="shared" si="3"/>
        <v>0.96101397593083571</v>
      </c>
      <c r="H6" s="28">
        <f>1/(1+Summary!$O$3)^D6</f>
        <v>0.82270247479188197</v>
      </c>
      <c r="I6" s="28">
        <f>Summary!$J$6*'R5'!H6*'R5'!G6</f>
        <v>16869.641932681334</v>
      </c>
      <c r="L6" s="28" t="e">
        <f>IF(Summary!$F$6="M",VLOOKUP(C:C,#REF!,IF(B6&gt;2033,22,MATCH(B6,#REF!,0)),FALSE),VLOOKUP(C:C,#REF!,IF(B6&gt;2033,22,MATCH(B6,#REF!,0)),FALSE))</f>
        <v>#REF!</v>
      </c>
      <c r="M6" s="28" t="e">
        <f t="shared" si="4"/>
        <v>#REF!</v>
      </c>
      <c r="N6" s="28" t="e">
        <f t="shared" si="5"/>
        <v>#REF!</v>
      </c>
      <c r="O6" s="28" t="e">
        <f>Summary!$J$6*'R5'!N6*'R5'!H6</f>
        <v>#REF!</v>
      </c>
    </row>
    <row r="7" spans="1:16" ht="24" customHeight="1">
      <c r="B7" s="28">
        <f t="shared" si="0"/>
        <v>2024</v>
      </c>
      <c r="C7" s="28">
        <f t="shared" si="1"/>
        <v>67</v>
      </c>
      <c r="D7" s="28">
        <v>5</v>
      </c>
      <c r="E7" s="28">
        <f>VLOOKUP(C:C, 'Total Data Set'!B:J, IF(Summary!$F$6="M", 4, 8), FALSE)</f>
        <v>1.2930000000000001E-2</v>
      </c>
      <c r="F7" s="28">
        <f t="shared" si="2"/>
        <v>0.98707</v>
      </c>
      <c r="G7" s="28">
        <f t="shared" si="3"/>
        <v>0.94956253339364383</v>
      </c>
      <c r="H7" s="28">
        <f>1/(1+Summary!$O$3)^D7</f>
        <v>0.78352616646845896</v>
      </c>
      <c r="I7" s="28">
        <f>Summary!$J$6*'R5'!H7*'R5'!G7</f>
        <v>15874.879313725238</v>
      </c>
      <c r="L7" s="28" t="e">
        <f>IF(Summary!$F$6="M",VLOOKUP(C:C,#REF!,IF(B7&gt;2033,22,MATCH(B7,#REF!,0)),FALSE),VLOOKUP(C:C,#REF!,IF(B7&gt;2033,22,MATCH(B7,#REF!,0)),FALSE))</f>
        <v>#REF!</v>
      </c>
      <c r="M7" s="28" t="e">
        <f t="shared" si="4"/>
        <v>#REF!</v>
      </c>
      <c r="N7" s="28" t="e">
        <f t="shared" si="5"/>
        <v>#REF!</v>
      </c>
      <c r="O7" s="28" t="e">
        <f>Summary!$J$6*'R5'!N7*'R5'!H7</f>
        <v>#REF!</v>
      </c>
    </row>
    <row r="8" spans="1:16" ht="24" customHeight="1">
      <c r="B8" s="28">
        <f t="shared" si="0"/>
        <v>2025</v>
      </c>
      <c r="C8" s="28">
        <f t="shared" si="1"/>
        <v>68</v>
      </c>
      <c r="D8" s="28">
        <v>6</v>
      </c>
      <c r="E8" s="28">
        <f>VLOOKUP(C:C, 'Total Data Set'!B:J, IF(Summary!$F$6="M", 4, 8), FALSE)</f>
        <v>1.4067E-2</v>
      </c>
      <c r="F8" s="28">
        <f t="shared" si="2"/>
        <v>0.98593299999999995</v>
      </c>
      <c r="G8" s="28">
        <f t="shared" si="3"/>
        <v>0.93728468983686397</v>
      </c>
      <c r="H8" s="28">
        <f>1/(1+Summary!$O$3)^D8</f>
        <v>0.74621539663662761</v>
      </c>
      <c r="I8" s="28">
        <f>Summary!$J$6*'R5'!H8*'R5'!G8</f>
        <v>14923.444880189307</v>
      </c>
      <c r="L8" s="28" t="e">
        <f>IF(Summary!$F$6="M",VLOOKUP(C:C,#REF!,IF(B8&gt;2033,22,MATCH(B8,#REF!,0)),FALSE),VLOOKUP(C:C,#REF!,IF(B8&gt;2033,22,MATCH(B8,#REF!,0)),FALSE))</f>
        <v>#REF!</v>
      </c>
      <c r="M8" s="28" t="e">
        <f t="shared" si="4"/>
        <v>#REF!</v>
      </c>
      <c r="N8" s="28" t="e">
        <f t="shared" si="5"/>
        <v>#REF!</v>
      </c>
      <c r="O8" s="28" t="e">
        <f>Summary!$J$6*'R5'!N8*'R5'!H8</f>
        <v>#REF!</v>
      </c>
    </row>
    <row r="9" spans="1:16" ht="24" customHeight="1">
      <c r="B9" s="28">
        <f t="shared" si="0"/>
        <v>2026</v>
      </c>
      <c r="C9" s="28">
        <f t="shared" si="1"/>
        <v>69</v>
      </c>
      <c r="D9" s="28">
        <v>7</v>
      </c>
      <c r="E9" s="28">
        <f>VLOOKUP(C:C, 'Total Data Set'!B:J, IF(Summary!$F$6="M", 4, 8), FALSE)</f>
        <v>1.5342E-2</v>
      </c>
      <c r="F9" s="28">
        <f t="shared" si="2"/>
        <v>0.98465800000000003</v>
      </c>
      <c r="G9" s="28">
        <f t="shared" si="3"/>
        <v>0.92409990610492876</v>
      </c>
      <c r="H9" s="28">
        <f>1/(1+Summary!$O$3)^D9</f>
        <v>0.71068133013012147</v>
      </c>
      <c r="I9" s="28">
        <f>Summary!$J$6*'R5'!H9*'R5'!G9</f>
        <v>14012.873124818745</v>
      </c>
      <c r="L9" s="28" t="e">
        <f>IF(Summary!$F$6="M",VLOOKUP(C:C,#REF!,IF(B9&gt;2033,22,MATCH(B9,#REF!,0)),FALSE),VLOOKUP(C:C,#REF!,IF(B9&gt;2033,22,MATCH(B9,#REF!,0)),FALSE))</f>
        <v>#REF!</v>
      </c>
      <c r="M9" s="28" t="e">
        <f t="shared" si="4"/>
        <v>#REF!</v>
      </c>
      <c r="N9" s="28" t="e">
        <f t="shared" si="5"/>
        <v>#REF!</v>
      </c>
      <c r="O9" s="28" t="e">
        <f>Summary!$J$6*'R5'!N9*'R5'!H9</f>
        <v>#REF!</v>
      </c>
    </row>
    <row r="10" spans="1:16" ht="24" customHeight="1">
      <c r="B10" s="28">
        <f t="shared" si="0"/>
        <v>2027</v>
      </c>
      <c r="C10" s="28">
        <f t="shared" si="1"/>
        <v>70</v>
      </c>
      <c r="D10" s="28">
        <v>8</v>
      </c>
      <c r="E10" s="28">
        <f>VLOOKUP(C:C, 'Total Data Set'!B:J, IF(Summary!$F$6="M", 4, 8), FALSE)</f>
        <v>1.6768999999999999E-2</v>
      </c>
      <c r="F10" s="28">
        <f t="shared" si="2"/>
        <v>0.98323099999999997</v>
      </c>
      <c r="G10" s="28">
        <f t="shared" si="3"/>
        <v>0.909922365345467</v>
      </c>
      <c r="H10" s="28">
        <f>1/(1+Summary!$O$3)^D10</f>
        <v>0.67683936202868722</v>
      </c>
      <c r="I10" s="28">
        <f>Summary!$J$6*'R5'!H10*'R5'!G10</f>
        <v>13140.845357464552</v>
      </c>
      <c r="L10" s="28" t="e">
        <f>IF(Summary!$F$6="M",VLOOKUP(C:C,#REF!,IF(B10&gt;2033,22,MATCH(B10,#REF!,0)),FALSE),VLOOKUP(C:C,#REF!,IF(B10&gt;2033,22,MATCH(B10,#REF!,0)),FALSE))</f>
        <v>#REF!</v>
      </c>
      <c r="M10" s="28" t="e">
        <f t="shared" si="4"/>
        <v>#REF!</v>
      </c>
      <c r="N10" s="28" t="e">
        <f t="shared" si="5"/>
        <v>#REF!</v>
      </c>
      <c r="O10" s="28" t="e">
        <f>Summary!$J$6*'R5'!N10*'R5'!H10</f>
        <v>#REF!</v>
      </c>
    </row>
    <row r="11" spans="1:16" ht="24" customHeight="1">
      <c r="B11" s="28">
        <f t="shared" si="0"/>
        <v>2028</v>
      </c>
      <c r="C11" s="28">
        <f t="shared" si="1"/>
        <v>71</v>
      </c>
      <c r="D11" s="28">
        <v>9</v>
      </c>
      <c r="E11" s="28">
        <f>VLOOKUP(C:C, 'Total Data Set'!B:J, IF(Summary!$F$6="M", 4, 8), FALSE)</f>
        <v>1.8363000000000001E-2</v>
      </c>
      <c r="F11" s="28">
        <f t="shared" si="2"/>
        <v>0.98163699999999998</v>
      </c>
      <c r="G11" s="28">
        <f t="shared" si="3"/>
        <v>0.89466387720098883</v>
      </c>
      <c r="H11" s="28">
        <f>1/(1+Summary!$O$3)^D11</f>
        <v>0.64460891621779726</v>
      </c>
      <c r="I11" s="28">
        <f>Summary!$J$6*'R5'!H11*'R5'!G11</f>
        <v>12305.225258728786</v>
      </c>
      <c r="L11" s="28" t="e">
        <f>IF(Summary!$F$6="M",VLOOKUP(C:C,#REF!,IF(B11&gt;2033,22,MATCH(B11,#REF!,0)),FALSE),VLOOKUP(C:C,#REF!,IF(B11&gt;2033,22,MATCH(B11,#REF!,0)),FALSE))</f>
        <v>#REF!</v>
      </c>
      <c r="M11" s="28" t="e">
        <f t="shared" si="4"/>
        <v>#REF!</v>
      </c>
      <c r="N11" s="28" t="e">
        <f t="shared" si="5"/>
        <v>#REF!</v>
      </c>
      <c r="O11" s="28" t="e">
        <f>Summary!$J$6*'R5'!N11*'R5'!H11</f>
        <v>#REF!</v>
      </c>
    </row>
    <row r="12" spans="1:16" ht="24" customHeight="1">
      <c r="B12" s="28">
        <f t="shared" si="0"/>
        <v>2029</v>
      </c>
      <c r="C12" s="28">
        <f t="shared" si="1"/>
        <v>72</v>
      </c>
      <c r="D12" s="28">
        <v>10</v>
      </c>
      <c r="E12" s="28">
        <f>VLOOKUP(C:C, 'Total Data Set'!B:J, IF(Summary!$F$6="M", 4, 8), FALSE)</f>
        <v>2.0140999999999999E-2</v>
      </c>
      <c r="F12" s="28">
        <f t="shared" si="2"/>
        <v>0.97985900000000004</v>
      </c>
      <c r="G12" s="28">
        <f t="shared" si="3"/>
        <v>0.87823516442394711</v>
      </c>
      <c r="H12" s="28">
        <f>1/(1+Summary!$O$3)^D12</f>
        <v>0.61391325354075932</v>
      </c>
      <c r="I12" s="28">
        <f>Summary!$J$6*'R5'!H12*'R5'!G12</f>
        <v>11504.061340288334</v>
      </c>
      <c r="L12" s="28" t="e">
        <f>IF(Summary!$F$6="M",VLOOKUP(C:C,#REF!,IF(B12&gt;2033,22,MATCH(B12,#REF!,0)),FALSE),VLOOKUP(C:C,#REF!,IF(B12&gt;2033,22,MATCH(B12,#REF!,0)),FALSE))</f>
        <v>#REF!</v>
      </c>
      <c r="M12" s="28" t="e">
        <f t="shared" si="4"/>
        <v>#REF!</v>
      </c>
      <c r="N12" s="28" t="e">
        <f t="shared" si="5"/>
        <v>#REF!</v>
      </c>
      <c r="O12" s="28" t="e">
        <f>Summary!$J$6*'R5'!N12*'R5'!H12</f>
        <v>#REF!</v>
      </c>
    </row>
    <row r="13" spans="1:16" ht="24" customHeight="1">
      <c r="B13" s="28">
        <f t="shared" si="0"/>
        <v>2030</v>
      </c>
      <c r="C13" s="28">
        <f t="shared" si="1"/>
        <v>73</v>
      </c>
      <c r="D13" s="28">
        <v>11</v>
      </c>
      <c r="E13" s="28">
        <f>VLOOKUP(C:C, 'Total Data Set'!B:J, IF(Summary!$F$6="M", 4, 8), FALSE)</f>
        <v>2.2127000000000001E-2</v>
      </c>
      <c r="F13" s="28">
        <f t="shared" si="2"/>
        <v>0.97787299999999999</v>
      </c>
      <c r="G13" s="28">
        <f t="shared" si="3"/>
        <v>0.86054662997728437</v>
      </c>
      <c r="H13" s="28">
        <f>1/(1+Summary!$O$3)^D13</f>
        <v>0.5846792890864374</v>
      </c>
      <c r="I13" s="28">
        <f>Summary!$J$6*'R5'!H13*'R5'!G13</f>
        <v>10735.579086508176</v>
      </c>
      <c r="L13" s="28" t="e">
        <f>IF(Summary!$F$6="M",VLOOKUP(C:C,#REF!,IF(B13&gt;2033,22,MATCH(B13,#REF!,0)),FALSE),VLOOKUP(C:C,#REF!,IF(B13&gt;2033,22,MATCH(B13,#REF!,0)),FALSE))</f>
        <v>#REF!</v>
      </c>
      <c r="M13" s="28" t="e">
        <f t="shared" si="4"/>
        <v>#REF!</v>
      </c>
      <c r="N13" s="28" t="e">
        <f t="shared" si="5"/>
        <v>#REF!</v>
      </c>
      <c r="O13" s="28" t="e">
        <f>Summary!$J$6*'R5'!N13*'R5'!H13</f>
        <v>#REF!</v>
      </c>
    </row>
    <row r="14" spans="1:16" ht="24" customHeight="1">
      <c r="B14" s="28">
        <f t="shared" si="0"/>
        <v>2031</v>
      </c>
      <c r="C14" s="28">
        <f t="shared" si="1"/>
        <v>74</v>
      </c>
      <c r="D14" s="28">
        <v>12</v>
      </c>
      <c r="E14" s="28">
        <f>VLOOKUP(C:C, 'Total Data Set'!B:J, IF(Summary!$F$6="M", 4, 8), FALSE)</f>
        <v>2.4344999999999999E-2</v>
      </c>
      <c r="F14" s="28">
        <f t="shared" si="2"/>
        <v>0.97565500000000005</v>
      </c>
      <c r="G14" s="28">
        <f t="shared" si="3"/>
        <v>0.84150531469577694</v>
      </c>
      <c r="H14" s="28">
        <f>1/(1+Summary!$O$3)^D14</f>
        <v>0.5568374181775595</v>
      </c>
      <c r="I14" s="28">
        <f>Summary!$J$6*'R5'!H14*'R5'!G14</f>
        <v>9998.1265981533434</v>
      </c>
      <c r="L14" s="28" t="e">
        <f>IF(Summary!$F$6="M",VLOOKUP(C:C,#REF!,IF(B14&gt;2033,22,MATCH(B14,#REF!,0)),FALSE),VLOOKUP(C:C,#REF!,IF(B14&gt;2033,22,MATCH(B14,#REF!,0)),FALSE))</f>
        <v>#REF!</v>
      </c>
      <c r="M14" s="28" t="e">
        <f t="shared" si="4"/>
        <v>#REF!</v>
      </c>
      <c r="N14" s="28" t="e">
        <f t="shared" si="5"/>
        <v>#REF!</v>
      </c>
      <c r="O14" s="28" t="e">
        <f>Summary!$J$6*'R5'!N14*'R5'!H14</f>
        <v>#REF!</v>
      </c>
    </row>
    <row r="15" spans="1:16" ht="24" customHeight="1">
      <c r="B15" s="28">
        <f t="shared" si="0"/>
        <v>2032</v>
      </c>
      <c r="C15" s="28">
        <f t="shared" si="1"/>
        <v>75</v>
      </c>
      <c r="D15" s="28">
        <v>13</v>
      </c>
      <c r="E15" s="28">
        <f>VLOOKUP(C:C, 'Total Data Set'!B:J, IF(Summary!$F$6="M", 4, 8), FALSE)</f>
        <v>2.6825999999999999E-2</v>
      </c>
      <c r="F15" s="28">
        <f t="shared" si="2"/>
        <v>0.97317399999999998</v>
      </c>
      <c r="G15" s="28">
        <f t="shared" si="3"/>
        <v>0.82101886780950828</v>
      </c>
      <c r="H15" s="28">
        <f>1/(1+Summary!$O$3)^D15</f>
        <v>0.53032135064529462</v>
      </c>
      <c r="I15" s="28">
        <f>Summary!$J$6*'R5'!H15*'R5'!G15</f>
        <v>9290.2116248774273</v>
      </c>
      <c r="L15" s="28" t="e">
        <f>IF(Summary!$F$6="M",VLOOKUP(C:C,#REF!,IF(B15&gt;2033,22,MATCH(B15,#REF!,0)),FALSE),VLOOKUP(C:C,#REF!,IF(B15&gt;2033,22,MATCH(B15,#REF!,0)),FALSE))</f>
        <v>#REF!</v>
      </c>
      <c r="M15" s="28" t="e">
        <f t="shared" si="4"/>
        <v>#REF!</v>
      </c>
      <c r="N15" s="28" t="e">
        <f t="shared" si="5"/>
        <v>#REF!</v>
      </c>
      <c r="O15" s="28" t="e">
        <f>Summary!$J$6*'R5'!N15*'R5'!H15</f>
        <v>#REF!</v>
      </c>
    </row>
    <row r="16" spans="1:16" ht="24" customHeight="1">
      <c r="B16" s="28">
        <f t="shared" si="0"/>
        <v>2033</v>
      </c>
      <c r="C16" s="28">
        <f t="shared" si="1"/>
        <v>76</v>
      </c>
      <c r="D16" s="28">
        <v>14</v>
      </c>
      <c r="E16" s="28">
        <f>VLOOKUP(C:C, 'Total Data Set'!B:J, IF(Summary!$F$6="M", 4, 8), FALSE)</f>
        <v>2.9607999999999999E-2</v>
      </c>
      <c r="F16" s="28">
        <f t="shared" si="2"/>
        <v>0.97039200000000003</v>
      </c>
      <c r="G16" s="28">
        <f t="shared" si="3"/>
        <v>0.79899421566165041</v>
      </c>
      <c r="H16" s="28">
        <f>1/(1+Summary!$O$3)^D16</f>
        <v>0.50506795299551888</v>
      </c>
      <c r="I16" s="28">
        <f>Summary!$J$6*'R5'!H16*'R5'!G16</f>
        <v>8610.4689598366367</v>
      </c>
      <c r="L16" s="28" t="e">
        <f>IF(Summary!$F$6="M",VLOOKUP(C:C,#REF!,IF(B16&gt;2033,22,MATCH(B16,#REF!,0)),FALSE),VLOOKUP(C:C,#REF!,IF(B16&gt;2033,22,MATCH(B16,#REF!,0)),FALSE))</f>
        <v>#REF!</v>
      </c>
      <c r="M16" s="28" t="e">
        <f t="shared" si="4"/>
        <v>#REF!</v>
      </c>
      <c r="N16" s="28" t="e">
        <f t="shared" si="5"/>
        <v>#REF!</v>
      </c>
      <c r="O16" s="28" t="e">
        <f>Summary!$J$6*'R5'!N16*'R5'!H16</f>
        <v>#REF!</v>
      </c>
    </row>
    <row r="17" spans="2:15" ht="24" customHeight="1">
      <c r="B17" s="28">
        <f t="shared" si="0"/>
        <v>2034</v>
      </c>
      <c r="C17" s="28">
        <f t="shared" si="1"/>
        <v>77</v>
      </c>
      <c r="D17" s="28">
        <v>15</v>
      </c>
      <c r="E17" s="28">
        <f>VLOOKUP(C:C, 'Total Data Set'!B:J, IF(Summary!$F$6="M", 4, 8), FALSE)</f>
        <v>3.2735E-2</v>
      </c>
      <c r="F17" s="28">
        <f t="shared" si="2"/>
        <v>0.96726500000000004</v>
      </c>
      <c r="G17" s="28">
        <f t="shared" si="3"/>
        <v>0.77533759492434029</v>
      </c>
      <c r="H17" s="28">
        <f>1/(1+Summary!$O$3)^D17</f>
        <v>0.48101709809097021</v>
      </c>
      <c r="I17" s="28">
        <f>Summary!$J$6*'R5'!H17*'R5'!G17</f>
        <v>7957.647804641706</v>
      </c>
      <c r="L17" s="28" t="e">
        <f>IF(Summary!$F$6="M",VLOOKUP(C:C,#REF!,IF(B17&gt;2033,22,MATCH(B17,#REF!,0)),FALSE),VLOOKUP(C:C,#REF!,IF(B17&gt;2033,22,MATCH(B17,#REF!,0)),FALSE))</f>
        <v>#REF!</v>
      </c>
      <c r="M17" s="28" t="e">
        <f t="shared" si="4"/>
        <v>#REF!</v>
      </c>
      <c r="N17" s="28" t="e">
        <f t="shared" si="5"/>
        <v>#REF!</v>
      </c>
      <c r="O17" s="28" t="e">
        <f>Summary!$J$6*'R5'!N17*'R5'!H17</f>
        <v>#REF!</v>
      </c>
    </row>
    <row r="18" spans="2:15" ht="24" customHeight="1">
      <c r="B18" s="28">
        <f t="shared" si="0"/>
        <v>2035</v>
      </c>
      <c r="C18" s="28">
        <f t="shared" si="1"/>
        <v>78</v>
      </c>
      <c r="D18" s="28">
        <v>16</v>
      </c>
      <c r="E18" s="28">
        <f>VLOOKUP(C:C, 'Total Data Set'!B:J, IF(Summary!$F$6="M", 4, 8), FALSE)</f>
        <v>3.6257999999999999E-2</v>
      </c>
      <c r="F18" s="28">
        <f t="shared" si="2"/>
        <v>0.96374199999999999</v>
      </c>
      <c r="G18" s="28">
        <f t="shared" si="3"/>
        <v>0.749956918754492</v>
      </c>
      <c r="H18" s="28">
        <f>1/(1+Summary!$O$3)^D18</f>
        <v>0.45811152199140021</v>
      </c>
      <c r="I18" s="28">
        <f>Summary!$J$6*'R5'!H18*'R5'!G18</f>
        <v>7330.6230511969143</v>
      </c>
      <c r="L18" s="28" t="e">
        <f>IF(Summary!$F$6="M",VLOOKUP(C:C,#REF!,IF(B18&gt;2033,22,MATCH(B18,#REF!,0)),FALSE),VLOOKUP(C:C,#REF!,IF(B18&gt;2033,22,MATCH(B18,#REF!,0)),FALSE))</f>
        <v>#REF!</v>
      </c>
      <c r="M18" s="28" t="e">
        <f t="shared" si="4"/>
        <v>#REF!</v>
      </c>
      <c r="N18" s="28" t="e">
        <f t="shared" si="5"/>
        <v>#REF!</v>
      </c>
      <c r="O18" s="28" t="e">
        <f>Summary!$J$6*'R5'!N18*'R5'!H18</f>
        <v>#REF!</v>
      </c>
    </row>
    <row r="19" spans="2:15" ht="24" customHeight="1">
      <c r="B19" s="28">
        <f t="shared" si="0"/>
        <v>2036</v>
      </c>
      <c r="C19" s="28">
        <f t="shared" si="1"/>
        <v>79</v>
      </c>
      <c r="D19" s="28">
        <v>17</v>
      </c>
      <c r="E19" s="28">
        <f>VLOOKUP(C:C, 'Total Data Set'!B:J, IF(Summary!$F$6="M", 4, 8), FALSE)</f>
        <v>4.0231999999999997E-2</v>
      </c>
      <c r="F19" s="28">
        <f t="shared" si="2"/>
        <v>0.95976799999999995</v>
      </c>
      <c r="G19" s="28">
        <f t="shared" si="3"/>
        <v>0.72276498079429163</v>
      </c>
      <c r="H19" s="28">
        <f>1/(1+Summary!$O$3)^D19</f>
        <v>0.43629668761085727</v>
      </c>
      <c r="I19" s="28">
        <f>Summary!$J$6*'R5'!H19*'R5'!G19</f>
        <v>6728.4088767682051</v>
      </c>
      <c r="L19" s="28" t="e">
        <f>IF(Summary!$F$6="M",VLOOKUP(C:C,#REF!,IF(B19&gt;2033,22,MATCH(B19,#REF!,0)),FALSE),VLOOKUP(C:C,#REF!,IF(B19&gt;2033,22,MATCH(B19,#REF!,0)),FALSE))</f>
        <v>#REF!</v>
      </c>
      <c r="M19" s="28" t="e">
        <f t="shared" si="4"/>
        <v>#REF!</v>
      </c>
      <c r="N19" s="28" t="e">
        <f t="shared" si="5"/>
        <v>#REF!</v>
      </c>
      <c r="O19" s="28" t="e">
        <f>Summary!$J$6*'R5'!N19*'R5'!H19</f>
        <v>#REF!</v>
      </c>
    </row>
    <row r="20" spans="2:15" ht="24" customHeight="1">
      <c r="B20" s="28">
        <f t="shared" si="0"/>
        <v>2037</v>
      </c>
      <c r="C20" s="28">
        <f t="shared" si="1"/>
        <v>80</v>
      </c>
      <c r="D20" s="28">
        <v>18</v>
      </c>
      <c r="E20" s="28">
        <f>VLOOKUP(C:C, 'Total Data Set'!B:J, IF(Summary!$F$6="M", 4, 8), FALSE)</f>
        <v>4.4721999999999998E-2</v>
      </c>
      <c r="F20" s="28">
        <f t="shared" si="2"/>
        <v>0.95527799999999996</v>
      </c>
      <c r="G20" s="28">
        <f t="shared" si="3"/>
        <v>0.69368670008697564</v>
      </c>
      <c r="H20" s="28">
        <f>1/(1+Summary!$O$3)^D20</f>
        <v>0.41552065486748313</v>
      </c>
      <c r="I20" s="28">
        <f>Summary!$J$6*'R5'!H20*'R5'!G20</f>
        <v>6150.2014579410152</v>
      </c>
      <c r="L20" s="28" t="e">
        <f>IF(Summary!$F$6="M",VLOOKUP(C:C,#REF!,IF(B20&gt;2033,22,MATCH(B20,#REF!,0)),FALSE),VLOOKUP(C:C,#REF!,IF(B20&gt;2033,22,MATCH(B20,#REF!,0)),FALSE))</f>
        <v>#REF!</v>
      </c>
      <c r="M20" s="28" t="e">
        <f t="shared" si="4"/>
        <v>#REF!</v>
      </c>
      <c r="N20" s="28" t="e">
        <f t="shared" si="5"/>
        <v>#REF!</v>
      </c>
      <c r="O20" s="28" t="e">
        <f>Summary!$J$6*'R5'!N20*'R5'!H20</f>
        <v>#REF!</v>
      </c>
    </row>
    <row r="21" spans="2:15" ht="24" customHeight="1">
      <c r="B21" s="28">
        <f t="shared" si="0"/>
        <v>2038</v>
      </c>
      <c r="C21" s="28">
        <f t="shared" si="1"/>
        <v>81</v>
      </c>
      <c r="D21" s="28">
        <v>19</v>
      </c>
      <c r="E21" s="28">
        <f>VLOOKUP(C:C, 'Total Data Set'!B:J, IF(Summary!$F$6="M", 4, 8), FALSE)</f>
        <v>4.9794999999999999E-2</v>
      </c>
      <c r="F21" s="28">
        <f t="shared" si="2"/>
        <v>0.95020499999999997</v>
      </c>
      <c r="G21" s="28">
        <f t="shared" si="3"/>
        <v>0.66266364348568585</v>
      </c>
      <c r="H21" s="28">
        <f>1/(1+Summary!$O$3)^D21</f>
        <v>0.39573395701665059</v>
      </c>
      <c r="I21" s="28">
        <f>Summary!$J$6*'R5'!H21*'R5'!G21</f>
        <v>5595.3829984180729</v>
      </c>
      <c r="L21" s="28" t="e">
        <f>IF(Summary!$F$6="M",VLOOKUP(C:C,#REF!,IF(B21&gt;2033,22,MATCH(B21,#REF!,0)),FALSE),VLOOKUP(C:C,#REF!,IF(B21&gt;2033,22,MATCH(B21,#REF!,0)),FALSE))</f>
        <v>#REF!</v>
      </c>
      <c r="M21" s="28" t="e">
        <f t="shared" si="4"/>
        <v>#REF!</v>
      </c>
      <c r="N21" s="28" t="e">
        <f t="shared" si="5"/>
        <v>#REF!</v>
      </c>
      <c r="O21" s="28" t="e">
        <f>Summary!$J$6*'R5'!N21*'R5'!H21</f>
        <v>#REF!</v>
      </c>
    </row>
    <row r="22" spans="2:15" ht="24" customHeight="1">
      <c r="B22" s="28">
        <f t="shared" si="0"/>
        <v>2039</v>
      </c>
      <c r="C22" s="28">
        <f t="shared" si="1"/>
        <v>82</v>
      </c>
      <c r="D22" s="28">
        <v>20</v>
      </c>
      <c r="E22" s="28">
        <f>VLOOKUP(C:C, 'Total Data Set'!B:J, IF(Summary!$F$6="M", 4, 8), FALSE)</f>
        <v>5.5525999999999999E-2</v>
      </c>
      <c r="F22" s="28">
        <f t="shared" si="2"/>
        <v>0.94447400000000004</v>
      </c>
      <c r="G22" s="28">
        <f t="shared" si="3"/>
        <v>0.62966630735831608</v>
      </c>
      <c r="H22" s="28">
        <f>1/(1+Summary!$O$3)^D22</f>
        <v>0.37688948287300061</v>
      </c>
      <c r="I22" s="28">
        <f>Summary!$J$6*'R5'!H22*'R5'!G22</f>
        <v>5063.5818114398526</v>
      </c>
      <c r="L22" s="28" t="e">
        <f>IF(Summary!$F$6="M",VLOOKUP(C:C,#REF!,IF(B22&gt;2033,22,MATCH(B22,#REF!,0)),FALSE),VLOOKUP(C:C,#REF!,IF(B22&gt;2033,22,MATCH(B22,#REF!,0)),FALSE))</f>
        <v>#REF!</v>
      </c>
      <c r="M22" s="28" t="e">
        <f t="shared" si="4"/>
        <v>#REF!</v>
      </c>
      <c r="N22" s="28" t="e">
        <f t="shared" si="5"/>
        <v>#REF!</v>
      </c>
      <c r="O22" s="28" t="e">
        <f>Summary!$J$6*'R5'!N22*'R5'!H22</f>
        <v>#REF!</v>
      </c>
    </row>
    <row r="23" spans="2:15" ht="24" customHeight="1">
      <c r="B23" s="28">
        <f t="shared" si="0"/>
        <v>2040</v>
      </c>
      <c r="C23" s="28">
        <f t="shared" si="1"/>
        <v>83</v>
      </c>
      <c r="D23" s="28">
        <v>21</v>
      </c>
      <c r="E23" s="28">
        <f>VLOOKUP(C:C, 'Total Data Set'!B:J, IF(Summary!$F$6="M", 4, 8), FALSE)</f>
        <v>6.1996000000000002E-2</v>
      </c>
      <c r="F23" s="28">
        <f t="shared" si="2"/>
        <v>0.93800399999999995</v>
      </c>
      <c r="G23" s="28">
        <f t="shared" si="3"/>
        <v>0.59470345597593821</v>
      </c>
      <c r="H23" s="28">
        <f>1/(1+Summary!$O$3)^D23</f>
        <v>0.35894236464095297</v>
      </c>
      <c r="I23" s="28">
        <f>Summary!$J$6*'R5'!H23*'R5'!G23</f>
        <v>4554.6870169312797</v>
      </c>
      <c r="L23" s="28" t="e">
        <f>IF(Summary!$F$6="M",VLOOKUP(C:C,#REF!,IF(B23&gt;2033,22,MATCH(B23,#REF!,0)),FALSE),VLOOKUP(C:C,#REF!,IF(B23&gt;2033,22,MATCH(B23,#REF!,0)),FALSE))</f>
        <v>#REF!</v>
      </c>
      <c r="M23" s="28" t="e">
        <f t="shared" si="4"/>
        <v>#REF!</v>
      </c>
      <c r="N23" s="28" t="e">
        <f t="shared" si="5"/>
        <v>#REF!</v>
      </c>
      <c r="O23" s="28" t="e">
        <f>Summary!$J$6*'R5'!N23*'R5'!H23</f>
        <v>#REF!</v>
      </c>
    </row>
    <row r="24" spans="2:15" ht="24" customHeight="1">
      <c r="B24" s="28">
        <f t="shared" si="0"/>
        <v>2041</v>
      </c>
      <c r="C24" s="28">
        <f t="shared" si="1"/>
        <v>84</v>
      </c>
      <c r="D24" s="28">
        <v>22</v>
      </c>
      <c r="E24" s="28">
        <f>VLOOKUP(C:C, 'Total Data Set'!B:J, IF(Summary!$F$6="M", 4, 8), FALSE)</f>
        <v>6.9290000000000004E-2</v>
      </c>
      <c r="F24" s="28">
        <f t="shared" si="2"/>
        <v>0.93071000000000004</v>
      </c>
      <c r="G24" s="28">
        <f t="shared" si="3"/>
        <v>0.55783422051925391</v>
      </c>
      <c r="H24" s="28">
        <f>1/(1+Summary!$O$3)^D24</f>
        <v>0.3418498710866219</v>
      </c>
      <c r="I24" s="28">
        <f>Summary!$J$6*'R5'!H24*'R5'!G24</f>
        <v>4068.8710863139122</v>
      </c>
      <c r="L24" s="28" t="e">
        <f>IF(Summary!$F$6="M",VLOOKUP(C:C,#REF!,IF(B24&gt;2033,22,MATCH(B24,#REF!,0)),FALSE),VLOOKUP(C:C,#REF!,IF(B24&gt;2033,22,MATCH(B24,#REF!,0)),FALSE))</f>
        <v>#REF!</v>
      </c>
      <c r="M24" s="28" t="e">
        <f t="shared" si="4"/>
        <v>#REF!</v>
      </c>
      <c r="N24" s="28" t="e">
        <f t="shared" si="5"/>
        <v>#REF!</v>
      </c>
      <c r="O24" s="28" t="e">
        <f>Summary!$J$6*'R5'!N24*'R5'!H24</f>
        <v>#REF!</v>
      </c>
    </row>
    <row r="25" spans="2:15" ht="24" customHeight="1">
      <c r="B25" s="28">
        <f t="shared" si="0"/>
        <v>2042</v>
      </c>
      <c r="C25" s="28">
        <f t="shared" si="1"/>
        <v>85</v>
      </c>
      <c r="D25" s="28">
        <v>23</v>
      </c>
      <c r="E25" s="28">
        <f>VLOOKUP(C:C, 'Total Data Set'!B:J, IF(Summary!$F$6="M", 4, 8), FALSE)</f>
        <v>7.7496999999999996E-2</v>
      </c>
      <c r="F25" s="28">
        <f t="shared" si="2"/>
        <v>0.92250299999999996</v>
      </c>
      <c r="G25" s="28">
        <f t="shared" si="3"/>
        <v>0.51918188737947479</v>
      </c>
      <c r="H25" s="28">
        <f>1/(1+Summary!$O$3)^D25</f>
        <v>0.32557130579678267</v>
      </c>
      <c r="I25" s="28">
        <f>Summary!$J$6*'R5'!H25*'R5'!G25</f>
        <v>3606.6085797554474</v>
      </c>
      <c r="L25" s="28" t="e">
        <f>IF(Summary!$F$6="M",VLOOKUP(C:C,#REF!,IF(B25&gt;2033,22,MATCH(B25,#REF!,0)),FALSE),VLOOKUP(C:C,#REF!,IF(B25&gt;2033,22,MATCH(B25,#REF!,0)),FALSE))</f>
        <v>#REF!</v>
      </c>
      <c r="M25" s="28" t="e">
        <f t="shared" si="4"/>
        <v>#REF!</v>
      </c>
      <c r="N25" s="28" t="e">
        <f t="shared" si="5"/>
        <v>#REF!</v>
      </c>
      <c r="O25" s="28" t="e">
        <f>Summary!$J$6*'R5'!N25*'R5'!H25</f>
        <v>#REF!</v>
      </c>
    </row>
    <row r="26" spans="2:15" ht="24" customHeight="1">
      <c r="B26" s="28">
        <f t="shared" si="0"/>
        <v>2043</v>
      </c>
      <c r="C26" s="28">
        <f t="shared" si="1"/>
        <v>86</v>
      </c>
      <c r="D26" s="28">
        <v>24</v>
      </c>
      <c r="E26" s="28">
        <f>VLOOKUP(C:C, 'Total Data Set'!B:J, IF(Summary!$F$6="M", 4, 8), FALSE)</f>
        <v>8.6711999999999997E-2</v>
      </c>
      <c r="F26" s="28">
        <f t="shared" si="2"/>
        <v>0.91328799999999999</v>
      </c>
      <c r="G26" s="28">
        <f t="shared" si="3"/>
        <v>0.47894684865322762</v>
      </c>
      <c r="H26" s="28">
        <f>1/(1+Summary!$O$3)^D26</f>
        <v>0.31006791028265024</v>
      </c>
      <c r="I26" s="28">
        <f>Summary!$J$6*'R5'!H26*'R5'!G26</f>
        <v>3168.6735568096574</v>
      </c>
      <c r="L26" s="28" t="e">
        <f>IF(Summary!$F$6="M",VLOOKUP(C:C,#REF!,IF(B26&gt;2033,22,MATCH(B26,#REF!,0)),FALSE),VLOOKUP(C:C,#REF!,IF(B26&gt;2033,22,MATCH(B26,#REF!,0)),FALSE))</f>
        <v>#REF!</v>
      </c>
      <c r="M26" s="28" t="e">
        <f t="shared" si="4"/>
        <v>#REF!</v>
      </c>
      <c r="N26" s="28" t="e">
        <f t="shared" si="5"/>
        <v>#REF!</v>
      </c>
      <c r="O26" s="28" t="e">
        <f>Summary!$J$6*'R5'!N26*'R5'!H26</f>
        <v>#REF!</v>
      </c>
    </row>
    <row r="27" spans="2:15" ht="24" customHeight="1">
      <c r="B27" s="28">
        <f t="shared" si="0"/>
        <v>2044</v>
      </c>
      <c r="C27" s="28">
        <f t="shared" si="1"/>
        <v>87</v>
      </c>
      <c r="D27" s="28">
        <v>25</v>
      </c>
      <c r="E27" s="28">
        <f>VLOOKUP(C:C, 'Total Data Set'!B:J, IF(Summary!$F$6="M", 4, 8), FALSE)</f>
        <v>9.7037999999999999E-2</v>
      </c>
      <c r="F27" s="28">
        <f t="shared" si="2"/>
        <v>0.90296200000000004</v>
      </c>
      <c r="G27" s="28">
        <f t="shared" si="3"/>
        <v>0.43741640951280897</v>
      </c>
      <c r="H27" s="28">
        <f>1/(1+Summary!$O$3)^D27</f>
        <v>0.29530277169776209</v>
      </c>
      <c r="I27" s="28">
        <f>Summary!$J$6*'R5'!H27*'R5'!G27</f>
        <v>2756.1062241443601</v>
      </c>
      <c r="L27" s="28" t="e">
        <f>IF(Summary!$F$6="M",VLOOKUP(C:C,#REF!,IF(B27&gt;2033,22,MATCH(B27,#REF!,0)),FALSE),VLOOKUP(C:C,#REF!,IF(B27&gt;2033,22,MATCH(B27,#REF!,0)),FALSE))</f>
        <v>#REF!</v>
      </c>
      <c r="M27" s="28" t="e">
        <f t="shared" si="4"/>
        <v>#REF!</v>
      </c>
      <c r="N27" s="28" t="e">
        <f t="shared" si="5"/>
        <v>#REF!</v>
      </c>
      <c r="O27" s="28" t="e">
        <f>Summary!$J$6*'R5'!N27*'R5'!H27</f>
        <v>#REF!</v>
      </c>
    </row>
    <row r="28" spans="2:15" ht="24" customHeight="1">
      <c r="B28" s="28">
        <f t="shared" si="0"/>
        <v>2045</v>
      </c>
      <c r="C28" s="28">
        <f t="shared" si="1"/>
        <v>88</v>
      </c>
      <c r="D28" s="28">
        <v>26</v>
      </c>
      <c r="E28" s="28">
        <f>VLOOKUP(C:C, 'Total Data Set'!B:J, IF(Summary!$F$6="M", 4, 8), FALSE)</f>
        <v>0.10859099999999999</v>
      </c>
      <c r="F28" s="28">
        <f t="shared" si="2"/>
        <v>0.89140900000000001</v>
      </c>
      <c r="G28" s="28">
        <f t="shared" si="3"/>
        <v>0.39497039596650502</v>
      </c>
      <c r="H28" s="28">
        <f>1/(1+Summary!$O$3)^D28</f>
        <v>0.28124073495024959</v>
      </c>
      <c r="I28" s="28">
        <f>Summary!$J$6*'R5'!H28*'R5'!G28</f>
        <v>2370.1516079674661</v>
      </c>
      <c r="L28" s="28" t="e">
        <f>IF(Summary!$F$6="M",VLOOKUP(C:C,#REF!,IF(B28&gt;2033,22,MATCH(B28,#REF!,0)),FALSE),VLOOKUP(C:C,#REF!,IF(B28&gt;2033,22,MATCH(B28,#REF!,0)),FALSE))</f>
        <v>#REF!</v>
      </c>
      <c r="M28" s="28" t="e">
        <f t="shared" si="4"/>
        <v>#REF!</v>
      </c>
      <c r="N28" s="28" t="e">
        <f t="shared" si="5"/>
        <v>#REF!</v>
      </c>
      <c r="O28" s="28" t="e">
        <f>Summary!$J$6*'R5'!N28*'R5'!H28</f>
        <v>#REF!</v>
      </c>
    </row>
    <row r="29" spans="2:15" ht="24" customHeight="1">
      <c r="B29" s="28">
        <f t="shared" si="0"/>
        <v>2046</v>
      </c>
      <c r="C29" s="28">
        <f t="shared" si="1"/>
        <v>89</v>
      </c>
      <c r="D29" s="28">
        <v>27</v>
      </c>
      <c r="E29" s="28">
        <f>VLOOKUP(C:C, 'Total Data Set'!B:J, IF(Summary!$F$6="M", 4, 8), FALSE)</f>
        <v>0.121499</v>
      </c>
      <c r="F29" s="28">
        <f t="shared" si="2"/>
        <v>0.87850099999999998</v>
      </c>
      <c r="G29" s="28">
        <f t="shared" si="3"/>
        <v>0.3520801656981063</v>
      </c>
      <c r="H29" s="28">
        <f>1/(1+Summary!$O$3)^D29</f>
        <v>0.2678483190002377</v>
      </c>
      <c r="I29" s="28">
        <f>Summary!$J$6*'R5'!H29*'R5'!G29</f>
        <v>2012.1661663873062</v>
      </c>
      <c r="L29" s="28" t="e">
        <f>IF(Summary!$F$6="M",VLOOKUP(C:C,#REF!,IF(B29&gt;2033,22,MATCH(B29,#REF!,0)),FALSE),VLOOKUP(C:C,#REF!,IF(B29&gt;2033,22,MATCH(B29,#REF!,0)),FALSE))</f>
        <v>#REF!</v>
      </c>
      <c r="M29" s="28" t="e">
        <f t="shared" si="4"/>
        <v>#REF!</v>
      </c>
      <c r="N29" s="28" t="e">
        <f t="shared" si="5"/>
        <v>#REF!</v>
      </c>
      <c r="O29" s="28" t="e">
        <f>Summary!$J$6*'R5'!N29*'R5'!H29</f>
        <v>#REF!</v>
      </c>
    </row>
    <row r="30" spans="2:15" ht="24" customHeight="1">
      <c r="B30" s="28">
        <f t="shared" si="0"/>
        <v>2047</v>
      </c>
      <c r="C30" s="28">
        <f t="shared" si="1"/>
        <v>90</v>
      </c>
      <c r="D30" s="28">
        <v>28</v>
      </c>
      <c r="E30" s="28">
        <f>VLOOKUP(C:C, 'Total Data Set'!B:J, IF(Summary!$F$6="M", 4, 8), FALSE)</f>
        <v>0.135908</v>
      </c>
      <c r="F30" s="28">
        <f t="shared" si="2"/>
        <v>0.86409199999999997</v>
      </c>
      <c r="G30" s="28">
        <f t="shared" si="3"/>
        <v>0.30930277764595204</v>
      </c>
      <c r="H30" s="28">
        <f>1/(1+Summary!$O$3)^D30</f>
        <v>0.25509363714308358</v>
      </c>
      <c r="I30" s="28">
        <f>Summary!$J$6*'R5'!H30*'R5'!G30</f>
        <v>1683.5142755594429</v>
      </c>
      <c r="L30" s="28" t="e">
        <f>IF(Summary!$F$6="M",VLOOKUP(C:C,#REF!,IF(B30&gt;2033,22,MATCH(B30,#REF!,0)),FALSE),VLOOKUP(C:C,#REF!,IF(B30&gt;2033,22,MATCH(B30,#REF!,0)),FALSE))</f>
        <v>#REF!</v>
      </c>
      <c r="M30" s="28" t="e">
        <f t="shared" si="4"/>
        <v>#REF!</v>
      </c>
      <c r="N30" s="28" t="e">
        <f t="shared" si="5"/>
        <v>#REF!</v>
      </c>
      <c r="O30" s="28" t="e">
        <f>Summary!$J$6*'R5'!N30*'R5'!H30</f>
        <v>#REF!</v>
      </c>
    </row>
    <row r="31" spans="2:15" ht="24" customHeight="1">
      <c r="B31" s="28">
        <f t="shared" si="0"/>
        <v>2048</v>
      </c>
      <c r="C31" s="28">
        <f t="shared" si="1"/>
        <v>91</v>
      </c>
      <c r="D31" s="28">
        <v>29</v>
      </c>
      <c r="E31" s="28">
        <f>VLOOKUP(C:C, 'Total Data Set'!B:J, IF(Summary!$F$6="M", 4, 8), FALSE)</f>
        <v>0.15132200000000001</v>
      </c>
      <c r="F31" s="28">
        <f t="shared" si="2"/>
        <v>0.84867800000000004</v>
      </c>
      <c r="G31" s="28">
        <f t="shared" si="3"/>
        <v>0.26726605574164597</v>
      </c>
      <c r="H31" s="28">
        <f>1/(1+Summary!$O$3)^D31</f>
        <v>0.24294632108865097</v>
      </c>
      <c r="I31" s="28">
        <f>Summary!$J$6*'R5'!H31*'R5'!G31</f>
        <v>1385.4392546635329</v>
      </c>
      <c r="L31" s="28" t="e">
        <f>IF(Summary!$F$6="M",VLOOKUP(C:C,#REF!,IF(B31&gt;2033,22,MATCH(B31,#REF!,0)),FALSE),VLOOKUP(C:C,#REF!,IF(B31&gt;2033,22,MATCH(B31,#REF!,0)),FALSE))</f>
        <v>#REF!</v>
      </c>
      <c r="M31" s="28" t="e">
        <f t="shared" si="4"/>
        <v>#REF!</v>
      </c>
      <c r="N31" s="28" t="e">
        <f t="shared" si="5"/>
        <v>#REF!</v>
      </c>
      <c r="O31" s="28" t="e">
        <f>Summary!$J$6*'R5'!N31*'R5'!H31</f>
        <v>#REF!</v>
      </c>
    </row>
    <row r="32" spans="2:15" ht="24" customHeight="1">
      <c r="B32" s="28">
        <f t="shared" si="0"/>
        <v>2049</v>
      </c>
      <c r="C32" s="28">
        <f t="shared" si="1"/>
        <v>92</v>
      </c>
      <c r="D32" s="28">
        <v>30</v>
      </c>
      <c r="E32" s="28">
        <f>VLOOKUP(C:C, 'Total Data Set'!B:J, IF(Summary!$F$6="M", 4, 8), FALSE)</f>
        <v>0.16742199999999999</v>
      </c>
      <c r="F32" s="28">
        <f t="shared" si="2"/>
        <v>0.83257800000000004</v>
      </c>
      <c r="G32" s="28">
        <f t="shared" si="3"/>
        <v>0.22682282165470863</v>
      </c>
      <c r="H32" s="28">
        <f>1/(1+Summary!$O$3)^D32</f>
        <v>0.23137744865585813</v>
      </c>
      <c r="I32" s="28">
        <f>Summary!$J$6*'R5'!H32*'R5'!G32</f>
        <v>1119.8017293041316</v>
      </c>
      <c r="L32" s="28" t="e">
        <f>IF(Summary!$F$6="M",VLOOKUP(C:C,#REF!,IF(B32&gt;2033,22,MATCH(B32,#REF!,0)),FALSE),VLOOKUP(C:C,#REF!,IF(B32&gt;2033,22,MATCH(B32,#REF!,0)),FALSE))</f>
        <v>#REF!</v>
      </c>
      <c r="M32" s="28" t="e">
        <f t="shared" si="4"/>
        <v>#REF!</v>
      </c>
      <c r="N32" s="28" t="e">
        <f t="shared" si="5"/>
        <v>#REF!</v>
      </c>
      <c r="O32" s="28" t="e">
        <f>Summary!$J$6*'R5'!N32*'R5'!H32</f>
        <v>#REF!</v>
      </c>
    </row>
    <row r="33" spans="2:15" ht="24" customHeight="1">
      <c r="B33" s="28">
        <f t="shared" si="0"/>
        <v>2050</v>
      </c>
      <c r="C33" s="28">
        <f t="shared" si="1"/>
        <v>93</v>
      </c>
      <c r="D33" s="28">
        <v>31</v>
      </c>
      <c r="E33" s="28">
        <f>VLOOKUP(C:C, 'Total Data Set'!B:J, IF(Summary!$F$6="M", 4, 8), FALSE)</f>
        <v>0.18403</v>
      </c>
      <c r="F33" s="28">
        <f t="shared" si="2"/>
        <v>0.81596999999999997</v>
      </c>
      <c r="G33" s="28">
        <f t="shared" si="3"/>
        <v>0.18884769120763401</v>
      </c>
      <c r="H33" s="28">
        <f>1/(1+Summary!$O$3)^D33</f>
        <v>0.220359474910341</v>
      </c>
      <c r="I33" s="28">
        <f>Summary!$J$6*'R5'!H33*'R5'!G33</f>
        <v>887.92598493388095</v>
      </c>
      <c r="L33" s="28" t="e">
        <f>IF(Summary!$F$6="M",VLOOKUP(C:C,#REF!,IF(B33&gt;2033,22,MATCH(B33,#REF!,0)),FALSE),VLOOKUP(C:C,#REF!,IF(B33&gt;2033,22,MATCH(B33,#REF!,0)),FALSE))</f>
        <v>#REF!</v>
      </c>
      <c r="M33" s="28" t="e">
        <f t="shared" si="4"/>
        <v>#REF!</v>
      </c>
      <c r="N33" s="28" t="e">
        <f t="shared" si="5"/>
        <v>#REF!</v>
      </c>
      <c r="O33" s="28" t="e">
        <f>Summary!$J$6*'R5'!N33*'R5'!H33</f>
        <v>#REF!</v>
      </c>
    </row>
    <row r="34" spans="2:15" ht="24" customHeight="1">
      <c r="B34" s="28">
        <f t="shared" si="0"/>
        <v>2051</v>
      </c>
      <c r="C34" s="28">
        <f t="shared" si="1"/>
        <v>94</v>
      </c>
      <c r="D34" s="28">
        <v>32</v>
      </c>
      <c r="E34" s="28">
        <f>VLOOKUP(C:C, 'Total Data Set'!B:J, IF(Summary!$F$6="M", 4, 8), FALSE)</f>
        <v>0.201074</v>
      </c>
      <c r="F34" s="28">
        <f t="shared" si="2"/>
        <v>0.79892600000000003</v>
      </c>
      <c r="G34" s="28">
        <f t="shared" si="3"/>
        <v>0.15409405059469311</v>
      </c>
      <c r="H34" s="28">
        <f>1/(1+Summary!$O$3)^D34</f>
        <v>0.20986616658127716</v>
      </c>
      <c r="I34" s="28">
        <f>Summary!$J$6*'R5'!H34*'R5'!G34</f>
        <v>690.01996754904644</v>
      </c>
      <c r="L34" s="28" t="e">
        <f>IF(Summary!$F$6="M",VLOOKUP(C:C,#REF!,IF(B34&gt;2033,22,MATCH(B34,#REF!,0)),FALSE),VLOOKUP(C:C,#REF!,IF(B34&gt;2033,22,MATCH(B34,#REF!,0)),FALSE))</f>
        <v>#REF!</v>
      </c>
      <c r="M34" s="28" t="e">
        <f t="shared" si="4"/>
        <v>#REF!</v>
      </c>
      <c r="N34" s="28" t="e">
        <f t="shared" si="5"/>
        <v>#REF!</v>
      </c>
      <c r="O34" s="28" t="e">
        <f>Summary!$J$6*'R5'!N34*'R5'!H34</f>
        <v>#REF!</v>
      </c>
    </row>
    <row r="35" spans="2:15" ht="24" customHeight="1">
      <c r="B35" s="28">
        <f t="shared" si="0"/>
        <v>2052</v>
      </c>
      <c r="C35" s="28">
        <f t="shared" si="1"/>
        <v>95</v>
      </c>
      <c r="D35" s="28">
        <v>33</v>
      </c>
      <c r="E35" s="28">
        <f>VLOOKUP(C:C, 'Total Data Set'!B:J, IF(Summary!$F$6="M", 4, 8), FALSE)</f>
        <v>0.218559</v>
      </c>
      <c r="F35" s="28">
        <f t="shared" si="2"/>
        <v>0.78144100000000005</v>
      </c>
      <c r="G35" s="28">
        <f t="shared" si="3"/>
        <v>0.1231097434654158</v>
      </c>
      <c r="H35" s="28">
        <f>1/(1+Summary!$O$3)^D35</f>
        <v>0.19987253960121634</v>
      </c>
      <c r="I35" s="28">
        <f>Summary!$J$6*'R5'!H35*'R5'!G35</f>
        <v>525.02370723246634</v>
      </c>
      <c r="L35" s="28" t="e">
        <f>IF(Summary!$F$6="M",VLOOKUP(C:C,#REF!,IF(B35&gt;2033,22,MATCH(B35,#REF!,0)),FALSE),VLOOKUP(C:C,#REF!,IF(B35&gt;2033,22,MATCH(B35,#REF!,0)),FALSE))</f>
        <v>#REF!</v>
      </c>
      <c r="M35" s="28" t="e">
        <f t="shared" si="4"/>
        <v>#REF!</v>
      </c>
      <c r="N35" s="28" t="e">
        <f t="shared" si="5"/>
        <v>#REF!</v>
      </c>
      <c r="O35" s="28" t="e">
        <f>Summary!$J$6*'R5'!N35*'R5'!H35</f>
        <v>#REF!</v>
      </c>
    </row>
    <row r="36" spans="2:15" ht="24" customHeight="1">
      <c r="B36" s="28">
        <f t="shared" si="0"/>
        <v>2053</v>
      </c>
      <c r="C36" s="28">
        <f t="shared" si="1"/>
        <v>96</v>
      </c>
      <c r="D36" s="28">
        <v>34</v>
      </c>
      <c r="E36" s="28">
        <f>VLOOKUP(C:C, 'Total Data Set'!B:J, IF(Summary!$F$6="M", 4, 8), FALSE)</f>
        <v>0.236535</v>
      </c>
      <c r="F36" s="28">
        <f t="shared" si="2"/>
        <v>0.76346500000000006</v>
      </c>
      <c r="G36" s="28">
        <f t="shared" ref="G36:G60" si="6">G35*F35</f>
        <v>9.6203001043357994E-2</v>
      </c>
      <c r="H36" s="28">
        <f>1/(1+Summary!$O$3)^D36</f>
        <v>0.19035479962020604</v>
      </c>
      <c r="I36" s="28">
        <f>Summary!$J$6*'R5'!H36*'R5'!G36</f>
        <v>390.73814362232923</v>
      </c>
      <c r="L36" s="28" t="e">
        <f>IF(Summary!$F$6="M",VLOOKUP(C:C,#REF!,IF(B36&gt;2033,22,MATCH(B36,#REF!,0)),FALSE),VLOOKUP(C:C,#REF!,IF(B36&gt;2033,22,MATCH(B36,#REF!,0)),FALSE))</f>
        <v>#REF!</v>
      </c>
      <c r="M36" s="28" t="e">
        <f t="shared" si="4"/>
        <v>#REF!</v>
      </c>
      <c r="N36" s="28" t="e">
        <f t="shared" si="5"/>
        <v>#REF!</v>
      </c>
      <c r="O36" s="28" t="e">
        <f>Summary!$J$6*'R5'!N36*'R5'!H36</f>
        <v>#REF!</v>
      </c>
    </row>
    <row r="37" spans="2:15" ht="24" customHeight="1">
      <c r="B37" s="28">
        <f t="shared" si="0"/>
        <v>2054</v>
      </c>
      <c r="C37" s="28">
        <f t="shared" si="1"/>
        <v>97</v>
      </c>
      <c r="D37" s="28">
        <v>35</v>
      </c>
      <c r="E37" s="28">
        <f>VLOOKUP(C:C, 'Total Data Set'!B:J, IF(Summary!$F$6="M", 4, 8), FALSE)</f>
        <v>0.25505899999999998</v>
      </c>
      <c r="F37" s="28">
        <f t="shared" si="2"/>
        <v>0.74494100000000008</v>
      </c>
      <c r="G37" s="28">
        <f t="shared" si="6"/>
        <v>7.3447624191567321E-2</v>
      </c>
      <c r="H37" s="28">
        <f>1/(1+Summary!$O$3)^D37</f>
        <v>0.18129028535257716</v>
      </c>
      <c r="I37" s="28">
        <f>Summary!$J$6*'R5'!H37*'R5'!G37</f>
        <v>284.10942554344916</v>
      </c>
      <c r="L37" s="28" t="e">
        <f>IF(Summary!$F$6="M",VLOOKUP(C:C,#REF!,IF(B37&gt;2033,22,MATCH(B37,#REF!,0)),FALSE),VLOOKUP(C:C,#REF!,IF(B37&gt;2033,22,MATCH(B37,#REF!,0)),FALSE))</f>
        <v>#REF!</v>
      </c>
      <c r="M37" s="28" t="e">
        <f t="shared" si="4"/>
        <v>#REF!</v>
      </c>
      <c r="N37" s="28" t="e">
        <f t="shared" si="5"/>
        <v>#REF!</v>
      </c>
      <c r="O37" s="28" t="e">
        <f>Summary!$J$6*'R5'!N37*'R5'!H37</f>
        <v>#REF!</v>
      </c>
    </row>
    <row r="38" spans="2:15" ht="24" customHeight="1">
      <c r="B38" s="28">
        <f t="shared" si="0"/>
        <v>2055</v>
      </c>
      <c r="C38" s="28">
        <f t="shared" si="1"/>
        <v>98</v>
      </c>
      <c r="D38" s="28">
        <v>36</v>
      </c>
      <c r="E38" s="28">
        <f>VLOOKUP(C:C, 'Total Data Set'!B:J, IF(Summary!$F$6="M", 4, 8), FALSE)</f>
        <v>0.27417000000000002</v>
      </c>
      <c r="F38" s="28">
        <f t="shared" si="2"/>
        <v>0.72582999999999998</v>
      </c>
      <c r="G38" s="28">
        <f t="shared" si="6"/>
        <v>5.4714146612890355E-2</v>
      </c>
      <c r="H38" s="28">
        <f>1/(1+Summary!$O$3)^D38</f>
        <v>0.17265741462150208</v>
      </c>
      <c r="I38" s="28">
        <f>Summary!$J$6*'R5'!H38*'R5'!G38</f>
        <v>201.56643768929771</v>
      </c>
      <c r="L38" s="28" t="e">
        <f>IF(Summary!$F$6="M",VLOOKUP(C:C,#REF!,IF(B38&gt;2033,22,MATCH(B38,#REF!,0)),FALSE),VLOOKUP(C:C,#REF!,IF(B38&gt;2033,22,MATCH(B38,#REF!,0)),FALSE))</f>
        <v>#REF!</v>
      </c>
      <c r="M38" s="28" t="e">
        <f t="shared" si="4"/>
        <v>#REF!</v>
      </c>
      <c r="N38" s="28" t="e">
        <f t="shared" si="5"/>
        <v>#REF!</v>
      </c>
      <c r="O38" s="28" t="e">
        <f>Summary!$J$6*'R5'!N38*'R5'!H38</f>
        <v>#REF!</v>
      </c>
    </row>
    <row r="39" spans="2:15" ht="24" customHeight="1">
      <c r="B39" s="28">
        <f t="shared" si="0"/>
        <v>2056</v>
      </c>
      <c r="C39" s="28">
        <f t="shared" si="1"/>
        <v>99</v>
      </c>
      <c r="D39" s="28">
        <v>37</v>
      </c>
      <c r="E39" s="28">
        <f>VLOOKUP(C:C, 'Total Data Set'!B:J, IF(Summary!$F$6="M", 4, 8), FALSE)</f>
        <v>0.293848</v>
      </c>
      <c r="F39" s="28">
        <f t="shared" si="2"/>
        <v>0.706152</v>
      </c>
      <c r="G39" s="28">
        <f t="shared" si="6"/>
        <v>3.9713169036034203E-2</v>
      </c>
      <c r="H39" s="28">
        <f>1/(1+Summary!$O$3)^D39</f>
        <v>0.1644356329728591</v>
      </c>
      <c r="I39" s="28">
        <f>Summary!$J$6*'R5'!H39*'R5'!G39</f>
        <v>139.33615949335515</v>
      </c>
      <c r="L39" s="28" t="e">
        <f>IF(Summary!$F$6="M",VLOOKUP(C:C,#REF!,IF(B39&gt;2033,22,MATCH(B39,#REF!,0)),FALSE),VLOOKUP(C:C,#REF!,IF(B39&gt;2033,22,MATCH(B39,#REF!,0)),FALSE))</f>
        <v>#REF!</v>
      </c>
      <c r="M39" s="28" t="e">
        <f t="shared" si="4"/>
        <v>#REF!</v>
      </c>
      <c r="N39" s="28" t="e">
        <f t="shared" si="5"/>
        <v>#REF!</v>
      </c>
      <c r="O39" s="28" t="e">
        <f>Summary!$J$6*'R5'!N39*'R5'!H39</f>
        <v>#REF!</v>
      </c>
    </row>
    <row r="40" spans="2:15" ht="24" customHeight="1">
      <c r="B40" s="28">
        <f t="shared" si="0"/>
        <v>2057</v>
      </c>
      <c r="C40" s="28">
        <f t="shared" si="1"/>
        <v>100</v>
      </c>
      <c r="D40" s="28">
        <v>38</v>
      </c>
      <c r="E40" s="28">
        <f>VLOOKUP(C:C, 'Total Data Set'!B:J, IF(Summary!$F$6="M", 4, 8), FALSE)</f>
        <v>0.31398799999999999</v>
      </c>
      <c r="F40" s="28">
        <f t="shared" si="2"/>
        <v>0.68601200000000007</v>
      </c>
      <c r="G40" s="28">
        <f t="shared" si="6"/>
        <v>2.8043533741133626E-2</v>
      </c>
      <c r="H40" s="28">
        <f>1/(1+Summary!$O$3)^D40</f>
        <v>0.15660536473605632</v>
      </c>
      <c r="I40" s="28">
        <f>Summary!$J$6*'R5'!H40*'R5'!G40</f>
        <v>93.707150189096922</v>
      </c>
      <c r="L40" s="28" t="e">
        <f>IF(Summary!$F$6="M",VLOOKUP(C:C,#REF!,IF(B40&gt;2033,22,MATCH(B40,#REF!,0)),FALSE),VLOOKUP(C:C,#REF!,IF(B40&gt;2033,22,MATCH(B40,#REF!,0)),FALSE))</f>
        <v>#REF!</v>
      </c>
      <c r="M40" s="28" t="e">
        <f t="shared" si="4"/>
        <v>#REF!</v>
      </c>
      <c r="N40" s="28" t="e">
        <f t="shared" si="5"/>
        <v>#REF!</v>
      </c>
      <c r="O40" s="28" t="e">
        <f>Summary!$J$6*'R5'!N40*'R5'!H40</f>
        <v>#REF!</v>
      </c>
    </row>
    <row r="41" spans="2:15" ht="24" customHeight="1">
      <c r="B41" s="28">
        <f t="shared" si="0"/>
        <v>2058</v>
      </c>
      <c r="C41" s="28">
        <f t="shared" si="1"/>
        <v>101</v>
      </c>
      <c r="D41" s="28">
        <v>39</v>
      </c>
      <c r="E41" s="28">
        <f>VLOOKUP(C:C, 'Total Data Set'!B:J, IF(Summary!$F$6="M", 4, 8), FALSE)</f>
        <v>0.33436500000000002</v>
      </c>
      <c r="F41" s="28">
        <f t="shared" si="2"/>
        <v>0.66563499999999998</v>
      </c>
      <c r="G41" s="28">
        <f t="shared" si="6"/>
        <v>1.9238200668822564E-2</v>
      </c>
      <c r="H41" s="28">
        <f>1/(1+Summary!$O$3)^D41</f>
        <v>0.14914796641529171</v>
      </c>
      <c r="I41" s="28">
        <f>Summary!$J$6*'R5'!H41*'R5'!G41</f>
        <v>61.223075729069286</v>
      </c>
      <c r="L41" s="28" t="e">
        <f>IF(Summary!$F$6="M",VLOOKUP(C:C,#REF!,IF(B41&gt;2033,22,MATCH(B41,#REF!,0)),FALSE),VLOOKUP(C:C,#REF!,IF(B41&gt;2033,22,MATCH(B41,#REF!,0)),FALSE))</f>
        <v>#REF!</v>
      </c>
      <c r="M41" s="28" t="e">
        <f t="shared" si="4"/>
        <v>#REF!</v>
      </c>
      <c r="N41" s="28" t="e">
        <f t="shared" si="5"/>
        <v>#REF!</v>
      </c>
      <c r="O41" s="28" t="e">
        <f>Summary!$J$6*'R5'!N41*'R5'!H41</f>
        <v>#REF!</v>
      </c>
    </row>
    <row r="42" spans="2:15" ht="24" customHeight="1">
      <c r="B42" s="28">
        <f t="shared" si="0"/>
        <v>2059</v>
      </c>
      <c r="C42" s="28">
        <f t="shared" si="1"/>
        <v>102</v>
      </c>
      <c r="D42" s="28">
        <v>40</v>
      </c>
      <c r="E42" s="28">
        <f>VLOOKUP(C:C, 'Total Data Set'!B:J, IF(Summary!$F$6="M", 4, 8), FALSE)</f>
        <v>0.354599</v>
      </c>
      <c r="F42" s="28">
        <f t="shared" si="2"/>
        <v>0.645401</v>
      </c>
      <c r="G42" s="28">
        <f t="shared" si="6"/>
        <v>1.2805619702191707E-2</v>
      </c>
      <c r="H42" s="28">
        <f>1/(1+Summary!$O$3)^D42</f>
        <v>0.14204568230027784</v>
      </c>
      <c r="I42" s="28">
        <f>Summary!$J$6*'R5'!H42*'R5'!G42</f>
        <v>38.81164001230384</v>
      </c>
      <c r="L42" s="28" t="e">
        <f>IF(Summary!$F$6="M",VLOOKUP(C:C,#REF!,IF(B42&gt;2033,22,MATCH(B42,#REF!,0)),FALSE),VLOOKUP(C:C,#REF!,IF(B42&gt;2033,22,MATCH(B42,#REF!,0)),FALSE))</f>
        <v>#REF!</v>
      </c>
      <c r="M42" s="28" t="e">
        <f t="shared" si="4"/>
        <v>#REF!</v>
      </c>
      <c r="N42" s="28" t="e">
        <f t="shared" si="5"/>
        <v>#REF!</v>
      </c>
      <c r="O42" s="28" t="e">
        <f>Summary!$J$6*'R5'!N42*'R5'!H42</f>
        <v>#REF!</v>
      </c>
    </row>
    <row r="43" spans="2:15" ht="24" customHeight="1">
      <c r="B43" s="28">
        <f t="shared" si="0"/>
        <v>2060</v>
      </c>
      <c r="C43" s="28">
        <f t="shared" si="1"/>
        <v>103</v>
      </c>
      <c r="D43" s="28">
        <v>41</v>
      </c>
      <c r="E43" s="28">
        <f>VLOOKUP(C:C, 'Total Data Set'!B:J, IF(Summary!$F$6="M", 4, 8), FALSE)</f>
        <v>0.37452400000000002</v>
      </c>
      <c r="F43" s="28">
        <f t="shared" si="2"/>
        <v>0.62547599999999992</v>
      </c>
      <c r="G43" s="28">
        <f t="shared" si="6"/>
        <v>8.2647597614142303E-3</v>
      </c>
      <c r="H43" s="28">
        <f>1/(1+Summary!$O$3)^D43</f>
        <v>0.13528160219074079</v>
      </c>
      <c r="I43" s="28">
        <f>Summary!$J$6*'R5'!H43*'R5'!G43</f>
        <v>23.85625835769611</v>
      </c>
      <c r="L43" s="28" t="e">
        <f>IF(Summary!$F$6="M",VLOOKUP(C:C,#REF!,IF(B43&gt;2033,22,MATCH(B43,#REF!,0)),FALSE),VLOOKUP(C:C,#REF!,IF(B43&gt;2033,22,MATCH(B43,#REF!,0)),FALSE))</f>
        <v>#REF!</v>
      </c>
      <c r="M43" s="28" t="e">
        <f t="shared" si="4"/>
        <v>#REF!</v>
      </c>
      <c r="N43" s="28" t="e">
        <f t="shared" si="5"/>
        <v>#REF!</v>
      </c>
      <c r="O43" s="28" t="e">
        <f>Summary!$J$6*'R5'!N43*'R5'!H43</f>
        <v>#REF!</v>
      </c>
    </row>
    <row r="44" spans="2:15" ht="24" customHeight="1">
      <c r="B44" s="28">
        <f t="shared" si="0"/>
        <v>2061</v>
      </c>
      <c r="C44" s="28">
        <f t="shared" si="1"/>
        <v>104</v>
      </c>
      <c r="D44" s="28">
        <v>42</v>
      </c>
      <c r="E44" s="28">
        <f>VLOOKUP(C:C, 'Total Data Set'!B:J, IF(Summary!$F$6="M", 4, 8), FALSE)</f>
        <v>0.393982</v>
      </c>
      <c r="F44" s="28">
        <f t="shared" si="2"/>
        <v>0.60601799999999995</v>
      </c>
      <c r="G44" s="28">
        <f t="shared" si="6"/>
        <v>5.1694088765303261E-3</v>
      </c>
      <c r="H44" s="28">
        <f>1/(1+Summary!$O$3)^D44</f>
        <v>0.12883962113403885</v>
      </c>
      <c r="I44" s="28">
        <f>Summary!$J$6*'R5'!H44*'R5'!G44</f>
        <v>14.210968621465076</v>
      </c>
      <c r="L44" s="28" t="e">
        <f>IF(Summary!$F$6="M",VLOOKUP(C:C,#REF!,IF(B44&gt;2033,22,MATCH(B44,#REF!,0)),FALSE),VLOOKUP(C:C,#REF!,IF(B44&gt;2033,22,MATCH(B44,#REF!,0)),FALSE))</f>
        <v>#REF!</v>
      </c>
      <c r="M44" s="28" t="e">
        <f t="shared" si="4"/>
        <v>#REF!</v>
      </c>
      <c r="N44" s="28" t="e">
        <f t="shared" si="5"/>
        <v>#REF!</v>
      </c>
      <c r="O44" s="28" t="e">
        <f>Summary!$J$6*'R5'!N44*'R5'!H44</f>
        <v>#REF!</v>
      </c>
    </row>
    <row r="45" spans="2:15" ht="24" customHeight="1">
      <c r="B45" s="28">
        <f t="shared" si="0"/>
        <v>2062</v>
      </c>
      <c r="C45" s="28">
        <f t="shared" si="1"/>
        <v>105</v>
      </c>
      <c r="D45" s="28">
        <v>43</v>
      </c>
      <c r="E45" s="28">
        <f>VLOOKUP(C:C, 'Total Data Set'!B:J, IF(Summary!$F$6="M", 4, 8), FALSE)</f>
        <v>0.412831</v>
      </c>
      <c r="F45" s="28">
        <f t="shared" si="2"/>
        <v>0.58716900000000005</v>
      </c>
      <c r="G45" s="28">
        <f t="shared" si="6"/>
        <v>3.1327548285371549E-3</v>
      </c>
      <c r="H45" s="28">
        <f>1/(1+Summary!$O$3)^D45</f>
        <v>0.12270440108003698</v>
      </c>
      <c r="I45" s="28">
        <f>Summary!$J$6*'R5'!H45*'R5'!G45</f>
        <v>8.2020026495647809</v>
      </c>
      <c r="L45" s="28" t="e">
        <f>IF(Summary!$F$6="M",VLOOKUP(C:C,#REF!,IF(B45&gt;2033,22,MATCH(B45,#REF!,0)),FALSE),VLOOKUP(C:C,#REF!,IF(B45&gt;2033,22,MATCH(B45,#REF!,0)),FALSE))</f>
        <v>#REF!</v>
      </c>
      <c r="M45" s="28" t="e">
        <f t="shared" si="4"/>
        <v>#REF!</v>
      </c>
      <c r="N45" s="28" t="e">
        <f t="shared" si="5"/>
        <v>#REF!</v>
      </c>
      <c r="O45" s="28" t="e">
        <f>Summary!$J$6*'R5'!N45*'R5'!H45</f>
        <v>#REF!</v>
      </c>
    </row>
    <row r="46" spans="2:15" ht="24" customHeight="1">
      <c r="B46" s="28">
        <f t="shared" si="0"/>
        <v>2063</v>
      </c>
      <c r="C46" s="28">
        <f t="shared" si="1"/>
        <v>106</v>
      </c>
      <c r="D46" s="28">
        <v>44</v>
      </c>
      <c r="E46" s="28">
        <f>VLOOKUP(C:C, 'Total Data Set'!B:J, IF(Summary!$F$6="M", 4, 8), FALSE)</f>
        <v>0.430946</v>
      </c>
      <c r="F46" s="28">
        <f t="shared" si="2"/>
        <v>0.56905399999999995</v>
      </c>
      <c r="G46" s="28">
        <f t="shared" si="6"/>
        <v>1.8394565199173329E-3</v>
      </c>
      <c r="H46" s="28">
        <f>1/(1+Summary!$O$3)^D46</f>
        <v>0.11686133436193999</v>
      </c>
      <c r="I46" s="28">
        <f>Summary!$J$6*'R5'!H46*'R5'!G46</f>
        <v>4.586630184516479</v>
      </c>
      <c r="L46" s="28" t="e">
        <f>IF(Summary!$F$6="M",VLOOKUP(C:C,#REF!,IF(B46&gt;2033,22,MATCH(B46,#REF!,0)),FALSE),VLOOKUP(C:C,#REF!,IF(B46&gt;2033,22,MATCH(B46,#REF!,0)),FALSE))</f>
        <v>#REF!</v>
      </c>
      <c r="M46" s="28" t="e">
        <f t="shared" si="4"/>
        <v>#REF!</v>
      </c>
      <c r="N46" s="28" t="e">
        <f t="shared" si="5"/>
        <v>#REF!</v>
      </c>
      <c r="O46" s="28" t="e">
        <f>Summary!$J$6*'R5'!N46*'R5'!H46</f>
        <v>#REF!</v>
      </c>
    </row>
    <row r="47" spans="2:15" ht="24" customHeight="1">
      <c r="B47" s="28">
        <f t="shared" si="0"/>
        <v>2064</v>
      </c>
      <c r="C47" s="28">
        <f t="shared" si="1"/>
        <v>107</v>
      </c>
      <c r="D47" s="28">
        <v>45</v>
      </c>
      <c r="E47" s="28">
        <f>VLOOKUP(C:C, 'Total Data Set'!B:J, IF(Summary!$F$6="M", 4, 8), FALSE)</f>
        <v>0.44822699999999999</v>
      </c>
      <c r="F47" s="28">
        <f t="shared" si="2"/>
        <v>0.55177300000000007</v>
      </c>
      <c r="G47" s="28">
        <f t="shared" si="6"/>
        <v>1.0467500904850378E-3</v>
      </c>
      <c r="H47" s="28">
        <f>1/(1+Summary!$O$3)^D47</f>
        <v>0.1112965089161333</v>
      </c>
      <c r="I47" s="28">
        <f>Summary!$J$6*'R5'!H47*'R5'!G47</f>
        <v>2.4857526219236572</v>
      </c>
      <c r="L47" s="28" t="e">
        <f>IF(Summary!$F$6="M",VLOOKUP(C:C,#REF!,IF(B47&gt;2033,22,MATCH(B47,#REF!,0)),FALSE),VLOOKUP(C:C,#REF!,IF(B47&gt;2033,22,MATCH(B47,#REF!,0)),FALSE))</f>
        <v>#REF!</v>
      </c>
      <c r="M47" s="28" t="e">
        <f t="shared" si="4"/>
        <v>#REF!</v>
      </c>
      <c r="N47" s="28" t="e">
        <f t="shared" si="5"/>
        <v>#REF!</v>
      </c>
      <c r="O47" s="28" t="e">
        <f>Summary!$J$6*'R5'!N47*'R5'!H47</f>
        <v>#REF!</v>
      </c>
    </row>
    <row r="48" spans="2:15" ht="24" customHeight="1">
      <c r="B48" s="28">
        <f t="shared" si="0"/>
        <v>2065</v>
      </c>
      <c r="C48" s="28">
        <f t="shared" si="1"/>
        <v>108</v>
      </c>
      <c r="D48" s="28">
        <v>46</v>
      </c>
      <c r="E48" s="28">
        <f>VLOOKUP(C:C, 'Total Data Set'!B:J, IF(Summary!$F$6="M", 4, 8), FALSE)</f>
        <v>0.464592</v>
      </c>
      <c r="F48" s="28">
        <f t="shared" si="2"/>
        <v>0.535408</v>
      </c>
      <c r="G48" s="28">
        <f t="shared" si="6"/>
        <v>5.7756843767720089E-4</v>
      </c>
      <c r="H48" s="28">
        <f>1/(1+Summary!$O$3)^D48</f>
        <v>0.10599667515822221</v>
      </c>
      <c r="I48" s="28">
        <f>Summary!$J$6*'R5'!H48*'R5'!G48</f>
        <v>1.3062582680539834</v>
      </c>
      <c r="L48" s="28" t="e">
        <f>IF(Summary!$F$6="M",VLOOKUP(C:C,#REF!,IF(B48&gt;2033,22,MATCH(B48,#REF!,0)),FALSE),VLOOKUP(C:C,#REF!,IF(B48&gt;2033,22,MATCH(B48,#REF!,0)),FALSE))</f>
        <v>#REF!</v>
      </c>
      <c r="M48" s="28" t="e">
        <f t="shared" si="4"/>
        <v>#REF!</v>
      </c>
      <c r="N48" s="28" t="e">
        <f t="shared" si="5"/>
        <v>#REF!</v>
      </c>
      <c r="O48" s="28" t="e">
        <f>Summary!$J$6*'R5'!N48*'R5'!H48</f>
        <v>#REF!</v>
      </c>
    </row>
    <row r="49" spans="2:15" ht="24" customHeight="1">
      <c r="B49" s="28">
        <f t="shared" si="0"/>
        <v>2066</v>
      </c>
      <c r="C49" s="28">
        <f t="shared" si="1"/>
        <v>109</v>
      </c>
      <c r="D49" s="28">
        <v>47</v>
      </c>
      <c r="E49" s="28">
        <f>VLOOKUP(C:C, 'Total Data Set'!B:J, IF(Summary!$F$6="M", 4, 8), FALSE)</f>
        <v>0.479987</v>
      </c>
      <c r="F49" s="28">
        <f t="shared" si="2"/>
        <v>0.52001300000000006</v>
      </c>
      <c r="G49" s="28">
        <f t="shared" si="6"/>
        <v>3.0923476207987477E-4</v>
      </c>
      <c r="H49" s="28">
        <f>1/(1+Summary!$O$3)^D49</f>
        <v>0.10094921443640208</v>
      </c>
      <c r="I49" s="28">
        <f>Summary!$J$6*'R5'!H49*'R5'!G49</f>
        <v>0.66607726360213992</v>
      </c>
      <c r="L49" s="28" t="e">
        <f>IF(Summary!$F$6="M",VLOOKUP(C:C,#REF!,IF(B49&gt;2033,22,MATCH(B49,#REF!,0)),FALSE),VLOOKUP(C:C,#REF!,IF(B49&gt;2033,22,MATCH(B49,#REF!,0)),FALSE))</f>
        <v>#REF!</v>
      </c>
      <c r="M49" s="28" t="e">
        <f t="shared" si="4"/>
        <v>#REF!</v>
      </c>
      <c r="N49" s="28" t="e">
        <f t="shared" si="5"/>
        <v>#REF!</v>
      </c>
      <c r="O49" s="28" t="e">
        <f>Summary!$J$6*'R5'!N49*'R5'!H49</f>
        <v>#REF!</v>
      </c>
    </row>
    <row r="50" spans="2:15" ht="24" customHeight="1">
      <c r="B50" s="28">
        <f t="shared" si="0"/>
        <v>2067</v>
      </c>
      <c r="C50" s="28">
        <f t="shared" si="1"/>
        <v>110</v>
      </c>
      <c r="D50" s="28">
        <v>48</v>
      </c>
      <c r="E50" s="28">
        <f>VLOOKUP(C:C, 'Total Data Set'!B:J, IF(Summary!$F$6="M", 4, 8), FALSE)</f>
        <v>0.49437599999999998</v>
      </c>
      <c r="F50" s="28">
        <f t="shared" si="2"/>
        <v>0.50562400000000007</v>
      </c>
      <c r="G50" s="28">
        <f t="shared" si="6"/>
        <v>1.6080609633344195E-4</v>
      </c>
      <c r="H50" s="28">
        <f>1/(1+Summary!$O$3)^D50</f>
        <v>9.6142108987049613E-2</v>
      </c>
      <c r="I50" s="28">
        <f>Summary!$J$6*'R5'!H50*'R5'!G50</f>
        <v>0.32987508197860921</v>
      </c>
      <c r="L50" s="28" t="e">
        <f>IF(Summary!$F$6="M",VLOOKUP(C:C,#REF!,IF(B50&gt;2033,22,MATCH(B50,#REF!,0)),FALSE),VLOOKUP(C:C,#REF!,IF(B50&gt;2033,22,MATCH(B50,#REF!,0)),FALSE))</f>
        <v>#REF!</v>
      </c>
      <c r="M50" s="28" t="e">
        <f t="shared" si="4"/>
        <v>#REF!</v>
      </c>
      <c r="N50" s="28" t="e">
        <f t="shared" si="5"/>
        <v>#REF!</v>
      </c>
      <c r="O50" s="28" t="e">
        <f>Summary!$J$6*'R5'!N50*'R5'!H50</f>
        <v>#REF!</v>
      </c>
    </row>
    <row r="51" spans="2:15" ht="24" customHeight="1">
      <c r="B51" s="28">
        <f t="shared" si="0"/>
        <v>2068</v>
      </c>
      <c r="C51" s="28">
        <f t="shared" si="1"/>
        <v>111</v>
      </c>
      <c r="D51" s="28">
        <v>49</v>
      </c>
      <c r="E51" s="28">
        <f>VLOOKUP(C:C, 'Total Data Set'!B:J, IF(Summary!$F$6="M", 4, 8), FALSE)</f>
        <v>0.5</v>
      </c>
      <c r="F51" s="28">
        <f t="shared" si="2"/>
        <v>0.5</v>
      </c>
      <c r="G51" s="28">
        <f t="shared" si="6"/>
        <v>8.1307421652500268E-5</v>
      </c>
      <c r="H51" s="28">
        <f>1/(1+Summary!$O$3)^D51</f>
        <v>9.1563913320999626E-2</v>
      </c>
      <c r="I51" s="28">
        <f>Summary!$J$6*'R5'!H51*'R5'!G51</f>
        <v>0.15885024614319271</v>
      </c>
      <c r="L51" s="28" t="e">
        <f>IF(Summary!$F$6="M",VLOOKUP(C:C,#REF!,IF(B51&gt;2033,22,MATCH(B51,#REF!,0)),FALSE),VLOOKUP(C:C,#REF!,IF(B51&gt;2033,22,MATCH(B51,#REF!,0)),FALSE))</f>
        <v>#REF!</v>
      </c>
      <c r="M51" s="28" t="e">
        <f t="shared" si="4"/>
        <v>#REF!</v>
      </c>
      <c r="N51" s="28" t="e">
        <f t="shared" si="5"/>
        <v>#REF!</v>
      </c>
      <c r="O51" s="28" t="e">
        <f>Summary!$J$6*'R5'!N51*'R5'!H51</f>
        <v>#REF!</v>
      </c>
    </row>
    <row r="52" spans="2:15" ht="24" customHeight="1">
      <c r="B52" s="28">
        <f t="shared" si="0"/>
        <v>2069</v>
      </c>
      <c r="C52" s="28">
        <f t="shared" si="1"/>
        <v>112</v>
      </c>
      <c r="D52" s="28">
        <v>50</v>
      </c>
      <c r="E52" s="28">
        <f>VLOOKUP(C:C, 'Total Data Set'!B:J, IF(Summary!$F$6="M", 4, 8), FALSE)</f>
        <v>0.5</v>
      </c>
      <c r="F52" s="28">
        <f t="shared" si="2"/>
        <v>0.5</v>
      </c>
      <c r="G52" s="28">
        <f t="shared" si="6"/>
        <v>4.0653710826250134E-5</v>
      </c>
      <c r="H52" s="28">
        <f>1/(1+Summary!$O$3)^D52</f>
        <v>8.7203726972380588E-2</v>
      </c>
      <c r="I52" s="28">
        <f>Summary!$J$6*'R5'!H52*'R5'!G52</f>
        <v>7.5642974353901285E-2</v>
      </c>
      <c r="L52" s="28" t="e">
        <f>IF(Summary!$F$6="M",VLOOKUP(C:C,#REF!,IF(B52&gt;2033,22,MATCH(B52,#REF!,0)),FALSE),VLOOKUP(C:C,#REF!,IF(B52&gt;2033,22,MATCH(B52,#REF!,0)),FALSE))</f>
        <v>#REF!</v>
      </c>
      <c r="M52" s="28" t="e">
        <f t="shared" si="4"/>
        <v>#REF!</v>
      </c>
      <c r="N52" s="28" t="e">
        <f t="shared" si="5"/>
        <v>#REF!</v>
      </c>
      <c r="O52" s="28" t="e">
        <f>Summary!$J$6*'R5'!N52*'R5'!H52</f>
        <v>#REF!</v>
      </c>
    </row>
    <row r="53" spans="2:15" ht="24" customHeight="1">
      <c r="B53" s="28">
        <f t="shared" si="0"/>
        <v>2070</v>
      </c>
      <c r="C53" s="28">
        <f t="shared" si="1"/>
        <v>113</v>
      </c>
      <c r="D53" s="28">
        <v>51</v>
      </c>
      <c r="E53" s="28">
        <f>VLOOKUP(C:C, 'Total Data Set'!B:J, IF(Summary!$F$6="M", 4, 8), FALSE)</f>
        <v>0.5</v>
      </c>
      <c r="F53" s="28">
        <f t="shared" si="2"/>
        <v>0.5</v>
      </c>
      <c r="G53" s="28">
        <f t="shared" si="6"/>
        <v>2.0326855413125067E-5</v>
      </c>
      <c r="H53" s="28">
        <f>1/(1+Summary!$O$3)^D53</f>
        <v>8.3051168545124371E-2</v>
      </c>
      <c r="I53" s="28">
        <f>Summary!$J$6*'R5'!H53*'R5'!G53</f>
        <v>3.6020463978048235E-2</v>
      </c>
      <c r="L53" s="28" t="e">
        <f>IF(Summary!$F$6="M",VLOOKUP(C:C,#REF!,IF(B53&gt;2033,22,MATCH(B53,#REF!,0)),FALSE),VLOOKUP(C:C,#REF!,IF(B53&gt;2033,22,MATCH(B53,#REF!,0)),FALSE))</f>
        <v>#REF!</v>
      </c>
      <c r="M53" s="28" t="e">
        <f t="shared" si="4"/>
        <v>#REF!</v>
      </c>
      <c r="N53" s="28" t="e">
        <f t="shared" si="5"/>
        <v>#REF!</v>
      </c>
      <c r="O53" s="28" t="e">
        <f>Summary!$J$6*'R5'!N53*'R5'!H53</f>
        <v>#REF!</v>
      </c>
    </row>
    <row r="54" spans="2:15" ht="24" customHeight="1">
      <c r="B54" s="28">
        <f t="shared" si="0"/>
        <v>2071</v>
      </c>
      <c r="C54" s="28">
        <f t="shared" si="1"/>
        <v>114</v>
      </c>
      <c r="D54" s="28">
        <v>52</v>
      </c>
      <c r="E54" s="28">
        <f>VLOOKUP(C:C, 'Total Data Set'!B:J, IF(Summary!$F$6="M", 4, 8), FALSE)</f>
        <v>0.5</v>
      </c>
      <c r="F54" s="28">
        <f t="shared" si="2"/>
        <v>0.5</v>
      </c>
      <c r="G54" s="28">
        <f t="shared" si="6"/>
        <v>1.0163427706562534E-5</v>
      </c>
      <c r="H54" s="28">
        <f>1/(1+Summary!$O$3)^D54</f>
        <v>7.9096350995356543E-2</v>
      </c>
      <c r="I54" s="28">
        <f>Summary!$J$6*'R5'!H54*'R5'!G54</f>
        <v>1.7152601894308683E-2</v>
      </c>
      <c r="L54" s="28" t="e">
        <f>IF(Summary!$F$6="M",VLOOKUP(C:C,#REF!,IF(B54&gt;2033,22,MATCH(B54,#REF!,0)),FALSE),VLOOKUP(C:C,#REF!,IF(B54&gt;2033,22,MATCH(B54,#REF!,0)),FALSE))</f>
        <v>#REF!</v>
      </c>
      <c r="M54" s="28" t="e">
        <f t="shared" si="4"/>
        <v>#REF!</v>
      </c>
      <c r="N54" s="28" t="e">
        <f t="shared" si="5"/>
        <v>#REF!</v>
      </c>
      <c r="O54" s="28" t="e">
        <f>Summary!$J$6*'R5'!N54*'R5'!H54</f>
        <v>#REF!</v>
      </c>
    </row>
    <row r="55" spans="2:15" ht="24" customHeight="1">
      <c r="B55" s="28">
        <f t="shared" si="0"/>
        <v>2072</v>
      </c>
      <c r="C55" s="28">
        <f t="shared" si="1"/>
        <v>115</v>
      </c>
      <c r="D55" s="28">
        <v>53</v>
      </c>
      <c r="E55" s="28">
        <f>VLOOKUP(C:C, 'Total Data Set'!B:J, IF(Summary!$F$6="M", 4, 8), FALSE)</f>
        <v>0.5</v>
      </c>
      <c r="F55" s="28">
        <f t="shared" si="2"/>
        <v>0.5</v>
      </c>
      <c r="G55" s="28">
        <f t="shared" si="6"/>
        <v>5.0817138532812668E-6</v>
      </c>
      <c r="H55" s="28">
        <f>1/(1+Summary!$O$3)^D55</f>
        <v>7.5329858090815757E-2</v>
      </c>
      <c r="I55" s="28">
        <f>Summary!$J$6*'R5'!H55*'R5'!G55</f>
        <v>8.1679056639565161E-3</v>
      </c>
      <c r="L55" s="28" t="e">
        <f>IF(Summary!$F$6="M",VLOOKUP(C:C,#REF!,IF(B55&gt;2033,22,MATCH(B55,#REF!,0)),FALSE),VLOOKUP(C:C,#REF!,IF(B55&gt;2033,22,MATCH(B55,#REF!,0)),FALSE))</f>
        <v>#REF!</v>
      </c>
      <c r="M55" s="28" t="e">
        <f t="shared" si="4"/>
        <v>#REF!</v>
      </c>
      <c r="N55" s="28" t="e">
        <f t="shared" si="5"/>
        <v>#REF!</v>
      </c>
      <c r="O55" s="28" t="e">
        <f>Summary!$J$6*'R5'!N55*'R5'!H55</f>
        <v>#REF!</v>
      </c>
    </row>
    <row r="56" spans="2:15" ht="24" customHeight="1">
      <c r="B56" s="28">
        <f t="shared" si="0"/>
        <v>2073</v>
      </c>
      <c r="C56" s="28">
        <f t="shared" si="1"/>
        <v>116</v>
      </c>
      <c r="D56" s="28">
        <v>54</v>
      </c>
      <c r="E56" s="28">
        <f>VLOOKUP(C:C, 'Total Data Set'!B:J, IF(Summary!$F$6="M", 4, 8), FALSE)</f>
        <v>0.5</v>
      </c>
      <c r="F56" s="28">
        <f t="shared" si="2"/>
        <v>0.5</v>
      </c>
      <c r="G56" s="28">
        <f t="shared" si="6"/>
        <v>2.5408569266406334E-6</v>
      </c>
      <c r="H56" s="28">
        <f>1/(1+Summary!$O$3)^D56</f>
        <v>7.1742721991253117E-2</v>
      </c>
      <c r="I56" s="28">
        <f>Summary!$J$6*'R5'!H56*'R5'!G56</f>
        <v>3.8894788875983412E-3</v>
      </c>
      <c r="L56" s="28" t="e">
        <f>IF(Summary!$F$6="M",VLOOKUP(C:C,#REF!,IF(B56&gt;2033,22,MATCH(B56,#REF!,0)),FALSE),VLOOKUP(C:C,#REF!,IF(B56&gt;2033,22,MATCH(B56,#REF!,0)),FALSE))</f>
        <v>#REF!</v>
      </c>
      <c r="M56" s="28" t="e">
        <f t="shared" si="4"/>
        <v>#REF!</v>
      </c>
      <c r="N56" s="28" t="e">
        <f t="shared" si="5"/>
        <v>#REF!</v>
      </c>
      <c r="O56" s="28" t="e">
        <f>Summary!$J$6*'R5'!N56*'R5'!H56</f>
        <v>#REF!</v>
      </c>
    </row>
    <row r="57" spans="2:15" ht="24" customHeight="1">
      <c r="B57" s="28">
        <f t="shared" si="0"/>
        <v>2074</v>
      </c>
      <c r="C57" s="28">
        <f t="shared" si="1"/>
        <v>117</v>
      </c>
      <c r="D57" s="28">
        <v>55</v>
      </c>
      <c r="E57" s="28">
        <f>VLOOKUP(C:C, 'Total Data Set'!B:J, IF(Summary!$F$6="M", 4, 8), FALSE)</f>
        <v>0.5</v>
      </c>
      <c r="F57" s="28">
        <f t="shared" si="2"/>
        <v>0.5</v>
      </c>
      <c r="G57" s="28">
        <f t="shared" si="6"/>
        <v>1.2704284633203167E-6</v>
      </c>
      <c r="H57" s="28">
        <f>1/(1+Summary!$O$3)^D57</f>
        <v>6.8326401896431521E-2</v>
      </c>
      <c r="I57" s="28">
        <f>Summary!$J$6*'R5'!H57*'R5'!G57</f>
        <v>1.8521328036182573E-3</v>
      </c>
      <c r="L57" s="28" t="e">
        <f>IF(Summary!$F$6="M",VLOOKUP(C:C,#REF!,IF(B57&gt;2033,22,MATCH(B57,#REF!,0)),FALSE),VLOOKUP(C:C,#REF!,IF(B57&gt;2033,22,MATCH(B57,#REF!,0)),FALSE))</f>
        <v>#REF!</v>
      </c>
      <c r="M57" s="28" t="e">
        <f t="shared" si="4"/>
        <v>#REF!</v>
      </c>
      <c r="N57" s="28" t="e">
        <f t="shared" si="5"/>
        <v>#REF!</v>
      </c>
      <c r="O57" s="28" t="e">
        <f>Summary!$J$6*'R5'!N57*'R5'!H57</f>
        <v>#REF!</v>
      </c>
    </row>
    <row r="58" spans="2:15" ht="24" customHeight="1">
      <c r="B58" s="28">
        <f t="shared" si="0"/>
        <v>2075</v>
      </c>
      <c r="C58" s="28">
        <f t="shared" si="1"/>
        <v>118</v>
      </c>
      <c r="D58" s="28">
        <v>56</v>
      </c>
      <c r="E58" s="28">
        <f>VLOOKUP(C:C, 'Total Data Set'!B:J, IF(Summary!$F$6="M", 4, 8), FALSE)</f>
        <v>0.5</v>
      </c>
      <c r="F58" s="28">
        <f t="shared" si="2"/>
        <v>0.5</v>
      </c>
      <c r="G58" s="28">
        <f t="shared" si="6"/>
        <v>6.3521423166015835E-7</v>
      </c>
      <c r="H58" s="28">
        <f>1/(1+Summary!$O$3)^D58</f>
        <v>6.5072763710887174E-2</v>
      </c>
      <c r="I58" s="28">
        <f>Summary!$J$6*'R5'!H58*'R5'!G58</f>
        <v>8.8196800172297984E-4</v>
      </c>
      <c r="L58" s="28" t="e">
        <f>IF(Summary!$F$6="M",VLOOKUP(C:C,#REF!,IF(B58&gt;2033,22,MATCH(B58,#REF!,0)),FALSE),VLOOKUP(C:C,#REF!,IF(B58&gt;2033,22,MATCH(B58,#REF!,0)),FALSE))</f>
        <v>#REF!</v>
      </c>
      <c r="M58" s="28" t="e">
        <f t="shared" si="4"/>
        <v>#REF!</v>
      </c>
      <c r="N58" s="28" t="e">
        <f t="shared" si="5"/>
        <v>#REF!</v>
      </c>
      <c r="O58" s="28" t="e">
        <f>Summary!$J$6*'R5'!N58*'R5'!H58</f>
        <v>#REF!</v>
      </c>
    </row>
    <row r="59" spans="2:15" ht="24" customHeight="1">
      <c r="B59" s="28">
        <f t="shared" si="0"/>
        <v>2076</v>
      </c>
      <c r="C59" s="28">
        <f t="shared" si="1"/>
        <v>119</v>
      </c>
      <c r="D59" s="28">
        <v>57</v>
      </c>
      <c r="E59" s="28">
        <f>VLOOKUP(C:C, 'Total Data Set'!B:J, IF(Summary!$F$6="M", 4, 8), FALSE)</f>
        <v>0.5</v>
      </c>
      <c r="F59" s="28">
        <f t="shared" si="2"/>
        <v>0.5</v>
      </c>
      <c r="G59" s="28">
        <f t="shared" si="6"/>
        <v>3.1760711583007917E-7</v>
      </c>
      <c r="H59" s="28">
        <f>1/(1+Summary!$O$3)^D59</f>
        <v>6.1974060677035397E-2</v>
      </c>
      <c r="I59" s="28">
        <f>Summary!$J$6*'R5'!H59*'R5'!G59</f>
        <v>4.1998476272522844E-4</v>
      </c>
      <c r="L59" s="28" t="e">
        <f>IF(Summary!$F$6="M",VLOOKUP(C:C,#REF!,IF(B59&gt;2033,22,MATCH(B59,#REF!,0)),FALSE),VLOOKUP(C:C,#REF!,IF(B59&gt;2033,22,MATCH(B59,#REF!,0)),FALSE))</f>
        <v>#REF!</v>
      </c>
      <c r="M59" s="28" t="e">
        <f t="shared" si="4"/>
        <v>#REF!</v>
      </c>
      <c r="N59" s="28" t="e">
        <f t="shared" si="5"/>
        <v>#REF!</v>
      </c>
      <c r="O59" s="28" t="e">
        <f>Summary!$J$6*'R5'!N59*'R5'!H59</f>
        <v>#REF!</v>
      </c>
    </row>
    <row r="60" spans="2:15" ht="24" customHeight="1">
      <c r="B60" s="28">
        <f t="shared" si="0"/>
        <v>2077</v>
      </c>
      <c r="C60" s="28">
        <f t="shared" si="1"/>
        <v>120</v>
      </c>
      <c r="D60" s="28">
        <v>58</v>
      </c>
      <c r="E60" s="28">
        <f>VLOOKUP(C:C, 'Total Data Set'!B:J, IF(Summary!$F$6="M", 4, 8), FALSE)</f>
        <v>1</v>
      </c>
      <c r="F60" s="28">
        <f t="shared" si="2"/>
        <v>0</v>
      </c>
      <c r="G60" s="28">
        <f t="shared" si="6"/>
        <v>1.5880355791503959E-7</v>
      </c>
      <c r="H60" s="28">
        <f>1/(1+Summary!$O$3)^D60</f>
        <v>5.9022914930509894E-2</v>
      </c>
      <c r="I60" s="28">
        <f>Summary!$J$6*'R5'!H60*'R5'!G60</f>
        <v>1.9999274415487066E-4</v>
      </c>
      <c r="L60" s="28" t="e">
        <f>IF(Summary!$F$6="M",VLOOKUP(C:C,#REF!,IF(B60&gt;2033,22,MATCH(B60,#REF!,0)),FALSE),VLOOKUP(C:C,#REF!,IF(B60&gt;2033,22,MATCH(B60,#REF!,0)),FALSE))</f>
        <v>#REF!</v>
      </c>
      <c r="M60" s="28" t="e">
        <f t="shared" si="4"/>
        <v>#REF!</v>
      </c>
      <c r="N60" s="28" t="e">
        <f t="shared" si="5"/>
        <v>#REF!</v>
      </c>
      <c r="O60" s="28" t="e">
        <f>Summary!$J$6*'R5'!N60*'R5'!H60</f>
        <v>#REF!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161"/>
  <sheetViews>
    <sheetView topLeftCell="F1" workbookViewId="0">
      <selection activeCell="A6" sqref="A6"/>
    </sheetView>
  </sheetViews>
  <sheetFormatPr defaultColWidth="18" defaultRowHeight="24" customHeight="1"/>
  <cols>
    <col min="1" max="6" width="18" style="28"/>
    <col min="7" max="7" width="25.7109375" style="28" customWidth="1"/>
    <col min="8" max="9" width="18" style="28"/>
    <col min="10" max="10" width="21.7109375" style="28" customWidth="1"/>
    <col min="11" max="16384" width="18" style="28"/>
  </cols>
  <sheetData>
    <row r="1" spans="1:16" ht="24" customHeight="1">
      <c r="A1" s="30" t="s">
        <v>69</v>
      </c>
      <c r="B1" s="30" t="s">
        <v>74</v>
      </c>
      <c r="C1" s="28" t="s">
        <v>28</v>
      </c>
      <c r="D1" s="28" t="s">
        <v>29</v>
      </c>
      <c r="E1" s="28" t="s">
        <v>30</v>
      </c>
      <c r="F1" s="28" t="s">
        <v>71</v>
      </c>
      <c r="G1" s="28" t="s">
        <v>72</v>
      </c>
      <c r="H1" s="28" t="s">
        <v>31</v>
      </c>
      <c r="I1" s="28" t="s">
        <v>32</v>
      </c>
      <c r="J1" s="28" t="s">
        <v>33</v>
      </c>
      <c r="L1" s="39" t="s">
        <v>76</v>
      </c>
      <c r="M1" s="39" t="s">
        <v>77</v>
      </c>
      <c r="N1" s="39" t="s">
        <v>78</v>
      </c>
      <c r="O1" s="39" t="s">
        <v>79</v>
      </c>
      <c r="P1" s="39" t="s">
        <v>80</v>
      </c>
    </row>
    <row r="2" spans="1:16" ht="24" customHeight="1">
      <c r="A2" s="31">
        <v>43647</v>
      </c>
      <c r="B2" s="28">
        <f>YEAR(A2)</f>
        <v>2019</v>
      </c>
      <c r="C2" s="28">
        <f>$A$4+D2</f>
        <v>65</v>
      </c>
      <c r="D2" s="28">
        <v>0</v>
      </c>
      <c r="E2" s="28">
        <f>VLOOKUP(C:C, 'Total Data Set'!B:J, IF(Summary!$F$7="M", 4, 8), FALSE)</f>
        <v>8.0479999999999996E-3</v>
      </c>
      <c r="F2" s="28">
        <f>1-E2</f>
        <v>0.99195199999999994</v>
      </c>
      <c r="G2" s="28">
        <v>1</v>
      </c>
      <c r="H2" s="28">
        <f>1/(1+Summary!$O$3)^D2</f>
        <v>1</v>
      </c>
      <c r="I2" s="28">
        <f>Summary!$J$7*'R6'!H2*'R6'!G2</f>
        <v>38639</v>
      </c>
      <c r="J2" s="28">
        <f>SUM(I2:I58)</f>
        <v>511399.86467260926</v>
      </c>
      <c r="L2" s="28" t="e">
        <f>IF(Summary!$F$7="M",VLOOKUP(C:C,#REF!,IF(B2&gt;2033,22,MATCH(B2,#REF!,0)),FALSE),VLOOKUP(C:C,#REF!,IF(B2&gt;2033,22,MATCH(B2,#REF!,0)),FALSE))</f>
        <v>#REF!</v>
      </c>
      <c r="M2" s="28" t="e">
        <f>1-L2</f>
        <v>#REF!</v>
      </c>
      <c r="N2" s="28">
        <v>1</v>
      </c>
      <c r="O2" s="28">
        <f>Summary!$J$7*'R6'!N2*'R6'!H2</f>
        <v>38639</v>
      </c>
      <c r="P2" s="28" t="e">
        <f>SUM(O2:O57)</f>
        <v>#REF!</v>
      </c>
    </row>
    <row r="3" spans="1:16" ht="24" customHeight="1">
      <c r="A3" s="28" t="s">
        <v>34</v>
      </c>
      <c r="B3" s="28">
        <f>B2+1</f>
        <v>2020</v>
      </c>
      <c r="C3" s="28">
        <f>$A$4+D3</f>
        <v>66</v>
      </c>
      <c r="D3" s="28">
        <v>1</v>
      </c>
      <c r="E3" s="28">
        <f>VLOOKUP(C:C, 'Total Data Set'!B:J, IF(Summary!$F$7="M", 4, 8), FALSE)</f>
        <v>8.8210000000000007E-3</v>
      </c>
      <c r="F3" s="28">
        <f>1-E3</f>
        <v>0.99117900000000003</v>
      </c>
      <c r="G3" s="28">
        <f>F2</f>
        <v>0.99195199999999994</v>
      </c>
      <c r="H3" s="28">
        <f>1/(1+Summary!$O$3)^D3</f>
        <v>0.95238095238095233</v>
      </c>
      <c r="I3" s="28">
        <f>Summary!$J$7*'R6'!H3*'R6'!G3</f>
        <v>36502.888883809523</v>
      </c>
      <c r="L3" s="28" t="e">
        <f>IF(Summary!$F$7="M",VLOOKUP(C:C,#REF!,IF(B3&gt;2033,22,MATCH(B3,#REF!,0)),FALSE),VLOOKUP(C:C,#REF!,IF(B3&gt;2033,22,MATCH(B3,#REF!,0)),FALSE))</f>
        <v>#REF!</v>
      </c>
      <c r="M3" s="28" t="e">
        <f>1-L3</f>
        <v>#REF!</v>
      </c>
      <c r="N3" s="28" t="e">
        <f>N2*M2</f>
        <v>#REF!</v>
      </c>
      <c r="O3" s="28" t="e">
        <f>Summary!$J$7*'R6'!N3*'R6'!H3</f>
        <v>#REF!</v>
      </c>
    </row>
    <row r="4" spans="1:16" ht="24" customHeight="1">
      <c r="A4" s="28">
        <f>Summary!I7</f>
        <v>65</v>
      </c>
      <c r="B4" s="28">
        <f t="shared" ref="B4:B57" si="0">B3+1</f>
        <v>2021</v>
      </c>
      <c r="C4" s="28">
        <f t="shared" ref="C4:C57" si="1">$A$4+D4</f>
        <v>67</v>
      </c>
      <c r="D4" s="28">
        <v>2</v>
      </c>
      <c r="E4" s="28">
        <f>VLOOKUP(C:C, 'Total Data Set'!B:J, IF(Summary!$F$7="M", 4, 8), FALSE)</f>
        <v>9.6790000000000001E-3</v>
      </c>
      <c r="F4" s="28">
        <f t="shared" ref="F4:F57" si="2">1-E4</f>
        <v>0.99032100000000001</v>
      </c>
      <c r="G4" s="28">
        <f t="shared" ref="G4:G35" si="3">G3*F3</f>
        <v>0.98320199140800002</v>
      </c>
      <c r="H4" s="28">
        <f>1/(1+Summary!$O$3)^D4</f>
        <v>0.90702947845804982</v>
      </c>
      <c r="I4" s="28">
        <f>Summary!$J$7*'R6'!H4*'R6'!G4</f>
        <v>34457.997048538513</v>
      </c>
      <c r="L4" s="28" t="e">
        <f>IF(Summary!$F$7="M",VLOOKUP(C:C,#REF!,IF(B4&gt;2033,22,MATCH(B4,#REF!,0)),FALSE),VLOOKUP(C:C,#REF!,IF(B4&gt;2033,22,MATCH(B4,#REF!,0)),FALSE))</f>
        <v>#REF!</v>
      </c>
      <c r="M4" s="28" t="e">
        <f t="shared" ref="M4:M57" si="4">1-L4</f>
        <v>#REF!</v>
      </c>
      <c r="N4" s="28" t="e">
        <f t="shared" ref="N4:N57" si="5">N3*M3</f>
        <v>#REF!</v>
      </c>
      <c r="O4" s="28" t="e">
        <f>Summary!$J$7*'R6'!N4*'R6'!H4</f>
        <v>#REF!</v>
      </c>
    </row>
    <row r="5" spans="1:16" ht="24" customHeight="1">
      <c r="B5" s="28">
        <f t="shared" si="0"/>
        <v>2022</v>
      </c>
      <c r="C5" s="28">
        <f t="shared" si="1"/>
        <v>68</v>
      </c>
      <c r="D5" s="28">
        <v>3</v>
      </c>
      <c r="E5" s="28">
        <f>VLOOKUP(C:C, 'Total Data Set'!B:J, IF(Summary!$F$7="M", 4, 8), FALSE)</f>
        <v>1.0633E-2</v>
      </c>
      <c r="F5" s="28">
        <f t="shared" si="2"/>
        <v>0.989367</v>
      </c>
      <c r="G5" s="28">
        <f t="shared" si="3"/>
        <v>0.97368557933316202</v>
      </c>
      <c r="H5" s="28">
        <f>1/(1+Summary!$O$3)^D5</f>
        <v>0.86383759853147601</v>
      </c>
      <c r="I5" s="28">
        <f>Summary!$J$7*'R6'!H5*'R6'!G5</f>
        <v>32499.502947719724</v>
      </c>
      <c r="L5" s="28" t="e">
        <f>IF(Summary!$F$7="M",VLOOKUP(C:C,#REF!,IF(B5&gt;2033,22,MATCH(B5,#REF!,0)),FALSE),VLOOKUP(C:C,#REF!,IF(B5&gt;2033,22,MATCH(B5,#REF!,0)),FALSE))</f>
        <v>#REF!</v>
      </c>
      <c r="M5" s="28" t="e">
        <f t="shared" si="4"/>
        <v>#REF!</v>
      </c>
      <c r="N5" s="28" t="e">
        <f t="shared" si="5"/>
        <v>#REF!</v>
      </c>
      <c r="O5" s="28" t="e">
        <f>Summary!$J$7*'R6'!N5*'R6'!H5</f>
        <v>#REF!</v>
      </c>
    </row>
    <row r="6" spans="1:16" ht="24" customHeight="1">
      <c r="B6" s="28">
        <f t="shared" si="0"/>
        <v>2023</v>
      </c>
      <c r="C6" s="28">
        <f t="shared" si="1"/>
        <v>69</v>
      </c>
      <c r="D6" s="28">
        <v>4</v>
      </c>
      <c r="E6" s="28">
        <f>VLOOKUP(C:C, 'Total Data Set'!B:J, IF(Summary!$F$7="M", 4, 8), FALSE)</f>
        <v>1.1691999999999999E-2</v>
      </c>
      <c r="F6" s="28">
        <f t="shared" si="2"/>
        <v>0.98830799999999996</v>
      </c>
      <c r="G6" s="28">
        <f t="shared" si="3"/>
        <v>0.96333238056811255</v>
      </c>
      <c r="H6" s="28">
        <f>1/(1+Summary!$O$3)^D6</f>
        <v>0.82270247479188197</v>
      </c>
      <c r="I6" s="28">
        <f>Summary!$J$7*'R6'!H6*'R6'!G6</f>
        <v>30622.795936072976</v>
      </c>
      <c r="L6" s="28" t="e">
        <f>IF(Summary!$F$7="M",VLOOKUP(C:C,#REF!,IF(B6&gt;2033,22,MATCH(B6,#REF!,0)),FALSE),VLOOKUP(C:C,#REF!,IF(B6&gt;2033,22,MATCH(B6,#REF!,0)),FALSE))</f>
        <v>#REF!</v>
      </c>
      <c r="M6" s="28" t="e">
        <f t="shared" si="4"/>
        <v>#REF!</v>
      </c>
      <c r="N6" s="28" t="e">
        <f t="shared" si="5"/>
        <v>#REF!</v>
      </c>
      <c r="O6" s="28" t="e">
        <f>Summary!$J$7*'R6'!N6*'R6'!H6</f>
        <v>#REF!</v>
      </c>
    </row>
    <row r="7" spans="1:16" ht="24" customHeight="1">
      <c r="B7" s="28">
        <f t="shared" si="0"/>
        <v>2024</v>
      </c>
      <c r="C7" s="28">
        <f t="shared" si="1"/>
        <v>70</v>
      </c>
      <c r="D7" s="28">
        <v>5</v>
      </c>
      <c r="E7" s="28">
        <f>VLOOKUP(C:C, 'Total Data Set'!B:J, IF(Summary!$F$7="M", 4, 8), FALSE)</f>
        <v>1.2867999999999999E-2</v>
      </c>
      <c r="F7" s="28">
        <f t="shared" si="2"/>
        <v>0.98713200000000001</v>
      </c>
      <c r="G7" s="28">
        <f t="shared" si="3"/>
        <v>0.95206909837451015</v>
      </c>
      <c r="H7" s="28">
        <f>1/(1+Summary!$O$3)^D7</f>
        <v>0.78352616646845896</v>
      </c>
      <c r="I7" s="28">
        <f>Summary!$J$7*'R6'!H7*'R6'!G7</f>
        <v>28823.575434274673</v>
      </c>
      <c r="L7" s="28" t="e">
        <f>IF(Summary!$F$7="M",VLOOKUP(C:C,#REF!,IF(B7&gt;2033,22,MATCH(B7,#REF!,0)),FALSE),VLOOKUP(C:C,#REF!,IF(B7&gt;2033,22,MATCH(B7,#REF!,0)),FALSE))</f>
        <v>#REF!</v>
      </c>
      <c r="M7" s="28" t="e">
        <f t="shared" si="4"/>
        <v>#REF!</v>
      </c>
      <c r="N7" s="28" t="e">
        <f t="shared" si="5"/>
        <v>#REF!</v>
      </c>
      <c r="O7" s="28" t="e">
        <f>Summary!$J$7*'R6'!N7*'R6'!H7</f>
        <v>#REF!</v>
      </c>
    </row>
    <row r="8" spans="1:16" ht="24" customHeight="1">
      <c r="B8" s="28">
        <f t="shared" si="0"/>
        <v>2025</v>
      </c>
      <c r="C8" s="28">
        <f t="shared" si="1"/>
        <v>71</v>
      </c>
      <c r="D8" s="28">
        <v>6</v>
      </c>
      <c r="E8" s="28">
        <f>VLOOKUP(C:C, 'Total Data Set'!B:J, IF(Summary!$F$7="M", 4, 8), FALSE)</f>
        <v>1.4171E-2</v>
      </c>
      <c r="F8" s="28">
        <f t="shared" si="2"/>
        <v>0.98582899999999996</v>
      </c>
      <c r="G8" s="28">
        <f t="shared" si="3"/>
        <v>0.93981787321662691</v>
      </c>
      <c r="H8" s="28">
        <f>1/(1+Summary!$O$3)^D8</f>
        <v>0.74621539663662761</v>
      </c>
      <c r="I8" s="28">
        <f>Summary!$J$7*'R6'!H8*'R6'!G8</f>
        <v>27097.784443415643</v>
      </c>
      <c r="L8" s="28" t="e">
        <f>IF(Summary!$F$7="M",VLOOKUP(C:C,#REF!,IF(B8&gt;2033,22,MATCH(B8,#REF!,0)),FALSE),VLOOKUP(C:C,#REF!,IF(B8&gt;2033,22,MATCH(B8,#REF!,0)),FALSE))</f>
        <v>#REF!</v>
      </c>
      <c r="M8" s="28" t="e">
        <f t="shared" si="4"/>
        <v>#REF!</v>
      </c>
      <c r="N8" s="28" t="e">
        <f t="shared" si="5"/>
        <v>#REF!</v>
      </c>
      <c r="O8" s="28" t="e">
        <f>Summary!$J$7*'R6'!N8*'R6'!H8</f>
        <v>#REF!</v>
      </c>
    </row>
    <row r="9" spans="1:16" ht="24" customHeight="1">
      <c r="B9" s="28">
        <f t="shared" si="0"/>
        <v>2026</v>
      </c>
      <c r="C9" s="28">
        <f t="shared" si="1"/>
        <v>72</v>
      </c>
      <c r="D9" s="28">
        <v>7</v>
      </c>
      <c r="E9" s="28">
        <f>VLOOKUP(C:C, 'Total Data Set'!B:J, IF(Summary!$F$7="M", 4, 8), FALSE)</f>
        <v>1.5613999999999999E-2</v>
      </c>
      <c r="F9" s="28">
        <f t="shared" si="2"/>
        <v>0.98438599999999998</v>
      </c>
      <c r="G9" s="28">
        <f t="shared" si="3"/>
        <v>0.9264997141352741</v>
      </c>
      <c r="H9" s="28">
        <f>1/(1+Summary!$O$3)^D9</f>
        <v>0.71068133013012147</v>
      </c>
      <c r="I9" s="28">
        <f>Summary!$J$7*'R6'!H9*'R6'!G9</f>
        <v>25441.696895302855</v>
      </c>
      <c r="L9" s="28" t="e">
        <f>IF(Summary!$F$7="M",VLOOKUP(C:C,#REF!,IF(B9&gt;2033,22,MATCH(B9,#REF!,0)),FALSE),VLOOKUP(C:C,#REF!,IF(B9&gt;2033,22,MATCH(B9,#REF!,0)),FALSE))</f>
        <v>#REF!</v>
      </c>
      <c r="M9" s="28" t="e">
        <f t="shared" si="4"/>
        <v>#REF!</v>
      </c>
      <c r="N9" s="28" t="e">
        <f t="shared" si="5"/>
        <v>#REF!</v>
      </c>
      <c r="O9" s="28" t="e">
        <f>Summary!$J$7*'R6'!N9*'R6'!H9</f>
        <v>#REF!</v>
      </c>
    </row>
    <row r="10" spans="1:16" ht="24" customHeight="1">
      <c r="B10" s="28">
        <f t="shared" si="0"/>
        <v>2027</v>
      </c>
      <c r="C10" s="28">
        <f t="shared" si="1"/>
        <v>73</v>
      </c>
      <c r="D10" s="28">
        <v>8</v>
      </c>
      <c r="E10" s="28">
        <f>VLOOKUP(C:C, 'Total Data Set'!B:J, IF(Summary!$F$7="M", 4, 8), FALSE)</f>
        <v>1.721E-2</v>
      </c>
      <c r="F10" s="28">
        <f t="shared" si="2"/>
        <v>0.98279000000000005</v>
      </c>
      <c r="G10" s="28">
        <f t="shared" si="3"/>
        <v>0.91203334759876586</v>
      </c>
      <c r="H10" s="28">
        <f>1/(1+Summary!$O$3)^D10</f>
        <v>0.67683936202868722</v>
      </c>
      <c r="I10" s="28">
        <f>Summary!$J$7*'R6'!H10*'R6'!G10</f>
        <v>23851.85737140914</v>
      </c>
      <c r="L10" s="28" t="e">
        <f>IF(Summary!$F$7="M",VLOOKUP(C:C,#REF!,IF(B10&gt;2033,22,MATCH(B10,#REF!,0)),FALSE),VLOOKUP(C:C,#REF!,IF(B10&gt;2033,22,MATCH(B10,#REF!,0)),FALSE))</f>
        <v>#REF!</v>
      </c>
      <c r="M10" s="28" t="e">
        <f t="shared" si="4"/>
        <v>#REF!</v>
      </c>
      <c r="N10" s="28" t="e">
        <f t="shared" si="5"/>
        <v>#REF!</v>
      </c>
      <c r="O10" s="28" t="e">
        <f>Summary!$J$7*'R6'!N10*'R6'!H10</f>
        <v>#REF!</v>
      </c>
    </row>
    <row r="11" spans="1:16" ht="24" customHeight="1">
      <c r="B11" s="28">
        <f t="shared" si="0"/>
        <v>2028</v>
      </c>
      <c r="C11" s="28">
        <f t="shared" si="1"/>
        <v>74</v>
      </c>
      <c r="D11" s="28">
        <v>9</v>
      </c>
      <c r="E11" s="28">
        <f>VLOOKUP(C:C, 'Total Data Set'!B:J, IF(Summary!$F$7="M", 4, 8), FALSE)</f>
        <v>1.8977000000000001E-2</v>
      </c>
      <c r="F11" s="28">
        <f t="shared" si="2"/>
        <v>0.98102299999999998</v>
      </c>
      <c r="G11" s="28">
        <f t="shared" si="3"/>
        <v>0.89633725368659112</v>
      </c>
      <c r="H11" s="28">
        <f>1/(1+Summary!$O$3)^D11</f>
        <v>0.64460891621779726</v>
      </c>
      <c r="I11" s="28">
        <f>Summary!$J$7*'R6'!H11*'R6'!G11</f>
        <v>22325.11133909256</v>
      </c>
      <c r="L11" s="28" t="e">
        <f>IF(Summary!$F$7="M",VLOOKUP(C:C,#REF!,IF(B11&gt;2033,22,MATCH(B11,#REF!,0)),FALSE),VLOOKUP(C:C,#REF!,IF(B11&gt;2033,22,MATCH(B11,#REF!,0)),FALSE))</f>
        <v>#REF!</v>
      </c>
      <c r="M11" s="28" t="e">
        <f t="shared" si="4"/>
        <v>#REF!</v>
      </c>
      <c r="N11" s="28" t="e">
        <f t="shared" si="5"/>
        <v>#REF!</v>
      </c>
      <c r="O11" s="28" t="e">
        <f>Summary!$J$7*'R6'!N11*'R6'!H11</f>
        <v>#REF!</v>
      </c>
    </row>
    <row r="12" spans="1:16" ht="24" customHeight="1">
      <c r="B12" s="28">
        <f t="shared" si="0"/>
        <v>2029</v>
      </c>
      <c r="C12" s="28">
        <f t="shared" si="1"/>
        <v>75</v>
      </c>
      <c r="D12" s="28">
        <v>10</v>
      </c>
      <c r="E12" s="28">
        <f>VLOOKUP(C:C, 'Total Data Set'!B:J, IF(Summary!$F$7="M", 4, 8), FALSE)</f>
        <v>2.0937999999999998E-2</v>
      </c>
      <c r="F12" s="28">
        <f t="shared" si="2"/>
        <v>0.97906199999999999</v>
      </c>
      <c r="G12" s="28">
        <f t="shared" si="3"/>
        <v>0.87932746162338071</v>
      </c>
      <c r="H12" s="28">
        <f>1/(1+Summary!$O$3)^D12</f>
        <v>0.61391325354075932</v>
      </c>
      <c r="I12" s="28">
        <f>Summary!$J$7*'R6'!H12*'R6'!G12</f>
        <v>20858.521620200572</v>
      </c>
      <c r="L12" s="28" t="e">
        <f>IF(Summary!$F$7="M",VLOOKUP(C:C,#REF!,IF(B12&gt;2033,22,MATCH(B12,#REF!,0)),FALSE),VLOOKUP(C:C,#REF!,IF(B12&gt;2033,22,MATCH(B12,#REF!,0)),FALSE))</f>
        <v>#REF!</v>
      </c>
      <c r="M12" s="28" t="e">
        <f t="shared" si="4"/>
        <v>#REF!</v>
      </c>
      <c r="N12" s="28" t="e">
        <f t="shared" si="5"/>
        <v>#REF!</v>
      </c>
      <c r="O12" s="28" t="e">
        <f>Summary!$J$7*'R6'!N12*'R6'!H12</f>
        <v>#REF!</v>
      </c>
    </row>
    <row r="13" spans="1:16" ht="24" customHeight="1">
      <c r="B13" s="28">
        <f t="shared" si="0"/>
        <v>2030</v>
      </c>
      <c r="C13" s="28">
        <f t="shared" si="1"/>
        <v>76</v>
      </c>
      <c r="D13" s="28">
        <v>11</v>
      </c>
      <c r="E13" s="28">
        <f>VLOOKUP(C:C, 'Total Data Set'!B:J, IF(Summary!$F$7="M", 4, 8), FALSE)</f>
        <v>2.3118E-2</v>
      </c>
      <c r="F13" s="28">
        <f t="shared" si="2"/>
        <v>0.97688200000000003</v>
      </c>
      <c r="G13" s="28">
        <f t="shared" si="3"/>
        <v>0.86091610323191037</v>
      </c>
      <c r="H13" s="28">
        <f>1/(1+Summary!$O$3)^D13</f>
        <v>0.5846792890864374</v>
      </c>
      <c r="I13" s="28">
        <f>Summary!$J$7*'R6'!H13*'R6'!G13</f>
        <v>19449.31989953982</v>
      </c>
      <c r="L13" s="28" t="e">
        <f>IF(Summary!$F$7="M",VLOOKUP(C:C,#REF!,IF(B13&gt;2033,22,MATCH(B13,#REF!,0)),FALSE),VLOOKUP(C:C,#REF!,IF(B13&gt;2033,22,MATCH(B13,#REF!,0)),FALSE))</f>
        <v>#REF!</v>
      </c>
      <c r="M13" s="28" t="e">
        <f t="shared" si="4"/>
        <v>#REF!</v>
      </c>
      <c r="N13" s="28" t="e">
        <f t="shared" si="5"/>
        <v>#REF!</v>
      </c>
      <c r="O13" s="28" t="e">
        <f>Summary!$J$7*'R6'!N13*'R6'!H13</f>
        <v>#REF!</v>
      </c>
    </row>
    <row r="14" spans="1:16" ht="24" customHeight="1">
      <c r="B14" s="28">
        <f t="shared" si="0"/>
        <v>2031</v>
      </c>
      <c r="C14" s="28">
        <f t="shared" si="1"/>
        <v>77</v>
      </c>
      <c r="D14" s="28">
        <v>12</v>
      </c>
      <c r="E14" s="28">
        <f>VLOOKUP(C:C, 'Total Data Set'!B:J, IF(Summary!$F$7="M", 4, 8), FALSE)</f>
        <v>2.5554E-2</v>
      </c>
      <c r="F14" s="28">
        <f t="shared" si="2"/>
        <v>0.97444600000000003</v>
      </c>
      <c r="G14" s="28">
        <f t="shared" si="3"/>
        <v>0.84101344475739503</v>
      </c>
      <c r="H14" s="28">
        <f>1/(1+Summary!$O$3)^D14</f>
        <v>0.5568374181775595</v>
      </c>
      <c r="I14" s="28">
        <f>Summary!$J$7*'R6'!H14*'R6'!G14</f>
        <v>18094.943354383104</v>
      </c>
      <c r="L14" s="28" t="e">
        <f>IF(Summary!$F$7="M",VLOOKUP(C:C,#REF!,IF(B14&gt;2033,22,MATCH(B14,#REF!,0)),FALSE),VLOOKUP(C:C,#REF!,IF(B14&gt;2033,22,MATCH(B14,#REF!,0)),FALSE))</f>
        <v>#REF!</v>
      </c>
      <c r="M14" s="28" t="e">
        <f t="shared" si="4"/>
        <v>#REF!</v>
      </c>
      <c r="N14" s="28" t="e">
        <f t="shared" si="5"/>
        <v>#REF!</v>
      </c>
      <c r="O14" s="28" t="e">
        <f>Summary!$J$7*'R6'!N14*'R6'!H14</f>
        <v>#REF!</v>
      </c>
    </row>
    <row r="15" spans="1:16" ht="24" customHeight="1">
      <c r="B15" s="28">
        <f t="shared" si="0"/>
        <v>2032</v>
      </c>
      <c r="C15" s="28">
        <f t="shared" si="1"/>
        <v>78</v>
      </c>
      <c r="D15" s="28">
        <v>13</v>
      </c>
      <c r="E15" s="28">
        <f>VLOOKUP(C:C, 'Total Data Set'!B:J, IF(Summary!$F$7="M", 4, 8), FALSE)</f>
        <v>2.8288000000000001E-2</v>
      </c>
      <c r="F15" s="28">
        <f t="shared" si="2"/>
        <v>0.97171200000000002</v>
      </c>
      <c r="G15" s="28">
        <f t="shared" si="3"/>
        <v>0.81952218719006464</v>
      </c>
      <c r="H15" s="28">
        <f>1/(1+Summary!$O$3)^D15</f>
        <v>0.53032135064529462</v>
      </c>
      <c r="I15" s="28">
        <f>Summary!$J$7*'R6'!H15*'R6'!G15</f>
        <v>16792.900163719234</v>
      </c>
      <c r="L15" s="28" t="e">
        <f>IF(Summary!$F$7="M",VLOOKUP(C:C,#REF!,IF(B15&gt;2033,22,MATCH(B15,#REF!,0)),FALSE),VLOOKUP(C:C,#REF!,IF(B15&gt;2033,22,MATCH(B15,#REF!,0)),FALSE))</f>
        <v>#REF!</v>
      </c>
      <c r="M15" s="28" t="e">
        <f t="shared" si="4"/>
        <v>#REF!</v>
      </c>
      <c r="N15" s="28" t="e">
        <f t="shared" si="5"/>
        <v>#REF!</v>
      </c>
      <c r="O15" s="28" t="e">
        <f>Summary!$J$7*'R6'!N15*'R6'!H15</f>
        <v>#REF!</v>
      </c>
    </row>
    <row r="16" spans="1:16" ht="24" customHeight="1">
      <c r="B16" s="28">
        <f t="shared" si="0"/>
        <v>2033</v>
      </c>
      <c r="C16" s="28">
        <f t="shared" si="1"/>
        <v>79</v>
      </c>
      <c r="D16" s="28">
        <v>14</v>
      </c>
      <c r="E16" s="28">
        <f>VLOOKUP(C:C, 'Total Data Set'!B:J, IF(Summary!$F$7="M", 4, 8), FALSE)</f>
        <v>3.1365999999999998E-2</v>
      </c>
      <c r="F16" s="28">
        <f t="shared" si="2"/>
        <v>0.968634</v>
      </c>
      <c r="G16" s="28">
        <f t="shared" si="3"/>
        <v>0.79633954355883207</v>
      </c>
      <c r="H16" s="28">
        <f>1/(1+Summary!$O$3)^D16</f>
        <v>0.50506795299551888</v>
      </c>
      <c r="I16" s="28">
        <f>Summary!$J$7*'R6'!H16*'R6'!G16</f>
        <v>15540.821527512335</v>
      </c>
      <c r="L16" s="28" t="e">
        <f>IF(Summary!$F$7="M",VLOOKUP(C:C,#REF!,IF(B16&gt;2033,22,MATCH(B16,#REF!,0)),FALSE),VLOOKUP(C:C,#REF!,IF(B16&gt;2033,22,MATCH(B16,#REF!,0)),FALSE))</f>
        <v>#REF!</v>
      </c>
      <c r="M16" s="28" t="e">
        <f t="shared" si="4"/>
        <v>#REF!</v>
      </c>
      <c r="N16" s="28" t="e">
        <f t="shared" si="5"/>
        <v>#REF!</v>
      </c>
      <c r="O16" s="28" t="e">
        <f>Summary!$J$7*'R6'!N16*'R6'!H16</f>
        <v>#REF!</v>
      </c>
    </row>
    <row r="17" spans="2:15" ht="24" customHeight="1">
      <c r="B17" s="28">
        <f t="shared" si="0"/>
        <v>2034</v>
      </c>
      <c r="C17" s="28">
        <f t="shared" si="1"/>
        <v>80</v>
      </c>
      <c r="D17" s="28">
        <v>15</v>
      </c>
      <c r="E17" s="28">
        <f>VLOOKUP(C:C, 'Total Data Set'!B:J, IF(Summary!$F$7="M", 4, 8), FALSE)</f>
        <v>3.4844E-2</v>
      </c>
      <c r="F17" s="28">
        <f t="shared" si="2"/>
        <v>0.96515600000000001</v>
      </c>
      <c r="G17" s="28">
        <f t="shared" si="3"/>
        <v>0.77136155743556578</v>
      </c>
      <c r="H17" s="28">
        <f>1/(1+Summary!$O$3)^D17</f>
        <v>0.48101709809097021</v>
      </c>
      <c r="I17" s="28">
        <f>Summary!$J$7*'R6'!H17*'R6'!G17</f>
        <v>14336.541066171789</v>
      </c>
      <c r="L17" s="28" t="e">
        <f>IF(Summary!$F$7="M",VLOOKUP(C:C,#REF!,IF(B17&gt;2033,22,MATCH(B17,#REF!,0)),FALSE),VLOOKUP(C:C,#REF!,IF(B17&gt;2033,22,MATCH(B17,#REF!,0)),FALSE))</f>
        <v>#REF!</v>
      </c>
      <c r="M17" s="28" t="e">
        <f t="shared" si="4"/>
        <v>#REF!</v>
      </c>
      <c r="N17" s="28" t="e">
        <f t="shared" si="5"/>
        <v>#REF!</v>
      </c>
      <c r="O17" s="28" t="e">
        <f>Summary!$J$7*'R6'!N17*'R6'!H17</f>
        <v>#REF!</v>
      </c>
    </row>
    <row r="18" spans="2:15" ht="24" customHeight="1">
      <c r="B18" s="28">
        <f t="shared" si="0"/>
        <v>2035</v>
      </c>
      <c r="C18" s="28">
        <f t="shared" si="1"/>
        <v>81</v>
      </c>
      <c r="D18" s="28">
        <v>16</v>
      </c>
      <c r="E18" s="28">
        <f>VLOOKUP(C:C, 'Total Data Set'!B:J, IF(Summary!$F$7="M", 4, 8), FALSE)</f>
        <v>3.8782999999999998E-2</v>
      </c>
      <c r="F18" s="28">
        <f t="shared" si="2"/>
        <v>0.96121699999999999</v>
      </c>
      <c r="G18" s="28">
        <f t="shared" si="3"/>
        <v>0.7444842353282809</v>
      </c>
      <c r="H18" s="28">
        <f>1/(1+Summary!$O$3)^D18</f>
        <v>0.45811152199140021</v>
      </c>
      <c r="I18" s="28">
        <f>Summary!$J$7*'R6'!H18*'R6'!G18</f>
        <v>13178.093932630571</v>
      </c>
      <c r="L18" s="28" t="e">
        <f>IF(Summary!$F$7="M",VLOOKUP(C:C,#REF!,IF(B18&gt;2033,22,MATCH(B18,#REF!,0)),FALSE),VLOOKUP(C:C,#REF!,IF(B18&gt;2033,22,MATCH(B18,#REF!,0)),FALSE))</f>
        <v>#REF!</v>
      </c>
      <c r="M18" s="28" t="e">
        <f t="shared" si="4"/>
        <v>#REF!</v>
      </c>
      <c r="N18" s="28" t="e">
        <f t="shared" si="5"/>
        <v>#REF!</v>
      </c>
      <c r="O18" s="28" t="e">
        <f>Summary!$J$7*'R6'!N18*'R6'!H18</f>
        <v>#REF!</v>
      </c>
    </row>
    <row r="19" spans="2:15" ht="24" customHeight="1">
      <c r="B19" s="28">
        <f t="shared" si="0"/>
        <v>2036</v>
      </c>
      <c r="C19" s="28">
        <f t="shared" si="1"/>
        <v>82</v>
      </c>
      <c r="D19" s="28">
        <v>17</v>
      </c>
      <c r="E19" s="28">
        <f>VLOOKUP(C:C, 'Total Data Set'!B:J, IF(Summary!$F$7="M", 4, 8), FALSE)</f>
        <v>4.3246E-2</v>
      </c>
      <c r="F19" s="28">
        <f t="shared" si="2"/>
        <v>0.95675399999999999</v>
      </c>
      <c r="G19" s="28">
        <f t="shared" si="3"/>
        <v>0.71561090322954413</v>
      </c>
      <c r="H19" s="28">
        <f>1/(1+Summary!$O$3)^D19</f>
        <v>0.43629668761085727</v>
      </c>
      <c r="I19" s="28">
        <f>Summary!$J$7*'R6'!H19*'R6'!G19</f>
        <v>12063.817062515578</v>
      </c>
      <c r="L19" s="28" t="e">
        <f>IF(Summary!$F$7="M",VLOOKUP(C:C,#REF!,IF(B19&gt;2033,22,MATCH(B19,#REF!,0)),FALSE),VLOOKUP(C:C,#REF!,IF(B19&gt;2033,22,MATCH(B19,#REF!,0)),FALSE))</f>
        <v>#REF!</v>
      </c>
      <c r="M19" s="28" t="e">
        <f t="shared" si="4"/>
        <v>#REF!</v>
      </c>
      <c r="N19" s="28" t="e">
        <f t="shared" si="5"/>
        <v>#REF!</v>
      </c>
      <c r="O19" s="28" t="e">
        <f>Summary!$J$7*'R6'!N19*'R6'!H19</f>
        <v>#REF!</v>
      </c>
    </row>
    <row r="20" spans="2:15" ht="24" customHeight="1">
      <c r="B20" s="28">
        <f t="shared" si="0"/>
        <v>2037</v>
      </c>
      <c r="C20" s="28">
        <f t="shared" si="1"/>
        <v>83</v>
      </c>
      <c r="D20" s="28">
        <v>18</v>
      </c>
      <c r="E20" s="28">
        <f>VLOOKUP(C:C, 'Total Data Set'!B:J, IF(Summary!$F$7="M", 4, 8), FALSE)</f>
        <v>4.8305000000000001E-2</v>
      </c>
      <c r="F20" s="28">
        <f t="shared" si="2"/>
        <v>0.95169499999999996</v>
      </c>
      <c r="G20" s="28">
        <f t="shared" si="3"/>
        <v>0.68466359410847921</v>
      </c>
      <c r="H20" s="28">
        <f>1/(1+Summary!$O$3)^D20</f>
        <v>0.41552065486748313</v>
      </c>
      <c r="I20" s="28">
        <f>Summary!$J$7*'R6'!H20*'R6'!G20</f>
        <v>10992.481171266692</v>
      </c>
      <c r="L20" s="28" t="e">
        <f>IF(Summary!$F$7="M",VLOOKUP(C:C,#REF!,IF(B20&gt;2033,22,MATCH(B20,#REF!,0)),FALSE),VLOOKUP(C:C,#REF!,IF(B20&gt;2033,22,MATCH(B20,#REF!,0)),FALSE))</f>
        <v>#REF!</v>
      </c>
      <c r="M20" s="28" t="e">
        <f t="shared" si="4"/>
        <v>#REF!</v>
      </c>
      <c r="N20" s="28" t="e">
        <f t="shared" si="5"/>
        <v>#REF!</v>
      </c>
      <c r="O20" s="28" t="e">
        <f>Summary!$J$7*'R6'!N20*'R6'!H20</f>
        <v>#REF!</v>
      </c>
    </row>
    <row r="21" spans="2:15" ht="24" customHeight="1">
      <c r="B21" s="28">
        <f t="shared" si="0"/>
        <v>2038</v>
      </c>
      <c r="C21" s="28">
        <f t="shared" si="1"/>
        <v>84</v>
      </c>
      <c r="D21" s="28">
        <v>19</v>
      </c>
      <c r="E21" s="28">
        <f>VLOOKUP(C:C, 'Total Data Set'!B:J, IF(Summary!$F$7="M", 4, 8), FALSE)</f>
        <v>5.4031999999999997E-2</v>
      </c>
      <c r="F21" s="28">
        <f t="shared" si="2"/>
        <v>0.94596800000000003</v>
      </c>
      <c r="G21" s="28">
        <f t="shared" si="3"/>
        <v>0.65159091919506906</v>
      </c>
      <c r="H21" s="28">
        <f>1/(1+Summary!$O$3)^D21</f>
        <v>0.39573395701665059</v>
      </c>
      <c r="I21" s="28">
        <f>Summary!$J$7*'R6'!H21*'R6'!G21</f>
        <v>9963.3232078939564</v>
      </c>
      <c r="L21" s="28" t="e">
        <f>IF(Summary!$F$7="M",VLOOKUP(C:C,#REF!,IF(B21&gt;2033,22,MATCH(B21,#REF!,0)),FALSE),VLOOKUP(C:C,#REF!,IF(B21&gt;2033,22,MATCH(B21,#REF!,0)),FALSE))</f>
        <v>#REF!</v>
      </c>
      <c r="M21" s="28" t="e">
        <f t="shared" si="4"/>
        <v>#REF!</v>
      </c>
      <c r="N21" s="28" t="e">
        <f t="shared" si="5"/>
        <v>#REF!</v>
      </c>
      <c r="O21" s="28" t="e">
        <f>Summary!$J$7*'R6'!N21*'R6'!H21</f>
        <v>#REF!</v>
      </c>
    </row>
    <row r="22" spans="2:15" ht="24" customHeight="1">
      <c r="B22" s="28">
        <f t="shared" si="0"/>
        <v>2039</v>
      </c>
      <c r="C22" s="28">
        <f t="shared" si="1"/>
        <v>85</v>
      </c>
      <c r="D22" s="28">
        <v>20</v>
      </c>
      <c r="E22" s="28">
        <f>VLOOKUP(C:C, 'Total Data Set'!B:J, IF(Summary!$F$7="M", 4, 8), FALSE)</f>
        <v>6.0504000000000002E-2</v>
      </c>
      <c r="F22" s="28">
        <f t="shared" si="2"/>
        <v>0.939496</v>
      </c>
      <c r="G22" s="28">
        <f t="shared" si="3"/>
        <v>0.61638415864912111</v>
      </c>
      <c r="H22" s="28">
        <f>1/(1+Summary!$O$3)^D22</f>
        <v>0.37688948287300061</v>
      </c>
      <c r="I22" s="28">
        <f>Summary!$J$7*'R6'!H22*'R6'!G22</f>
        <v>8976.1761222143159</v>
      </c>
      <c r="L22" s="28" t="e">
        <f>IF(Summary!$F$7="M",VLOOKUP(C:C,#REF!,IF(B22&gt;2033,22,MATCH(B22,#REF!,0)),FALSE),VLOOKUP(C:C,#REF!,IF(B22&gt;2033,22,MATCH(B22,#REF!,0)),FALSE))</f>
        <v>#REF!</v>
      </c>
      <c r="M22" s="28" t="e">
        <f t="shared" si="4"/>
        <v>#REF!</v>
      </c>
      <c r="N22" s="28" t="e">
        <f t="shared" si="5"/>
        <v>#REF!</v>
      </c>
      <c r="O22" s="28" t="e">
        <f>Summary!$J$7*'R6'!N22*'R6'!H22</f>
        <v>#REF!</v>
      </c>
    </row>
    <row r="23" spans="2:15" ht="24" customHeight="1">
      <c r="B23" s="28">
        <f t="shared" si="0"/>
        <v>2040</v>
      </c>
      <c r="C23" s="28">
        <f t="shared" si="1"/>
        <v>86</v>
      </c>
      <c r="D23" s="28">
        <v>21</v>
      </c>
      <c r="E23" s="28">
        <f>VLOOKUP(C:C, 'Total Data Set'!B:J, IF(Summary!$F$7="M", 4, 8), FALSE)</f>
        <v>6.7801E-2</v>
      </c>
      <c r="F23" s="28">
        <f t="shared" si="2"/>
        <v>0.932199</v>
      </c>
      <c r="G23" s="28">
        <f t="shared" si="3"/>
        <v>0.57909045151421468</v>
      </c>
      <c r="H23" s="28">
        <f>1/(1+Summary!$O$3)^D23</f>
        <v>0.35894236464095297</v>
      </c>
      <c r="I23" s="28">
        <f>Summary!$J$7*'R6'!H23*'R6'!G23</f>
        <v>8031.5062496341534</v>
      </c>
      <c r="L23" s="28" t="e">
        <f>IF(Summary!$F$7="M",VLOOKUP(C:C,#REF!,IF(B23&gt;2033,22,MATCH(B23,#REF!,0)),FALSE),VLOOKUP(C:C,#REF!,IF(B23&gt;2033,22,MATCH(B23,#REF!,0)),FALSE))</f>
        <v>#REF!</v>
      </c>
      <c r="M23" s="28" t="e">
        <f t="shared" si="4"/>
        <v>#REF!</v>
      </c>
      <c r="N23" s="28" t="e">
        <f t="shared" si="5"/>
        <v>#REF!</v>
      </c>
      <c r="O23" s="28" t="e">
        <f>Summary!$J$7*'R6'!N23*'R6'!H23</f>
        <v>#REF!</v>
      </c>
    </row>
    <row r="24" spans="2:15" ht="24" customHeight="1">
      <c r="B24" s="28">
        <f t="shared" si="0"/>
        <v>2041</v>
      </c>
      <c r="C24" s="28">
        <f t="shared" si="1"/>
        <v>87</v>
      </c>
      <c r="D24" s="28">
        <v>22</v>
      </c>
      <c r="E24" s="28">
        <f>VLOOKUP(C:C, 'Total Data Set'!B:J, IF(Summary!$F$7="M", 4, 8), FALSE)</f>
        <v>7.6011999999999996E-2</v>
      </c>
      <c r="F24" s="28">
        <f t="shared" si="2"/>
        <v>0.92398800000000003</v>
      </c>
      <c r="G24" s="28">
        <f t="shared" si="3"/>
        <v>0.53982753981109943</v>
      </c>
      <c r="H24" s="28">
        <f>1/(1+Summary!$O$3)^D24</f>
        <v>0.3418498710866219</v>
      </c>
      <c r="I24" s="28">
        <f>Summary!$J$7*'R6'!H24*'R6'!G24</f>
        <v>7130.4400899073426</v>
      </c>
      <c r="L24" s="28" t="e">
        <f>IF(Summary!$F$7="M",VLOOKUP(C:C,#REF!,IF(B24&gt;2033,22,MATCH(B24,#REF!,0)),FALSE),VLOOKUP(C:C,#REF!,IF(B24&gt;2033,22,MATCH(B24,#REF!,0)),FALSE))</f>
        <v>#REF!</v>
      </c>
      <c r="M24" s="28" t="e">
        <f t="shared" si="4"/>
        <v>#REF!</v>
      </c>
      <c r="N24" s="28" t="e">
        <f t="shared" si="5"/>
        <v>#REF!</v>
      </c>
      <c r="O24" s="28" t="e">
        <f>Summary!$J$7*'R6'!N24*'R6'!H24</f>
        <v>#REF!</v>
      </c>
    </row>
    <row r="25" spans="2:15" ht="24" customHeight="1">
      <c r="B25" s="28">
        <f t="shared" si="0"/>
        <v>2042</v>
      </c>
      <c r="C25" s="28">
        <f t="shared" si="1"/>
        <v>88</v>
      </c>
      <c r="D25" s="28">
        <v>23</v>
      </c>
      <c r="E25" s="28">
        <f>VLOOKUP(C:C, 'Total Data Set'!B:J, IF(Summary!$F$7="M", 4, 8), FALSE)</f>
        <v>8.523E-2</v>
      </c>
      <c r="F25" s="28">
        <f t="shared" si="2"/>
        <v>0.91476999999999997</v>
      </c>
      <c r="G25" s="28">
        <f t="shared" si="3"/>
        <v>0.49879416885497818</v>
      </c>
      <c r="H25" s="28">
        <f>1/(1+Summary!$O$3)^D25</f>
        <v>0.32557130579678267</v>
      </c>
      <c r="I25" s="28">
        <f>Summary!$J$7*'R6'!H25*'R6'!G25</f>
        <v>6274.7057883745747</v>
      </c>
      <c r="L25" s="28" t="e">
        <f>IF(Summary!$F$7="M",VLOOKUP(C:C,#REF!,IF(B25&gt;2033,22,MATCH(B25,#REF!,0)),FALSE),VLOOKUP(C:C,#REF!,IF(B25&gt;2033,22,MATCH(B25,#REF!,0)),FALSE))</f>
        <v>#REF!</v>
      </c>
      <c r="M25" s="28" t="e">
        <f t="shared" si="4"/>
        <v>#REF!</v>
      </c>
      <c r="N25" s="28" t="e">
        <f t="shared" si="5"/>
        <v>#REF!</v>
      </c>
      <c r="O25" s="28" t="e">
        <f>Summary!$J$7*'R6'!N25*'R6'!H25</f>
        <v>#REF!</v>
      </c>
    </row>
    <row r="26" spans="2:15" ht="24" customHeight="1">
      <c r="B26" s="28">
        <f t="shared" si="0"/>
        <v>2043</v>
      </c>
      <c r="C26" s="28">
        <f t="shared" si="1"/>
        <v>89</v>
      </c>
      <c r="D26" s="28">
        <v>24</v>
      </c>
      <c r="E26" s="28">
        <f>VLOOKUP(C:C, 'Total Data Set'!B:J, IF(Summary!$F$7="M", 4, 8), FALSE)</f>
        <v>9.5562999999999995E-2</v>
      </c>
      <c r="F26" s="28">
        <f t="shared" si="2"/>
        <v>0.90443700000000005</v>
      </c>
      <c r="G26" s="28">
        <f t="shared" si="3"/>
        <v>0.45628194184346837</v>
      </c>
      <c r="H26" s="28">
        <f>1/(1+Summary!$O$3)^D26</f>
        <v>0.31006791028265024</v>
      </c>
      <c r="I26" s="28">
        <f>Summary!$J$7*'R6'!H26*'R6'!G26</f>
        <v>5466.5834419346775</v>
      </c>
      <c r="L26" s="28" t="e">
        <f>IF(Summary!$F$7="M",VLOOKUP(C:C,#REF!,IF(B26&gt;2033,22,MATCH(B26,#REF!,0)),FALSE),VLOOKUP(C:C,#REF!,IF(B26&gt;2033,22,MATCH(B26,#REF!,0)),FALSE))</f>
        <v>#REF!</v>
      </c>
      <c r="M26" s="28" t="e">
        <f t="shared" si="4"/>
        <v>#REF!</v>
      </c>
      <c r="N26" s="28" t="e">
        <f t="shared" si="5"/>
        <v>#REF!</v>
      </c>
      <c r="O26" s="28" t="e">
        <f>Summary!$J$7*'R6'!N26*'R6'!H26</f>
        <v>#REF!</v>
      </c>
    </row>
    <row r="27" spans="2:15" ht="24" customHeight="1">
      <c r="B27" s="28">
        <f t="shared" si="0"/>
        <v>2044</v>
      </c>
      <c r="C27" s="28">
        <f t="shared" si="1"/>
        <v>90</v>
      </c>
      <c r="D27" s="28">
        <v>25</v>
      </c>
      <c r="E27" s="28">
        <f>VLOOKUP(C:C, 'Total Data Set'!B:J, IF(Summary!$F$7="M", 4, 8), FALSE)</f>
        <v>0.107126</v>
      </c>
      <c r="F27" s="28">
        <f t="shared" si="2"/>
        <v>0.89287399999999995</v>
      </c>
      <c r="G27" s="28">
        <f t="shared" si="3"/>
        <v>0.412678270635081</v>
      </c>
      <c r="H27" s="28">
        <f>1/(1+Summary!$O$3)^D27</f>
        <v>0.29530277169776209</v>
      </c>
      <c r="I27" s="28">
        <f>Summary!$J$7*'R6'!H27*'R6'!G27</f>
        <v>4708.7431699743556</v>
      </c>
      <c r="L27" s="28" t="e">
        <f>IF(Summary!$F$7="M",VLOOKUP(C:C,#REF!,IF(B27&gt;2033,22,MATCH(B27,#REF!,0)),FALSE),VLOOKUP(C:C,#REF!,IF(B27&gt;2033,22,MATCH(B27,#REF!,0)),FALSE))</f>
        <v>#REF!</v>
      </c>
      <c r="M27" s="28" t="e">
        <f t="shared" si="4"/>
        <v>#REF!</v>
      </c>
      <c r="N27" s="28" t="e">
        <f t="shared" si="5"/>
        <v>#REF!</v>
      </c>
      <c r="O27" s="28" t="e">
        <f>Summary!$J$7*'R6'!N27*'R6'!H27</f>
        <v>#REF!</v>
      </c>
    </row>
    <row r="28" spans="2:15" ht="24" customHeight="1">
      <c r="B28" s="28">
        <f t="shared" si="0"/>
        <v>2045</v>
      </c>
      <c r="C28" s="28">
        <f t="shared" si="1"/>
        <v>91</v>
      </c>
      <c r="D28" s="28">
        <v>26</v>
      </c>
      <c r="E28" s="28">
        <f>VLOOKUP(C:C, 'Total Data Set'!B:J, IF(Summary!$F$7="M", 4, 8), FALSE)</f>
        <v>0.119744</v>
      </c>
      <c r="F28" s="28">
        <f t="shared" si="2"/>
        <v>0.88025600000000004</v>
      </c>
      <c r="G28" s="28">
        <f t="shared" si="3"/>
        <v>0.36846969821502729</v>
      </c>
      <c r="H28" s="28">
        <f>1/(1+Summary!$O$3)^D28</f>
        <v>0.28124073495024959</v>
      </c>
      <c r="I28" s="28">
        <f>Summary!$J$7*'R6'!H28*'R6'!G28</f>
        <v>4004.108903950173</v>
      </c>
      <c r="L28" s="28" t="e">
        <f>IF(Summary!$F$7="M",VLOOKUP(C:C,#REF!,IF(B28&gt;2033,22,MATCH(B28,#REF!,0)),FALSE),VLOOKUP(C:C,#REF!,IF(B28&gt;2033,22,MATCH(B28,#REF!,0)),FALSE))</f>
        <v>#REF!</v>
      </c>
      <c r="M28" s="28" t="e">
        <f t="shared" si="4"/>
        <v>#REF!</v>
      </c>
      <c r="N28" s="28" t="e">
        <f t="shared" si="5"/>
        <v>#REF!</v>
      </c>
      <c r="O28" s="28" t="e">
        <f>Summary!$J$7*'R6'!N28*'R6'!H28</f>
        <v>#REF!</v>
      </c>
    </row>
    <row r="29" spans="2:15" ht="24" customHeight="1">
      <c r="B29" s="28">
        <f t="shared" si="0"/>
        <v>2046</v>
      </c>
      <c r="C29" s="28">
        <f t="shared" si="1"/>
        <v>92</v>
      </c>
      <c r="D29" s="28">
        <v>27</v>
      </c>
      <c r="E29" s="28">
        <f>VLOOKUP(C:C, 'Total Data Set'!B:J, IF(Summary!$F$7="M", 4, 8), FALSE)</f>
        <v>0.133299</v>
      </c>
      <c r="F29" s="28">
        <f t="shared" si="2"/>
        <v>0.86670099999999994</v>
      </c>
      <c r="G29" s="28">
        <f t="shared" si="3"/>
        <v>0.32434766267196707</v>
      </c>
      <c r="H29" s="28">
        <f>1/(1+Summary!$O$3)^D29</f>
        <v>0.2678483190002377</v>
      </c>
      <c r="I29" s="28">
        <f>Summary!$J$7*'R6'!H29*'R6'!G29</f>
        <v>3356.8008451005367</v>
      </c>
      <c r="L29" s="28" t="e">
        <f>IF(Summary!$F$7="M",VLOOKUP(C:C,#REF!,IF(B29&gt;2033,22,MATCH(B29,#REF!,0)),FALSE),VLOOKUP(C:C,#REF!,IF(B29&gt;2033,22,MATCH(B29,#REF!,0)),FALSE))</f>
        <v>#REF!</v>
      </c>
      <c r="M29" s="28" t="e">
        <f t="shared" si="4"/>
        <v>#REF!</v>
      </c>
      <c r="N29" s="28" t="e">
        <f t="shared" si="5"/>
        <v>#REF!</v>
      </c>
      <c r="O29" s="28" t="e">
        <f>Summary!$J$7*'R6'!N29*'R6'!H29</f>
        <v>#REF!</v>
      </c>
    </row>
    <row r="30" spans="2:15" ht="24" customHeight="1">
      <c r="B30" s="28">
        <f t="shared" si="0"/>
        <v>2047</v>
      </c>
      <c r="C30" s="28">
        <f t="shared" si="1"/>
        <v>93</v>
      </c>
      <c r="D30" s="28">
        <v>28</v>
      </c>
      <c r="E30" s="28">
        <f>VLOOKUP(C:C, 'Total Data Set'!B:J, IF(Summary!$F$7="M", 4, 8), FALSE)</f>
        <v>0.14771999999999999</v>
      </c>
      <c r="F30" s="28">
        <f t="shared" si="2"/>
        <v>0.85228000000000004</v>
      </c>
      <c r="G30" s="28">
        <f t="shared" si="3"/>
        <v>0.28111244358545651</v>
      </c>
      <c r="H30" s="28">
        <f>1/(1+Summary!$O$3)^D30</f>
        <v>0.25509363714308358</v>
      </c>
      <c r="I30" s="28">
        <f>Summary!$J$7*'R6'!H30*'R6'!G30</f>
        <v>2770.8025230947437</v>
      </c>
      <c r="L30" s="28" t="e">
        <f>IF(Summary!$F$7="M",VLOOKUP(C:C,#REF!,IF(B30&gt;2033,22,MATCH(B30,#REF!,0)),FALSE),VLOOKUP(C:C,#REF!,IF(B30&gt;2033,22,MATCH(B30,#REF!,0)),FALSE))</f>
        <v>#REF!</v>
      </c>
      <c r="M30" s="28" t="e">
        <f t="shared" si="4"/>
        <v>#REF!</v>
      </c>
      <c r="N30" s="28" t="e">
        <f t="shared" si="5"/>
        <v>#REF!</v>
      </c>
      <c r="O30" s="28" t="e">
        <f>Summary!$J$7*'R6'!N30*'R6'!H30</f>
        <v>#REF!</v>
      </c>
    </row>
    <row r="31" spans="2:15" ht="24" customHeight="1">
      <c r="B31" s="28">
        <f t="shared" si="0"/>
        <v>2048</v>
      </c>
      <c r="C31" s="28">
        <f t="shared" si="1"/>
        <v>94</v>
      </c>
      <c r="D31" s="28">
        <v>29</v>
      </c>
      <c r="E31" s="28">
        <f>VLOOKUP(C:C, 'Total Data Set'!B:J, IF(Summary!$F$7="M", 4, 8), FALSE)</f>
        <v>0.162971</v>
      </c>
      <c r="F31" s="28">
        <f t="shared" si="2"/>
        <v>0.83702900000000002</v>
      </c>
      <c r="G31" s="28">
        <f t="shared" si="3"/>
        <v>0.23958651341901288</v>
      </c>
      <c r="H31" s="28">
        <f>1/(1+Summary!$O$3)^D31</f>
        <v>0.24294632108865097</v>
      </c>
      <c r="I31" s="28">
        <f>Summary!$J$7*'R6'!H31*'R6'!G31</f>
        <v>2249.0472136982739</v>
      </c>
      <c r="L31" s="28" t="e">
        <f>IF(Summary!$F$7="M",VLOOKUP(C:C,#REF!,IF(B31&gt;2033,22,MATCH(B31,#REF!,0)),FALSE),VLOOKUP(C:C,#REF!,IF(B31&gt;2033,22,MATCH(B31,#REF!,0)),FALSE))</f>
        <v>#REF!</v>
      </c>
      <c r="M31" s="28" t="e">
        <f t="shared" si="4"/>
        <v>#REF!</v>
      </c>
      <c r="N31" s="28" t="e">
        <f t="shared" si="5"/>
        <v>#REF!</v>
      </c>
      <c r="O31" s="28" t="e">
        <f>Summary!$J$7*'R6'!N31*'R6'!H31</f>
        <v>#REF!</v>
      </c>
    </row>
    <row r="32" spans="2:15" ht="24" customHeight="1">
      <c r="B32" s="28">
        <f t="shared" si="0"/>
        <v>2049</v>
      </c>
      <c r="C32" s="28">
        <f t="shared" si="1"/>
        <v>95</v>
      </c>
      <c r="D32" s="28">
        <v>30</v>
      </c>
      <c r="E32" s="28">
        <f>VLOOKUP(C:C, 'Total Data Set'!B:J, IF(Summary!$F$7="M", 4, 8), FALSE)</f>
        <v>0.179034</v>
      </c>
      <c r="F32" s="28">
        <f t="shared" si="2"/>
        <v>0.82096599999999997</v>
      </c>
      <c r="G32" s="28">
        <f t="shared" si="3"/>
        <v>0.20054085974060293</v>
      </c>
      <c r="H32" s="28">
        <f>1/(1+Summary!$O$3)^D32</f>
        <v>0.23137744865585813</v>
      </c>
      <c r="I32" s="28">
        <f>Summary!$J$7*'R6'!H32*'R6'!G32</f>
        <v>1792.8740383187173</v>
      </c>
      <c r="L32" s="28" t="e">
        <f>IF(Summary!$F$7="M",VLOOKUP(C:C,#REF!,IF(B32&gt;2033,22,MATCH(B32,#REF!,0)),FALSE),VLOOKUP(C:C,#REF!,IF(B32&gt;2033,22,MATCH(B32,#REF!,0)),FALSE))</f>
        <v>#REF!</v>
      </c>
      <c r="M32" s="28" t="e">
        <f t="shared" si="4"/>
        <v>#REF!</v>
      </c>
      <c r="N32" s="28" t="e">
        <f t="shared" si="5"/>
        <v>#REF!</v>
      </c>
      <c r="O32" s="28" t="e">
        <f>Summary!$J$7*'R6'!N32*'R6'!H32</f>
        <v>#REF!</v>
      </c>
    </row>
    <row r="33" spans="2:15" ht="24" customHeight="1">
      <c r="B33" s="28">
        <f t="shared" si="0"/>
        <v>2050</v>
      </c>
      <c r="C33" s="28">
        <f t="shared" si="1"/>
        <v>96</v>
      </c>
      <c r="D33" s="28">
        <v>31</v>
      </c>
      <c r="E33" s="28">
        <f>VLOOKUP(C:C, 'Total Data Set'!B:J, IF(Summary!$F$7="M", 4, 8), FALSE)</f>
        <v>0.19590299999999999</v>
      </c>
      <c r="F33" s="28">
        <f t="shared" si="2"/>
        <v>0.80409700000000006</v>
      </c>
      <c r="G33" s="28">
        <f t="shared" si="3"/>
        <v>0.16463722745780382</v>
      </c>
      <c r="H33" s="28">
        <f>1/(1+Summary!$O$3)^D33</f>
        <v>0.220359474910341</v>
      </c>
      <c r="I33" s="28">
        <f>Summary!$J$7*'R6'!H33*'R6'!G33</f>
        <v>1401.7986930879651</v>
      </c>
      <c r="L33" s="28" t="e">
        <f>IF(Summary!$F$7="M",VLOOKUP(C:C,#REF!,IF(B33&gt;2033,22,MATCH(B33,#REF!,0)),FALSE),VLOOKUP(C:C,#REF!,IF(B33&gt;2033,22,MATCH(B33,#REF!,0)),FALSE))</f>
        <v>#REF!</v>
      </c>
      <c r="M33" s="28" t="e">
        <f t="shared" si="4"/>
        <v>#REF!</v>
      </c>
      <c r="N33" s="28" t="e">
        <f t="shared" si="5"/>
        <v>#REF!</v>
      </c>
      <c r="O33" s="28" t="e">
        <f>Summary!$J$7*'R6'!N33*'R6'!H33</f>
        <v>#REF!</v>
      </c>
    </row>
    <row r="34" spans="2:15" ht="24" customHeight="1">
      <c r="B34" s="28">
        <f t="shared" si="0"/>
        <v>2051</v>
      </c>
      <c r="C34" s="28">
        <f t="shared" si="1"/>
        <v>97</v>
      </c>
      <c r="D34" s="28">
        <v>32</v>
      </c>
      <c r="E34" s="28">
        <f>VLOOKUP(C:C, 'Total Data Set'!B:J, IF(Summary!$F$7="M", 4, 8), FALSE)</f>
        <v>0.213565</v>
      </c>
      <c r="F34" s="28">
        <f t="shared" si="2"/>
        <v>0.786435</v>
      </c>
      <c r="G34" s="28">
        <f t="shared" si="3"/>
        <v>0.13238430068713769</v>
      </c>
      <c r="H34" s="28">
        <f>1/(1+Summary!$O$3)^D34</f>
        <v>0.20986616658127716</v>
      </c>
      <c r="I34" s="28">
        <f>Summary!$J$7*'R6'!H34*'R6'!G34</f>
        <v>1073.5067844913845</v>
      </c>
      <c r="L34" s="28" t="e">
        <f>IF(Summary!$F$7="M",VLOOKUP(C:C,#REF!,IF(B34&gt;2033,22,MATCH(B34,#REF!,0)),FALSE),VLOOKUP(C:C,#REF!,IF(B34&gt;2033,22,MATCH(B34,#REF!,0)),FALSE))</f>
        <v>#REF!</v>
      </c>
      <c r="M34" s="28" t="e">
        <f t="shared" si="4"/>
        <v>#REF!</v>
      </c>
      <c r="N34" s="28" t="e">
        <f t="shared" si="5"/>
        <v>#REF!</v>
      </c>
      <c r="O34" s="28" t="e">
        <f>Summary!$J$7*'R6'!N34*'R6'!H34</f>
        <v>#REF!</v>
      </c>
    </row>
    <row r="35" spans="2:15" ht="24" customHeight="1">
      <c r="B35" s="28">
        <f t="shared" si="0"/>
        <v>2052</v>
      </c>
      <c r="C35" s="28">
        <f t="shared" si="1"/>
        <v>98</v>
      </c>
      <c r="D35" s="28">
        <v>33</v>
      </c>
      <c r="E35" s="28">
        <f>VLOOKUP(C:C, 'Total Data Set'!B:J, IF(Summary!$F$7="M", 4, 8), FALSE)</f>
        <v>0.231991</v>
      </c>
      <c r="F35" s="28">
        <f t="shared" si="2"/>
        <v>0.76800899999999994</v>
      </c>
      <c r="G35" s="28">
        <f t="shared" si="3"/>
        <v>0.10411164751088912</v>
      </c>
      <c r="H35" s="28">
        <f>1/(1+Summary!$O$3)^D35</f>
        <v>0.19987253960121634</v>
      </c>
      <c r="I35" s="28">
        <f>Summary!$J$7*'R6'!H35*'R6'!G35</f>
        <v>804.04124577283994</v>
      </c>
      <c r="L35" s="28" t="e">
        <f>IF(Summary!$F$7="M",VLOOKUP(C:C,#REF!,IF(B35&gt;2033,22,MATCH(B35,#REF!,0)),FALSE),VLOOKUP(C:C,#REF!,IF(B35&gt;2033,22,MATCH(B35,#REF!,0)),FALSE))</f>
        <v>#REF!</v>
      </c>
      <c r="M35" s="28" t="e">
        <f t="shared" si="4"/>
        <v>#REF!</v>
      </c>
      <c r="N35" s="28" t="e">
        <f t="shared" si="5"/>
        <v>#REF!</v>
      </c>
      <c r="O35" s="28" t="e">
        <f>Summary!$J$7*'R6'!N35*'R6'!H35</f>
        <v>#REF!</v>
      </c>
    </row>
    <row r="36" spans="2:15" ht="24" customHeight="1">
      <c r="B36" s="28">
        <f t="shared" si="0"/>
        <v>2053</v>
      </c>
      <c r="C36" s="28">
        <f t="shared" si="1"/>
        <v>99</v>
      </c>
      <c r="D36" s="28">
        <v>34</v>
      </c>
      <c r="E36" s="28">
        <f>VLOOKUP(C:C, 'Total Data Set'!B:J, IF(Summary!$F$7="M", 4, 8), FALSE)</f>
        <v>0.25112299999999999</v>
      </c>
      <c r="F36" s="28">
        <f t="shared" si="2"/>
        <v>0.74887700000000001</v>
      </c>
      <c r="G36" s="28">
        <f t="shared" ref="G36:G57" si="6">G35*F35</f>
        <v>7.9958682293190433E-2</v>
      </c>
      <c r="H36" s="28">
        <f>1/(1+Summary!$O$3)^D36</f>
        <v>0.19035479962020604</v>
      </c>
      <c r="I36" s="28">
        <f>Summary!$J$7*'R6'!H36*'R6'!G36</f>
        <v>588.10563154738372</v>
      </c>
      <c r="L36" s="28" t="e">
        <f>IF(Summary!$F$7="M",VLOOKUP(C:C,#REF!,IF(B36&gt;2033,22,MATCH(B36,#REF!,0)),FALSE),VLOOKUP(C:C,#REF!,IF(B36&gt;2033,22,MATCH(B36,#REF!,0)),FALSE))</f>
        <v>#REF!</v>
      </c>
      <c r="M36" s="28" t="e">
        <f t="shared" si="4"/>
        <v>#REF!</v>
      </c>
      <c r="N36" s="28" t="e">
        <f t="shared" si="5"/>
        <v>#REF!</v>
      </c>
      <c r="O36" s="28" t="e">
        <f>Summary!$J$7*'R6'!N36*'R6'!H36</f>
        <v>#REF!</v>
      </c>
    </row>
    <row r="37" spans="2:15" ht="24" customHeight="1">
      <c r="B37" s="28">
        <f t="shared" si="0"/>
        <v>2054</v>
      </c>
      <c r="C37" s="28">
        <f t="shared" si="1"/>
        <v>100</v>
      </c>
      <c r="D37" s="28">
        <v>35</v>
      </c>
      <c r="E37" s="28">
        <f>VLOOKUP(C:C, 'Total Data Set'!B:J, IF(Summary!$F$7="M", 4, 8), FALSE)</f>
        <v>0.27085799999999999</v>
      </c>
      <c r="F37" s="28">
        <f t="shared" si="2"/>
        <v>0.72914199999999996</v>
      </c>
      <c r="G37" s="28">
        <f t="shared" si="6"/>
        <v>5.9879218119677571E-2</v>
      </c>
      <c r="H37" s="28">
        <f>1/(1+Summary!$O$3)^D37</f>
        <v>0.18129028535257716</v>
      </c>
      <c r="I37" s="28">
        <f>Summary!$J$7*'R6'!H37*'R6'!G37</f>
        <v>419.44645812981906</v>
      </c>
      <c r="L37" s="28" t="e">
        <f>IF(Summary!$F$7="M",VLOOKUP(C:C,#REF!,IF(B37&gt;2033,22,MATCH(B37,#REF!,0)),FALSE),VLOOKUP(C:C,#REF!,IF(B37&gt;2033,22,MATCH(B37,#REF!,0)),FALSE))</f>
        <v>#REF!</v>
      </c>
      <c r="M37" s="28" t="e">
        <f t="shared" si="4"/>
        <v>#REF!</v>
      </c>
      <c r="N37" s="28" t="e">
        <f t="shared" si="5"/>
        <v>#REF!</v>
      </c>
      <c r="O37" s="28" t="e">
        <f>Summary!$J$7*'R6'!N37*'R6'!H37</f>
        <v>#REF!</v>
      </c>
    </row>
    <row r="38" spans="2:15" ht="24" customHeight="1">
      <c r="B38" s="28">
        <f t="shared" si="0"/>
        <v>2055</v>
      </c>
      <c r="C38" s="28">
        <f t="shared" si="1"/>
        <v>101</v>
      </c>
      <c r="D38" s="28">
        <v>36</v>
      </c>
      <c r="E38" s="28">
        <f>VLOOKUP(C:C, 'Total Data Set'!B:J, IF(Summary!$F$7="M", 4, 8), FALSE)</f>
        <v>0.29104000000000002</v>
      </c>
      <c r="F38" s="28">
        <f t="shared" si="2"/>
        <v>0.70896000000000003</v>
      </c>
      <c r="G38" s="28">
        <f t="shared" si="6"/>
        <v>4.3660452858217944E-2</v>
      </c>
      <c r="H38" s="28">
        <f>1/(1+Summary!$O$3)^D38</f>
        <v>0.17265741462150208</v>
      </c>
      <c r="I38" s="28">
        <f>Summary!$J$7*'R6'!H38*'R6'!G38</f>
        <v>291.27240892732624</v>
      </c>
      <c r="L38" s="28" t="e">
        <f>IF(Summary!$F$7="M",VLOOKUP(C:C,#REF!,IF(B38&gt;2033,22,MATCH(B38,#REF!,0)),FALSE),VLOOKUP(C:C,#REF!,IF(B38&gt;2033,22,MATCH(B38,#REF!,0)),FALSE))</f>
        <v>#REF!</v>
      </c>
      <c r="M38" s="28" t="e">
        <f t="shared" si="4"/>
        <v>#REF!</v>
      </c>
      <c r="N38" s="28" t="e">
        <f t="shared" si="5"/>
        <v>#REF!</v>
      </c>
      <c r="O38" s="28" t="e">
        <f>Summary!$J$7*'R6'!N38*'R6'!H38</f>
        <v>#REF!</v>
      </c>
    </row>
    <row r="39" spans="2:15" ht="24" customHeight="1">
      <c r="B39" s="28">
        <f t="shared" si="0"/>
        <v>2056</v>
      </c>
      <c r="C39" s="28">
        <f t="shared" si="1"/>
        <v>102</v>
      </c>
      <c r="D39" s="28">
        <v>37</v>
      </c>
      <c r="E39" s="28">
        <f>VLOOKUP(C:C, 'Total Data Set'!B:J, IF(Summary!$F$7="M", 4, 8), FALSE)</f>
        <v>0.311444</v>
      </c>
      <c r="F39" s="28">
        <f t="shared" si="2"/>
        <v>0.68855599999999995</v>
      </c>
      <c r="G39" s="28">
        <f t="shared" si="6"/>
        <v>3.0953514658362196E-2</v>
      </c>
      <c r="H39" s="28">
        <f>1/(1+Summary!$O$3)^D39</f>
        <v>0.1644356329728591</v>
      </c>
      <c r="I39" s="28">
        <f>Summary!$J$7*'R6'!H39*'R6'!G39</f>
        <v>196.66713050773066</v>
      </c>
      <c r="L39" s="28" t="e">
        <f>IF(Summary!$F$7="M",VLOOKUP(C:C,#REF!,IF(B39&gt;2033,22,MATCH(B39,#REF!,0)),FALSE),VLOOKUP(C:C,#REF!,IF(B39&gt;2033,22,MATCH(B39,#REF!,0)),FALSE))</f>
        <v>#REF!</v>
      </c>
      <c r="M39" s="28" t="e">
        <f t="shared" si="4"/>
        <v>#REF!</v>
      </c>
      <c r="N39" s="28" t="e">
        <f t="shared" si="5"/>
        <v>#REF!</v>
      </c>
      <c r="O39" s="28" t="e">
        <f>Summary!$J$7*'R6'!N39*'R6'!H39</f>
        <v>#REF!</v>
      </c>
    </row>
    <row r="40" spans="2:15" ht="24" customHeight="1">
      <c r="B40" s="28">
        <f t="shared" si="0"/>
        <v>2057</v>
      </c>
      <c r="C40" s="28">
        <f t="shared" si="1"/>
        <v>103</v>
      </c>
      <c r="D40" s="28">
        <v>38</v>
      </c>
      <c r="E40" s="28">
        <f>VLOOKUP(C:C, 'Total Data Set'!B:J, IF(Summary!$F$7="M", 4, 8), FALSE)</f>
        <v>0.33189999999999997</v>
      </c>
      <c r="F40" s="28">
        <f t="shared" si="2"/>
        <v>0.66810000000000003</v>
      </c>
      <c r="G40" s="28">
        <f t="shared" si="6"/>
        <v>2.1313228239103237E-2</v>
      </c>
      <c r="H40" s="28">
        <f>1/(1+Summary!$O$3)^D40</f>
        <v>0.15660536473605632</v>
      </c>
      <c r="I40" s="28">
        <f>Summary!$J$7*'R6'!H40*'R6'!G40</f>
        <v>128.96793591798192</v>
      </c>
      <c r="L40" s="28" t="e">
        <f>IF(Summary!$F$7="M",VLOOKUP(C:C,#REF!,IF(B40&gt;2033,22,MATCH(B40,#REF!,0)),FALSE),VLOOKUP(C:C,#REF!,IF(B40&gt;2033,22,MATCH(B40,#REF!,0)),FALSE))</f>
        <v>#REF!</v>
      </c>
      <c r="M40" s="28" t="e">
        <f t="shared" si="4"/>
        <v>#REF!</v>
      </c>
      <c r="N40" s="28" t="e">
        <f t="shared" si="5"/>
        <v>#REF!</v>
      </c>
      <c r="O40" s="28" t="e">
        <f>Summary!$J$7*'R6'!N40*'R6'!H40</f>
        <v>#REF!</v>
      </c>
    </row>
    <row r="41" spans="2:15" ht="24" customHeight="1">
      <c r="B41" s="28">
        <f t="shared" si="0"/>
        <v>2058</v>
      </c>
      <c r="C41" s="28">
        <f t="shared" si="1"/>
        <v>104</v>
      </c>
      <c r="D41" s="28">
        <v>39</v>
      </c>
      <c r="E41" s="28">
        <f>VLOOKUP(C:C, 'Total Data Set'!B:J, IF(Summary!$F$7="M", 4, 8), FALSE)</f>
        <v>0.35223199999999999</v>
      </c>
      <c r="F41" s="28">
        <f t="shared" si="2"/>
        <v>0.64776800000000001</v>
      </c>
      <c r="G41" s="28">
        <f t="shared" si="6"/>
        <v>1.4239367786544874E-2</v>
      </c>
      <c r="H41" s="28">
        <f>1/(1+Summary!$O$3)^D41</f>
        <v>0.14914796641529171</v>
      </c>
      <c r="I41" s="28">
        <f>Summary!$J$7*'R6'!H41*'R6'!G41</f>
        <v>82.060455225527349</v>
      </c>
      <c r="L41" s="28" t="e">
        <f>IF(Summary!$F$7="M",VLOOKUP(C:C,#REF!,IF(B41&gt;2033,22,MATCH(B41,#REF!,0)),FALSE),VLOOKUP(C:C,#REF!,IF(B41&gt;2033,22,MATCH(B41,#REF!,0)),FALSE))</f>
        <v>#REF!</v>
      </c>
      <c r="M41" s="28" t="e">
        <f t="shared" si="4"/>
        <v>#REF!</v>
      </c>
      <c r="N41" s="28" t="e">
        <f t="shared" si="5"/>
        <v>#REF!</v>
      </c>
      <c r="O41" s="28" t="e">
        <f>Summary!$J$7*'R6'!N41*'R6'!H41</f>
        <v>#REF!</v>
      </c>
    </row>
    <row r="42" spans="2:15" ht="24" customHeight="1">
      <c r="B42" s="28">
        <f t="shared" si="0"/>
        <v>2059</v>
      </c>
      <c r="C42" s="28">
        <f t="shared" si="1"/>
        <v>105</v>
      </c>
      <c r="D42" s="28">
        <v>40</v>
      </c>
      <c r="E42" s="28">
        <f>VLOOKUP(C:C, 'Total Data Set'!B:J, IF(Summary!$F$7="M", 4, 8), FALSE)</f>
        <v>0.37227300000000002</v>
      </c>
      <c r="F42" s="28">
        <f t="shared" si="2"/>
        <v>0.62772699999999992</v>
      </c>
      <c r="G42" s="28">
        <f t="shared" si="6"/>
        <v>9.2238067923545997E-3</v>
      </c>
      <c r="H42" s="28">
        <f>1/(1+Summary!$O$3)^D42</f>
        <v>0.14204568230027784</v>
      </c>
      <c r="I42" s="28">
        <f>Summary!$J$7*'R6'!H42*'R6'!G42</f>
        <v>50.624892343361338</v>
      </c>
      <c r="L42" s="28" t="e">
        <f>IF(Summary!$F$7="M",VLOOKUP(C:C,#REF!,IF(B42&gt;2033,22,MATCH(B42,#REF!,0)),FALSE),VLOOKUP(C:C,#REF!,IF(B42&gt;2033,22,MATCH(B42,#REF!,0)),FALSE))</f>
        <v>#REF!</v>
      </c>
      <c r="M42" s="28" t="e">
        <f t="shared" si="4"/>
        <v>#REF!</v>
      </c>
      <c r="N42" s="28" t="e">
        <f t="shared" si="5"/>
        <v>#REF!</v>
      </c>
      <c r="O42" s="28" t="e">
        <f>Summary!$J$7*'R6'!N42*'R6'!H42</f>
        <v>#REF!</v>
      </c>
    </row>
    <row r="43" spans="2:15" ht="24" customHeight="1">
      <c r="B43" s="28">
        <f t="shared" si="0"/>
        <v>2060</v>
      </c>
      <c r="C43" s="28">
        <f t="shared" si="1"/>
        <v>106</v>
      </c>
      <c r="D43" s="28">
        <v>41</v>
      </c>
      <c r="E43" s="28">
        <f>VLOOKUP(C:C, 'Total Data Set'!B:J, IF(Summary!$F$7="M", 4, 8), FALSE)</f>
        <v>0.39185999999999999</v>
      </c>
      <c r="F43" s="28">
        <f t="shared" si="2"/>
        <v>0.60814000000000001</v>
      </c>
      <c r="G43" s="28">
        <f t="shared" si="6"/>
        <v>5.7900325663443747E-3</v>
      </c>
      <c r="H43" s="28">
        <f>1/(1+Summary!$O$3)^D43</f>
        <v>0.13528160219074079</v>
      </c>
      <c r="I43" s="28">
        <f>Summary!$J$7*'R6'!H43*'R6'!G43</f>
        <v>30.265344567639215</v>
      </c>
      <c r="L43" s="28" t="e">
        <f>IF(Summary!$F$7="M",VLOOKUP(C:C,#REF!,IF(B43&gt;2033,22,MATCH(B43,#REF!,0)),FALSE),VLOOKUP(C:C,#REF!,IF(B43&gt;2033,22,MATCH(B43,#REF!,0)),FALSE))</f>
        <v>#REF!</v>
      </c>
      <c r="M43" s="28" t="e">
        <f t="shared" si="4"/>
        <v>#REF!</v>
      </c>
      <c r="N43" s="28" t="e">
        <f t="shared" si="5"/>
        <v>#REF!</v>
      </c>
      <c r="O43" s="28" t="e">
        <f>Summary!$J$7*'R6'!N43*'R6'!H43</f>
        <v>#REF!</v>
      </c>
    </row>
    <row r="44" spans="2:15" ht="24" customHeight="1">
      <c r="B44" s="28">
        <f t="shared" si="0"/>
        <v>2061</v>
      </c>
      <c r="C44" s="28">
        <f t="shared" si="1"/>
        <v>107</v>
      </c>
      <c r="D44" s="28">
        <v>42</v>
      </c>
      <c r="E44" s="28">
        <f>VLOOKUP(C:C, 'Total Data Set'!B:J, IF(Summary!$F$7="M", 4, 8), FALSE)</f>
        <v>0.41084900000000002</v>
      </c>
      <c r="F44" s="28">
        <f t="shared" si="2"/>
        <v>0.58915099999999998</v>
      </c>
      <c r="G44" s="28">
        <f t="shared" si="6"/>
        <v>3.5211504048966681E-3</v>
      </c>
      <c r="H44" s="28">
        <f>1/(1+Summary!$O$3)^D44</f>
        <v>0.12883962113403885</v>
      </c>
      <c r="I44" s="28">
        <f>Summary!$J$7*'R6'!H44*'R6'!G44</f>
        <v>17.529111090822962</v>
      </c>
      <c r="L44" s="28" t="e">
        <f>IF(Summary!$F$7="M",VLOOKUP(C:C,#REF!,IF(B44&gt;2033,22,MATCH(B44,#REF!,0)),FALSE),VLOOKUP(C:C,#REF!,IF(B44&gt;2033,22,MATCH(B44,#REF!,0)),FALSE))</f>
        <v>#REF!</v>
      </c>
      <c r="M44" s="28" t="e">
        <f t="shared" si="4"/>
        <v>#REF!</v>
      </c>
      <c r="N44" s="28" t="e">
        <f t="shared" si="5"/>
        <v>#REF!</v>
      </c>
      <c r="O44" s="28" t="e">
        <f>Summary!$J$7*'R6'!N44*'R6'!H44</f>
        <v>#REF!</v>
      </c>
    </row>
    <row r="45" spans="2:15" ht="24" customHeight="1">
      <c r="B45" s="28">
        <f t="shared" si="0"/>
        <v>2062</v>
      </c>
      <c r="C45" s="28">
        <f t="shared" si="1"/>
        <v>108</v>
      </c>
      <c r="D45" s="28">
        <v>43</v>
      </c>
      <c r="E45" s="28">
        <f>VLOOKUP(C:C, 'Total Data Set'!B:J, IF(Summary!$F$7="M", 4, 8), FALSE)</f>
        <v>0.42911199999999999</v>
      </c>
      <c r="F45" s="28">
        <f t="shared" si="2"/>
        <v>0.57088800000000006</v>
      </c>
      <c r="G45" s="28">
        <f t="shared" si="6"/>
        <v>2.0744892821952768E-3</v>
      </c>
      <c r="H45" s="28">
        <f>1/(1+Summary!$O$3)^D45</f>
        <v>0.12270440108003698</v>
      </c>
      <c r="I45" s="28">
        <f>Summary!$J$7*'R6'!H45*'R6'!G45</f>
        <v>9.8355174554947027</v>
      </c>
      <c r="L45" s="28" t="e">
        <f>IF(Summary!$F$7="M",VLOOKUP(C:C,#REF!,IF(B45&gt;2033,22,MATCH(B45,#REF!,0)),FALSE),VLOOKUP(C:C,#REF!,IF(B45&gt;2033,22,MATCH(B45,#REF!,0)),FALSE))</f>
        <v>#REF!</v>
      </c>
      <c r="M45" s="28" t="e">
        <f t="shared" si="4"/>
        <v>#REF!</v>
      </c>
      <c r="N45" s="28" t="e">
        <f t="shared" si="5"/>
        <v>#REF!</v>
      </c>
      <c r="O45" s="28" t="e">
        <f>Summary!$J$7*'R6'!N45*'R6'!H45</f>
        <v>#REF!</v>
      </c>
    </row>
    <row r="46" spans="2:15" ht="24" customHeight="1">
      <c r="B46" s="28">
        <f t="shared" si="0"/>
        <v>2063</v>
      </c>
      <c r="C46" s="28">
        <f t="shared" si="1"/>
        <v>109</v>
      </c>
      <c r="D46" s="28">
        <v>44</v>
      </c>
      <c r="E46" s="28">
        <f>VLOOKUP(C:C, 'Total Data Set'!B:J, IF(Summary!$F$7="M", 4, 8), FALSE)</f>
        <v>0.446544</v>
      </c>
      <c r="F46" s="28">
        <f t="shared" si="2"/>
        <v>0.55345599999999995</v>
      </c>
      <c r="G46" s="28">
        <f t="shared" si="6"/>
        <v>1.1843010373338973E-3</v>
      </c>
      <c r="H46" s="28">
        <f>1/(1+Summary!$O$3)^D46</f>
        <v>0.11686133436193999</v>
      </c>
      <c r="I46" s="28">
        <f>Summary!$J$7*'R6'!H46*'R6'!G46</f>
        <v>5.3475989420309142</v>
      </c>
      <c r="L46" s="28" t="e">
        <f>IF(Summary!$F$7="M",VLOOKUP(C:C,#REF!,IF(B46&gt;2033,22,MATCH(B46,#REF!,0)),FALSE),VLOOKUP(C:C,#REF!,IF(B46&gt;2033,22,MATCH(B46,#REF!,0)),FALSE))</f>
        <v>#REF!</v>
      </c>
      <c r="M46" s="28" t="e">
        <f t="shared" si="4"/>
        <v>#REF!</v>
      </c>
      <c r="N46" s="28" t="e">
        <f t="shared" si="5"/>
        <v>#REF!</v>
      </c>
      <c r="O46" s="28" t="e">
        <f>Summary!$J$7*'R6'!N46*'R6'!H46</f>
        <v>#REF!</v>
      </c>
    </row>
    <row r="47" spans="2:15" ht="24" customHeight="1">
      <c r="B47" s="28">
        <f t="shared" si="0"/>
        <v>2064</v>
      </c>
      <c r="C47" s="28">
        <f t="shared" si="1"/>
        <v>110</v>
      </c>
      <c r="D47" s="28">
        <v>45</v>
      </c>
      <c r="E47" s="28">
        <f>VLOOKUP(C:C, 'Total Data Set'!B:J, IF(Summary!$F$7="M", 4, 8), FALSE)</f>
        <v>0.463061</v>
      </c>
      <c r="F47" s="28">
        <f t="shared" si="2"/>
        <v>0.53693900000000006</v>
      </c>
      <c r="G47" s="28">
        <f t="shared" si="6"/>
        <v>6.5545851491866937E-4</v>
      </c>
      <c r="H47" s="28">
        <f>1/(1+Summary!$O$3)^D47</f>
        <v>0.1112965089161333</v>
      </c>
      <c r="I47" s="28">
        <f>Summary!$J$7*'R6'!H47*'R6'!G47</f>
        <v>2.8187244952958679</v>
      </c>
      <c r="L47" s="28" t="e">
        <f>IF(Summary!$F$7="M",VLOOKUP(C:C,#REF!,IF(B47&gt;2033,22,MATCH(B47,#REF!,0)),FALSE),VLOOKUP(C:C,#REF!,IF(B47&gt;2033,22,MATCH(B47,#REF!,0)),FALSE))</f>
        <v>#REF!</v>
      </c>
      <c r="M47" s="28" t="e">
        <f t="shared" si="4"/>
        <v>#REF!</v>
      </c>
      <c r="N47" s="28" t="e">
        <f t="shared" si="5"/>
        <v>#REF!</v>
      </c>
      <c r="O47" s="28" t="e">
        <f>Summary!$J$7*'R6'!N47*'R6'!H47</f>
        <v>#REF!</v>
      </c>
    </row>
    <row r="48" spans="2:15" ht="24" customHeight="1">
      <c r="B48" s="28">
        <f t="shared" si="0"/>
        <v>2065</v>
      </c>
      <c r="C48" s="28">
        <f t="shared" si="1"/>
        <v>111</v>
      </c>
      <c r="D48" s="28">
        <v>46</v>
      </c>
      <c r="E48" s="28">
        <f>VLOOKUP(C:C, 'Total Data Set'!B:J, IF(Summary!$F$7="M", 4, 8), FALSE)</f>
        <v>0.47860399999999997</v>
      </c>
      <c r="F48" s="28">
        <f t="shared" si="2"/>
        <v>0.52139599999999997</v>
      </c>
      <c r="G48" s="28">
        <f t="shared" si="6"/>
        <v>3.5194123954191548E-4</v>
      </c>
      <c r="H48" s="28">
        <f>1/(1+Summary!$O$3)^D48</f>
        <v>0.10599667515822221</v>
      </c>
      <c r="I48" s="28">
        <f>Summary!$J$7*'R6'!H48*'R6'!G48</f>
        <v>1.441412487409208</v>
      </c>
      <c r="L48" s="28" t="e">
        <f>IF(Summary!$F$7="M",VLOOKUP(C:C,#REF!,IF(B48&gt;2033,22,MATCH(B48,#REF!,0)),FALSE),VLOOKUP(C:C,#REF!,IF(B48&gt;2033,22,MATCH(B48,#REF!,0)),FALSE))</f>
        <v>#REF!</v>
      </c>
      <c r="M48" s="28" t="e">
        <f t="shared" si="4"/>
        <v>#REF!</v>
      </c>
      <c r="N48" s="28" t="e">
        <f t="shared" si="5"/>
        <v>#REF!</v>
      </c>
      <c r="O48" s="28" t="e">
        <f>Summary!$J$7*'R6'!N48*'R6'!H48</f>
        <v>#REF!</v>
      </c>
    </row>
    <row r="49" spans="2:15" ht="24" customHeight="1">
      <c r="B49" s="28">
        <f t="shared" si="0"/>
        <v>2066</v>
      </c>
      <c r="C49" s="28">
        <f t="shared" si="1"/>
        <v>112</v>
      </c>
      <c r="D49" s="28">
        <v>47</v>
      </c>
      <c r="E49" s="28">
        <f>VLOOKUP(C:C, 'Total Data Set'!B:J, IF(Summary!$F$7="M", 4, 8), FALSE)</f>
        <v>0.49313699999999999</v>
      </c>
      <c r="F49" s="28">
        <f t="shared" si="2"/>
        <v>0.50686300000000006</v>
      </c>
      <c r="G49" s="28">
        <f t="shared" si="6"/>
        <v>1.8350075453219656E-4</v>
      </c>
      <c r="H49" s="28">
        <f>1/(1+Summary!$O$3)^D49</f>
        <v>0.10094921443640208</v>
      </c>
      <c r="I49" s="28">
        <f>Summary!$J$7*'R6'!H49*'R6'!G49</f>
        <v>0.71575876693829632</v>
      </c>
      <c r="L49" s="28" t="e">
        <f>IF(Summary!$F$7="M",VLOOKUP(C:C,#REF!,IF(B49&gt;2033,22,MATCH(B49,#REF!,0)),FALSE),VLOOKUP(C:C,#REF!,IF(B49&gt;2033,22,MATCH(B49,#REF!,0)),FALSE))</f>
        <v>#REF!</v>
      </c>
      <c r="M49" s="28" t="e">
        <f t="shared" si="4"/>
        <v>#REF!</v>
      </c>
      <c r="N49" s="28" t="e">
        <f t="shared" si="5"/>
        <v>#REF!</v>
      </c>
      <c r="O49" s="28" t="e">
        <f>Summary!$J$7*'R6'!N49*'R6'!H49</f>
        <v>#REF!</v>
      </c>
    </row>
    <row r="50" spans="2:15" ht="24" customHeight="1">
      <c r="B50" s="28">
        <f t="shared" si="0"/>
        <v>2067</v>
      </c>
      <c r="C50" s="28">
        <f t="shared" si="1"/>
        <v>113</v>
      </c>
      <c r="D50" s="28">
        <v>48</v>
      </c>
      <c r="E50" s="28">
        <f>VLOOKUP(C:C, 'Total Data Set'!B:J, IF(Summary!$F$7="M", 4, 8), FALSE)</f>
        <v>0.5</v>
      </c>
      <c r="F50" s="28">
        <f t="shared" si="2"/>
        <v>0.5</v>
      </c>
      <c r="G50" s="28">
        <f t="shared" si="6"/>
        <v>9.3009742944452761E-5</v>
      </c>
      <c r="H50" s="28">
        <f>1/(1+Summary!$O$3)^D50</f>
        <v>9.6142108987049613E-2</v>
      </c>
      <c r="I50" s="28">
        <f>Summary!$J$7*'R6'!H50*'R6'!G50</f>
        <v>0.34551584370156752</v>
      </c>
      <c r="L50" s="28" t="e">
        <f>IF(Summary!$F$7="M",VLOOKUP(C:C,#REF!,IF(B50&gt;2033,22,MATCH(B50,#REF!,0)),FALSE),VLOOKUP(C:C,#REF!,IF(B50&gt;2033,22,MATCH(B50,#REF!,0)),FALSE))</f>
        <v>#REF!</v>
      </c>
      <c r="M50" s="28" t="e">
        <f t="shared" si="4"/>
        <v>#REF!</v>
      </c>
      <c r="N50" s="28" t="e">
        <f t="shared" si="5"/>
        <v>#REF!</v>
      </c>
      <c r="O50" s="28" t="e">
        <f>Summary!$J$7*'R6'!N50*'R6'!H50</f>
        <v>#REF!</v>
      </c>
    </row>
    <row r="51" spans="2:15" ht="24" customHeight="1">
      <c r="B51" s="28">
        <f t="shared" si="0"/>
        <v>2068</v>
      </c>
      <c r="C51" s="28">
        <f t="shared" si="1"/>
        <v>114</v>
      </c>
      <c r="D51" s="28">
        <v>49</v>
      </c>
      <c r="E51" s="28">
        <f>VLOOKUP(C:C, 'Total Data Set'!B:J, IF(Summary!$F$7="M", 4, 8), FALSE)</f>
        <v>0.5</v>
      </c>
      <c r="F51" s="28">
        <f t="shared" si="2"/>
        <v>0.5</v>
      </c>
      <c r="G51" s="28">
        <f t="shared" si="6"/>
        <v>4.650487147222638E-5</v>
      </c>
      <c r="H51" s="28">
        <f>1/(1+Summary!$O$3)^D51</f>
        <v>9.1563913320999626E-2</v>
      </c>
      <c r="I51" s="28">
        <f>Summary!$J$7*'R6'!H51*'R6'!G51</f>
        <v>0.16453135414360354</v>
      </c>
      <c r="L51" s="28" t="e">
        <f>IF(Summary!$F$7="M",VLOOKUP(C:C,#REF!,IF(B51&gt;2033,22,MATCH(B51,#REF!,0)),FALSE),VLOOKUP(C:C,#REF!,IF(B51&gt;2033,22,MATCH(B51,#REF!,0)),FALSE))</f>
        <v>#REF!</v>
      </c>
      <c r="M51" s="28" t="e">
        <f t="shared" si="4"/>
        <v>#REF!</v>
      </c>
      <c r="N51" s="28" t="e">
        <f t="shared" si="5"/>
        <v>#REF!</v>
      </c>
      <c r="O51" s="28" t="e">
        <f>Summary!$J$7*'R6'!N51*'R6'!H51</f>
        <v>#REF!</v>
      </c>
    </row>
    <row r="52" spans="2:15" ht="24" customHeight="1">
      <c r="B52" s="28">
        <f t="shared" si="0"/>
        <v>2069</v>
      </c>
      <c r="C52" s="28">
        <f t="shared" si="1"/>
        <v>115</v>
      </c>
      <c r="D52" s="28">
        <v>50</v>
      </c>
      <c r="E52" s="28">
        <f>VLOOKUP(C:C, 'Total Data Set'!B:J, IF(Summary!$F$7="M", 4, 8), FALSE)</f>
        <v>0.5</v>
      </c>
      <c r="F52" s="28">
        <f t="shared" si="2"/>
        <v>0.5</v>
      </c>
      <c r="G52" s="28">
        <f t="shared" si="6"/>
        <v>2.325243573611319E-5</v>
      </c>
      <c r="H52" s="28">
        <f>1/(1+Summary!$O$3)^D52</f>
        <v>8.7203726972380588E-2</v>
      </c>
      <c r="I52" s="28">
        <f>Summary!$J$7*'R6'!H52*'R6'!G52</f>
        <v>7.8348263877906443E-2</v>
      </c>
      <c r="L52" s="28" t="e">
        <f>IF(Summary!$F$7="M",VLOOKUP(C:C,#REF!,IF(B52&gt;2033,22,MATCH(B52,#REF!,0)),FALSE),VLOOKUP(C:C,#REF!,IF(B52&gt;2033,22,MATCH(B52,#REF!,0)),FALSE))</f>
        <v>#REF!</v>
      </c>
      <c r="M52" s="28" t="e">
        <f t="shared" si="4"/>
        <v>#REF!</v>
      </c>
      <c r="N52" s="28" t="e">
        <f t="shared" si="5"/>
        <v>#REF!</v>
      </c>
      <c r="O52" s="28" t="e">
        <f>Summary!$J$7*'R6'!N52*'R6'!H52</f>
        <v>#REF!</v>
      </c>
    </row>
    <row r="53" spans="2:15" ht="24" customHeight="1">
      <c r="B53" s="28">
        <f t="shared" si="0"/>
        <v>2070</v>
      </c>
      <c r="C53" s="28">
        <f t="shared" si="1"/>
        <v>116</v>
      </c>
      <c r="D53" s="28">
        <v>51</v>
      </c>
      <c r="E53" s="28">
        <f>VLOOKUP(C:C, 'Total Data Set'!B:J, IF(Summary!$F$7="M", 4, 8), FALSE)</f>
        <v>0.5</v>
      </c>
      <c r="F53" s="28">
        <f t="shared" si="2"/>
        <v>0.5</v>
      </c>
      <c r="G53" s="28">
        <f t="shared" si="6"/>
        <v>1.1626217868056595E-5</v>
      </c>
      <c r="H53" s="28">
        <f>1/(1+Summary!$O$3)^D53</f>
        <v>8.3051168545124371E-2</v>
      </c>
      <c r="I53" s="28">
        <f>Summary!$J$7*'R6'!H53*'R6'!G53</f>
        <v>3.7308697084717353E-2</v>
      </c>
      <c r="L53" s="28" t="e">
        <f>IF(Summary!$F$7="M",VLOOKUP(C:C,#REF!,IF(B53&gt;2033,22,MATCH(B53,#REF!,0)),FALSE),VLOOKUP(C:C,#REF!,IF(B53&gt;2033,22,MATCH(B53,#REF!,0)),FALSE))</f>
        <v>#REF!</v>
      </c>
      <c r="M53" s="28" t="e">
        <f t="shared" si="4"/>
        <v>#REF!</v>
      </c>
      <c r="N53" s="28" t="e">
        <f t="shared" si="5"/>
        <v>#REF!</v>
      </c>
      <c r="O53" s="28" t="e">
        <f>Summary!$J$7*'R6'!N53*'R6'!H53</f>
        <v>#REF!</v>
      </c>
    </row>
    <row r="54" spans="2:15" ht="24" customHeight="1">
      <c r="B54" s="28">
        <f t="shared" si="0"/>
        <v>2071</v>
      </c>
      <c r="C54" s="28">
        <f t="shared" si="1"/>
        <v>117</v>
      </c>
      <c r="D54" s="28">
        <v>52</v>
      </c>
      <c r="E54" s="28">
        <f>VLOOKUP(C:C, 'Total Data Set'!B:J, IF(Summary!$F$7="M", 4, 8), FALSE)</f>
        <v>0.5</v>
      </c>
      <c r="F54" s="28">
        <f t="shared" si="2"/>
        <v>0.5</v>
      </c>
      <c r="G54" s="28">
        <f t="shared" si="6"/>
        <v>5.8131089340282976E-6</v>
      </c>
      <c r="H54" s="28">
        <f>1/(1+Summary!$O$3)^D54</f>
        <v>7.9096350995356543E-2</v>
      </c>
      <c r="I54" s="28">
        <f>Summary!$J$7*'R6'!H54*'R6'!G54</f>
        <v>1.7766046230817789E-2</v>
      </c>
      <c r="L54" s="28" t="e">
        <f>IF(Summary!$F$7="M",VLOOKUP(C:C,#REF!,IF(B54&gt;2033,22,MATCH(B54,#REF!,0)),FALSE),VLOOKUP(C:C,#REF!,IF(B54&gt;2033,22,MATCH(B54,#REF!,0)),FALSE))</f>
        <v>#REF!</v>
      </c>
      <c r="M54" s="28" t="e">
        <f t="shared" si="4"/>
        <v>#REF!</v>
      </c>
      <c r="N54" s="28" t="e">
        <f t="shared" si="5"/>
        <v>#REF!</v>
      </c>
      <c r="O54" s="28" t="e">
        <f>Summary!$J$7*'R6'!N54*'R6'!H54</f>
        <v>#REF!</v>
      </c>
    </row>
    <row r="55" spans="2:15" ht="24" customHeight="1">
      <c r="B55" s="28">
        <f t="shared" si="0"/>
        <v>2072</v>
      </c>
      <c r="C55" s="28">
        <f t="shared" si="1"/>
        <v>118</v>
      </c>
      <c r="D55" s="28">
        <v>53</v>
      </c>
      <c r="E55" s="28">
        <f>VLOOKUP(C:C, 'Total Data Set'!B:J, IF(Summary!$F$7="M", 4, 8), FALSE)</f>
        <v>0.5</v>
      </c>
      <c r="F55" s="28">
        <f t="shared" si="2"/>
        <v>0.5</v>
      </c>
      <c r="G55" s="28">
        <f t="shared" si="6"/>
        <v>2.9065544670141488E-6</v>
      </c>
      <c r="H55" s="28">
        <f>1/(1+Summary!$O$3)^D55</f>
        <v>7.5329858090815757E-2</v>
      </c>
      <c r="I55" s="28">
        <f>Summary!$J$7*'R6'!H55*'R6'!G55</f>
        <v>8.4600220146751372E-3</v>
      </c>
      <c r="L55" s="28" t="e">
        <f>IF(Summary!$F$7="M",VLOOKUP(C:C,#REF!,IF(B55&gt;2033,22,MATCH(B55,#REF!,0)),FALSE),VLOOKUP(C:C,#REF!,IF(B55&gt;2033,22,MATCH(B55,#REF!,0)),FALSE))</f>
        <v>#REF!</v>
      </c>
      <c r="M55" s="28" t="e">
        <f t="shared" si="4"/>
        <v>#REF!</v>
      </c>
      <c r="N55" s="28" t="e">
        <f t="shared" si="5"/>
        <v>#REF!</v>
      </c>
      <c r="O55" s="28" t="e">
        <f>Summary!$J$7*'R6'!N55*'R6'!H55</f>
        <v>#REF!</v>
      </c>
    </row>
    <row r="56" spans="2:15" ht="24" customHeight="1">
      <c r="B56" s="28">
        <f t="shared" si="0"/>
        <v>2073</v>
      </c>
      <c r="C56" s="28">
        <f t="shared" si="1"/>
        <v>119</v>
      </c>
      <c r="D56" s="28">
        <v>54</v>
      </c>
      <c r="E56" s="28">
        <f>VLOOKUP(C:C, 'Total Data Set'!B:J, IF(Summary!$F$7="M", 4, 8), FALSE)</f>
        <v>0.5</v>
      </c>
      <c r="F56" s="28">
        <f t="shared" si="2"/>
        <v>0.5</v>
      </c>
      <c r="G56" s="28">
        <f t="shared" si="6"/>
        <v>1.4532772335070744E-6</v>
      </c>
      <c r="H56" s="28">
        <f>1/(1+Summary!$O$3)^D56</f>
        <v>7.1742721991253117E-2</v>
      </c>
      <c r="I56" s="28">
        <f>Summary!$J$7*'R6'!H56*'R6'!G56</f>
        <v>4.0285819117500668E-3</v>
      </c>
      <c r="L56" s="28" t="e">
        <f>IF(Summary!$F$7="M",VLOOKUP(C:C,#REF!,IF(B56&gt;2033,22,MATCH(B56,#REF!,0)),FALSE),VLOOKUP(C:C,#REF!,IF(B56&gt;2033,22,MATCH(B56,#REF!,0)),FALSE))</f>
        <v>#REF!</v>
      </c>
      <c r="M56" s="28" t="e">
        <f t="shared" si="4"/>
        <v>#REF!</v>
      </c>
      <c r="N56" s="28" t="e">
        <f t="shared" si="5"/>
        <v>#REF!</v>
      </c>
      <c r="O56" s="28" t="e">
        <f>Summary!$J$7*'R6'!N56*'R6'!H56</f>
        <v>#REF!</v>
      </c>
    </row>
    <row r="57" spans="2:15" ht="24" customHeight="1">
      <c r="B57" s="28">
        <f t="shared" si="0"/>
        <v>2074</v>
      </c>
      <c r="C57" s="28">
        <f t="shared" si="1"/>
        <v>120</v>
      </c>
      <c r="D57" s="28">
        <v>55</v>
      </c>
      <c r="E57" s="28">
        <f>VLOOKUP(C:C, 'Total Data Set'!B:J, IF(Summary!$F$7="M", 4, 8), FALSE)</f>
        <v>1</v>
      </c>
      <c r="F57" s="28">
        <f t="shared" si="2"/>
        <v>0</v>
      </c>
      <c r="G57" s="28">
        <f t="shared" si="6"/>
        <v>7.266386167535372E-7</v>
      </c>
      <c r="H57" s="28">
        <f>1/(1+Summary!$O$3)^D57</f>
        <v>6.8326401896431521E-2</v>
      </c>
      <c r="I57" s="28">
        <f>Summary!$J$7*'R6'!H57*'R6'!G57</f>
        <v>1.9183723389286026E-3</v>
      </c>
      <c r="L57" s="28" t="e">
        <f>IF(Summary!$F$7="M",VLOOKUP(C:C,#REF!,IF(B57&gt;2033,22,MATCH(B57,#REF!,0)),FALSE),VLOOKUP(C:C,#REF!,IF(B57&gt;2033,22,MATCH(B57,#REF!,0)),FALSE))</f>
        <v>#REF!</v>
      </c>
      <c r="M57" s="28" t="e">
        <f t="shared" si="4"/>
        <v>#REF!</v>
      </c>
      <c r="N57" s="28" t="e">
        <f t="shared" si="5"/>
        <v>#REF!</v>
      </c>
      <c r="O57" s="28" t="e">
        <f>Summary!$J$7*'R6'!N57*'R6'!H57</f>
        <v>#REF!</v>
      </c>
    </row>
    <row r="82" spans="4:4" ht="24" customHeight="1">
      <c r="D82" s="28">
        <v>80</v>
      </c>
    </row>
    <row r="83" spans="4:4" ht="24" customHeight="1">
      <c r="D83" s="28">
        <v>81</v>
      </c>
    </row>
    <row r="84" spans="4:4" ht="24" customHeight="1">
      <c r="D84" s="28">
        <v>82</v>
      </c>
    </row>
    <row r="85" spans="4:4" ht="24" customHeight="1">
      <c r="D85" s="28">
        <v>83</v>
      </c>
    </row>
    <row r="86" spans="4:4" ht="24" customHeight="1">
      <c r="D86" s="28">
        <v>84</v>
      </c>
    </row>
    <row r="87" spans="4:4" ht="24" customHeight="1">
      <c r="D87" s="28">
        <v>85</v>
      </c>
    </row>
    <row r="88" spans="4:4" ht="24" customHeight="1">
      <c r="D88" s="28">
        <v>86</v>
      </c>
    </row>
    <row r="89" spans="4:4" ht="24" customHeight="1">
      <c r="D89" s="28">
        <v>87</v>
      </c>
    </row>
    <row r="90" spans="4:4" ht="24" customHeight="1">
      <c r="D90" s="28">
        <v>88</v>
      </c>
    </row>
    <row r="91" spans="4:4" ht="24" customHeight="1">
      <c r="D91" s="28">
        <v>89</v>
      </c>
    </row>
    <row r="92" spans="4:4" ht="24" customHeight="1">
      <c r="D92" s="28">
        <v>90</v>
      </c>
    </row>
    <row r="93" spans="4:4" ht="24" customHeight="1">
      <c r="D93" s="28">
        <v>91</v>
      </c>
    </row>
    <row r="94" spans="4:4" ht="24" customHeight="1">
      <c r="D94" s="28">
        <v>92</v>
      </c>
    </row>
    <row r="95" spans="4:4" ht="24" customHeight="1">
      <c r="D95" s="28">
        <v>93</v>
      </c>
    </row>
    <row r="96" spans="4:4" ht="24" customHeight="1">
      <c r="D96" s="28">
        <v>94</v>
      </c>
    </row>
    <row r="97" spans="4:4" ht="24" customHeight="1">
      <c r="D97" s="28">
        <v>95</v>
      </c>
    </row>
    <row r="98" spans="4:4" ht="24" customHeight="1">
      <c r="D98" s="28">
        <v>96</v>
      </c>
    </row>
    <row r="99" spans="4:4" ht="24" customHeight="1">
      <c r="D99" s="28">
        <v>97</v>
      </c>
    </row>
    <row r="100" spans="4:4" ht="24" customHeight="1">
      <c r="D100" s="28">
        <v>98</v>
      </c>
    </row>
    <row r="101" spans="4:4" ht="24" customHeight="1">
      <c r="D101" s="28">
        <v>99</v>
      </c>
    </row>
    <row r="102" spans="4:4" ht="24" customHeight="1">
      <c r="D102" s="28">
        <v>100</v>
      </c>
    </row>
    <row r="103" spans="4:4" ht="24" customHeight="1">
      <c r="D103" s="28">
        <v>101</v>
      </c>
    </row>
    <row r="104" spans="4:4" ht="24" customHeight="1">
      <c r="D104" s="28">
        <v>102</v>
      </c>
    </row>
    <row r="105" spans="4:4" ht="24" customHeight="1">
      <c r="D105" s="28">
        <v>103</v>
      </c>
    </row>
    <row r="106" spans="4:4" ht="24" customHeight="1">
      <c r="D106" s="28">
        <v>104</v>
      </c>
    </row>
    <row r="107" spans="4:4" ht="24" customHeight="1">
      <c r="D107" s="28">
        <v>105</v>
      </c>
    </row>
    <row r="108" spans="4:4" ht="24" customHeight="1">
      <c r="D108" s="28">
        <v>106</v>
      </c>
    </row>
    <row r="109" spans="4:4" ht="24" customHeight="1">
      <c r="D109" s="28">
        <v>107</v>
      </c>
    </row>
    <row r="110" spans="4:4" ht="24" customHeight="1">
      <c r="D110" s="28">
        <v>108</v>
      </c>
    </row>
    <row r="111" spans="4:4" ht="24" customHeight="1">
      <c r="D111" s="28">
        <v>109</v>
      </c>
    </row>
    <row r="112" spans="4:4" ht="24" customHeight="1">
      <c r="D112" s="28">
        <v>110</v>
      </c>
    </row>
    <row r="113" spans="4:4" ht="24" customHeight="1">
      <c r="D113" s="28">
        <v>111</v>
      </c>
    </row>
    <row r="114" spans="4:4" ht="24" customHeight="1">
      <c r="D114" s="28">
        <v>112</v>
      </c>
    </row>
    <row r="115" spans="4:4" ht="24" customHeight="1">
      <c r="D115" s="28">
        <v>113</v>
      </c>
    </row>
    <row r="116" spans="4:4" ht="24" customHeight="1">
      <c r="D116" s="28">
        <v>114</v>
      </c>
    </row>
    <row r="117" spans="4:4" ht="24" customHeight="1">
      <c r="D117" s="28">
        <v>115</v>
      </c>
    </row>
    <row r="118" spans="4:4" ht="24" customHeight="1">
      <c r="D118" s="28">
        <v>116</v>
      </c>
    </row>
    <row r="119" spans="4:4" ht="24" customHeight="1">
      <c r="D119" s="28">
        <v>117</v>
      </c>
    </row>
    <row r="120" spans="4:4" ht="24" customHeight="1">
      <c r="D120" s="28">
        <v>118</v>
      </c>
    </row>
    <row r="121" spans="4:4" ht="24" customHeight="1">
      <c r="D121" s="28">
        <v>119</v>
      </c>
    </row>
    <row r="122" spans="4:4" ht="24" customHeight="1">
      <c r="D122" s="28">
        <v>120</v>
      </c>
    </row>
    <row r="123" spans="4:4" ht="24" customHeight="1">
      <c r="D123" s="28">
        <v>121</v>
      </c>
    </row>
    <row r="124" spans="4:4" ht="24" customHeight="1">
      <c r="D124" s="28">
        <v>122</v>
      </c>
    </row>
    <row r="125" spans="4:4" ht="24" customHeight="1">
      <c r="D125" s="28">
        <v>123</v>
      </c>
    </row>
    <row r="126" spans="4:4" ht="24" customHeight="1">
      <c r="D126" s="28">
        <v>124</v>
      </c>
    </row>
    <row r="127" spans="4:4" ht="24" customHeight="1">
      <c r="D127" s="28">
        <v>125</v>
      </c>
    </row>
    <row r="128" spans="4:4" ht="24" customHeight="1">
      <c r="D128" s="28">
        <v>126</v>
      </c>
    </row>
    <row r="129" spans="4:4" ht="24" customHeight="1">
      <c r="D129" s="28">
        <v>127</v>
      </c>
    </row>
    <row r="130" spans="4:4" ht="24" customHeight="1">
      <c r="D130" s="28">
        <v>128</v>
      </c>
    </row>
    <row r="131" spans="4:4" ht="24" customHeight="1">
      <c r="D131" s="28">
        <v>129</v>
      </c>
    </row>
    <row r="132" spans="4:4" ht="24" customHeight="1">
      <c r="D132" s="28">
        <v>130</v>
      </c>
    </row>
    <row r="133" spans="4:4" ht="24" customHeight="1">
      <c r="D133" s="28">
        <v>131</v>
      </c>
    </row>
    <row r="134" spans="4:4" ht="24" customHeight="1">
      <c r="D134" s="28">
        <v>132</v>
      </c>
    </row>
    <row r="135" spans="4:4" ht="24" customHeight="1">
      <c r="D135" s="28">
        <v>133</v>
      </c>
    </row>
    <row r="136" spans="4:4" ht="24" customHeight="1">
      <c r="D136" s="28">
        <v>134</v>
      </c>
    </row>
    <row r="137" spans="4:4" ht="24" customHeight="1">
      <c r="D137" s="28">
        <v>135</v>
      </c>
    </row>
    <row r="138" spans="4:4" ht="24" customHeight="1">
      <c r="D138" s="28">
        <v>136</v>
      </c>
    </row>
    <row r="139" spans="4:4" ht="24" customHeight="1">
      <c r="D139" s="28">
        <v>137</v>
      </c>
    </row>
    <row r="140" spans="4:4" ht="24" customHeight="1">
      <c r="D140" s="28">
        <v>138</v>
      </c>
    </row>
    <row r="141" spans="4:4" ht="24" customHeight="1">
      <c r="D141" s="28">
        <v>139</v>
      </c>
    </row>
    <row r="142" spans="4:4" ht="24" customHeight="1">
      <c r="D142" s="28">
        <v>140</v>
      </c>
    </row>
    <row r="143" spans="4:4" ht="24" customHeight="1">
      <c r="D143" s="28">
        <v>141</v>
      </c>
    </row>
    <row r="144" spans="4:4" ht="24" customHeight="1">
      <c r="D144" s="28">
        <v>142</v>
      </c>
    </row>
    <row r="145" spans="4:4" ht="24" customHeight="1">
      <c r="D145" s="28">
        <v>143</v>
      </c>
    </row>
    <row r="146" spans="4:4" ht="24" customHeight="1">
      <c r="D146" s="28">
        <v>144</v>
      </c>
    </row>
    <row r="147" spans="4:4" ht="24" customHeight="1">
      <c r="D147" s="28">
        <v>145</v>
      </c>
    </row>
    <row r="148" spans="4:4" ht="24" customHeight="1">
      <c r="D148" s="28">
        <v>146</v>
      </c>
    </row>
    <row r="149" spans="4:4" ht="24" customHeight="1">
      <c r="D149" s="28">
        <v>147</v>
      </c>
    </row>
    <row r="150" spans="4:4" ht="24" customHeight="1">
      <c r="D150" s="28">
        <v>148</v>
      </c>
    </row>
    <row r="151" spans="4:4" ht="24" customHeight="1">
      <c r="D151" s="28">
        <v>149</v>
      </c>
    </row>
    <row r="152" spans="4:4" ht="24" customHeight="1">
      <c r="D152" s="28">
        <v>150</v>
      </c>
    </row>
    <row r="153" spans="4:4" ht="24" customHeight="1">
      <c r="D153" s="28">
        <v>151</v>
      </c>
    </row>
    <row r="154" spans="4:4" ht="24" customHeight="1">
      <c r="D154" s="28">
        <v>152</v>
      </c>
    </row>
    <row r="155" spans="4:4" ht="24" customHeight="1">
      <c r="D155" s="28">
        <v>153</v>
      </c>
    </row>
    <row r="156" spans="4:4" ht="24" customHeight="1">
      <c r="D156" s="28">
        <v>154</v>
      </c>
    </row>
    <row r="157" spans="4:4" ht="24" customHeight="1">
      <c r="D157" s="28">
        <v>155</v>
      </c>
    </row>
    <row r="158" spans="4:4" ht="24" customHeight="1">
      <c r="D158" s="28">
        <v>156</v>
      </c>
    </row>
    <row r="159" spans="4:4" ht="24" customHeight="1">
      <c r="D159" s="28">
        <v>157</v>
      </c>
    </row>
    <row r="160" spans="4:4" ht="24" customHeight="1">
      <c r="D160" s="28">
        <v>158</v>
      </c>
    </row>
    <row r="161" spans="4:4" ht="24" customHeight="1">
      <c r="D161" s="28">
        <v>159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55"/>
  <sheetViews>
    <sheetView topLeftCell="G1" workbookViewId="0">
      <selection activeCell="A6" sqref="A6"/>
    </sheetView>
  </sheetViews>
  <sheetFormatPr defaultColWidth="18" defaultRowHeight="24" customHeight="1"/>
  <cols>
    <col min="1" max="6" width="18" style="28"/>
    <col min="7" max="7" width="21.140625" style="28" customWidth="1"/>
    <col min="8" max="9" width="18" style="28"/>
    <col min="10" max="10" width="21.7109375" style="28" customWidth="1"/>
    <col min="11" max="11" width="15.28515625" style="28" customWidth="1"/>
    <col min="12" max="14" width="18" style="28"/>
    <col min="15" max="15" width="25.5703125" style="28" customWidth="1"/>
    <col min="16" max="16384" width="18" style="28"/>
  </cols>
  <sheetData>
    <row r="1" spans="1:16" ht="24" customHeight="1">
      <c r="A1" s="30" t="s">
        <v>69</v>
      </c>
      <c r="B1" s="30" t="s">
        <v>74</v>
      </c>
      <c r="C1" s="28" t="s">
        <v>28</v>
      </c>
      <c r="D1" s="28" t="s">
        <v>29</v>
      </c>
      <c r="E1" s="28" t="s">
        <v>30</v>
      </c>
      <c r="F1" s="28" t="s">
        <v>71</v>
      </c>
      <c r="G1" s="28" t="s">
        <v>72</v>
      </c>
      <c r="H1" s="28" t="s">
        <v>31</v>
      </c>
      <c r="I1" s="28" t="s">
        <v>32</v>
      </c>
      <c r="J1" s="28" t="s">
        <v>33</v>
      </c>
      <c r="L1" s="39" t="s">
        <v>76</v>
      </c>
      <c r="M1" s="39" t="s">
        <v>77</v>
      </c>
      <c r="N1" s="39" t="s">
        <v>78</v>
      </c>
      <c r="O1" s="39" t="s">
        <v>79</v>
      </c>
      <c r="P1" s="39" t="s">
        <v>80</v>
      </c>
    </row>
    <row r="2" spans="1:16" ht="24" customHeight="1">
      <c r="A2" s="31">
        <v>43647</v>
      </c>
      <c r="B2" s="30">
        <f>YEAR(A2)</f>
        <v>2019</v>
      </c>
      <c r="C2" s="28">
        <f>$A$4+D2</f>
        <v>67</v>
      </c>
      <c r="D2" s="28">
        <v>0</v>
      </c>
      <c r="E2" s="28">
        <f>VLOOKUP(C:C, 'Total Data Set'!B:J, IF(Summary!$F$8="M", 4, 8), FALSE)</f>
        <v>1.2930000000000001E-2</v>
      </c>
      <c r="F2" s="28">
        <f>1-E2</f>
        <v>0.98707</v>
      </c>
      <c r="G2" s="28">
        <v>1</v>
      </c>
      <c r="H2" s="28">
        <f>1/(1+Summary!$O$3)^D2</f>
        <v>1</v>
      </c>
      <c r="I2" s="28">
        <f>Summary!$J$8*'R7'!H2*'R7'!G3</f>
        <v>12421.28888</v>
      </c>
      <c r="J2" s="28">
        <f>SUM(I2:I55)</f>
        <v>144360.91346684709</v>
      </c>
      <c r="L2" s="28" t="e">
        <f>IF(Summary!$F$8="M",VLOOKUP(C:C,#REF!,IF(B2&gt;2033,22,MATCH(B2,#REF!,0)),FALSE),VLOOKUP(C:C,#REF!,IF(B2&gt;2033,22,MATCH(B2,#REF!,0)),FALSE))</f>
        <v>#REF!</v>
      </c>
      <c r="M2" s="28" t="e">
        <f>1-L2</f>
        <v>#REF!</v>
      </c>
      <c r="N2" s="28">
        <v>1</v>
      </c>
      <c r="O2" s="28">
        <f>Summary!$J$8*'R7'!N2*'R7'!H2</f>
        <v>12584</v>
      </c>
      <c r="P2" s="28" t="e">
        <f>SUM(O2:O55)</f>
        <v>#REF!</v>
      </c>
    </row>
    <row r="3" spans="1:16" ht="24" customHeight="1">
      <c r="A3" s="28" t="s">
        <v>34</v>
      </c>
      <c r="B3" s="30">
        <f>$B2+1</f>
        <v>2020</v>
      </c>
      <c r="C3" s="28">
        <f>$A$4+D3</f>
        <v>68</v>
      </c>
      <c r="D3" s="28">
        <v>1</v>
      </c>
      <c r="E3" s="28">
        <f>VLOOKUP(C:C, 'Total Data Set'!B:J, IF(Summary!$F$8="M", 4, 8), FALSE)</f>
        <v>1.4067E-2</v>
      </c>
      <c r="F3" s="28">
        <f>1-E3</f>
        <v>0.98593299999999995</v>
      </c>
      <c r="G3" s="28">
        <f>F2</f>
        <v>0.98707</v>
      </c>
      <c r="H3" s="28">
        <f>1/(1+Summary!$O$3)^D3</f>
        <v>0.95238095238095233</v>
      </c>
      <c r="I3" s="28">
        <f>Summary!$J$8*'R7'!H3*'R7'!G4</f>
        <v>11663.389151738133</v>
      </c>
      <c r="L3" s="28" t="e">
        <f>IF(Summary!$F$8="M",VLOOKUP(C:C,#REF!,IF(B3&gt;2033,22,MATCH(B3,#REF!,0)),FALSE),VLOOKUP(C:C,#REF!,IF(B3&gt;2033,22,MATCH(B3,#REF!,0)),FALSE))</f>
        <v>#REF!</v>
      </c>
      <c r="M3" s="28" t="e">
        <f>1-L3</f>
        <v>#REF!</v>
      </c>
      <c r="N3" s="28" t="e">
        <f>N2*M2</f>
        <v>#REF!</v>
      </c>
      <c r="O3" s="28" t="e">
        <f>Summary!$J$8*'R7'!N3*'R7'!H3</f>
        <v>#REF!</v>
      </c>
    </row>
    <row r="4" spans="1:16" ht="24" customHeight="1">
      <c r="A4" s="28">
        <f>Summary!I8</f>
        <v>67</v>
      </c>
      <c r="B4" s="30">
        <f t="shared" ref="B4:B55" si="0">$B3+1</f>
        <v>2021</v>
      </c>
      <c r="C4" s="28">
        <f t="shared" ref="C4:C55" si="1">$A$4+D4</f>
        <v>69</v>
      </c>
      <c r="D4" s="28">
        <v>2</v>
      </c>
      <c r="E4" s="28">
        <f>VLOOKUP(C:C, 'Total Data Set'!B:J, IF(Summary!$F$8="M", 4, 8), FALSE)</f>
        <v>1.5342E-2</v>
      </c>
      <c r="F4" s="28">
        <f t="shared" ref="F4:F55" si="2">1-E4</f>
        <v>0.98465800000000003</v>
      </c>
      <c r="G4" s="28">
        <f t="shared" ref="G4:G35" si="3">G3*F3</f>
        <v>0.97318488631</v>
      </c>
      <c r="H4" s="28">
        <f>1/(1+Summary!$O$3)^D4</f>
        <v>0.90702947845804982</v>
      </c>
      <c r="I4" s="28">
        <f>Summary!$J$8*'R7'!H4*'R7'!G5</f>
        <v>10937.570890830635</v>
      </c>
      <c r="L4" s="28" t="e">
        <f>IF(Summary!$F$8="M",VLOOKUP(C:C,#REF!,IF(B4&gt;2033,22,MATCH(B4,#REF!,0)),FALSE),VLOOKUP(C:C,#REF!,IF(B4&gt;2033,22,MATCH(B4,#REF!,0)),FALSE))</f>
        <v>#REF!</v>
      </c>
      <c r="M4" s="28" t="e">
        <f t="shared" ref="M4:M55" si="4">1-L4</f>
        <v>#REF!</v>
      </c>
      <c r="N4" s="28" t="e">
        <f t="shared" ref="N4:N55" si="5">N3*M3</f>
        <v>#REF!</v>
      </c>
      <c r="O4" s="28" t="e">
        <f>Summary!$J$8*'R7'!N4*'R7'!H4</f>
        <v>#REF!</v>
      </c>
    </row>
    <row r="5" spans="1:16" ht="24" customHeight="1">
      <c r="B5" s="30">
        <f t="shared" si="0"/>
        <v>2022</v>
      </c>
      <c r="C5" s="28">
        <f t="shared" si="1"/>
        <v>70</v>
      </c>
      <c r="D5" s="28">
        <v>3</v>
      </c>
      <c r="E5" s="28">
        <f>VLOOKUP(C:C, 'Total Data Set'!B:J, IF(Summary!$F$8="M", 4, 8), FALSE)</f>
        <v>1.6768999999999999E-2</v>
      </c>
      <c r="F5" s="28">
        <f t="shared" si="2"/>
        <v>0.98323099999999997</v>
      </c>
      <c r="G5" s="28">
        <f t="shared" si="3"/>
        <v>0.95825428378423205</v>
      </c>
      <c r="H5" s="28">
        <f>1/(1+Summary!$O$3)^D5</f>
        <v>0.86383759853147601</v>
      </c>
      <c r="I5" s="28">
        <f>Summary!$J$8*'R7'!H5*'R7'!G6</f>
        <v>10242.055966249805</v>
      </c>
      <c r="L5" s="28" t="e">
        <f>IF(Summary!$F$8="M",VLOOKUP(C:C,#REF!,IF(B5&gt;2033,22,MATCH(B5,#REF!,0)),FALSE),VLOOKUP(C:C,#REF!,IF(B5&gt;2033,22,MATCH(B5,#REF!,0)),FALSE))</f>
        <v>#REF!</v>
      </c>
      <c r="M5" s="28" t="e">
        <f t="shared" si="4"/>
        <v>#REF!</v>
      </c>
      <c r="N5" s="28" t="e">
        <f t="shared" si="5"/>
        <v>#REF!</v>
      </c>
      <c r="O5" s="28" t="e">
        <f>Summary!$J$8*'R7'!N5*'R7'!H5</f>
        <v>#REF!</v>
      </c>
    </row>
    <row r="6" spans="1:16" ht="24" customHeight="1">
      <c r="B6" s="30">
        <f t="shared" si="0"/>
        <v>2023</v>
      </c>
      <c r="C6" s="28">
        <f t="shared" si="1"/>
        <v>71</v>
      </c>
      <c r="D6" s="28">
        <v>4</v>
      </c>
      <c r="E6" s="28">
        <f>VLOOKUP(C:C, 'Total Data Set'!B:J, IF(Summary!$F$8="M", 4, 8), FALSE)</f>
        <v>1.8363000000000001E-2</v>
      </c>
      <c r="F6" s="28">
        <f t="shared" si="2"/>
        <v>0.98163699999999998</v>
      </c>
      <c r="G6" s="28">
        <f t="shared" si="3"/>
        <v>0.94218531769945424</v>
      </c>
      <c r="H6" s="28">
        <f>1/(1+Summary!$O$3)^D6</f>
        <v>0.82270247479188197</v>
      </c>
      <c r="I6" s="28">
        <f>Summary!$J$8*'R7'!H6*'R7'!G7</f>
        <v>9575.2200881348199</v>
      </c>
      <c r="L6" s="28" t="e">
        <f>IF(Summary!$F$8="M",VLOOKUP(C:C,#REF!,IF(B6&gt;2033,22,MATCH(B6,#REF!,0)),FALSE),VLOOKUP(C:C,#REF!,IF(B6&gt;2033,22,MATCH(B6,#REF!,0)),FALSE))</f>
        <v>#REF!</v>
      </c>
      <c r="M6" s="28" t="e">
        <f t="shared" si="4"/>
        <v>#REF!</v>
      </c>
      <c r="N6" s="28" t="e">
        <f t="shared" si="5"/>
        <v>#REF!</v>
      </c>
      <c r="O6" s="28" t="e">
        <f>Summary!$J$8*'R7'!N6*'R7'!H6</f>
        <v>#REF!</v>
      </c>
    </row>
    <row r="7" spans="1:16" ht="24" customHeight="1">
      <c r="B7" s="30">
        <f t="shared" si="0"/>
        <v>2024</v>
      </c>
      <c r="C7" s="28">
        <f t="shared" si="1"/>
        <v>72</v>
      </c>
      <c r="D7" s="28">
        <v>5</v>
      </c>
      <c r="E7" s="28">
        <f>VLOOKUP(C:C, 'Total Data Set'!B:J, IF(Summary!$F$8="M", 4, 8), FALSE)</f>
        <v>2.0140999999999999E-2</v>
      </c>
      <c r="F7" s="28">
        <f t="shared" si="2"/>
        <v>0.97985900000000004</v>
      </c>
      <c r="G7" s="28">
        <f t="shared" si="3"/>
        <v>0.92488396871053913</v>
      </c>
      <c r="H7" s="28">
        <f>1/(1+Summary!$O$3)^D7</f>
        <v>0.78352616646845896</v>
      </c>
      <c r="I7" s="28">
        <f>Summary!$J$8*'R7'!H7*'R7'!G8</f>
        <v>8935.5862669901871</v>
      </c>
      <c r="L7" s="28" t="e">
        <f>IF(Summary!$F$8="M",VLOOKUP(C:C,#REF!,IF(B7&gt;2033,22,MATCH(B7,#REF!,0)),FALSE),VLOOKUP(C:C,#REF!,IF(B7&gt;2033,22,MATCH(B7,#REF!,0)),FALSE))</f>
        <v>#REF!</v>
      </c>
      <c r="M7" s="28" t="e">
        <f t="shared" si="4"/>
        <v>#REF!</v>
      </c>
      <c r="N7" s="28" t="e">
        <f t="shared" si="5"/>
        <v>#REF!</v>
      </c>
      <c r="O7" s="28" t="e">
        <f>Summary!$J$8*'R7'!N7*'R7'!H7</f>
        <v>#REF!</v>
      </c>
    </row>
    <row r="8" spans="1:16" ht="24" customHeight="1">
      <c r="B8" s="30">
        <f t="shared" si="0"/>
        <v>2025</v>
      </c>
      <c r="C8" s="28">
        <f t="shared" si="1"/>
        <v>73</v>
      </c>
      <c r="D8" s="28">
        <v>6</v>
      </c>
      <c r="E8" s="28">
        <f>VLOOKUP(C:C, 'Total Data Set'!B:J, IF(Summary!$F$8="M", 4, 8), FALSE)</f>
        <v>2.2127000000000001E-2</v>
      </c>
      <c r="F8" s="28">
        <f t="shared" si="2"/>
        <v>0.97787299999999999</v>
      </c>
      <c r="G8" s="28">
        <f t="shared" si="3"/>
        <v>0.90625588069674023</v>
      </c>
      <c r="H8" s="28">
        <f>1/(1+Summary!$O$3)^D8</f>
        <v>0.74621539663662761</v>
      </c>
      <c r="I8" s="28">
        <f>Summary!$J$8*'R7'!H8*'R7'!G9</f>
        <v>8321.7795711052331</v>
      </c>
      <c r="L8" s="28" t="e">
        <f>IF(Summary!$F$8="M",VLOOKUP(C:C,#REF!,IF(B8&gt;2033,22,MATCH(B8,#REF!,0)),FALSE),VLOOKUP(C:C,#REF!,IF(B8&gt;2033,22,MATCH(B8,#REF!,0)),FALSE))</f>
        <v>#REF!</v>
      </c>
      <c r="M8" s="28" t="e">
        <f t="shared" si="4"/>
        <v>#REF!</v>
      </c>
      <c r="N8" s="28" t="e">
        <f t="shared" si="5"/>
        <v>#REF!</v>
      </c>
      <c r="O8" s="28" t="e">
        <f>Summary!$J$8*'R7'!N8*'R7'!H8</f>
        <v>#REF!</v>
      </c>
    </row>
    <row r="9" spans="1:16" ht="24" customHeight="1">
      <c r="B9" s="30">
        <f t="shared" si="0"/>
        <v>2026</v>
      </c>
      <c r="C9" s="28">
        <f t="shared" si="1"/>
        <v>74</v>
      </c>
      <c r="D9" s="28">
        <v>7</v>
      </c>
      <c r="E9" s="28">
        <f>VLOOKUP(C:C, 'Total Data Set'!B:J, IF(Summary!$F$8="M", 4, 8), FALSE)</f>
        <v>2.4344999999999999E-2</v>
      </c>
      <c r="F9" s="28">
        <f t="shared" si="2"/>
        <v>0.97565500000000005</v>
      </c>
      <c r="G9" s="28">
        <f t="shared" si="3"/>
        <v>0.88620315682456341</v>
      </c>
      <c r="H9" s="28">
        <f>1/(1+Summary!$O$3)^D9</f>
        <v>0.71068133013012147</v>
      </c>
      <c r="I9" s="28">
        <f>Summary!$J$8*'R7'!H9*'R7'!G10</f>
        <v>7732.5579499492151</v>
      </c>
      <c r="L9" s="28" t="e">
        <f>IF(Summary!$F$8="M",VLOOKUP(C:C,#REF!,IF(B9&gt;2033,22,MATCH(B9,#REF!,0)),FALSE),VLOOKUP(C:C,#REF!,IF(B9&gt;2033,22,MATCH(B9,#REF!,0)),FALSE))</f>
        <v>#REF!</v>
      </c>
      <c r="M9" s="28" t="e">
        <f t="shared" si="4"/>
        <v>#REF!</v>
      </c>
      <c r="N9" s="28" t="e">
        <f t="shared" si="5"/>
        <v>#REF!</v>
      </c>
      <c r="O9" s="28" t="e">
        <f>Summary!$J$8*'R7'!N9*'R7'!H9</f>
        <v>#REF!</v>
      </c>
    </row>
    <row r="10" spans="1:16" ht="24" customHeight="1">
      <c r="B10" s="30">
        <f t="shared" si="0"/>
        <v>2027</v>
      </c>
      <c r="C10" s="28">
        <f t="shared" si="1"/>
        <v>75</v>
      </c>
      <c r="D10" s="28">
        <v>8</v>
      </c>
      <c r="E10" s="28">
        <f>VLOOKUP(C:C, 'Total Data Set'!B:J, IF(Summary!$F$8="M", 4, 8), FALSE)</f>
        <v>2.6825999999999999E-2</v>
      </c>
      <c r="F10" s="28">
        <f t="shared" si="2"/>
        <v>0.97317399999999998</v>
      </c>
      <c r="G10" s="28">
        <f t="shared" si="3"/>
        <v>0.86462854097166941</v>
      </c>
      <c r="H10" s="28">
        <f>1/(1+Summary!$O$3)^D10</f>
        <v>0.67683936202868722</v>
      </c>
      <c r="I10" s="28">
        <f>Summary!$J$8*'R7'!H10*'R7'!G11</f>
        <v>7166.7850956036946</v>
      </c>
      <c r="L10" s="28" t="e">
        <f>IF(Summary!$F$8="M",VLOOKUP(C:C,#REF!,IF(B10&gt;2033,22,MATCH(B10,#REF!,0)),FALSE),VLOOKUP(C:C,#REF!,IF(B10&gt;2033,22,MATCH(B10,#REF!,0)),FALSE))</f>
        <v>#REF!</v>
      </c>
      <c r="M10" s="28" t="e">
        <f t="shared" si="4"/>
        <v>#REF!</v>
      </c>
      <c r="N10" s="28" t="e">
        <f t="shared" si="5"/>
        <v>#REF!</v>
      </c>
      <c r="O10" s="28" t="e">
        <f>Summary!$J$8*'R7'!N10*'R7'!H10</f>
        <v>#REF!</v>
      </c>
    </row>
    <row r="11" spans="1:16" ht="24" customHeight="1">
      <c r="B11" s="30">
        <f t="shared" si="0"/>
        <v>2028</v>
      </c>
      <c r="C11" s="28">
        <f t="shared" si="1"/>
        <v>76</v>
      </c>
      <c r="D11" s="28">
        <v>9</v>
      </c>
      <c r="E11" s="28">
        <f>VLOOKUP(C:C, 'Total Data Set'!B:J, IF(Summary!$F$8="M", 4, 8), FALSE)</f>
        <v>2.9607999999999999E-2</v>
      </c>
      <c r="F11" s="28">
        <f t="shared" si="2"/>
        <v>0.97039200000000003</v>
      </c>
      <c r="G11" s="28">
        <f t="shared" si="3"/>
        <v>0.8414340157315634</v>
      </c>
      <c r="H11" s="28">
        <f>1/(1+Summary!$O$3)^D11</f>
        <v>0.64460891621779726</v>
      </c>
      <c r="I11" s="28">
        <f>Summary!$J$8*'R7'!H11*'R7'!G12</f>
        <v>6623.4199261838658</v>
      </c>
      <c r="L11" s="28" t="e">
        <f>IF(Summary!$F$8="M",VLOOKUP(C:C,#REF!,IF(B11&gt;2033,22,MATCH(B11,#REF!,0)),FALSE),VLOOKUP(C:C,#REF!,IF(B11&gt;2033,22,MATCH(B11,#REF!,0)),FALSE))</f>
        <v>#REF!</v>
      </c>
      <c r="M11" s="28" t="e">
        <f t="shared" si="4"/>
        <v>#REF!</v>
      </c>
      <c r="N11" s="28" t="e">
        <f t="shared" si="5"/>
        <v>#REF!</v>
      </c>
      <c r="O11" s="28" t="e">
        <f>Summary!$J$8*'R7'!N11*'R7'!H11</f>
        <v>#REF!</v>
      </c>
    </row>
    <row r="12" spans="1:16" ht="24" customHeight="1">
      <c r="B12" s="30">
        <f t="shared" si="0"/>
        <v>2029</v>
      </c>
      <c r="C12" s="28">
        <f t="shared" si="1"/>
        <v>77</v>
      </c>
      <c r="D12" s="28">
        <v>10</v>
      </c>
      <c r="E12" s="28">
        <f>VLOOKUP(C:C, 'Total Data Set'!B:J, IF(Summary!$F$8="M", 4, 8), FALSE)</f>
        <v>3.2735E-2</v>
      </c>
      <c r="F12" s="28">
        <f t="shared" si="2"/>
        <v>0.96726500000000004</v>
      </c>
      <c r="G12" s="28">
        <f t="shared" si="3"/>
        <v>0.81652083739378334</v>
      </c>
      <c r="H12" s="28">
        <f>1/(1+Summary!$O$3)^D12</f>
        <v>0.61391325354075932</v>
      </c>
      <c r="I12" s="28">
        <f>Summary!$J$8*'R7'!H12*'R7'!G13</f>
        <v>6101.5259760954641</v>
      </c>
      <c r="L12" s="28" t="e">
        <f>IF(Summary!$F$8="M",VLOOKUP(C:C,#REF!,IF(B12&gt;2033,22,MATCH(B12,#REF!,0)),FALSE),VLOOKUP(C:C,#REF!,IF(B12&gt;2033,22,MATCH(B12,#REF!,0)),FALSE))</f>
        <v>#REF!</v>
      </c>
      <c r="M12" s="28" t="e">
        <f t="shared" si="4"/>
        <v>#REF!</v>
      </c>
      <c r="N12" s="28" t="e">
        <f t="shared" si="5"/>
        <v>#REF!</v>
      </c>
      <c r="O12" s="28" t="e">
        <f>Summary!$J$8*'R7'!N12*'R7'!H12</f>
        <v>#REF!</v>
      </c>
    </row>
    <row r="13" spans="1:16" ht="24" customHeight="1">
      <c r="B13" s="30">
        <f t="shared" si="0"/>
        <v>2030</v>
      </c>
      <c r="C13" s="28">
        <f t="shared" si="1"/>
        <v>78</v>
      </c>
      <c r="D13" s="28">
        <v>11</v>
      </c>
      <c r="E13" s="28">
        <f>VLOOKUP(C:C, 'Total Data Set'!B:J, IF(Summary!$F$8="M", 4, 8), FALSE)</f>
        <v>3.6257999999999999E-2</v>
      </c>
      <c r="F13" s="28">
        <f t="shared" si="2"/>
        <v>0.96374199999999999</v>
      </c>
      <c r="G13" s="28">
        <f t="shared" si="3"/>
        <v>0.78979202778169788</v>
      </c>
      <c r="H13" s="28">
        <f>1/(1+Summary!$O$3)^D13</f>
        <v>0.5846792890864374</v>
      </c>
      <c r="I13" s="28">
        <f>Summary!$J$8*'R7'!H13*'R7'!G14</f>
        <v>5600.2827116706612</v>
      </c>
      <c r="L13" s="28" t="e">
        <f>IF(Summary!$F$8="M",VLOOKUP(C:C,#REF!,IF(B13&gt;2033,22,MATCH(B13,#REF!,0)),FALSE),VLOOKUP(C:C,#REF!,IF(B13&gt;2033,22,MATCH(B13,#REF!,0)),FALSE))</f>
        <v>#REF!</v>
      </c>
      <c r="M13" s="28" t="e">
        <f t="shared" si="4"/>
        <v>#REF!</v>
      </c>
      <c r="N13" s="28" t="e">
        <f t="shared" si="5"/>
        <v>#REF!</v>
      </c>
      <c r="O13" s="28" t="e">
        <f>Summary!$J$8*'R7'!N13*'R7'!H13</f>
        <v>#REF!</v>
      </c>
    </row>
    <row r="14" spans="1:16" ht="24" customHeight="1">
      <c r="B14" s="30">
        <f t="shared" si="0"/>
        <v>2031</v>
      </c>
      <c r="C14" s="28">
        <f t="shared" si="1"/>
        <v>79</v>
      </c>
      <c r="D14" s="28">
        <v>12</v>
      </c>
      <c r="E14" s="28">
        <f>VLOOKUP(C:C, 'Total Data Set'!B:J, IF(Summary!$F$8="M", 4, 8), FALSE)</f>
        <v>4.0231999999999997E-2</v>
      </c>
      <c r="F14" s="28">
        <f t="shared" si="2"/>
        <v>0.95976799999999995</v>
      </c>
      <c r="G14" s="28">
        <f t="shared" si="3"/>
        <v>0.76115574843838907</v>
      </c>
      <c r="H14" s="28">
        <f>1/(1+Summary!$O$3)^D14</f>
        <v>0.5568374181775595</v>
      </c>
      <c r="I14" s="28">
        <f>Summary!$J$8*'R7'!H14*'R7'!G15</f>
        <v>5119.021083442598</v>
      </c>
      <c r="L14" s="28" t="e">
        <f>IF(Summary!$F$8="M",VLOOKUP(C:C,#REF!,IF(B14&gt;2033,22,MATCH(B14,#REF!,0)),FALSE),VLOOKUP(C:C,#REF!,IF(B14&gt;2033,22,MATCH(B14,#REF!,0)),FALSE))</f>
        <v>#REF!</v>
      </c>
      <c r="M14" s="28" t="e">
        <f t="shared" si="4"/>
        <v>#REF!</v>
      </c>
      <c r="N14" s="28" t="e">
        <f t="shared" si="5"/>
        <v>#REF!</v>
      </c>
      <c r="O14" s="28" t="e">
        <f>Summary!$J$8*'R7'!N14*'R7'!H14</f>
        <v>#REF!</v>
      </c>
    </row>
    <row r="15" spans="1:16" ht="24" customHeight="1">
      <c r="B15" s="30">
        <f t="shared" si="0"/>
        <v>2032</v>
      </c>
      <c r="C15" s="28">
        <f t="shared" si="1"/>
        <v>80</v>
      </c>
      <c r="D15" s="28">
        <v>13</v>
      </c>
      <c r="E15" s="28">
        <f>VLOOKUP(C:C, 'Total Data Set'!B:J, IF(Summary!$F$8="M", 4, 8), FALSE)</f>
        <v>4.4721999999999998E-2</v>
      </c>
      <c r="F15" s="28">
        <f t="shared" si="2"/>
        <v>0.95527799999999996</v>
      </c>
      <c r="G15" s="28">
        <f t="shared" si="3"/>
        <v>0.73053293036721578</v>
      </c>
      <c r="H15" s="28">
        <f>1/(1+Summary!$O$3)^D15</f>
        <v>0.53032135064529462</v>
      </c>
      <c r="I15" s="28">
        <f>Summary!$J$8*'R7'!H15*'R7'!G16</f>
        <v>4657.2268786179775</v>
      </c>
      <c r="L15" s="28" t="e">
        <f>IF(Summary!$F$8="M",VLOOKUP(C:C,#REF!,IF(B15&gt;2033,22,MATCH(B15,#REF!,0)),FALSE),VLOOKUP(C:C,#REF!,IF(B15&gt;2033,22,MATCH(B15,#REF!,0)),FALSE))</f>
        <v>#REF!</v>
      </c>
      <c r="M15" s="28" t="e">
        <f t="shared" si="4"/>
        <v>#REF!</v>
      </c>
      <c r="N15" s="28" t="e">
        <f t="shared" si="5"/>
        <v>#REF!</v>
      </c>
      <c r="O15" s="28" t="e">
        <f>Summary!$J$8*'R7'!N15*'R7'!H15</f>
        <v>#REF!</v>
      </c>
    </row>
    <row r="16" spans="1:16" ht="24" customHeight="1">
      <c r="B16" s="30">
        <f t="shared" si="0"/>
        <v>2033</v>
      </c>
      <c r="C16" s="28">
        <f t="shared" si="1"/>
        <v>81</v>
      </c>
      <c r="D16" s="28">
        <v>14</v>
      </c>
      <c r="E16" s="28">
        <f>VLOOKUP(C:C, 'Total Data Set'!B:J, IF(Summary!$F$8="M", 4, 8), FALSE)</f>
        <v>4.9794999999999999E-2</v>
      </c>
      <c r="F16" s="28">
        <f t="shared" si="2"/>
        <v>0.95020499999999997</v>
      </c>
      <c r="G16" s="28">
        <f t="shared" si="3"/>
        <v>0.69786203665533308</v>
      </c>
      <c r="H16" s="28">
        <f>1/(1+Summary!$O$3)^D16</f>
        <v>0.50506795299551888</v>
      </c>
      <c r="I16" s="28">
        <f>Summary!$J$8*'R7'!H16*'R7'!G17</f>
        <v>4214.5907297116164</v>
      </c>
      <c r="L16" s="28" t="e">
        <f>IF(Summary!$F$8="M",VLOOKUP(C:C,#REF!,IF(B16&gt;2033,22,MATCH(B16,#REF!,0)),FALSE),VLOOKUP(C:C,#REF!,IF(B16&gt;2033,22,MATCH(B16,#REF!,0)),FALSE))</f>
        <v>#REF!</v>
      </c>
      <c r="M16" s="28" t="e">
        <f t="shared" si="4"/>
        <v>#REF!</v>
      </c>
      <c r="N16" s="28" t="e">
        <f t="shared" si="5"/>
        <v>#REF!</v>
      </c>
      <c r="O16" s="28" t="e">
        <f>Summary!$J$8*'R7'!N16*'R7'!H16</f>
        <v>#REF!</v>
      </c>
    </row>
    <row r="17" spans="2:15" ht="24" customHeight="1">
      <c r="B17" s="30">
        <f t="shared" si="0"/>
        <v>2034</v>
      </c>
      <c r="C17" s="28">
        <f t="shared" si="1"/>
        <v>82</v>
      </c>
      <c r="D17" s="28">
        <v>15</v>
      </c>
      <c r="E17" s="28">
        <f>VLOOKUP(C:C, 'Total Data Set'!B:J, IF(Summary!$F$8="M", 4, 8), FALSE)</f>
        <v>5.5525999999999999E-2</v>
      </c>
      <c r="F17" s="28">
        <f t="shared" si="2"/>
        <v>0.94447400000000004</v>
      </c>
      <c r="G17" s="28">
        <f t="shared" si="3"/>
        <v>0.66311199654008079</v>
      </c>
      <c r="H17" s="28">
        <f>1/(1+Summary!$O$3)^D17</f>
        <v>0.48101709809097021</v>
      </c>
      <c r="I17" s="28">
        <f>Summary!$J$8*'R7'!H17*'R7'!G18</f>
        <v>3791.0203474796649</v>
      </c>
      <c r="L17" s="28" t="e">
        <f>IF(Summary!$F$8="M",VLOOKUP(C:C,#REF!,IF(B17&gt;2033,22,MATCH(B17,#REF!,0)),FALSE),VLOOKUP(C:C,#REF!,IF(B17&gt;2033,22,MATCH(B17,#REF!,0)),FALSE))</f>
        <v>#REF!</v>
      </c>
      <c r="M17" s="28" t="e">
        <f t="shared" si="4"/>
        <v>#REF!</v>
      </c>
      <c r="N17" s="28" t="e">
        <f t="shared" si="5"/>
        <v>#REF!</v>
      </c>
      <c r="O17" s="28" t="e">
        <f>Summary!$J$8*'R7'!N17*'R7'!H17</f>
        <v>#REF!</v>
      </c>
    </row>
    <row r="18" spans="2:15" ht="24" customHeight="1">
      <c r="B18" s="30">
        <f t="shared" si="0"/>
        <v>2035</v>
      </c>
      <c r="C18" s="28">
        <f t="shared" si="1"/>
        <v>83</v>
      </c>
      <c r="D18" s="28">
        <v>16</v>
      </c>
      <c r="E18" s="28">
        <f>VLOOKUP(C:C, 'Total Data Set'!B:J, IF(Summary!$F$8="M", 4, 8), FALSE)</f>
        <v>6.1996000000000002E-2</v>
      </c>
      <c r="F18" s="28">
        <f t="shared" si="2"/>
        <v>0.93800399999999995</v>
      </c>
      <c r="G18" s="28">
        <f t="shared" si="3"/>
        <v>0.62629203982019632</v>
      </c>
      <c r="H18" s="28">
        <f>1/(1+Summary!$O$3)^D18</f>
        <v>0.45811152199140021</v>
      </c>
      <c r="I18" s="28">
        <f>Summary!$J$8*'R7'!H18*'R7'!G19</f>
        <v>3386.6592857307764</v>
      </c>
      <c r="L18" s="28" t="e">
        <f>IF(Summary!$F$8="M",VLOOKUP(C:C,#REF!,IF(B18&gt;2033,22,MATCH(B18,#REF!,0)),FALSE),VLOOKUP(C:C,#REF!,IF(B18&gt;2033,22,MATCH(B18,#REF!,0)),FALSE))</f>
        <v>#REF!</v>
      </c>
      <c r="M18" s="28" t="e">
        <f t="shared" si="4"/>
        <v>#REF!</v>
      </c>
      <c r="N18" s="28" t="e">
        <f t="shared" si="5"/>
        <v>#REF!</v>
      </c>
      <c r="O18" s="28" t="e">
        <f>Summary!$J$8*'R7'!N18*'R7'!H18</f>
        <v>#REF!</v>
      </c>
    </row>
    <row r="19" spans="2:15" ht="24" customHeight="1">
      <c r="B19" s="30">
        <f t="shared" si="0"/>
        <v>2036</v>
      </c>
      <c r="C19" s="28">
        <f t="shared" si="1"/>
        <v>84</v>
      </c>
      <c r="D19" s="28">
        <v>17</v>
      </c>
      <c r="E19" s="28">
        <f>VLOOKUP(C:C, 'Total Data Set'!B:J, IF(Summary!$F$8="M", 4, 8), FALSE)</f>
        <v>6.9290000000000004E-2</v>
      </c>
      <c r="F19" s="28">
        <f t="shared" si="2"/>
        <v>0.93071000000000004</v>
      </c>
      <c r="G19" s="28">
        <f t="shared" si="3"/>
        <v>0.58746443851950336</v>
      </c>
      <c r="H19" s="28">
        <f>1/(1+Summary!$O$3)^D19</f>
        <v>0.43629668761085727</v>
      </c>
      <c r="I19" s="28">
        <f>Summary!$J$8*'R7'!H19*'R7'!G20</f>
        <v>3001.902536973801</v>
      </c>
      <c r="L19" s="28" t="e">
        <f>IF(Summary!$F$8="M",VLOOKUP(C:C,#REF!,IF(B19&gt;2033,22,MATCH(B19,#REF!,0)),FALSE),VLOOKUP(C:C,#REF!,IF(B19&gt;2033,22,MATCH(B19,#REF!,0)),FALSE))</f>
        <v>#REF!</v>
      </c>
      <c r="M19" s="28" t="e">
        <f t="shared" si="4"/>
        <v>#REF!</v>
      </c>
      <c r="N19" s="28" t="e">
        <f t="shared" si="5"/>
        <v>#REF!</v>
      </c>
      <c r="O19" s="28" t="e">
        <f>Summary!$J$8*'R7'!N19*'R7'!H19</f>
        <v>#REF!</v>
      </c>
    </row>
    <row r="20" spans="2:15" ht="24" customHeight="1">
      <c r="B20" s="30">
        <f t="shared" si="0"/>
        <v>2037</v>
      </c>
      <c r="C20" s="28">
        <f t="shared" si="1"/>
        <v>85</v>
      </c>
      <c r="D20" s="28">
        <v>18</v>
      </c>
      <c r="E20" s="28">
        <f>VLOOKUP(C:C, 'Total Data Set'!B:J, IF(Summary!$F$8="M", 4, 8), FALSE)</f>
        <v>7.7496999999999996E-2</v>
      </c>
      <c r="F20" s="28">
        <f t="shared" si="2"/>
        <v>0.92250299999999996</v>
      </c>
      <c r="G20" s="28">
        <f t="shared" si="3"/>
        <v>0.54675902757448702</v>
      </c>
      <c r="H20" s="28">
        <f>1/(1+Summary!$O$3)^D20</f>
        <v>0.41552065486748313</v>
      </c>
      <c r="I20" s="28">
        <f>Summary!$J$8*'R7'!H20*'R7'!G21</f>
        <v>2637.3943772056591</v>
      </c>
      <c r="L20" s="28" t="e">
        <f>IF(Summary!$F$8="M",VLOOKUP(C:C,#REF!,IF(B20&gt;2033,22,MATCH(B20,#REF!,0)),FALSE),VLOOKUP(C:C,#REF!,IF(B20&gt;2033,22,MATCH(B20,#REF!,0)),FALSE))</f>
        <v>#REF!</v>
      </c>
      <c r="M20" s="28" t="e">
        <f t="shared" si="4"/>
        <v>#REF!</v>
      </c>
      <c r="N20" s="28" t="e">
        <f t="shared" si="5"/>
        <v>#REF!</v>
      </c>
      <c r="O20" s="28" t="e">
        <f>Summary!$J$8*'R7'!N20*'R7'!H20</f>
        <v>#REF!</v>
      </c>
    </row>
    <row r="21" spans="2:15" ht="24" customHeight="1">
      <c r="B21" s="30">
        <f t="shared" si="0"/>
        <v>2038</v>
      </c>
      <c r="C21" s="28">
        <f t="shared" si="1"/>
        <v>86</v>
      </c>
      <c r="D21" s="28">
        <v>19</v>
      </c>
      <c r="E21" s="28">
        <f>VLOOKUP(C:C, 'Total Data Set'!B:J, IF(Summary!$F$8="M", 4, 8), FALSE)</f>
        <v>8.6711999999999997E-2</v>
      </c>
      <c r="F21" s="28">
        <f t="shared" si="2"/>
        <v>0.91328799999999999</v>
      </c>
      <c r="G21" s="28">
        <f t="shared" si="3"/>
        <v>0.50438684321454696</v>
      </c>
      <c r="H21" s="28">
        <f>1/(1+Summary!$O$3)^D21</f>
        <v>0.39573395701665059</v>
      </c>
      <c r="I21" s="28">
        <f>Summary!$J$8*'R7'!H21*'R7'!G22</f>
        <v>2294.0006056851448</v>
      </c>
      <c r="L21" s="28" t="e">
        <f>IF(Summary!$F$8="M",VLOOKUP(C:C,#REF!,IF(B21&gt;2033,22,MATCH(B21,#REF!,0)),FALSE),VLOOKUP(C:C,#REF!,IF(B21&gt;2033,22,MATCH(B21,#REF!,0)),FALSE))</f>
        <v>#REF!</v>
      </c>
      <c r="M21" s="28" t="e">
        <f t="shared" si="4"/>
        <v>#REF!</v>
      </c>
      <c r="N21" s="28" t="e">
        <f t="shared" si="5"/>
        <v>#REF!</v>
      </c>
      <c r="O21" s="28" t="e">
        <f>Summary!$J$8*'R7'!N21*'R7'!H21</f>
        <v>#REF!</v>
      </c>
    </row>
    <row r="22" spans="2:15" ht="24" customHeight="1">
      <c r="B22" s="30">
        <f t="shared" si="0"/>
        <v>2039</v>
      </c>
      <c r="C22" s="28">
        <f t="shared" si="1"/>
        <v>87</v>
      </c>
      <c r="D22" s="28">
        <v>20</v>
      </c>
      <c r="E22" s="28">
        <f>VLOOKUP(C:C, 'Total Data Set'!B:J, IF(Summary!$F$8="M", 4, 8), FALSE)</f>
        <v>9.7037999999999999E-2</v>
      </c>
      <c r="F22" s="28">
        <f t="shared" si="2"/>
        <v>0.90296200000000004</v>
      </c>
      <c r="G22" s="28">
        <f t="shared" si="3"/>
        <v>0.46065045126572718</v>
      </c>
      <c r="H22" s="28">
        <f>1/(1+Summary!$O$3)^D22</f>
        <v>0.37688948287300061</v>
      </c>
      <c r="I22" s="28">
        <f>Summary!$J$8*'R7'!H22*'R7'!G23</f>
        <v>1972.7574999149235</v>
      </c>
      <c r="L22" s="28" t="e">
        <f>IF(Summary!$F$8="M",VLOOKUP(C:C,#REF!,IF(B22&gt;2033,22,MATCH(B22,#REF!,0)),FALSE),VLOOKUP(C:C,#REF!,IF(B22&gt;2033,22,MATCH(B22,#REF!,0)),FALSE))</f>
        <v>#REF!</v>
      </c>
      <c r="M22" s="28" t="e">
        <f t="shared" si="4"/>
        <v>#REF!</v>
      </c>
      <c r="N22" s="28" t="e">
        <f t="shared" si="5"/>
        <v>#REF!</v>
      </c>
      <c r="O22" s="28" t="e">
        <f>Summary!$J$8*'R7'!N22*'R7'!H22</f>
        <v>#REF!</v>
      </c>
    </row>
    <row r="23" spans="2:15" ht="24" customHeight="1">
      <c r="B23" s="30">
        <f t="shared" si="0"/>
        <v>2040</v>
      </c>
      <c r="C23" s="28">
        <f t="shared" si="1"/>
        <v>88</v>
      </c>
      <c r="D23" s="28">
        <v>21</v>
      </c>
      <c r="E23" s="28">
        <f>VLOOKUP(C:C, 'Total Data Set'!B:J, IF(Summary!$F$8="M", 4, 8), FALSE)</f>
        <v>0.10859099999999999</v>
      </c>
      <c r="F23" s="28">
        <f t="shared" si="2"/>
        <v>0.89140900000000001</v>
      </c>
      <c r="G23" s="28">
        <f t="shared" si="3"/>
        <v>0.41594985277580354</v>
      </c>
      <c r="H23" s="28">
        <f>1/(1+Summary!$O$3)^D23</f>
        <v>0.35894236464095297</v>
      </c>
      <c r="I23" s="28">
        <f>Summary!$J$8*'R7'!H23*'R7'!G24</f>
        <v>1674.7940859444402</v>
      </c>
      <c r="L23" s="28" t="e">
        <f>IF(Summary!$F$8="M",VLOOKUP(C:C,#REF!,IF(B23&gt;2033,22,MATCH(B23,#REF!,0)),FALSE),VLOOKUP(C:C,#REF!,IF(B23&gt;2033,22,MATCH(B23,#REF!,0)),FALSE))</f>
        <v>#REF!</v>
      </c>
      <c r="M23" s="28" t="e">
        <f t="shared" si="4"/>
        <v>#REF!</v>
      </c>
      <c r="N23" s="28" t="e">
        <f t="shared" si="5"/>
        <v>#REF!</v>
      </c>
      <c r="O23" s="28" t="e">
        <f>Summary!$J$8*'R7'!N23*'R7'!H23</f>
        <v>#REF!</v>
      </c>
    </row>
    <row r="24" spans="2:15" ht="24" customHeight="1">
      <c r="B24" s="30">
        <f t="shared" si="0"/>
        <v>2041</v>
      </c>
      <c r="C24" s="28">
        <f t="shared" si="1"/>
        <v>89</v>
      </c>
      <c r="D24" s="28">
        <v>22</v>
      </c>
      <c r="E24" s="28">
        <f>VLOOKUP(C:C, 'Total Data Set'!B:J, IF(Summary!$F$8="M", 4, 8), FALSE)</f>
        <v>0.121499</v>
      </c>
      <c r="F24" s="28">
        <f t="shared" si="2"/>
        <v>0.87850099999999998</v>
      </c>
      <c r="G24" s="28">
        <f t="shared" si="3"/>
        <v>0.37078144231302629</v>
      </c>
      <c r="H24" s="28">
        <f>1/(1+Summary!$O$3)^D24</f>
        <v>0.3418498710866219</v>
      </c>
      <c r="I24" s="28">
        <f>Summary!$J$8*'R7'!H24*'R7'!G25</f>
        <v>1401.2459802821684</v>
      </c>
      <c r="L24" s="28" t="e">
        <f>IF(Summary!$F$8="M",VLOOKUP(C:C,#REF!,IF(B24&gt;2033,22,MATCH(B24,#REF!,0)),FALSE),VLOOKUP(C:C,#REF!,IF(B24&gt;2033,22,MATCH(B24,#REF!,0)),FALSE))</f>
        <v>#REF!</v>
      </c>
      <c r="M24" s="28" t="e">
        <f t="shared" si="4"/>
        <v>#REF!</v>
      </c>
      <c r="N24" s="28" t="e">
        <f t="shared" si="5"/>
        <v>#REF!</v>
      </c>
      <c r="O24" s="28" t="e">
        <f>Summary!$J$8*'R7'!N24*'R7'!H24</f>
        <v>#REF!</v>
      </c>
    </row>
    <row r="25" spans="2:15" ht="24" customHeight="1">
      <c r="B25" s="30">
        <f t="shared" si="0"/>
        <v>2042</v>
      </c>
      <c r="C25" s="28">
        <f t="shared" si="1"/>
        <v>90</v>
      </c>
      <c r="D25" s="28">
        <v>23</v>
      </c>
      <c r="E25" s="28">
        <f>VLOOKUP(C:C, 'Total Data Set'!B:J, IF(Summary!$F$8="M", 4, 8), FALSE)</f>
        <v>0.135908</v>
      </c>
      <c r="F25" s="28">
        <f t="shared" si="2"/>
        <v>0.86409199999999997</v>
      </c>
      <c r="G25" s="28">
        <f t="shared" si="3"/>
        <v>0.32573186785343589</v>
      </c>
      <c r="H25" s="28">
        <f>1/(1+Summary!$O$3)^D25</f>
        <v>0.32557130579678267</v>
      </c>
      <c r="I25" s="28">
        <f>Summary!$J$8*'R7'!H25*'R7'!G26</f>
        <v>1153.1480396133134</v>
      </c>
      <c r="L25" s="28" t="e">
        <f>IF(Summary!$F$8="M",VLOOKUP(C:C,#REF!,IF(B25&gt;2033,22,MATCH(B25,#REF!,0)),FALSE),VLOOKUP(C:C,#REF!,IF(B25&gt;2033,22,MATCH(B25,#REF!,0)),FALSE))</f>
        <v>#REF!</v>
      </c>
      <c r="M25" s="28" t="e">
        <f t="shared" si="4"/>
        <v>#REF!</v>
      </c>
      <c r="N25" s="28" t="e">
        <f t="shared" si="5"/>
        <v>#REF!</v>
      </c>
      <c r="O25" s="28" t="e">
        <f>Summary!$J$8*'R7'!N25*'R7'!H25</f>
        <v>#REF!</v>
      </c>
    </row>
    <row r="26" spans="2:15" ht="24" customHeight="1">
      <c r="B26" s="30">
        <f t="shared" si="0"/>
        <v>2043</v>
      </c>
      <c r="C26" s="28">
        <f t="shared" si="1"/>
        <v>91</v>
      </c>
      <c r="D26" s="28">
        <v>24</v>
      </c>
      <c r="E26" s="28">
        <f>VLOOKUP(C:C, 'Total Data Set'!B:J, IF(Summary!$F$8="M", 4, 8), FALSE)</f>
        <v>0.15132200000000001</v>
      </c>
      <c r="F26" s="28">
        <f t="shared" si="2"/>
        <v>0.84867800000000004</v>
      </c>
      <c r="G26" s="28">
        <f t="shared" si="3"/>
        <v>0.2814623011572111</v>
      </c>
      <c r="H26" s="28">
        <f>1/(1+Summary!$O$3)^D26</f>
        <v>0.31006791028265024</v>
      </c>
      <c r="I26" s="28">
        <f>Summary!$J$8*'R7'!H26*'R7'!G27</f>
        <v>932.04892567899788</v>
      </c>
      <c r="L26" s="28" t="e">
        <f>IF(Summary!$F$8="M",VLOOKUP(C:C,#REF!,IF(B26&gt;2033,22,MATCH(B26,#REF!,0)),FALSE),VLOOKUP(C:C,#REF!,IF(B26&gt;2033,22,MATCH(B26,#REF!,0)),FALSE))</f>
        <v>#REF!</v>
      </c>
      <c r="M26" s="28" t="e">
        <f t="shared" si="4"/>
        <v>#REF!</v>
      </c>
      <c r="N26" s="28" t="e">
        <f t="shared" si="5"/>
        <v>#REF!</v>
      </c>
      <c r="O26" s="28" t="e">
        <f>Summary!$J$8*'R7'!N26*'R7'!H26</f>
        <v>#REF!</v>
      </c>
    </row>
    <row r="27" spans="2:15" ht="24" customHeight="1">
      <c r="B27" s="30">
        <f t="shared" si="0"/>
        <v>2044</v>
      </c>
      <c r="C27" s="28">
        <f t="shared" si="1"/>
        <v>92</v>
      </c>
      <c r="D27" s="28">
        <v>25</v>
      </c>
      <c r="E27" s="28">
        <f>VLOOKUP(C:C, 'Total Data Set'!B:J, IF(Summary!$F$8="M", 4, 8), FALSE)</f>
        <v>0.16742199999999999</v>
      </c>
      <c r="F27" s="28">
        <f t="shared" si="2"/>
        <v>0.83257800000000004</v>
      </c>
      <c r="G27" s="28">
        <f t="shared" si="3"/>
        <v>0.23887086282149961</v>
      </c>
      <c r="H27" s="28">
        <f>1/(1+Summary!$O$3)^D27</f>
        <v>0.29530277169776209</v>
      </c>
      <c r="I27" s="28">
        <f>Summary!$J$8*'R7'!H27*'R7'!G28</f>
        <v>739.05088613711291</v>
      </c>
      <c r="L27" s="28" t="e">
        <f>IF(Summary!$F$8="M",VLOOKUP(C:C,#REF!,IF(B27&gt;2033,22,MATCH(B27,#REF!,0)),FALSE),VLOOKUP(C:C,#REF!,IF(B27&gt;2033,22,MATCH(B27,#REF!,0)),FALSE))</f>
        <v>#REF!</v>
      </c>
      <c r="M27" s="28" t="e">
        <f t="shared" si="4"/>
        <v>#REF!</v>
      </c>
      <c r="N27" s="28" t="e">
        <f t="shared" si="5"/>
        <v>#REF!</v>
      </c>
      <c r="O27" s="28" t="e">
        <f>Summary!$J$8*'R7'!N27*'R7'!H27</f>
        <v>#REF!</v>
      </c>
    </row>
    <row r="28" spans="2:15" ht="24" customHeight="1">
      <c r="B28" s="30">
        <f t="shared" si="0"/>
        <v>2045</v>
      </c>
      <c r="C28" s="28">
        <f t="shared" si="1"/>
        <v>93</v>
      </c>
      <c r="D28" s="28">
        <v>26</v>
      </c>
      <c r="E28" s="28">
        <f>VLOOKUP(C:C, 'Total Data Set'!B:J, IF(Summary!$F$8="M", 4, 8), FALSE)</f>
        <v>0.18403</v>
      </c>
      <c r="F28" s="28">
        <f t="shared" si="2"/>
        <v>0.81596999999999997</v>
      </c>
      <c r="G28" s="28">
        <f t="shared" si="3"/>
        <v>0.19887862522619851</v>
      </c>
      <c r="H28" s="28">
        <f>1/(1+Summary!$O$3)^D28</f>
        <v>0.28124073495024959</v>
      </c>
      <c r="I28" s="28">
        <f>Summary!$J$8*'R7'!H28*'R7'!G29</f>
        <v>574.32700148695244</v>
      </c>
      <c r="L28" s="28" t="e">
        <f>IF(Summary!$F$8="M",VLOOKUP(C:C,#REF!,IF(B28&gt;2033,22,MATCH(B28,#REF!,0)),FALSE),VLOOKUP(C:C,#REF!,IF(B28&gt;2033,22,MATCH(B28,#REF!,0)),FALSE))</f>
        <v>#REF!</v>
      </c>
      <c r="M28" s="28" t="e">
        <f t="shared" si="4"/>
        <v>#REF!</v>
      </c>
      <c r="N28" s="28" t="e">
        <f t="shared" si="5"/>
        <v>#REF!</v>
      </c>
      <c r="O28" s="28" t="e">
        <f>Summary!$J$8*'R7'!N28*'R7'!H28</f>
        <v>#REF!</v>
      </c>
    </row>
    <row r="29" spans="2:15" ht="24" customHeight="1">
      <c r="B29" s="30">
        <f t="shared" si="0"/>
        <v>2046</v>
      </c>
      <c r="C29" s="28">
        <f t="shared" si="1"/>
        <v>94</v>
      </c>
      <c r="D29" s="28">
        <v>27</v>
      </c>
      <c r="E29" s="28">
        <f>VLOOKUP(C:C, 'Total Data Set'!B:J, IF(Summary!$F$8="M", 4, 8), FALSE)</f>
        <v>0.201074</v>
      </c>
      <c r="F29" s="28">
        <f t="shared" si="2"/>
        <v>0.79892600000000003</v>
      </c>
      <c r="G29" s="28">
        <f t="shared" si="3"/>
        <v>0.1622789918258212</v>
      </c>
      <c r="H29" s="28">
        <f>1/(1+Summary!$O$3)^D29</f>
        <v>0.2678483190002377</v>
      </c>
      <c r="I29" s="28">
        <f>Summary!$J$8*'R7'!H29*'R7'!G30</f>
        <v>436.99502284758563</v>
      </c>
      <c r="L29" s="28" t="e">
        <f>IF(Summary!$F$8="M",VLOOKUP(C:C,#REF!,IF(B29&gt;2033,22,MATCH(B29,#REF!,0)),FALSE),VLOOKUP(C:C,#REF!,IF(B29&gt;2033,22,MATCH(B29,#REF!,0)),FALSE))</f>
        <v>#REF!</v>
      </c>
      <c r="M29" s="28" t="e">
        <f t="shared" si="4"/>
        <v>#REF!</v>
      </c>
      <c r="N29" s="28" t="e">
        <f t="shared" si="5"/>
        <v>#REF!</v>
      </c>
      <c r="O29" s="28" t="e">
        <f>Summary!$J$8*'R7'!N29*'R7'!H29</f>
        <v>#REF!</v>
      </c>
    </row>
    <row r="30" spans="2:15" ht="24" customHeight="1">
      <c r="B30" s="30">
        <f t="shared" si="0"/>
        <v>2047</v>
      </c>
      <c r="C30" s="28">
        <f t="shared" si="1"/>
        <v>95</v>
      </c>
      <c r="D30" s="28">
        <v>28</v>
      </c>
      <c r="E30" s="28">
        <f>VLOOKUP(C:C, 'Total Data Set'!B:J, IF(Summary!$F$8="M", 4, 8), FALSE)</f>
        <v>0.218559</v>
      </c>
      <c r="F30" s="28">
        <f t="shared" si="2"/>
        <v>0.78144100000000005</v>
      </c>
      <c r="G30" s="28">
        <f t="shared" si="3"/>
        <v>0.12964890582343602</v>
      </c>
      <c r="H30" s="28">
        <f>1/(1+Summary!$O$3)^D30</f>
        <v>0.25509363714308358</v>
      </c>
      <c r="I30" s="28">
        <f>Summary!$J$8*'R7'!H30*'R7'!G31</f>
        <v>325.22459776099078</v>
      </c>
      <c r="L30" s="28" t="e">
        <f>IF(Summary!$F$8="M",VLOOKUP(C:C,#REF!,IF(B30&gt;2033,22,MATCH(B30,#REF!,0)),FALSE),VLOOKUP(C:C,#REF!,IF(B30&gt;2033,22,MATCH(B30,#REF!,0)),FALSE))</f>
        <v>#REF!</v>
      </c>
      <c r="M30" s="28" t="e">
        <f t="shared" si="4"/>
        <v>#REF!</v>
      </c>
      <c r="N30" s="28" t="e">
        <f t="shared" si="5"/>
        <v>#REF!</v>
      </c>
      <c r="O30" s="28" t="e">
        <f>Summary!$J$8*'R7'!N30*'R7'!H30</f>
        <v>#REF!</v>
      </c>
    </row>
    <row r="31" spans="2:15" ht="24" customHeight="1">
      <c r="B31" s="30">
        <f t="shared" si="0"/>
        <v>2048</v>
      </c>
      <c r="C31" s="28">
        <f t="shared" si="1"/>
        <v>96</v>
      </c>
      <c r="D31" s="28">
        <v>29</v>
      </c>
      <c r="E31" s="28">
        <f>VLOOKUP(C:C, 'Total Data Set'!B:J, IF(Summary!$F$8="M", 4, 8), FALSE)</f>
        <v>0.236535</v>
      </c>
      <c r="F31" s="28">
        <f t="shared" si="2"/>
        <v>0.76346500000000006</v>
      </c>
      <c r="G31" s="28">
        <f t="shared" si="3"/>
        <v>0.10131297061557168</v>
      </c>
      <c r="H31" s="28">
        <f>1/(1+Summary!$O$3)^D31</f>
        <v>0.24294632108865097</v>
      </c>
      <c r="I31" s="28">
        <f>Summary!$J$8*'R7'!H31*'R7'!G32</f>
        <v>236.47390240913785</v>
      </c>
      <c r="L31" s="28" t="e">
        <f>IF(Summary!$F$8="M",VLOOKUP(C:C,#REF!,IF(B31&gt;2033,22,MATCH(B31,#REF!,0)),FALSE),VLOOKUP(C:C,#REF!,IF(B31&gt;2033,22,MATCH(B31,#REF!,0)),FALSE))</f>
        <v>#REF!</v>
      </c>
      <c r="M31" s="28" t="e">
        <f t="shared" si="4"/>
        <v>#REF!</v>
      </c>
      <c r="N31" s="28" t="e">
        <f t="shared" si="5"/>
        <v>#REF!</v>
      </c>
      <c r="O31" s="28" t="e">
        <f>Summary!$J$8*'R7'!N31*'R7'!H31</f>
        <v>#REF!</v>
      </c>
    </row>
    <row r="32" spans="2:15" ht="24" customHeight="1">
      <c r="B32" s="30">
        <f t="shared" si="0"/>
        <v>2049</v>
      </c>
      <c r="C32" s="28">
        <f t="shared" si="1"/>
        <v>97</v>
      </c>
      <c r="D32" s="28">
        <v>30</v>
      </c>
      <c r="E32" s="28">
        <f>VLOOKUP(C:C, 'Total Data Set'!B:J, IF(Summary!$F$8="M", 4, 8), FALSE)</f>
        <v>0.25505899999999998</v>
      </c>
      <c r="F32" s="28">
        <f t="shared" si="2"/>
        <v>0.74494100000000008</v>
      </c>
      <c r="G32" s="28">
        <f t="shared" si="3"/>
        <v>7.734890711101744E-2</v>
      </c>
      <c r="H32" s="28">
        <f>1/(1+Summary!$O$3)^D32</f>
        <v>0.23137744865585813</v>
      </c>
      <c r="I32" s="28">
        <f>Summary!$J$8*'R7'!H32*'R7'!G33</f>
        <v>167.77057650911016</v>
      </c>
      <c r="L32" s="28" t="e">
        <f>IF(Summary!$F$8="M",VLOOKUP(C:C,#REF!,IF(B32&gt;2033,22,MATCH(B32,#REF!,0)),FALSE),VLOOKUP(C:C,#REF!,IF(B32&gt;2033,22,MATCH(B32,#REF!,0)),FALSE))</f>
        <v>#REF!</v>
      </c>
      <c r="M32" s="28" t="e">
        <f t="shared" si="4"/>
        <v>#REF!</v>
      </c>
      <c r="N32" s="28" t="e">
        <f t="shared" si="5"/>
        <v>#REF!</v>
      </c>
      <c r="O32" s="28" t="e">
        <f>Summary!$J$8*'R7'!N32*'R7'!H32</f>
        <v>#REF!</v>
      </c>
    </row>
    <row r="33" spans="2:15" ht="24" customHeight="1">
      <c r="B33" s="30">
        <f t="shared" si="0"/>
        <v>2050</v>
      </c>
      <c r="C33" s="28">
        <f t="shared" si="1"/>
        <v>98</v>
      </c>
      <c r="D33" s="28">
        <v>31</v>
      </c>
      <c r="E33" s="28">
        <f>VLOOKUP(C:C, 'Total Data Set'!B:J, IF(Summary!$F$8="M", 4, 8), FALSE)</f>
        <v>0.27417000000000002</v>
      </c>
      <c r="F33" s="28">
        <f t="shared" si="2"/>
        <v>0.72582999999999998</v>
      </c>
      <c r="G33" s="28">
        <f t="shared" si="3"/>
        <v>5.762037221218845E-2</v>
      </c>
      <c r="H33" s="28">
        <f>1/(1+Summary!$O$3)^D33</f>
        <v>0.220359474910341</v>
      </c>
      <c r="I33" s="28">
        <f>Summary!$J$8*'R7'!H33*'R7'!G34</f>
        <v>115.97420718819748</v>
      </c>
      <c r="L33" s="28" t="e">
        <f>IF(Summary!$F$8="M",VLOOKUP(C:C,#REF!,IF(B33&gt;2033,22,MATCH(B33,#REF!,0)),FALSE),VLOOKUP(C:C,#REF!,IF(B33&gt;2033,22,MATCH(B33,#REF!,0)),FALSE))</f>
        <v>#REF!</v>
      </c>
      <c r="M33" s="28" t="e">
        <f t="shared" si="4"/>
        <v>#REF!</v>
      </c>
      <c r="N33" s="28" t="e">
        <f t="shared" si="5"/>
        <v>#REF!</v>
      </c>
      <c r="O33" s="28" t="e">
        <f>Summary!$J$8*'R7'!N33*'R7'!H33</f>
        <v>#REF!</v>
      </c>
    </row>
    <row r="34" spans="2:15" ht="24" customHeight="1">
      <c r="B34" s="30">
        <f t="shared" si="0"/>
        <v>2051</v>
      </c>
      <c r="C34" s="28">
        <f t="shared" si="1"/>
        <v>99</v>
      </c>
      <c r="D34" s="28">
        <v>32</v>
      </c>
      <c r="E34" s="28">
        <f>VLOOKUP(C:C, 'Total Data Set'!B:J, IF(Summary!$F$8="M", 4, 8), FALSE)</f>
        <v>0.293848</v>
      </c>
      <c r="F34" s="28">
        <f t="shared" si="2"/>
        <v>0.706152</v>
      </c>
      <c r="G34" s="28">
        <f t="shared" si="3"/>
        <v>4.1822594762772738E-2</v>
      </c>
      <c r="H34" s="28">
        <f>1/(1+Summary!$O$3)^D34</f>
        <v>0.20986616658127716</v>
      </c>
      <c r="I34" s="28">
        <f>Summary!$J$8*'R7'!H34*'R7'!G35</f>
        <v>77.995636527961935</v>
      </c>
      <c r="L34" s="28" t="e">
        <f>IF(Summary!$F$8="M",VLOOKUP(C:C,#REF!,IF(B34&gt;2033,22,MATCH(B34,#REF!,0)),FALSE),VLOOKUP(C:C,#REF!,IF(B34&gt;2033,22,MATCH(B34,#REF!,0)),FALSE))</f>
        <v>#REF!</v>
      </c>
      <c r="M34" s="28" t="e">
        <f t="shared" si="4"/>
        <v>#REF!</v>
      </c>
      <c r="N34" s="28" t="e">
        <f t="shared" si="5"/>
        <v>#REF!</v>
      </c>
      <c r="O34" s="28" t="e">
        <f>Summary!$J$8*'R7'!N34*'R7'!H34</f>
        <v>#REF!</v>
      </c>
    </row>
    <row r="35" spans="2:15" ht="24" customHeight="1">
      <c r="B35" s="30">
        <f t="shared" si="0"/>
        <v>2052</v>
      </c>
      <c r="C35" s="28">
        <f t="shared" si="1"/>
        <v>100</v>
      </c>
      <c r="D35" s="28">
        <v>33</v>
      </c>
      <c r="E35" s="28">
        <f>VLOOKUP(C:C, 'Total Data Set'!B:J, IF(Summary!$F$8="M", 4, 8), FALSE)</f>
        <v>0.31398799999999999</v>
      </c>
      <c r="F35" s="28">
        <f t="shared" si="2"/>
        <v>0.68601200000000007</v>
      </c>
      <c r="G35" s="28">
        <f t="shared" si="3"/>
        <v>2.9533108936921494E-2</v>
      </c>
      <c r="H35" s="28">
        <f>1/(1+Summary!$O$3)^D35</f>
        <v>0.19987253960121634</v>
      </c>
      <c r="I35" s="28">
        <f>Summary!$J$8*'R7'!H35*'R7'!G36</f>
        <v>50.958040576971648</v>
      </c>
      <c r="L35" s="28" t="e">
        <f>IF(Summary!$F$8="M",VLOOKUP(C:C,#REF!,IF(B35&gt;2033,22,MATCH(B35,#REF!,0)),FALSE),VLOOKUP(C:C,#REF!,IF(B35&gt;2033,22,MATCH(B35,#REF!,0)),FALSE))</f>
        <v>#REF!</v>
      </c>
      <c r="M35" s="28" t="e">
        <f t="shared" si="4"/>
        <v>#REF!</v>
      </c>
      <c r="N35" s="28" t="e">
        <f t="shared" si="5"/>
        <v>#REF!</v>
      </c>
      <c r="O35" s="28" t="e">
        <f>Summary!$J$8*'R7'!N35*'R7'!H35</f>
        <v>#REF!</v>
      </c>
    </row>
    <row r="36" spans="2:15" ht="24" customHeight="1">
      <c r="B36" s="30">
        <f t="shared" si="0"/>
        <v>2053</v>
      </c>
      <c r="C36" s="28">
        <f t="shared" si="1"/>
        <v>101</v>
      </c>
      <c r="D36" s="28">
        <v>34</v>
      </c>
      <c r="E36" s="28">
        <f>VLOOKUP(C:C, 'Total Data Set'!B:J, IF(Summary!$F$8="M", 4, 8), FALSE)</f>
        <v>0.33436500000000002</v>
      </c>
      <c r="F36" s="28">
        <f t="shared" si="2"/>
        <v>0.66563499999999998</v>
      </c>
      <c r="G36" s="28">
        <f t="shared" ref="G36:G55" si="6">G35*F35</f>
        <v>2.0260067128035391E-2</v>
      </c>
      <c r="H36" s="28">
        <f>1/(1+Summary!$O$3)^D36</f>
        <v>0.19035479962020604</v>
      </c>
      <c r="I36" s="28">
        <f>Summary!$J$8*'R7'!H36*'R7'!G37</f>
        <v>32.304243180430973</v>
      </c>
      <c r="L36" s="28" t="e">
        <f>IF(Summary!$F$8="M",VLOOKUP(C:C,#REF!,IF(B36&gt;2033,22,MATCH(B36,#REF!,0)),FALSE),VLOOKUP(C:C,#REF!,IF(B36&gt;2033,22,MATCH(B36,#REF!,0)),FALSE))</f>
        <v>#REF!</v>
      </c>
      <c r="M36" s="28" t="e">
        <f t="shared" si="4"/>
        <v>#REF!</v>
      </c>
      <c r="N36" s="28" t="e">
        <f t="shared" si="5"/>
        <v>#REF!</v>
      </c>
      <c r="O36" s="28" t="e">
        <f>Summary!$J$8*'R7'!N36*'R7'!H36</f>
        <v>#REF!</v>
      </c>
    </row>
    <row r="37" spans="2:15" ht="24" customHeight="1">
      <c r="B37" s="30">
        <f t="shared" si="0"/>
        <v>2054</v>
      </c>
      <c r="C37" s="28">
        <f t="shared" si="1"/>
        <v>102</v>
      </c>
      <c r="D37" s="28">
        <v>35</v>
      </c>
      <c r="E37" s="28">
        <f>VLOOKUP(C:C, 'Total Data Set'!B:J, IF(Summary!$F$8="M", 4, 8), FALSE)</f>
        <v>0.354599</v>
      </c>
      <c r="F37" s="28">
        <f t="shared" si="2"/>
        <v>0.645401</v>
      </c>
      <c r="G37" s="28">
        <f t="shared" si="6"/>
        <v>1.3485809782769836E-2</v>
      </c>
      <c r="H37" s="28">
        <f>1/(1+Summary!$O$3)^D37</f>
        <v>0.18129028535257716</v>
      </c>
      <c r="I37" s="28">
        <f>Summary!$J$8*'R7'!H37*'R7'!G38</f>
        <v>19.856372240850789</v>
      </c>
      <c r="L37" s="28" t="e">
        <f>IF(Summary!$F$8="M",VLOOKUP(C:C,#REF!,IF(B37&gt;2033,22,MATCH(B37,#REF!,0)),FALSE),VLOOKUP(C:C,#REF!,IF(B37&gt;2033,22,MATCH(B37,#REF!,0)),FALSE))</f>
        <v>#REF!</v>
      </c>
      <c r="M37" s="28" t="e">
        <f t="shared" si="4"/>
        <v>#REF!</v>
      </c>
      <c r="N37" s="28" t="e">
        <f t="shared" si="5"/>
        <v>#REF!</v>
      </c>
      <c r="O37" s="28" t="e">
        <f>Summary!$J$8*'R7'!N37*'R7'!H37</f>
        <v>#REF!</v>
      </c>
    </row>
    <row r="38" spans="2:15" ht="24" customHeight="1">
      <c r="B38" s="30">
        <f t="shared" si="0"/>
        <v>2055</v>
      </c>
      <c r="C38" s="28">
        <f t="shared" si="1"/>
        <v>103</v>
      </c>
      <c r="D38" s="28">
        <v>36</v>
      </c>
      <c r="E38" s="28">
        <f>VLOOKUP(C:C, 'Total Data Set'!B:J, IF(Summary!$F$8="M", 4, 8), FALSE)</f>
        <v>0.37452400000000002</v>
      </c>
      <c r="F38" s="28">
        <f t="shared" si="2"/>
        <v>0.62547599999999992</v>
      </c>
      <c r="G38" s="28">
        <f t="shared" si="6"/>
        <v>8.7037551196094357E-3</v>
      </c>
      <c r="H38" s="28">
        <f>1/(1+Summary!$O$3)^D38</f>
        <v>0.17265741462150208</v>
      </c>
      <c r="I38" s="28">
        <f>Summary!$J$8*'R7'!H38*'R7'!G39</f>
        <v>11.828270746398465</v>
      </c>
      <c r="L38" s="28" t="e">
        <f>IF(Summary!$F$8="M",VLOOKUP(C:C,#REF!,IF(B38&gt;2033,22,MATCH(B38,#REF!,0)),FALSE),VLOOKUP(C:C,#REF!,IF(B38&gt;2033,22,MATCH(B38,#REF!,0)),FALSE))</f>
        <v>#REF!</v>
      </c>
      <c r="M38" s="28" t="e">
        <f t="shared" si="4"/>
        <v>#REF!</v>
      </c>
      <c r="N38" s="28" t="e">
        <f t="shared" si="5"/>
        <v>#REF!</v>
      </c>
      <c r="O38" s="28" t="e">
        <f>Summary!$J$8*'R7'!N38*'R7'!H38</f>
        <v>#REF!</v>
      </c>
    </row>
    <row r="39" spans="2:15" ht="24" customHeight="1">
      <c r="B39" s="30">
        <f t="shared" si="0"/>
        <v>2056</v>
      </c>
      <c r="C39" s="28">
        <f t="shared" si="1"/>
        <v>104</v>
      </c>
      <c r="D39" s="28">
        <v>37</v>
      </c>
      <c r="E39" s="28">
        <f>VLOOKUP(C:C, 'Total Data Set'!B:J, IF(Summary!$F$8="M", 4, 8), FALSE)</f>
        <v>0.393982</v>
      </c>
      <c r="F39" s="28">
        <f t="shared" si="2"/>
        <v>0.60601799999999995</v>
      </c>
      <c r="G39" s="28">
        <f t="shared" si="6"/>
        <v>5.4439899371928309E-3</v>
      </c>
      <c r="H39" s="28">
        <f>1/(1+Summary!$O$3)^D39</f>
        <v>0.1644356329728591</v>
      </c>
      <c r="I39" s="28">
        <f>Summary!$J$8*'R7'!H39*'R7'!G40</f>
        <v>6.8268047439913362</v>
      </c>
      <c r="L39" s="28" t="e">
        <f>IF(Summary!$F$8="M",VLOOKUP(C:C,#REF!,IF(B39&gt;2033,22,MATCH(B39,#REF!,0)),FALSE),VLOOKUP(C:C,#REF!,IF(B39&gt;2033,22,MATCH(B39,#REF!,0)),FALSE))</f>
        <v>#REF!</v>
      </c>
      <c r="M39" s="28" t="e">
        <f t="shared" si="4"/>
        <v>#REF!</v>
      </c>
      <c r="N39" s="28" t="e">
        <f t="shared" si="5"/>
        <v>#REF!</v>
      </c>
      <c r="O39" s="28" t="e">
        <f>Summary!$J$8*'R7'!N39*'R7'!H39</f>
        <v>#REF!</v>
      </c>
    </row>
    <row r="40" spans="2:15" ht="24" customHeight="1">
      <c r="B40" s="30">
        <f t="shared" si="0"/>
        <v>2057</v>
      </c>
      <c r="C40" s="28">
        <f t="shared" si="1"/>
        <v>105</v>
      </c>
      <c r="D40" s="28">
        <v>38</v>
      </c>
      <c r="E40" s="28">
        <f>VLOOKUP(C:C, 'Total Data Set'!B:J, IF(Summary!$F$8="M", 4, 8), FALSE)</f>
        <v>0.412831</v>
      </c>
      <c r="F40" s="28">
        <f t="shared" si="2"/>
        <v>0.58716900000000005</v>
      </c>
      <c r="G40" s="28">
        <f t="shared" si="6"/>
        <v>3.2991558937577247E-3</v>
      </c>
      <c r="H40" s="28">
        <f>1/(1+Summary!$O$3)^D40</f>
        <v>0.15660536473605632</v>
      </c>
      <c r="I40" s="28">
        <f>Summary!$J$8*'R7'!H40*'R7'!G41</f>
        <v>3.8176077283091914</v>
      </c>
      <c r="L40" s="28" t="e">
        <f>IF(Summary!$F$8="M",VLOOKUP(C:C,#REF!,IF(B40&gt;2033,22,MATCH(B40,#REF!,0)),FALSE),VLOOKUP(C:C,#REF!,IF(B40&gt;2033,22,MATCH(B40,#REF!,0)),FALSE))</f>
        <v>#REF!</v>
      </c>
      <c r="M40" s="28" t="e">
        <f t="shared" si="4"/>
        <v>#REF!</v>
      </c>
      <c r="N40" s="28" t="e">
        <f t="shared" si="5"/>
        <v>#REF!</v>
      </c>
      <c r="O40" s="28" t="e">
        <f>Summary!$J$8*'R7'!N40*'R7'!H40</f>
        <v>#REF!</v>
      </c>
    </row>
    <row r="41" spans="2:15" ht="24" customHeight="1">
      <c r="B41" s="30">
        <f t="shared" si="0"/>
        <v>2058</v>
      </c>
      <c r="C41" s="28">
        <f t="shared" si="1"/>
        <v>106</v>
      </c>
      <c r="D41" s="28">
        <v>39</v>
      </c>
      <c r="E41" s="28">
        <f>VLOOKUP(C:C, 'Total Data Set'!B:J, IF(Summary!$F$8="M", 4, 8), FALSE)</f>
        <v>0.430946</v>
      </c>
      <c r="F41" s="28">
        <f t="shared" si="2"/>
        <v>0.56905399999999995</v>
      </c>
      <c r="G41" s="28">
        <f t="shared" si="6"/>
        <v>1.9371620669818297E-3</v>
      </c>
      <c r="H41" s="28">
        <f>1/(1+Summary!$O$3)^D41</f>
        <v>0.14914796641529171</v>
      </c>
      <c r="I41" s="28">
        <f>Summary!$J$8*'R7'!H41*'R7'!G42</f>
        <v>2.0689761411669125</v>
      </c>
      <c r="L41" s="28" t="e">
        <f>IF(Summary!$F$8="M",VLOOKUP(C:C,#REF!,IF(B41&gt;2033,22,MATCH(B41,#REF!,0)),FALSE),VLOOKUP(C:C,#REF!,IF(B41&gt;2033,22,MATCH(B41,#REF!,0)),FALSE))</f>
        <v>#REF!</v>
      </c>
      <c r="M41" s="28" t="e">
        <f t="shared" si="4"/>
        <v>#REF!</v>
      </c>
      <c r="N41" s="28" t="e">
        <f t="shared" si="5"/>
        <v>#REF!</v>
      </c>
      <c r="O41" s="28" t="e">
        <f>Summary!$J$8*'R7'!N41*'R7'!H41</f>
        <v>#REF!</v>
      </c>
    </row>
    <row r="42" spans="2:15" ht="24" customHeight="1">
      <c r="B42" s="30">
        <f t="shared" si="0"/>
        <v>2059</v>
      </c>
      <c r="C42" s="28">
        <f t="shared" si="1"/>
        <v>107</v>
      </c>
      <c r="D42" s="28">
        <v>40</v>
      </c>
      <c r="E42" s="28">
        <f>VLOOKUP(C:C, 'Total Data Set'!B:J, IF(Summary!$F$8="M", 4, 8), FALSE)</f>
        <v>0.44822699999999999</v>
      </c>
      <c r="F42" s="28">
        <f t="shared" si="2"/>
        <v>0.55177300000000007</v>
      </c>
      <c r="G42" s="28">
        <f t="shared" si="6"/>
        <v>1.1023498228642781E-3</v>
      </c>
      <c r="H42" s="28">
        <f>1/(1+Summary!$O$3)^D42</f>
        <v>0.14204568230027784</v>
      </c>
      <c r="I42" s="28">
        <f>Summary!$J$8*'R7'!H42*'R7'!G43</f>
        <v>1.0872430212762771</v>
      </c>
      <c r="L42" s="28" t="e">
        <f>IF(Summary!$F$8="M",VLOOKUP(C:C,#REF!,IF(B42&gt;2033,22,MATCH(B42,#REF!,0)),FALSE),VLOOKUP(C:C,#REF!,IF(B42&gt;2033,22,MATCH(B42,#REF!,0)),FALSE))</f>
        <v>#REF!</v>
      </c>
      <c r="M42" s="28" t="e">
        <f t="shared" si="4"/>
        <v>#REF!</v>
      </c>
      <c r="N42" s="28" t="e">
        <f t="shared" si="5"/>
        <v>#REF!</v>
      </c>
      <c r="O42" s="28" t="e">
        <f>Summary!$J$8*'R7'!N42*'R7'!H42</f>
        <v>#REF!</v>
      </c>
    </row>
    <row r="43" spans="2:15" ht="24" customHeight="1">
      <c r="B43" s="30">
        <f t="shared" si="0"/>
        <v>2060</v>
      </c>
      <c r="C43" s="28">
        <f t="shared" si="1"/>
        <v>108</v>
      </c>
      <c r="D43" s="28">
        <v>41</v>
      </c>
      <c r="E43" s="28">
        <f>VLOOKUP(C:C, 'Total Data Set'!B:J, IF(Summary!$F$8="M", 4, 8), FALSE)</f>
        <v>0.464592</v>
      </c>
      <c r="F43" s="28">
        <f t="shared" si="2"/>
        <v>0.535408</v>
      </c>
      <c r="G43" s="28">
        <f t="shared" si="6"/>
        <v>6.0824686881129136E-4</v>
      </c>
      <c r="H43" s="28">
        <f>1/(1+Summary!$O$3)^D43</f>
        <v>0.13528160219074079</v>
      </c>
      <c r="I43" s="28">
        <f>Summary!$J$8*'R7'!H43*'R7'!G44</f>
        <v>0.55439867765284656</v>
      </c>
      <c r="L43" s="28" t="e">
        <f>IF(Summary!$F$8="M",VLOOKUP(C:C,#REF!,IF(B43&gt;2033,22,MATCH(B43,#REF!,0)),FALSE),VLOOKUP(C:C,#REF!,IF(B43&gt;2033,22,MATCH(B43,#REF!,0)),FALSE))</f>
        <v>#REF!</v>
      </c>
      <c r="M43" s="28" t="e">
        <f t="shared" si="4"/>
        <v>#REF!</v>
      </c>
      <c r="N43" s="28" t="e">
        <f t="shared" si="5"/>
        <v>#REF!</v>
      </c>
      <c r="O43" s="28" t="e">
        <f>Summary!$J$8*'R7'!N43*'R7'!H43</f>
        <v>#REF!</v>
      </c>
    </row>
    <row r="44" spans="2:15" ht="24" customHeight="1">
      <c r="B44" s="30">
        <f t="shared" si="0"/>
        <v>2061</v>
      </c>
      <c r="C44" s="28">
        <f t="shared" si="1"/>
        <v>109</v>
      </c>
      <c r="D44" s="28">
        <v>42</v>
      </c>
      <c r="E44" s="28">
        <f>VLOOKUP(C:C, 'Total Data Set'!B:J, IF(Summary!$F$8="M", 4, 8), FALSE)</f>
        <v>0.479987</v>
      </c>
      <c r="F44" s="28">
        <f t="shared" si="2"/>
        <v>0.52001300000000006</v>
      </c>
      <c r="G44" s="28">
        <f t="shared" si="6"/>
        <v>3.2566023953651586E-4</v>
      </c>
      <c r="H44" s="28">
        <f>1/(1+Summary!$O$3)^D44</f>
        <v>0.12883962113403885</v>
      </c>
      <c r="I44" s="28">
        <f>Summary!$J$8*'R7'!H44*'R7'!G45</f>
        <v>0.27456620910694263</v>
      </c>
      <c r="L44" s="28" t="e">
        <f>IF(Summary!$F$8="M",VLOOKUP(C:C,#REF!,IF(B44&gt;2033,22,MATCH(B44,#REF!,0)),FALSE),VLOOKUP(C:C,#REF!,IF(B44&gt;2033,22,MATCH(B44,#REF!,0)),FALSE))</f>
        <v>#REF!</v>
      </c>
      <c r="M44" s="28" t="e">
        <f t="shared" si="4"/>
        <v>#REF!</v>
      </c>
      <c r="N44" s="28" t="e">
        <f t="shared" si="5"/>
        <v>#REF!</v>
      </c>
      <c r="O44" s="28" t="e">
        <f>Summary!$J$8*'R7'!N44*'R7'!H44</f>
        <v>#REF!</v>
      </c>
    </row>
    <row r="45" spans="2:15" ht="24" customHeight="1">
      <c r="B45" s="30">
        <f t="shared" si="0"/>
        <v>2062</v>
      </c>
      <c r="C45" s="28">
        <f t="shared" si="1"/>
        <v>110</v>
      </c>
      <c r="D45" s="28">
        <v>43</v>
      </c>
      <c r="E45" s="28">
        <f>VLOOKUP(C:C, 'Total Data Set'!B:J, IF(Summary!$F$8="M", 4, 8), FALSE)</f>
        <v>0.49437599999999998</v>
      </c>
      <c r="F45" s="28">
        <f t="shared" si="2"/>
        <v>0.50562400000000007</v>
      </c>
      <c r="G45" s="28">
        <f t="shared" si="6"/>
        <v>1.6934755814210226E-4</v>
      </c>
      <c r="H45" s="28">
        <f>1/(1+Summary!$O$3)^D45</f>
        <v>0.12270440108003698</v>
      </c>
      <c r="I45" s="28">
        <f>Summary!$J$8*'R7'!H45*'R7'!G46</f>
        <v>0.1322164427747512</v>
      </c>
      <c r="L45" s="28" t="e">
        <f>IF(Summary!$F$8="M",VLOOKUP(C:C,#REF!,IF(B45&gt;2033,22,MATCH(B45,#REF!,0)),FALSE),VLOOKUP(C:C,#REF!,IF(B45&gt;2033,22,MATCH(B45,#REF!,0)),FALSE))</f>
        <v>#REF!</v>
      </c>
      <c r="M45" s="28" t="e">
        <f t="shared" si="4"/>
        <v>#REF!</v>
      </c>
      <c r="N45" s="28" t="e">
        <f t="shared" si="5"/>
        <v>#REF!</v>
      </c>
      <c r="O45" s="28" t="e">
        <f>Summary!$J$8*'R7'!N45*'R7'!H45</f>
        <v>#REF!</v>
      </c>
    </row>
    <row r="46" spans="2:15" ht="24" customHeight="1">
      <c r="B46" s="30">
        <f t="shared" si="0"/>
        <v>2063</v>
      </c>
      <c r="C46" s="28">
        <f t="shared" si="1"/>
        <v>111</v>
      </c>
      <c r="D46" s="28">
        <v>44</v>
      </c>
      <c r="E46" s="28">
        <f>VLOOKUP(C:C, 'Total Data Set'!B:J, IF(Summary!$F$8="M", 4, 8), FALSE)</f>
        <v>0.5</v>
      </c>
      <c r="F46" s="28">
        <f t="shared" si="2"/>
        <v>0.5</v>
      </c>
      <c r="G46" s="28">
        <f t="shared" si="6"/>
        <v>8.5626189738042318E-5</v>
      </c>
      <c r="H46" s="28">
        <f>1/(1+Summary!$O$3)^D46</f>
        <v>0.11686133436193999</v>
      </c>
      <c r="I46" s="28">
        <f>Summary!$J$8*'R7'!H46*'R7'!G47</f>
        <v>6.2960210845119616E-2</v>
      </c>
      <c r="L46" s="28" t="e">
        <f>IF(Summary!$F$8="M",VLOOKUP(C:C,#REF!,IF(B46&gt;2033,22,MATCH(B46,#REF!,0)),FALSE),VLOOKUP(C:C,#REF!,IF(B46&gt;2033,22,MATCH(B46,#REF!,0)),FALSE))</f>
        <v>#REF!</v>
      </c>
      <c r="M46" s="28" t="e">
        <f t="shared" si="4"/>
        <v>#REF!</v>
      </c>
      <c r="N46" s="28" t="e">
        <f t="shared" si="5"/>
        <v>#REF!</v>
      </c>
      <c r="O46" s="28" t="e">
        <f>Summary!$J$8*'R7'!N46*'R7'!H46</f>
        <v>#REF!</v>
      </c>
    </row>
    <row r="47" spans="2:15" ht="24" customHeight="1">
      <c r="B47" s="30">
        <f t="shared" si="0"/>
        <v>2064</v>
      </c>
      <c r="C47" s="28">
        <f t="shared" si="1"/>
        <v>112</v>
      </c>
      <c r="D47" s="28">
        <v>45</v>
      </c>
      <c r="E47" s="28">
        <f>VLOOKUP(C:C, 'Total Data Set'!B:J, IF(Summary!$F$8="M", 4, 8), FALSE)</f>
        <v>0.5</v>
      </c>
      <c r="F47" s="28">
        <f t="shared" si="2"/>
        <v>0.5</v>
      </c>
      <c r="G47" s="28">
        <f t="shared" si="6"/>
        <v>4.2813094869021159E-5</v>
      </c>
      <c r="H47" s="28">
        <f>1/(1+Summary!$O$3)^D47</f>
        <v>0.1112965089161333</v>
      </c>
      <c r="I47" s="28">
        <f>Summary!$J$8*'R7'!H47*'R7'!G48</f>
        <v>2.9981052783390288E-2</v>
      </c>
      <c r="L47" s="28" t="e">
        <f>IF(Summary!$F$8="M",VLOOKUP(C:C,#REF!,IF(B47&gt;2033,22,MATCH(B47,#REF!,0)),FALSE),VLOOKUP(C:C,#REF!,IF(B47&gt;2033,22,MATCH(B47,#REF!,0)),FALSE))</f>
        <v>#REF!</v>
      </c>
      <c r="M47" s="28" t="e">
        <f t="shared" si="4"/>
        <v>#REF!</v>
      </c>
      <c r="N47" s="28" t="e">
        <f t="shared" si="5"/>
        <v>#REF!</v>
      </c>
      <c r="O47" s="28" t="e">
        <f>Summary!$J$8*'R7'!N47*'R7'!H47</f>
        <v>#REF!</v>
      </c>
    </row>
    <row r="48" spans="2:15" ht="24" customHeight="1">
      <c r="B48" s="30">
        <f t="shared" si="0"/>
        <v>2065</v>
      </c>
      <c r="C48" s="28">
        <f t="shared" si="1"/>
        <v>113</v>
      </c>
      <c r="D48" s="28">
        <v>46</v>
      </c>
      <c r="E48" s="28">
        <f>VLOOKUP(C:C, 'Total Data Set'!B:J, IF(Summary!$F$8="M", 4, 8), FALSE)</f>
        <v>0.5</v>
      </c>
      <c r="F48" s="28">
        <f t="shared" si="2"/>
        <v>0.5</v>
      </c>
      <c r="G48" s="28">
        <f t="shared" si="6"/>
        <v>2.1406547434510579E-5</v>
      </c>
      <c r="H48" s="28">
        <f>1/(1+Summary!$O$3)^D48</f>
        <v>0.10599667515822221</v>
      </c>
      <c r="I48" s="28">
        <f>Summary!$J$8*'R7'!H48*'R7'!G49</f>
        <v>1.4276691801614427E-2</v>
      </c>
      <c r="L48" s="28" t="e">
        <f>IF(Summary!$F$8="M",VLOOKUP(C:C,#REF!,IF(B48&gt;2033,22,MATCH(B48,#REF!,0)),FALSE),VLOOKUP(C:C,#REF!,IF(B48&gt;2033,22,MATCH(B48,#REF!,0)),FALSE))</f>
        <v>#REF!</v>
      </c>
      <c r="M48" s="28" t="e">
        <f t="shared" si="4"/>
        <v>#REF!</v>
      </c>
      <c r="N48" s="28" t="e">
        <f t="shared" si="5"/>
        <v>#REF!</v>
      </c>
      <c r="O48" s="28" t="e">
        <f>Summary!$J$8*'R7'!N48*'R7'!H48</f>
        <v>#REF!</v>
      </c>
    </row>
    <row r="49" spans="2:15" ht="24" customHeight="1">
      <c r="B49" s="30">
        <f t="shared" si="0"/>
        <v>2066</v>
      </c>
      <c r="C49" s="28">
        <f t="shared" si="1"/>
        <v>114</v>
      </c>
      <c r="D49" s="28">
        <v>47</v>
      </c>
      <c r="E49" s="28">
        <f>VLOOKUP(C:C, 'Total Data Set'!B:J, IF(Summary!$F$8="M", 4, 8), FALSE)</f>
        <v>0.5</v>
      </c>
      <c r="F49" s="28">
        <f t="shared" si="2"/>
        <v>0.5</v>
      </c>
      <c r="G49" s="28">
        <f t="shared" si="6"/>
        <v>1.070327371725529E-5</v>
      </c>
      <c r="H49" s="28">
        <f>1/(1+Summary!$O$3)^D49</f>
        <v>0.10094921443640208</v>
      </c>
      <c r="I49" s="28">
        <f>Summary!$J$8*'R7'!H49*'R7'!G50</f>
        <v>6.7984246674354393E-3</v>
      </c>
      <c r="L49" s="28" t="e">
        <f>IF(Summary!$F$8="M",VLOOKUP(C:C,#REF!,IF(B49&gt;2033,22,MATCH(B49,#REF!,0)),FALSE),VLOOKUP(C:C,#REF!,IF(B49&gt;2033,22,MATCH(B49,#REF!,0)),FALSE))</f>
        <v>#REF!</v>
      </c>
      <c r="M49" s="28" t="e">
        <f t="shared" si="4"/>
        <v>#REF!</v>
      </c>
      <c r="N49" s="28" t="e">
        <f t="shared" si="5"/>
        <v>#REF!</v>
      </c>
      <c r="O49" s="28" t="e">
        <f>Summary!$J$8*'R7'!N49*'R7'!H49</f>
        <v>#REF!</v>
      </c>
    </row>
    <row r="50" spans="2:15" ht="24" customHeight="1">
      <c r="B50" s="30">
        <f t="shared" si="0"/>
        <v>2067</v>
      </c>
      <c r="C50" s="28">
        <f t="shared" si="1"/>
        <v>115</v>
      </c>
      <c r="D50" s="28">
        <v>48</v>
      </c>
      <c r="E50" s="28">
        <f>VLOOKUP(C:C, 'Total Data Set'!B:J, IF(Summary!$F$8="M", 4, 8), FALSE)</f>
        <v>0.5</v>
      </c>
      <c r="F50" s="28">
        <f t="shared" si="2"/>
        <v>0.5</v>
      </c>
      <c r="G50" s="28">
        <f t="shared" si="6"/>
        <v>5.3516368586276449E-6</v>
      </c>
      <c r="H50" s="28">
        <f>1/(1+Summary!$O$3)^D50</f>
        <v>9.6142108987049613E-2</v>
      </c>
      <c r="I50" s="28">
        <f>Summary!$J$8*'R7'!H50*'R7'!G51</f>
        <v>3.2373450797311622E-3</v>
      </c>
      <c r="L50" s="28" t="e">
        <f>IF(Summary!$F$8="M",VLOOKUP(C:C,#REF!,IF(B50&gt;2033,22,MATCH(B50,#REF!,0)),FALSE),VLOOKUP(C:C,#REF!,IF(B50&gt;2033,22,MATCH(B50,#REF!,0)),FALSE))</f>
        <v>#REF!</v>
      </c>
      <c r="M50" s="28" t="e">
        <f t="shared" si="4"/>
        <v>#REF!</v>
      </c>
      <c r="N50" s="28" t="e">
        <f t="shared" si="5"/>
        <v>#REF!</v>
      </c>
      <c r="O50" s="28" t="e">
        <f>Summary!$J$8*'R7'!N50*'R7'!H50</f>
        <v>#REF!</v>
      </c>
    </row>
    <row r="51" spans="2:15" ht="24" customHeight="1">
      <c r="B51" s="30">
        <f t="shared" si="0"/>
        <v>2068</v>
      </c>
      <c r="C51" s="28">
        <f t="shared" si="1"/>
        <v>116</v>
      </c>
      <c r="D51" s="28">
        <v>49</v>
      </c>
      <c r="E51" s="28">
        <f>VLOOKUP(C:C, 'Total Data Set'!B:J, IF(Summary!$F$8="M", 4, 8), FALSE)</f>
        <v>0.5</v>
      </c>
      <c r="F51" s="28">
        <f t="shared" si="2"/>
        <v>0.5</v>
      </c>
      <c r="G51" s="28">
        <f t="shared" si="6"/>
        <v>2.6758184293138224E-6</v>
      </c>
      <c r="H51" s="28">
        <f>1/(1+Summary!$O$3)^D51</f>
        <v>9.1563913320999626E-2</v>
      </c>
      <c r="I51" s="28">
        <f>Summary!$J$8*'R7'!H51*'R7'!G52</f>
        <v>1.541592895110077E-3</v>
      </c>
      <c r="L51" s="28" t="e">
        <f>IF(Summary!$F$8="M",VLOOKUP(C:C,#REF!,IF(B51&gt;2033,22,MATCH(B51,#REF!,0)),FALSE),VLOOKUP(C:C,#REF!,IF(B51&gt;2033,22,MATCH(B51,#REF!,0)),FALSE))</f>
        <v>#REF!</v>
      </c>
      <c r="M51" s="28" t="e">
        <f t="shared" si="4"/>
        <v>#REF!</v>
      </c>
      <c r="N51" s="28" t="e">
        <f t="shared" si="5"/>
        <v>#REF!</v>
      </c>
      <c r="O51" s="28" t="e">
        <f>Summary!$J$8*'R7'!N51*'R7'!H51</f>
        <v>#REF!</v>
      </c>
    </row>
    <row r="52" spans="2:15" ht="24" customHeight="1">
      <c r="B52" s="30">
        <f t="shared" si="0"/>
        <v>2069</v>
      </c>
      <c r="C52" s="28">
        <f t="shared" si="1"/>
        <v>117</v>
      </c>
      <c r="D52" s="28">
        <v>50</v>
      </c>
      <c r="E52" s="28">
        <f>VLOOKUP(C:C, 'Total Data Set'!B:J, IF(Summary!$F$8="M", 4, 8), FALSE)</f>
        <v>0.5</v>
      </c>
      <c r="F52" s="28">
        <f t="shared" si="2"/>
        <v>0.5</v>
      </c>
      <c r="G52" s="28">
        <f t="shared" si="6"/>
        <v>1.3379092146569112E-6</v>
      </c>
      <c r="H52" s="28">
        <f>1/(1+Summary!$O$3)^D52</f>
        <v>8.7203726972380588E-2</v>
      </c>
      <c r="I52" s="28">
        <f>Summary!$J$8*'R7'!H52*'R7'!G53</f>
        <v>7.3409185481432238E-4</v>
      </c>
      <c r="L52" s="28" t="e">
        <f>IF(Summary!$F$8="M",VLOOKUP(C:C,#REF!,IF(B52&gt;2033,22,MATCH(B52,#REF!,0)),FALSE),VLOOKUP(C:C,#REF!,IF(B52&gt;2033,22,MATCH(B52,#REF!,0)),FALSE))</f>
        <v>#REF!</v>
      </c>
      <c r="M52" s="28" t="e">
        <f t="shared" si="4"/>
        <v>#REF!</v>
      </c>
      <c r="N52" s="28" t="e">
        <f t="shared" si="5"/>
        <v>#REF!</v>
      </c>
      <c r="O52" s="28" t="e">
        <f>Summary!$J$8*'R7'!N52*'R7'!H52</f>
        <v>#REF!</v>
      </c>
    </row>
    <row r="53" spans="2:15" ht="24" customHeight="1">
      <c r="B53" s="30">
        <f t="shared" si="0"/>
        <v>2070</v>
      </c>
      <c r="C53" s="28">
        <f t="shared" si="1"/>
        <v>118</v>
      </c>
      <c r="D53" s="28">
        <v>51</v>
      </c>
      <c r="E53" s="28">
        <f>VLOOKUP(C:C, 'Total Data Set'!B:J, IF(Summary!$F$8="M", 4, 8), FALSE)</f>
        <v>0.5</v>
      </c>
      <c r="F53" s="28">
        <f t="shared" si="2"/>
        <v>0.5</v>
      </c>
      <c r="G53" s="28">
        <f t="shared" si="6"/>
        <v>6.6895460732845561E-7</v>
      </c>
      <c r="H53" s="28">
        <f>1/(1+Summary!$O$3)^D53</f>
        <v>8.3051168545124371E-2</v>
      </c>
      <c r="I53" s="28">
        <f>Summary!$J$8*'R7'!H53*'R7'!G54</f>
        <v>3.495675499115821E-4</v>
      </c>
      <c r="L53" s="28" t="e">
        <f>IF(Summary!$F$8="M",VLOOKUP(C:C,#REF!,IF(B53&gt;2033,22,MATCH(B53,#REF!,0)),FALSE),VLOOKUP(C:C,#REF!,IF(B53&gt;2033,22,MATCH(B53,#REF!,0)),FALSE))</f>
        <v>#REF!</v>
      </c>
      <c r="M53" s="28" t="e">
        <f t="shared" si="4"/>
        <v>#REF!</v>
      </c>
      <c r="N53" s="28" t="e">
        <f t="shared" si="5"/>
        <v>#REF!</v>
      </c>
      <c r="O53" s="28" t="e">
        <f>Summary!$J$8*'R7'!N53*'R7'!H53</f>
        <v>#REF!</v>
      </c>
    </row>
    <row r="54" spans="2:15" ht="24" customHeight="1">
      <c r="B54" s="30">
        <f t="shared" si="0"/>
        <v>2071</v>
      </c>
      <c r="C54" s="28">
        <f t="shared" si="1"/>
        <v>119</v>
      </c>
      <c r="D54" s="28">
        <v>52</v>
      </c>
      <c r="E54" s="28">
        <f>VLOOKUP(C:C, 'Total Data Set'!B:J, IF(Summary!$F$8="M", 4, 8), FALSE)</f>
        <v>0.5</v>
      </c>
      <c r="F54" s="28">
        <f t="shared" si="2"/>
        <v>0.5</v>
      </c>
      <c r="G54" s="28">
        <f t="shared" si="6"/>
        <v>3.344773036642278E-7</v>
      </c>
      <c r="H54" s="28">
        <f>1/(1+Summary!$O$3)^D54</f>
        <v>7.9096350995356543E-2</v>
      </c>
      <c r="I54" s="28">
        <f>Summary!$J$8*'R7'!H54*'R7'!G55</f>
        <v>1.6646073805313432E-4</v>
      </c>
      <c r="L54" s="28" t="e">
        <f>IF(Summary!$F$8="M",VLOOKUP(C:C,#REF!,IF(B54&gt;2033,22,MATCH(B54,#REF!,0)),FALSE),VLOOKUP(C:C,#REF!,IF(B54&gt;2033,22,MATCH(B54,#REF!,0)),FALSE))</f>
        <v>#REF!</v>
      </c>
      <c r="M54" s="28" t="e">
        <f t="shared" si="4"/>
        <v>#REF!</v>
      </c>
      <c r="N54" s="28" t="e">
        <f t="shared" si="5"/>
        <v>#REF!</v>
      </c>
      <c r="O54" s="28" t="e">
        <f>Summary!$J$8*'R7'!N54*'R7'!H54</f>
        <v>#REF!</v>
      </c>
    </row>
    <row r="55" spans="2:15" ht="24" customHeight="1">
      <c r="B55" s="30">
        <f t="shared" si="0"/>
        <v>2072</v>
      </c>
      <c r="C55" s="28">
        <f t="shared" si="1"/>
        <v>120</v>
      </c>
      <c r="D55" s="28">
        <v>53</v>
      </c>
      <c r="E55" s="28">
        <f>VLOOKUP(C:C, 'Total Data Set'!B:J, IF(Summary!$F$8="M", 4, 8), FALSE)</f>
        <v>1</v>
      </c>
      <c r="F55" s="28">
        <f t="shared" si="2"/>
        <v>0</v>
      </c>
      <c r="G55" s="28">
        <f t="shared" si="6"/>
        <v>1.672386518321139E-7</v>
      </c>
      <c r="H55" s="28">
        <f>1/(1+Summary!$O$3)^D55</f>
        <v>7.5329858090815757E-2</v>
      </c>
      <c r="I55" s="28">
        <f>Summary!$J$8*'R7'!H55*'R7'!C56</f>
        <v>0</v>
      </c>
      <c r="L55" s="28" t="e">
        <f>IF(Summary!$F$8="M",VLOOKUP(C:C,#REF!,IF(B55&gt;2033,22,MATCH(B55,#REF!,0)),FALSE),VLOOKUP(C:C,#REF!,IF(B55&gt;2033,22,MATCH(B55,#REF!,0)),FALSE))</f>
        <v>#REF!</v>
      </c>
      <c r="M55" s="28" t="e">
        <f t="shared" si="4"/>
        <v>#REF!</v>
      </c>
      <c r="N55" s="28" t="e">
        <f t="shared" si="5"/>
        <v>#REF!</v>
      </c>
      <c r="O55" s="28" t="e">
        <f>Summary!$J$8*'R7'!N55*'R7'!H55</f>
        <v>#REF!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52"/>
  <sheetViews>
    <sheetView topLeftCell="F1" workbookViewId="0">
      <selection activeCell="A6" sqref="A6"/>
    </sheetView>
  </sheetViews>
  <sheetFormatPr defaultColWidth="18" defaultRowHeight="24" customHeight="1"/>
  <cols>
    <col min="1" max="6" width="18" style="28"/>
    <col min="7" max="7" width="21.140625" style="28" customWidth="1"/>
    <col min="8" max="9" width="18" style="28"/>
    <col min="10" max="10" width="21.7109375" style="28" customWidth="1"/>
    <col min="11" max="16384" width="18" style="28"/>
  </cols>
  <sheetData>
    <row r="1" spans="1:16" ht="24" customHeight="1">
      <c r="A1" s="30" t="s">
        <v>69</v>
      </c>
      <c r="B1" s="30" t="s">
        <v>74</v>
      </c>
      <c r="C1" s="28" t="s">
        <v>28</v>
      </c>
      <c r="D1" s="28" t="s">
        <v>29</v>
      </c>
      <c r="E1" s="28" t="s">
        <v>30</v>
      </c>
      <c r="F1" s="28" t="s">
        <v>71</v>
      </c>
      <c r="G1" s="28" t="s">
        <v>72</v>
      </c>
      <c r="H1" s="28" t="s">
        <v>31</v>
      </c>
      <c r="I1" s="28" t="s">
        <v>32</v>
      </c>
      <c r="J1" s="28" t="s">
        <v>33</v>
      </c>
      <c r="L1" s="39" t="s">
        <v>76</v>
      </c>
      <c r="M1" s="39" t="s">
        <v>77</v>
      </c>
      <c r="N1" s="39" t="s">
        <v>78</v>
      </c>
      <c r="O1" s="39" t="s">
        <v>79</v>
      </c>
      <c r="P1" s="39" t="s">
        <v>80</v>
      </c>
    </row>
    <row r="2" spans="1:16" ht="24" customHeight="1">
      <c r="A2" s="31">
        <v>43647</v>
      </c>
      <c r="B2" s="30">
        <f>YEAR(A2)</f>
        <v>2019</v>
      </c>
      <c r="C2" s="28">
        <f>$A$4+D2</f>
        <v>70</v>
      </c>
      <c r="D2" s="28">
        <v>0</v>
      </c>
      <c r="E2" s="28">
        <f>VLOOKUP(C:C, 'Total Data Set'!B:J, IF(Summary!$F$9="M", 4, 8), FALSE)</f>
        <v>1.2867999999999999E-2</v>
      </c>
      <c r="F2" s="28">
        <f>1-E2</f>
        <v>0.98713200000000001</v>
      </c>
      <c r="G2" s="28">
        <v>1</v>
      </c>
      <c r="H2" s="28">
        <f>1/(1+Summary!$O$3)^D2</f>
        <v>1</v>
      </c>
      <c r="I2" s="28">
        <f>Summary!$J$9*'R8'!H2*'R8'!G2</f>
        <v>25169</v>
      </c>
      <c r="J2" s="28">
        <f>SUM(I2:I53)</f>
        <v>295736.33374335623</v>
      </c>
      <c r="L2" s="28" t="e">
        <f>IF(Summary!$F$9="M",VLOOKUP(C:C,#REF!,IF(B2&gt;2033,22,MATCH(B2,#REF!,0)),FALSE),VLOOKUP(C:C,#REF!,IF(B2&gt;2033,22,MATCH(B2,#REF!,0)),FALSE))</f>
        <v>#REF!</v>
      </c>
      <c r="M2" s="28" t="e">
        <f>1-L2</f>
        <v>#REF!</v>
      </c>
      <c r="N2" s="28">
        <v>1</v>
      </c>
      <c r="O2" s="28">
        <f>Summary!$J$9*'R8'!N2*'R8'!H2</f>
        <v>25169</v>
      </c>
      <c r="P2" s="28" t="e">
        <f>SUM(O2:O52)</f>
        <v>#REF!</v>
      </c>
    </row>
    <row r="3" spans="1:16" ht="24" customHeight="1">
      <c r="A3" s="28" t="s">
        <v>34</v>
      </c>
      <c r="B3" s="30">
        <f>$B2+1</f>
        <v>2020</v>
      </c>
      <c r="C3" s="28">
        <f>$A$4+D3</f>
        <v>71</v>
      </c>
      <c r="D3" s="28">
        <v>1</v>
      </c>
      <c r="E3" s="28">
        <f>VLOOKUP(C:C, 'Total Data Set'!B:J, IF(Summary!$F$9="M", 4, 8), FALSE)</f>
        <v>1.4171E-2</v>
      </c>
      <c r="F3" s="28">
        <f>1-E3</f>
        <v>0.98582899999999996</v>
      </c>
      <c r="G3" s="28">
        <f>F2</f>
        <v>0.98713200000000001</v>
      </c>
      <c r="H3" s="28">
        <f>1/(1+Summary!$O$3)^D3</f>
        <v>0.95238095238095233</v>
      </c>
      <c r="I3" s="28">
        <f>Summary!$J$9*'R8'!H3*'R8'!G3</f>
        <v>23662.024102857144</v>
      </c>
      <c r="L3" s="28" t="e">
        <f>IF(Summary!$F$9="M",VLOOKUP(C:C,#REF!,IF(B3&gt;2033,22,MATCH(B3,#REF!,0)),FALSE),VLOOKUP(C:C,#REF!,IF(B3&gt;2033,22,MATCH(B3,#REF!,0)),FALSE))</f>
        <v>#REF!</v>
      </c>
      <c r="M3" s="28" t="e">
        <f>1-L3</f>
        <v>#REF!</v>
      </c>
      <c r="N3" s="28" t="e">
        <f>N2*M2</f>
        <v>#REF!</v>
      </c>
      <c r="O3" s="28" t="e">
        <f>Summary!$J$9*'R8'!N3*'R8'!H3</f>
        <v>#REF!</v>
      </c>
    </row>
    <row r="4" spans="1:16" ht="24" customHeight="1">
      <c r="A4" s="28">
        <f>Summary!I9</f>
        <v>70</v>
      </c>
      <c r="B4" s="30">
        <f t="shared" ref="B4:B52" si="0">$B3+1</f>
        <v>2021</v>
      </c>
      <c r="C4" s="28">
        <f t="shared" ref="C4:C51" si="1">$A$4+D4</f>
        <v>72</v>
      </c>
      <c r="D4" s="28">
        <v>2</v>
      </c>
      <c r="E4" s="28">
        <f>VLOOKUP(C:C, 'Total Data Set'!B:J, IF(Summary!$F$9="M", 4, 8), FALSE)</f>
        <v>1.5613999999999999E-2</v>
      </c>
      <c r="F4" s="28">
        <f t="shared" ref="F4:F51" si="2">1-E4</f>
        <v>0.98438599999999998</v>
      </c>
      <c r="G4" s="28">
        <f t="shared" ref="G4:G35" si="3">G3*F3</f>
        <v>0.97314335242799999</v>
      </c>
      <c r="H4" s="28">
        <f>1/(1+Summary!$O$3)^D4</f>
        <v>0.90702947845804982</v>
      </c>
      <c r="I4" s="28">
        <f>Summary!$J$9*'R8'!H4*'R8'!G4</f>
        <v>22215.913865995764</v>
      </c>
      <c r="L4" s="28" t="e">
        <f>IF(Summary!$F$9="M",VLOOKUP(C:C,#REF!,IF(B4&gt;2033,22,MATCH(B4,#REF!,0)),FALSE),VLOOKUP(C:C,#REF!,IF(B4&gt;2033,22,MATCH(B4,#REF!,0)),FALSE))</f>
        <v>#REF!</v>
      </c>
      <c r="M4" s="28" t="e">
        <f t="shared" ref="M4:M52" si="4">1-L4</f>
        <v>#REF!</v>
      </c>
      <c r="N4" s="28" t="e">
        <f t="shared" ref="N4:N52" si="5">N3*M3</f>
        <v>#REF!</v>
      </c>
      <c r="O4" s="28" t="e">
        <f>Summary!$J$9*'R8'!N4*'R8'!H4</f>
        <v>#REF!</v>
      </c>
    </row>
    <row r="5" spans="1:16" ht="24" customHeight="1">
      <c r="B5" s="30">
        <f t="shared" si="0"/>
        <v>2022</v>
      </c>
      <c r="C5" s="28">
        <f t="shared" si="1"/>
        <v>73</v>
      </c>
      <c r="D5" s="28">
        <v>3</v>
      </c>
      <c r="E5" s="28">
        <f>VLOOKUP(C:C, 'Total Data Set'!B:J, IF(Summary!$F$9="M", 4, 8), FALSE)</f>
        <v>1.721E-2</v>
      </c>
      <c r="F5" s="28">
        <f t="shared" si="2"/>
        <v>0.98279000000000005</v>
      </c>
      <c r="G5" s="28">
        <f t="shared" si="3"/>
        <v>0.95794869212318923</v>
      </c>
      <c r="H5" s="28">
        <f>1/(1+Summary!$O$3)^D5</f>
        <v>0.86383759853147601</v>
      </c>
      <c r="I5" s="28">
        <f>Summary!$J$9*'R8'!H5*'R8'!G5</f>
        <v>20827.651987516292</v>
      </c>
      <c r="L5" s="28" t="e">
        <f>IF(Summary!$F$9="M",VLOOKUP(C:C,#REF!,IF(B5&gt;2033,22,MATCH(B5,#REF!,0)),FALSE),VLOOKUP(C:C,#REF!,IF(B5&gt;2033,22,MATCH(B5,#REF!,0)),FALSE))</f>
        <v>#REF!</v>
      </c>
      <c r="M5" s="28" t="e">
        <f t="shared" si="4"/>
        <v>#REF!</v>
      </c>
      <c r="N5" s="28" t="e">
        <f t="shared" si="5"/>
        <v>#REF!</v>
      </c>
      <c r="O5" s="28" t="e">
        <f>Summary!$J$9*'R8'!N5*'R8'!H5</f>
        <v>#REF!</v>
      </c>
    </row>
    <row r="6" spans="1:16" ht="24" customHeight="1">
      <c r="B6" s="30">
        <f t="shared" si="0"/>
        <v>2023</v>
      </c>
      <c r="C6" s="28">
        <f t="shared" si="1"/>
        <v>74</v>
      </c>
      <c r="D6" s="28">
        <v>4</v>
      </c>
      <c r="E6" s="28">
        <f>VLOOKUP(C:C, 'Total Data Set'!B:J, IF(Summary!$F$9="M", 4, 8), FALSE)</f>
        <v>1.8977000000000001E-2</v>
      </c>
      <c r="F6" s="28">
        <f t="shared" si="2"/>
        <v>0.98102299999999998</v>
      </c>
      <c r="G6" s="28">
        <f t="shared" si="3"/>
        <v>0.94146239513174923</v>
      </c>
      <c r="H6" s="28">
        <f>1/(1+Summary!$O$3)^D6</f>
        <v>0.82270247479188197</v>
      </c>
      <c r="I6" s="28">
        <f>Summary!$J$9*'R8'!H6*'R8'!G6</f>
        <v>19494.483901724896</v>
      </c>
      <c r="L6" s="28" t="e">
        <f>IF(Summary!$F$9="M",VLOOKUP(C:C,#REF!,IF(B6&gt;2033,22,MATCH(B6,#REF!,0)),FALSE),VLOOKUP(C:C,#REF!,IF(B6&gt;2033,22,MATCH(B6,#REF!,0)),FALSE))</f>
        <v>#REF!</v>
      </c>
      <c r="M6" s="28" t="e">
        <f t="shared" si="4"/>
        <v>#REF!</v>
      </c>
      <c r="N6" s="28" t="e">
        <f t="shared" si="5"/>
        <v>#REF!</v>
      </c>
      <c r="O6" s="28" t="e">
        <f>Summary!$J$9*'R8'!N6*'R8'!H6</f>
        <v>#REF!</v>
      </c>
    </row>
    <row r="7" spans="1:16" ht="24" customHeight="1">
      <c r="B7" s="30">
        <f t="shared" si="0"/>
        <v>2024</v>
      </c>
      <c r="C7" s="28">
        <f t="shared" si="1"/>
        <v>75</v>
      </c>
      <c r="D7" s="28">
        <v>5</v>
      </c>
      <c r="E7" s="28">
        <f>VLOOKUP(C:C, 'Total Data Set'!B:J, IF(Summary!$F$9="M", 4, 8), FALSE)</f>
        <v>2.0937999999999998E-2</v>
      </c>
      <c r="F7" s="28">
        <f t="shared" si="2"/>
        <v>0.97906199999999999</v>
      </c>
      <c r="G7" s="28">
        <f t="shared" si="3"/>
        <v>0.92359626325933397</v>
      </c>
      <c r="H7" s="28">
        <f>1/(1+Summary!$O$3)^D7</f>
        <v>0.78352616646845896</v>
      </c>
      <c r="I7" s="28">
        <f>Summary!$J$9*'R8'!H7*'R8'!G7</f>
        <v>18213.844838782723</v>
      </c>
      <c r="L7" s="28" t="e">
        <f>IF(Summary!$F$9="M",VLOOKUP(C:C,#REF!,IF(B7&gt;2033,22,MATCH(B7,#REF!,0)),FALSE),VLOOKUP(C:C,#REF!,IF(B7&gt;2033,22,MATCH(B7,#REF!,0)),FALSE))</f>
        <v>#REF!</v>
      </c>
      <c r="M7" s="28" t="e">
        <f t="shared" si="4"/>
        <v>#REF!</v>
      </c>
      <c r="N7" s="28" t="e">
        <f t="shared" si="5"/>
        <v>#REF!</v>
      </c>
      <c r="O7" s="28" t="e">
        <f>Summary!$J$9*'R8'!N7*'R8'!H7</f>
        <v>#REF!</v>
      </c>
    </row>
    <row r="8" spans="1:16" ht="24" customHeight="1">
      <c r="B8" s="30">
        <f t="shared" si="0"/>
        <v>2025</v>
      </c>
      <c r="C8" s="28">
        <f t="shared" si="1"/>
        <v>76</v>
      </c>
      <c r="D8" s="28">
        <v>6</v>
      </c>
      <c r="E8" s="28">
        <f>VLOOKUP(C:C, 'Total Data Set'!B:J, IF(Summary!$F$9="M", 4, 8), FALSE)</f>
        <v>2.3118E-2</v>
      </c>
      <c r="F8" s="28">
        <f t="shared" si="2"/>
        <v>0.97688200000000003</v>
      </c>
      <c r="G8" s="28">
        <f t="shared" si="3"/>
        <v>0.90425800469921003</v>
      </c>
      <c r="H8" s="28">
        <f>1/(1+Summary!$O$3)^D8</f>
        <v>0.74621539663662761</v>
      </c>
      <c r="I8" s="28">
        <f>Summary!$J$9*'R8'!H8*'R8'!G8</f>
        <v>16983.317481474562</v>
      </c>
      <c r="L8" s="28" t="e">
        <f>IF(Summary!$F$9="M",VLOOKUP(C:C,#REF!,IF(B8&gt;2033,22,MATCH(B8,#REF!,0)),FALSE),VLOOKUP(C:C,#REF!,IF(B8&gt;2033,22,MATCH(B8,#REF!,0)),FALSE))</f>
        <v>#REF!</v>
      </c>
      <c r="M8" s="28" t="e">
        <f t="shared" si="4"/>
        <v>#REF!</v>
      </c>
      <c r="N8" s="28" t="e">
        <f t="shared" si="5"/>
        <v>#REF!</v>
      </c>
      <c r="O8" s="28" t="e">
        <f>Summary!$J$9*'R8'!N8*'R8'!H8</f>
        <v>#REF!</v>
      </c>
    </row>
    <row r="9" spans="1:16" ht="24" customHeight="1">
      <c r="B9" s="30">
        <f t="shared" si="0"/>
        <v>2026</v>
      </c>
      <c r="C9" s="28">
        <f t="shared" si="1"/>
        <v>77</v>
      </c>
      <c r="D9" s="28">
        <v>7</v>
      </c>
      <c r="E9" s="28">
        <f>VLOOKUP(C:C, 'Total Data Set'!B:J, IF(Summary!$F$9="M", 4, 8), FALSE)</f>
        <v>2.5554E-2</v>
      </c>
      <c r="F9" s="28">
        <f t="shared" si="2"/>
        <v>0.97444600000000003</v>
      </c>
      <c r="G9" s="28">
        <f t="shared" si="3"/>
        <v>0.88335336814657373</v>
      </c>
      <c r="H9" s="28">
        <f>1/(1+Summary!$O$3)^D9</f>
        <v>0.71068133013012147</v>
      </c>
      <c r="I9" s="28">
        <f>Summary!$J$9*'R8'!H9*'R8'!G9</f>
        <v>15800.663950416983</v>
      </c>
      <c r="L9" s="28" t="e">
        <f>IF(Summary!$F$9="M",VLOOKUP(C:C,#REF!,IF(B9&gt;2033,22,MATCH(B9,#REF!,0)),FALSE),VLOOKUP(C:C,#REF!,IF(B9&gt;2033,22,MATCH(B9,#REF!,0)),FALSE))</f>
        <v>#REF!</v>
      </c>
      <c r="M9" s="28" t="e">
        <f t="shared" si="4"/>
        <v>#REF!</v>
      </c>
      <c r="N9" s="28" t="e">
        <f t="shared" si="5"/>
        <v>#REF!</v>
      </c>
      <c r="O9" s="28" t="e">
        <f>Summary!$J$9*'R8'!N9*'R8'!H9</f>
        <v>#REF!</v>
      </c>
    </row>
    <row r="10" spans="1:16" ht="24" customHeight="1">
      <c r="B10" s="30">
        <f t="shared" si="0"/>
        <v>2027</v>
      </c>
      <c r="C10" s="28">
        <f t="shared" si="1"/>
        <v>78</v>
      </c>
      <c r="D10" s="28">
        <v>8</v>
      </c>
      <c r="E10" s="28">
        <f>VLOOKUP(C:C, 'Total Data Set'!B:J, IF(Summary!$F$9="M", 4, 8), FALSE)</f>
        <v>2.8288000000000001E-2</v>
      </c>
      <c r="F10" s="28">
        <f t="shared" si="2"/>
        <v>0.97171200000000002</v>
      </c>
      <c r="G10" s="28">
        <f t="shared" si="3"/>
        <v>0.86078015617695625</v>
      </c>
      <c r="H10" s="28">
        <f>1/(1+Summary!$O$3)^D10</f>
        <v>0.67683936202868722</v>
      </c>
      <c r="I10" s="28">
        <f>Summary!$J$9*'R8'!H10*'R8'!G10</f>
        <v>14663.708365550505</v>
      </c>
      <c r="L10" s="28" t="e">
        <f>IF(Summary!$F$9="M",VLOOKUP(C:C,#REF!,IF(B10&gt;2033,22,MATCH(B10,#REF!,0)),FALSE),VLOOKUP(C:C,#REF!,IF(B10&gt;2033,22,MATCH(B10,#REF!,0)),FALSE))</f>
        <v>#REF!</v>
      </c>
      <c r="M10" s="28" t="e">
        <f t="shared" si="4"/>
        <v>#REF!</v>
      </c>
      <c r="N10" s="28" t="e">
        <f t="shared" si="5"/>
        <v>#REF!</v>
      </c>
      <c r="O10" s="28" t="e">
        <f>Summary!$J$9*'R8'!N10*'R8'!H10</f>
        <v>#REF!</v>
      </c>
    </row>
    <row r="11" spans="1:16" ht="24" customHeight="1">
      <c r="B11" s="30">
        <f t="shared" si="0"/>
        <v>2028</v>
      </c>
      <c r="C11" s="28">
        <f t="shared" si="1"/>
        <v>79</v>
      </c>
      <c r="D11" s="28">
        <v>9</v>
      </c>
      <c r="E11" s="28">
        <f>VLOOKUP(C:C, 'Total Data Set'!B:J, IF(Summary!$F$9="M", 4, 8), FALSE)</f>
        <v>3.1365999999999998E-2</v>
      </c>
      <c r="F11" s="28">
        <f t="shared" si="2"/>
        <v>0.968634</v>
      </c>
      <c r="G11" s="28">
        <f t="shared" si="3"/>
        <v>0.8364304071190225</v>
      </c>
      <c r="H11" s="28">
        <f>1/(1+Summary!$O$3)^D11</f>
        <v>0.64460891621779726</v>
      </c>
      <c r="I11" s="28">
        <f>Summary!$J$9*'R8'!H11*'R8'!G11</f>
        <v>13570.38226981506</v>
      </c>
      <c r="L11" s="28" t="e">
        <f>IF(Summary!$F$9="M",VLOOKUP(C:C,#REF!,IF(B11&gt;2033,22,MATCH(B11,#REF!,0)),FALSE),VLOOKUP(C:C,#REF!,IF(B11&gt;2033,22,MATCH(B11,#REF!,0)),FALSE))</f>
        <v>#REF!</v>
      </c>
      <c r="M11" s="28" t="e">
        <f t="shared" si="4"/>
        <v>#REF!</v>
      </c>
      <c r="N11" s="28" t="e">
        <f t="shared" si="5"/>
        <v>#REF!</v>
      </c>
      <c r="O11" s="28" t="e">
        <f>Summary!$J$9*'R8'!N11*'R8'!H11</f>
        <v>#REF!</v>
      </c>
    </row>
    <row r="12" spans="1:16" ht="24" customHeight="1">
      <c r="B12" s="30">
        <f t="shared" si="0"/>
        <v>2029</v>
      </c>
      <c r="C12" s="28">
        <f t="shared" si="1"/>
        <v>80</v>
      </c>
      <c r="D12" s="28">
        <v>10</v>
      </c>
      <c r="E12" s="28">
        <f>VLOOKUP(C:C, 'Total Data Set'!B:J, IF(Summary!$F$9="M", 4, 8), FALSE)</f>
        <v>3.4844E-2</v>
      </c>
      <c r="F12" s="28">
        <f t="shared" si="2"/>
        <v>0.96515600000000001</v>
      </c>
      <c r="G12" s="28">
        <f t="shared" si="3"/>
        <v>0.81019493096932726</v>
      </c>
      <c r="H12" s="28">
        <f>1/(1+Summary!$O$3)^D12</f>
        <v>0.61391325354075932</v>
      </c>
      <c r="I12" s="28">
        <f>Summary!$J$9*'R8'!H12*'R8'!G12</f>
        <v>12518.793961466705</v>
      </c>
      <c r="L12" s="28" t="e">
        <f>IF(Summary!$F$9="M",VLOOKUP(C:C,#REF!,IF(B12&gt;2033,22,MATCH(B12,#REF!,0)),FALSE),VLOOKUP(C:C,#REF!,IF(B12&gt;2033,22,MATCH(B12,#REF!,0)),FALSE))</f>
        <v>#REF!</v>
      </c>
      <c r="M12" s="28" t="e">
        <f t="shared" si="4"/>
        <v>#REF!</v>
      </c>
      <c r="N12" s="28" t="e">
        <f t="shared" si="5"/>
        <v>#REF!</v>
      </c>
      <c r="O12" s="28" t="e">
        <f>Summary!$J$9*'R8'!N12*'R8'!H12</f>
        <v>#REF!</v>
      </c>
    </row>
    <row r="13" spans="1:16" ht="24" customHeight="1">
      <c r="B13" s="30">
        <f t="shared" si="0"/>
        <v>2030</v>
      </c>
      <c r="C13" s="28">
        <f t="shared" si="1"/>
        <v>81</v>
      </c>
      <c r="D13" s="28">
        <v>11</v>
      </c>
      <c r="E13" s="28">
        <f>VLOOKUP(C:C, 'Total Data Set'!B:J, IF(Summary!$F$9="M", 4, 8), FALSE)</f>
        <v>3.8782999999999998E-2</v>
      </c>
      <c r="F13" s="28">
        <f t="shared" si="2"/>
        <v>0.96121699999999999</v>
      </c>
      <c r="G13" s="28">
        <f t="shared" si="3"/>
        <v>0.78196449879463203</v>
      </c>
      <c r="H13" s="28">
        <f>1/(1+Summary!$O$3)^D13</f>
        <v>0.5846792890864374</v>
      </c>
      <c r="I13" s="28">
        <f>Summary!$J$9*'R8'!H13*'R8'!G13</f>
        <v>11507.227718736533</v>
      </c>
      <c r="L13" s="28" t="e">
        <f>IF(Summary!$F$9="M",VLOOKUP(C:C,#REF!,IF(B13&gt;2033,22,MATCH(B13,#REF!,0)),FALSE),VLOOKUP(C:C,#REF!,IF(B13&gt;2033,22,MATCH(B13,#REF!,0)),FALSE))</f>
        <v>#REF!</v>
      </c>
      <c r="M13" s="28" t="e">
        <f t="shared" si="4"/>
        <v>#REF!</v>
      </c>
      <c r="N13" s="28" t="e">
        <f t="shared" si="5"/>
        <v>#REF!</v>
      </c>
      <c r="O13" s="28" t="e">
        <f>Summary!$J$9*'R8'!N13*'R8'!H13</f>
        <v>#REF!</v>
      </c>
    </row>
    <row r="14" spans="1:16" ht="24" customHeight="1">
      <c r="B14" s="30">
        <f t="shared" si="0"/>
        <v>2031</v>
      </c>
      <c r="C14" s="28">
        <f t="shared" si="1"/>
        <v>82</v>
      </c>
      <c r="D14" s="28">
        <v>12</v>
      </c>
      <c r="E14" s="28">
        <f>VLOOKUP(C:C, 'Total Data Set'!B:J, IF(Summary!$F$9="M", 4, 8), FALSE)</f>
        <v>4.3246E-2</v>
      </c>
      <c r="F14" s="28">
        <f t="shared" si="2"/>
        <v>0.95675399999999999</v>
      </c>
      <c r="G14" s="28">
        <f t="shared" si="3"/>
        <v>0.75163756963787987</v>
      </c>
      <c r="H14" s="28">
        <f>1/(1+Summary!$O$3)^D14</f>
        <v>0.5568374181775595</v>
      </c>
      <c r="I14" s="28">
        <f>Summary!$J$9*'R8'!H14*'R8'!G14</f>
        <v>10534.231339162643</v>
      </c>
      <c r="L14" s="28" t="e">
        <f>IF(Summary!$F$9="M",VLOOKUP(C:C,#REF!,IF(B14&gt;2033,22,MATCH(B14,#REF!,0)),FALSE),VLOOKUP(C:C,#REF!,IF(B14&gt;2033,22,MATCH(B14,#REF!,0)),FALSE))</f>
        <v>#REF!</v>
      </c>
      <c r="M14" s="28" t="e">
        <f t="shared" si="4"/>
        <v>#REF!</v>
      </c>
      <c r="N14" s="28" t="e">
        <f t="shared" si="5"/>
        <v>#REF!</v>
      </c>
      <c r="O14" s="28" t="e">
        <f>Summary!$J$9*'R8'!N14*'R8'!H14</f>
        <v>#REF!</v>
      </c>
    </row>
    <row r="15" spans="1:16" ht="24" customHeight="1">
      <c r="B15" s="30">
        <f t="shared" si="0"/>
        <v>2032</v>
      </c>
      <c r="C15" s="28">
        <f t="shared" si="1"/>
        <v>83</v>
      </c>
      <c r="D15" s="28">
        <v>13</v>
      </c>
      <c r="E15" s="28">
        <f>VLOOKUP(C:C, 'Total Data Set'!B:J, IF(Summary!$F$9="M", 4, 8), FALSE)</f>
        <v>4.8305000000000001E-2</v>
      </c>
      <c r="F15" s="28">
        <f t="shared" si="2"/>
        <v>0.95169499999999996</v>
      </c>
      <c r="G15" s="28">
        <f t="shared" si="3"/>
        <v>0.71913225130132008</v>
      </c>
      <c r="H15" s="28">
        <f>1/(1+Summary!$O$3)^D15</f>
        <v>0.53032135064529462</v>
      </c>
      <c r="I15" s="28">
        <f>Summary!$J$9*'R8'!H15*'R8'!G15</f>
        <v>9598.7314006373454</v>
      </c>
      <c r="L15" s="28" t="e">
        <f>IF(Summary!$F$9="M",VLOOKUP(C:C,#REF!,IF(B15&gt;2033,22,MATCH(B15,#REF!,0)),FALSE),VLOOKUP(C:C,#REF!,IF(B15&gt;2033,22,MATCH(B15,#REF!,0)),FALSE))</f>
        <v>#REF!</v>
      </c>
      <c r="M15" s="28" t="e">
        <f t="shared" si="4"/>
        <v>#REF!</v>
      </c>
      <c r="N15" s="28" t="e">
        <f t="shared" si="5"/>
        <v>#REF!</v>
      </c>
      <c r="O15" s="28" t="e">
        <f>Summary!$J$9*'R8'!N15*'R8'!H15</f>
        <v>#REF!</v>
      </c>
    </row>
    <row r="16" spans="1:16" ht="24" customHeight="1">
      <c r="B16" s="30">
        <f t="shared" si="0"/>
        <v>2033</v>
      </c>
      <c r="C16" s="28">
        <f t="shared" si="1"/>
        <v>84</v>
      </c>
      <c r="D16" s="28">
        <v>14</v>
      </c>
      <c r="E16" s="28">
        <f>VLOOKUP(C:C, 'Total Data Set'!B:J, IF(Summary!$F$9="M", 4, 8), FALSE)</f>
        <v>5.4031999999999997E-2</v>
      </c>
      <c r="F16" s="28">
        <f t="shared" si="2"/>
        <v>0.94596800000000003</v>
      </c>
      <c r="G16" s="28">
        <f t="shared" si="3"/>
        <v>0.68439456790220976</v>
      </c>
      <c r="H16" s="28">
        <f>1/(1+Summary!$O$3)^D16</f>
        <v>0.50506795299551888</v>
      </c>
      <c r="I16" s="28">
        <f>Summary!$J$9*'R8'!H16*'R8'!G16</f>
        <v>8700.0616003138675</v>
      </c>
      <c r="L16" s="28" t="e">
        <f>IF(Summary!$F$9="M",VLOOKUP(C:C,#REF!,IF(B16&gt;2033,22,MATCH(B16,#REF!,0)),FALSE),VLOOKUP(C:C,#REF!,IF(B16&gt;2033,22,MATCH(B16,#REF!,0)),FALSE))</f>
        <v>#REF!</v>
      </c>
      <c r="M16" s="28" t="e">
        <f t="shared" si="4"/>
        <v>#REF!</v>
      </c>
      <c r="N16" s="28" t="e">
        <f t="shared" si="5"/>
        <v>#REF!</v>
      </c>
      <c r="O16" s="28" t="e">
        <f>Summary!$J$9*'R8'!N16*'R8'!H16</f>
        <v>#REF!</v>
      </c>
    </row>
    <row r="17" spans="2:15" ht="24" customHeight="1">
      <c r="B17" s="30">
        <f t="shared" si="0"/>
        <v>2034</v>
      </c>
      <c r="C17" s="28">
        <f t="shared" si="1"/>
        <v>85</v>
      </c>
      <c r="D17" s="28">
        <v>15</v>
      </c>
      <c r="E17" s="28">
        <f>VLOOKUP(C:C, 'Total Data Set'!B:J, IF(Summary!$F$9="M", 4, 8), FALSE)</f>
        <v>6.0504000000000002E-2</v>
      </c>
      <c r="F17" s="28">
        <f t="shared" si="2"/>
        <v>0.939496</v>
      </c>
      <c r="G17" s="28">
        <f t="shared" si="3"/>
        <v>0.64741536060931759</v>
      </c>
      <c r="H17" s="28">
        <f>1/(1+Summary!$O$3)^D17</f>
        <v>0.48101709809097021</v>
      </c>
      <c r="I17" s="28">
        <f>Summary!$J$9*'R8'!H17*'R8'!G17</f>
        <v>7838.0760685006726</v>
      </c>
      <c r="L17" s="28" t="e">
        <f>IF(Summary!$F$9="M",VLOOKUP(C:C,#REF!,IF(B17&gt;2033,22,MATCH(B17,#REF!,0)),FALSE),VLOOKUP(C:C,#REF!,IF(B17&gt;2033,22,MATCH(B17,#REF!,0)),FALSE))</f>
        <v>#REF!</v>
      </c>
      <c r="M17" s="28" t="e">
        <f t="shared" si="4"/>
        <v>#REF!</v>
      </c>
      <c r="N17" s="28" t="e">
        <f t="shared" si="5"/>
        <v>#REF!</v>
      </c>
      <c r="O17" s="28" t="e">
        <f>Summary!$J$9*'R8'!N17*'R8'!H17</f>
        <v>#REF!</v>
      </c>
    </row>
    <row r="18" spans="2:15" ht="24" customHeight="1">
      <c r="B18" s="30">
        <f t="shared" si="0"/>
        <v>2035</v>
      </c>
      <c r="C18" s="28">
        <f t="shared" si="1"/>
        <v>86</v>
      </c>
      <c r="D18" s="28">
        <v>16</v>
      </c>
      <c r="E18" s="28">
        <f>VLOOKUP(C:C, 'Total Data Set'!B:J, IF(Summary!$F$9="M", 4, 8), FALSE)</f>
        <v>6.7801E-2</v>
      </c>
      <c r="F18" s="28">
        <f t="shared" si="2"/>
        <v>0.932199</v>
      </c>
      <c r="G18" s="28">
        <f t="shared" si="3"/>
        <v>0.60824414163101148</v>
      </c>
      <c r="H18" s="28">
        <f>1/(1+Summary!$O$3)^D18</f>
        <v>0.45811152199140021</v>
      </c>
      <c r="I18" s="28">
        <f>Summary!$J$9*'R8'!H18*'R8'!G18</f>
        <v>7013.1820133829606</v>
      </c>
      <c r="L18" s="28" t="e">
        <f>IF(Summary!$F$9="M",VLOOKUP(C:C,#REF!,IF(B18&gt;2033,22,MATCH(B18,#REF!,0)),FALSE),VLOOKUP(C:C,#REF!,IF(B18&gt;2033,22,MATCH(B18,#REF!,0)),FALSE))</f>
        <v>#REF!</v>
      </c>
      <c r="M18" s="28" t="e">
        <f t="shared" si="4"/>
        <v>#REF!</v>
      </c>
      <c r="N18" s="28" t="e">
        <f t="shared" si="5"/>
        <v>#REF!</v>
      </c>
      <c r="O18" s="28" t="e">
        <f>Summary!$J$9*'R8'!N18*'R8'!H18</f>
        <v>#REF!</v>
      </c>
    </row>
    <row r="19" spans="2:15" ht="24" customHeight="1">
      <c r="B19" s="30">
        <f t="shared" si="0"/>
        <v>2036</v>
      </c>
      <c r="C19" s="28">
        <f t="shared" si="1"/>
        <v>87</v>
      </c>
      <c r="D19" s="28">
        <v>17</v>
      </c>
      <c r="E19" s="28">
        <f>VLOOKUP(C:C, 'Total Data Set'!B:J, IF(Summary!$F$9="M", 4, 8), FALSE)</f>
        <v>7.6011999999999996E-2</v>
      </c>
      <c r="F19" s="28">
        <f t="shared" si="2"/>
        <v>0.92398800000000003</v>
      </c>
      <c r="G19" s="28">
        <f t="shared" si="3"/>
        <v>0.56700458058428727</v>
      </c>
      <c r="H19" s="28">
        <f>1/(1+Summary!$O$3)^D19</f>
        <v>0.43629668761085727</v>
      </c>
      <c r="I19" s="28">
        <f>Summary!$J$9*'R8'!H19*'R8'!G19</f>
        <v>6226.3631044700778</v>
      </c>
      <c r="L19" s="28" t="e">
        <f>IF(Summary!$F$9="M",VLOOKUP(C:C,#REF!,IF(B19&gt;2033,22,MATCH(B19,#REF!,0)),FALSE),VLOOKUP(C:C,#REF!,IF(B19&gt;2033,22,MATCH(B19,#REF!,0)),FALSE))</f>
        <v>#REF!</v>
      </c>
      <c r="M19" s="28" t="e">
        <f t="shared" si="4"/>
        <v>#REF!</v>
      </c>
      <c r="N19" s="28" t="e">
        <f t="shared" si="5"/>
        <v>#REF!</v>
      </c>
      <c r="O19" s="28" t="e">
        <f>Summary!$J$9*'R8'!N19*'R8'!H19</f>
        <v>#REF!</v>
      </c>
    </row>
    <row r="20" spans="2:15" ht="24" customHeight="1">
      <c r="B20" s="30">
        <f t="shared" si="0"/>
        <v>2037</v>
      </c>
      <c r="C20" s="28">
        <f t="shared" si="1"/>
        <v>88</v>
      </c>
      <c r="D20" s="28">
        <v>18</v>
      </c>
      <c r="E20" s="28">
        <f>VLOOKUP(C:C, 'Total Data Set'!B:J, IF(Summary!$F$9="M", 4, 8), FALSE)</f>
        <v>8.523E-2</v>
      </c>
      <c r="F20" s="28">
        <f t="shared" si="2"/>
        <v>0.91476999999999997</v>
      </c>
      <c r="G20" s="28">
        <f t="shared" si="3"/>
        <v>0.52390542840491439</v>
      </c>
      <c r="H20" s="28">
        <f>1/(1+Summary!$O$3)^D20</f>
        <v>0.41552065486748313</v>
      </c>
      <c r="I20" s="28">
        <f>Summary!$J$9*'R8'!H20*'R8'!G20</f>
        <v>5479.1283734981889</v>
      </c>
      <c r="L20" s="28" t="e">
        <f>IF(Summary!$F$9="M",VLOOKUP(C:C,#REF!,IF(B20&gt;2033,22,MATCH(B20,#REF!,0)),FALSE),VLOOKUP(C:C,#REF!,IF(B20&gt;2033,22,MATCH(B20,#REF!,0)),FALSE))</f>
        <v>#REF!</v>
      </c>
      <c r="M20" s="28" t="e">
        <f t="shared" si="4"/>
        <v>#REF!</v>
      </c>
      <c r="N20" s="28" t="e">
        <f t="shared" si="5"/>
        <v>#REF!</v>
      </c>
      <c r="O20" s="28" t="e">
        <f>Summary!$J$9*'R8'!N20*'R8'!H20</f>
        <v>#REF!</v>
      </c>
    </row>
    <row r="21" spans="2:15" ht="24" customHeight="1">
      <c r="B21" s="30">
        <f t="shared" si="0"/>
        <v>2038</v>
      </c>
      <c r="C21" s="28">
        <f t="shared" si="1"/>
        <v>89</v>
      </c>
      <c r="D21" s="28">
        <v>19</v>
      </c>
      <c r="E21" s="28">
        <f>VLOOKUP(C:C, 'Total Data Set'!B:J, IF(Summary!$F$9="M", 4, 8), FALSE)</f>
        <v>9.5562999999999995E-2</v>
      </c>
      <c r="F21" s="28">
        <f t="shared" si="2"/>
        <v>0.90443700000000005</v>
      </c>
      <c r="G21" s="28">
        <f t="shared" si="3"/>
        <v>0.47925296874196349</v>
      </c>
      <c r="H21" s="28">
        <f>1/(1+Summary!$O$3)^D21</f>
        <v>0.39573395701665059</v>
      </c>
      <c r="I21" s="28">
        <f>Summary!$J$9*'R8'!H21*'R8'!G21</f>
        <v>4773.4688211666062</v>
      </c>
      <c r="L21" s="28" t="e">
        <f>IF(Summary!$F$9="M",VLOOKUP(C:C,#REF!,IF(B21&gt;2033,22,MATCH(B21,#REF!,0)),FALSE),VLOOKUP(C:C,#REF!,IF(B21&gt;2033,22,MATCH(B21,#REF!,0)),FALSE))</f>
        <v>#REF!</v>
      </c>
      <c r="M21" s="28" t="e">
        <f t="shared" si="4"/>
        <v>#REF!</v>
      </c>
      <c r="N21" s="28" t="e">
        <f t="shared" si="5"/>
        <v>#REF!</v>
      </c>
      <c r="O21" s="28" t="e">
        <f>Summary!$J$9*'R8'!N21*'R8'!H21</f>
        <v>#REF!</v>
      </c>
    </row>
    <row r="22" spans="2:15" ht="24" customHeight="1">
      <c r="B22" s="30">
        <f t="shared" si="0"/>
        <v>2039</v>
      </c>
      <c r="C22" s="28">
        <f t="shared" si="1"/>
        <v>90</v>
      </c>
      <c r="D22" s="28">
        <v>20</v>
      </c>
      <c r="E22" s="28">
        <f>VLOOKUP(C:C, 'Total Data Set'!B:J, IF(Summary!$F$9="M", 4, 8), FALSE)</f>
        <v>0.107126</v>
      </c>
      <c r="F22" s="28">
        <f t="shared" si="2"/>
        <v>0.89287399999999995</v>
      </c>
      <c r="G22" s="28">
        <f t="shared" si="3"/>
        <v>0.43345411729007527</v>
      </c>
      <c r="H22" s="28">
        <f>1/(1+Summary!$O$3)^D22</f>
        <v>0.37688948287300061</v>
      </c>
      <c r="I22" s="28">
        <f>Summary!$J$9*'R8'!H22*'R8'!G22</f>
        <v>4111.7160192471074</v>
      </c>
      <c r="L22" s="28" t="e">
        <f>IF(Summary!$F$9="M",VLOOKUP(C:C,#REF!,IF(B22&gt;2033,22,MATCH(B22,#REF!,0)),FALSE),VLOOKUP(C:C,#REF!,IF(B22&gt;2033,22,MATCH(B22,#REF!,0)),FALSE))</f>
        <v>#REF!</v>
      </c>
      <c r="M22" s="28" t="e">
        <f t="shared" si="4"/>
        <v>#REF!</v>
      </c>
      <c r="N22" s="28" t="e">
        <f t="shared" si="5"/>
        <v>#REF!</v>
      </c>
      <c r="O22" s="28" t="e">
        <f>Summary!$J$9*'R8'!N22*'R8'!H22</f>
        <v>#REF!</v>
      </c>
    </row>
    <row r="23" spans="2:15" ht="24" customHeight="1">
      <c r="B23" s="30">
        <f t="shared" si="0"/>
        <v>2040</v>
      </c>
      <c r="C23" s="28">
        <f t="shared" si="1"/>
        <v>91</v>
      </c>
      <c r="D23" s="28">
        <v>21</v>
      </c>
      <c r="E23" s="28">
        <f>VLOOKUP(C:C, 'Total Data Set'!B:J, IF(Summary!$F$9="M", 4, 8), FALSE)</f>
        <v>0.119744</v>
      </c>
      <c r="F23" s="28">
        <f t="shared" si="2"/>
        <v>0.88025600000000004</v>
      </c>
      <c r="G23" s="28">
        <f t="shared" si="3"/>
        <v>0.38701991152125864</v>
      </c>
      <c r="H23" s="28">
        <f>1/(1+Summary!$O$3)^D23</f>
        <v>0.35894236464095297</v>
      </c>
      <c r="I23" s="28">
        <f>Summary!$J$9*'R8'!H23*'R8'!G23</f>
        <v>3496.4231704468971</v>
      </c>
      <c r="L23" s="28" t="e">
        <f>IF(Summary!$F$9="M",VLOOKUP(C:C,#REF!,IF(B23&gt;2033,22,MATCH(B23,#REF!,0)),FALSE),VLOOKUP(C:C,#REF!,IF(B23&gt;2033,22,MATCH(B23,#REF!,0)),FALSE))</f>
        <v>#REF!</v>
      </c>
      <c r="M23" s="28" t="e">
        <f t="shared" si="4"/>
        <v>#REF!</v>
      </c>
      <c r="N23" s="28" t="e">
        <f t="shared" si="5"/>
        <v>#REF!</v>
      </c>
      <c r="O23" s="28" t="e">
        <f>Summary!$J$9*'R8'!N23*'R8'!H23</f>
        <v>#REF!</v>
      </c>
    </row>
    <row r="24" spans="2:15" ht="24" customHeight="1">
      <c r="B24" s="30">
        <f t="shared" si="0"/>
        <v>2041</v>
      </c>
      <c r="C24" s="28">
        <f t="shared" si="1"/>
        <v>92</v>
      </c>
      <c r="D24" s="28">
        <v>22</v>
      </c>
      <c r="E24" s="28">
        <f>VLOOKUP(C:C, 'Total Data Set'!B:J, IF(Summary!$F$9="M", 4, 8), FALSE)</f>
        <v>0.133299</v>
      </c>
      <c r="F24" s="28">
        <f t="shared" si="2"/>
        <v>0.86670099999999994</v>
      </c>
      <c r="G24" s="28">
        <f t="shared" si="3"/>
        <v>0.34067659923605709</v>
      </c>
      <c r="H24" s="28">
        <f>1/(1+Summary!$O$3)^D24</f>
        <v>0.3418498710866219</v>
      </c>
      <c r="I24" s="28">
        <f>Summary!$J$9*'R8'!H24*'R8'!G24</f>
        <v>2931.1880707856235</v>
      </c>
      <c r="L24" s="28" t="e">
        <f>IF(Summary!$F$9="M",VLOOKUP(C:C,#REF!,IF(B24&gt;2033,22,MATCH(B24,#REF!,0)),FALSE),VLOOKUP(C:C,#REF!,IF(B24&gt;2033,22,MATCH(B24,#REF!,0)),FALSE))</f>
        <v>#REF!</v>
      </c>
      <c r="M24" s="28" t="e">
        <f t="shared" si="4"/>
        <v>#REF!</v>
      </c>
      <c r="N24" s="28" t="e">
        <f t="shared" si="5"/>
        <v>#REF!</v>
      </c>
      <c r="O24" s="28" t="e">
        <f>Summary!$J$9*'R8'!N24*'R8'!H24</f>
        <v>#REF!</v>
      </c>
    </row>
    <row r="25" spans="2:15" ht="24" customHeight="1">
      <c r="B25" s="30">
        <f t="shared" si="0"/>
        <v>2042</v>
      </c>
      <c r="C25" s="28">
        <f t="shared" si="1"/>
        <v>93</v>
      </c>
      <c r="D25" s="28">
        <v>23</v>
      </c>
      <c r="E25" s="28">
        <f>VLOOKUP(C:C, 'Total Data Set'!B:J, IF(Summary!$F$9="M", 4, 8), FALSE)</f>
        <v>0.14771999999999999</v>
      </c>
      <c r="F25" s="28">
        <f t="shared" si="2"/>
        <v>0.85228000000000004</v>
      </c>
      <c r="G25" s="28">
        <f t="shared" si="3"/>
        <v>0.29526474923448992</v>
      </c>
      <c r="H25" s="28">
        <f>1/(1+Summary!$O$3)^D25</f>
        <v>0.32557130579678267</v>
      </c>
      <c r="I25" s="28">
        <f>Summary!$J$9*'R8'!H25*'R8'!G25</f>
        <v>2419.4891734647331</v>
      </c>
      <c r="L25" s="28" t="e">
        <f>IF(Summary!$F$9="M",VLOOKUP(C:C,#REF!,IF(B25&gt;2033,22,MATCH(B25,#REF!,0)),FALSE),VLOOKUP(C:C,#REF!,IF(B25&gt;2033,22,MATCH(B25,#REF!,0)),FALSE))</f>
        <v>#REF!</v>
      </c>
      <c r="M25" s="28" t="e">
        <f t="shared" si="4"/>
        <v>#REF!</v>
      </c>
      <c r="N25" s="28" t="e">
        <f t="shared" si="5"/>
        <v>#REF!</v>
      </c>
      <c r="O25" s="28" t="e">
        <f>Summary!$J$9*'R8'!N25*'R8'!H25</f>
        <v>#REF!</v>
      </c>
    </row>
    <row r="26" spans="2:15" ht="24" customHeight="1">
      <c r="B26" s="30">
        <f t="shared" si="0"/>
        <v>2043</v>
      </c>
      <c r="C26" s="28">
        <f t="shared" si="1"/>
        <v>94</v>
      </c>
      <c r="D26" s="28">
        <v>24</v>
      </c>
      <c r="E26" s="28">
        <f>VLOOKUP(C:C, 'Total Data Set'!B:J, IF(Summary!$F$9="M", 4, 8), FALSE)</f>
        <v>0.162971</v>
      </c>
      <c r="F26" s="28">
        <f t="shared" si="2"/>
        <v>0.83702900000000002</v>
      </c>
      <c r="G26" s="28">
        <f t="shared" si="3"/>
        <v>0.25164824047757106</v>
      </c>
      <c r="H26" s="28">
        <f>1/(1+Summary!$O$3)^D26</f>
        <v>0.31006791028265024</v>
      </c>
      <c r="I26" s="28">
        <f>Summary!$J$9*'R8'!H26*'R8'!G26</f>
        <v>1963.887840724308</v>
      </c>
      <c r="L26" s="28" t="e">
        <f>IF(Summary!$F$9="M",VLOOKUP(C:C,#REF!,IF(B26&gt;2033,22,MATCH(B26,#REF!,0)),FALSE),VLOOKUP(C:C,#REF!,IF(B26&gt;2033,22,MATCH(B26,#REF!,0)),FALSE))</f>
        <v>#REF!</v>
      </c>
      <c r="M26" s="28" t="e">
        <f t="shared" si="4"/>
        <v>#REF!</v>
      </c>
      <c r="N26" s="28" t="e">
        <f t="shared" si="5"/>
        <v>#REF!</v>
      </c>
      <c r="O26" s="28" t="e">
        <f>Summary!$J$9*'R8'!N26*'R8'!H26</f>
        <v>#REF!</v>
      </c>
    </row>
    <row r="27" spans="2:15" ht="24" customHeight="1">
      <c r="B27" s="30">
        <f t="shared" si="0"/>
        <v>2044</v>
      </c>
      <c r="C27" s="28">
        <f t="shared" si="1"/>
        <v>95</v>
      </c>
      <c r="D27" s="28">
        <v>25</v>
      </c>
      <c r="E27" s="28">
        <f>VLOOKUP(C:C, 'Total Data Set'!B:J, IF(Summary!$F$9="M", 4, 8), FALSE)</f>
        <v>0.179034</v>
      </c>
      <c r="F27" s="28">
        <f t="shared" si="2"/>
        <v>0.82096599999999997</v>
      </c>
      <c r="G27" s="28">
        <f t="shared" si="3"/>
        <v>0.21063687507870082</v>
      </c>
      <c r="H27" s="28">
        <f>1/(1+Summary!$O$3)^D27</f>
        <v>0.29530277169776209</v>
      </c>
      <c r="I27" s="28">
        <f>Summary!$J$9*'R8'!H27*'R8'!G27</f>
        <v>1565.5534051748823</v>
      </c>
      <c r="L27" s="28" t="e">
        <f>IF(Summary!$F$9="M",VLOOKUP(C:C,#REF!,IF(B27&gt;2033,22,MATCH(B27,#REF!,0)),FALSE),VLOOKUP(C:C,#REF!,IF(B27&gt;2033,22,MATCH(B27,#REF!,0)),FALSE))</f>
        <v>#REF!</v>
      </c>
      <c r="M27" s="28" t="e">
        <f t="shared" si="4"/>
        <v>#REF!</v>
      </c>
      <c r="N27" s="28" t="e">
        <f t="shared" si="5"/>
        <v>#REF!</v>
      </c>
      <c r="O27" s="28" t="e">
        <f>Summary!$J$9*'R8'!N27*'R8'!H27</f>
        <v>#REF!</v>
      </c>
    </row>
    <row r="28" spans="2:15" ht="24" customHeight="1">
      <c r="B28" s="30">
        <f t="shared" si="0"/>
        <v>2045</v>
      </c>
      <c r="C28" s="28">
        <f t="shared" si="1"/>
        <v>96</v>
      </c>
      <c r="D28" s="28">
        <v>26</v>
      </c>
      <c r="E28" s="28">
        <f>VLOOKUP(C:C, 'Total Data Set'!B:J, IF(Summary!$F$9="M", 4, 8), FALSE)</f>
        <v>0.19590299999999999</v>
      </c>
      <c r="F28" s="28">
        <f t="shared" si="2"/>
        <v>0.80409700000000006</v>
      </c>
      <c r="G28" s="28">
        <f t="shared" si="3"/>
        <v>0.17292571278586069</v>
      </c>
      <c r="H28" s="28">
        <f>1/(1+Summary!$O$3)^D28</f>
        <v>0.28124073495024959</v>
      </c>
      <c r="I28" s="28">
        <f>Summary!$J$9*'R8'!H28*'R8'!G28</f>
        <v>1224.0629684121927</v>
      </c>
      <c r="L28" s="28" t="e">
        <f>IF(Summary!$F$9="M",VLOOKUP(C:C,#REF!,IF(B28&gt;2033,22,MATCH(B28,#REF!,0)),FALSE),VLOOKUP(C:C,#REF!,IF(B28&gt;2033,22,MATCH(B28,#REF!,0)),FALSE))</f>
        <v>#REF!</v>
      </c>
      <c r="M28" s="28" t="e">
        <f t="shared" si="4"/>
        <v>#REF!</v>
      </c>
      <c r="N28" s="28" t="e">
        <f t="shared" si="5"/>
        <v>#REF!</v>
      </c>
      <c r="O28" s="28" t="e">
        <f>Summary!$J$9*'R8'!N28*'R8'!H28</f>
        <v>#REF!</v>
      </c>
    </row>
    <row r="29" spans="2:15" ht="24" customHeight="1">
      <c r="B29" s="30">
        <f t="shared" si="0"/>
        <v>2046</v>
      </c>
      <c r="C29" s="28">
        <f t="shared" si="1"/>
        <v>97</v>
      </c>
      <c r="D29" s="28">
        <v>27</v>
      </c>
      <c r="E29" s="28">
        <f>VLOOKUP(C:C, 'Total Data Set'!B:J, IF(Summary!$F$9="M", 4, 8), FALSE)</f>
        <v>0.213565</v>
      </c>
      <c r="F29" s="28">
        <f t="shared" si="2"/>
        <v>0.786435</v>
      </c>
      <c r="G29" s="28">
        <f t="shared" si="3"/>
        <v>0.13904904687397224</v>
      </c>
      <c r="H29" s="28">
        <f>1/(1+Summary!$O$3)^D29</f>
        <v>0.2678483190002377</v>
      </c>
      <c r="I29" s="28">
        <f>Summary!$J$9*'R8'!H29*'R8'!G29</f>
        <v>937.39558162984656</v>
      </c>
      <c r="L29" s="28" t="e">
        <f>IF(Summary!$F$9="M",VLOOKUP(C:C,#REF!,IF(B29&gt;2033,22,MATCH(B29,#REF!,0)),FALSE),VLOOKUP(C:C,#REF!,IF(B29&gt;2033,22,MATCH(B29,#REF!,0)),FALSE))</f>
        <v>#REF!</v>
      </c>
      <c r="M29" s="28" t="e">
        <f t="shared" si="4"/>
        <v>#REF!</v>
      </c>
      <c r="N29" s="28" t="e">
        <f t="shared" si="5"/>
        <v>#REF!</v>
      </c>
      <c r="O29" s="28" t="e">
        <f>Summary!$J$9*'R8'!N29*'R8'!H29</f>
        <v>#REF!</v>
      </c>
    </row>
    <row r="30" spans="2:15" ht="24" customHeight="1">
      <c r="B30" s="30">
        <f t="shared" si="0"/>
        <v>2047</v>
      </c>
      <c r="C30" s="28">
        <f t="shared" si="1"/>
        <v>98</v>
      </c>
      <c r="D30" s="28">
        <v>28</v>
      </c>
      <c r="E30" s="28">
        <f>VLOOKUP(C:C, 'Total Data Set'!B:J, IF(Summary!$F$9="M", 4, 8), FALSE)</f>
        <v>0.231991</v>
      </c>
      <c r="F30" s="28">
        <f t="shared" si="2"/>
        <v>0.76800899999999994</v>
      </c>
      <c r="G30" s="28">
        <f t="shared" si="3"/>
        <v>0.10935303717833235</v>
      </c>
      <c r="H30" s="28">
        <f>1/(1+Summary!$O$3)^D30</f>
        <v>0.25509363714308358</v>
      </c>
      <c r="I30" s="28">
        <f>Summary!$J$9*'R8'!H30*'R8'!G30</f>
        <v>702.0958992753034</v>
      </c>
      <c r="L30" s="28" t="e">
        <f>IF(Summary!$F$9="M",VLOOKUP(C:C,#REF!,IF(B30&gt;2033,22,MATCH(B30,#REF!,0)),FALSE),VLOOKUP(C:C,#REF!,IF(B30&gt;2033,22,MATCH(B30,#REF!,0)),FALSE))</f>
        <v>#REF!</v>
      </c>
      <c r="M30" s="28" t="e">
        <f t="shared" si="4"/>
        <v>#REF!</v>
      </c>
      <c r="N30" s="28" t="e">
        <f t="shared" si="5"/>
        <v>#REF!</v>
      </c>
      <c r="O30" s="28" t="e">
        <f>Summary!$J$9*'R8'!N30*'R8'!H30</f>
        <v>#REF!</v>
      </c>
    </row>
    <row r="31" spans="2:15" ht="24" customHeight="1">
      <c r="B31" s="30">
        <f t="shared" si="0"/>
        <v>2048</v>
      </c>
      <c r="C31" s="28">
        <f t="shared" si="1"/>
        <v>99</v>
      </c>
      <c r="D31" s="28">
        <v>29</v>
      </c>
      <c r="E31" s="28">
        <f>VLOOKUP(C:C, 'Total Data Set'!B:J, IF(Summary!$F$9="M", 4, 8), FALSE)</f>
        <v>0.25112299999999999</v>
      </c>
      <c r="F31" s="28">
        <f t="shared" si="2"/>
        <v>0.74887700000000001</v>
      </c>
      <c r="G31" s="28">
        <f t="shared" si="3"/>
        <v>8.3984116730293837E-2</v>
      </c>
      <c r="H31" s="28">
        <f>1/(1+Summary!$O$3)^D31</f>
        <v>0.24294632108865097</v>
      </c>
      <c r="I31" s="28">
        <f>Summary!$J$9*'R8'!H31*'R8'!G31</f>
        <v>513.53901857764413</v>
      </c>
      <c r="L31" s="28" t="e">
        <f>IF(Summary!$F$9="M",VLOOKUP(C:C,#REF!,IF(B31&gt;2033,22,MATCH(B31,#REF!,0)),FALSE),VLOOKUP(C:C,#REF!,IF(B31&gt;2033,22,MATCH(B31,#REF!,0)),FALSE))</f>
        <v>#REF!</v>
      </c>
      <c r="M31" s="28" t="e">
        <f t="shared" si="4"/>
        <v>#REF!</v>
      </c>
      <c r="N31" s="28" t="e">
        <f t="shared" si="5"/>
        <v>#REF!</v>
      </c>
      <c r="O31" s="28" t="e">
        <f>Summary!$J$9*'R8'!N31*'R8'!H31</f>
        <v>#REF!</v>
      </c>
    </row>
    <row r="32" spans="2:15" ht="24" customHeight="1">
      <c r="B32" s="30">
        <f t="shared" si="0"/>
        <v>2049</v>
      </c>
      <c r="C32" s="28">
        <f t="shared" si="1"/>
        <v>100</v>
      </c>
      <c r="D32" s="28">
        <v>30</v>
      </c>
      <c r="E32" s="28">
        <f>VLOOKUP(C:C, 'Total Data Set'!B:J, IF(Summary!$F$9="M", 4, 8), FALSE)</f>
        <v>0.27085799999999999</v>
      </c>
      <c r="F32" s="28">
        <f t="shared" si="2"/>
        <v>0.72914199999999996</v>
      </c>
      <c r="G32" s="28">
        <f t="shared" si="3"/>
        <v>6.2893773384632257E-2</v>
      </c>
      <c r="H32" s="28">
        <f>1/(1+Summary!$O$3)^D32</f>
        <v>0.23137744865585813</v>
      </c>
      <c r="I32" s="28">
        <f>Summary!$J$9*'R8'!H32*'R8'!G32</f>
        <v>366.26434249082899</v>
      </c>
      <c r="L32" s="28" t="e">
        <f>IF(Summary!$F$9="M",VLOOKUP(C:C,#REF!,IF(B32&gt;2033,22,MATCH(B32,#REF!,0)),FALSE),VLOOKUP(C:C,#REF!,IF(B32&gt;2033,22,MATCH(B32,#REF!,0)),FALSE))</f>
        <v>#REF!</v>
      </c>
      <c r="M32" s="28" t="e">
        <f t="shared" si="4"/>
        <v>#REF!</v>
      </c>
      <c r="N32" s="28" t="e">
        <f t="shared" si="5"/>
        <v>#REF!</v>
      </c>
      <c r="O32" s="28" t="e">
        <f>Summary!$J$9*'R8'!N32*'R8'!H32</f>
        <v>#REF!</v>
      </c>
    </row>
    <row r="33" spans="2:15" ht="24" customHeight="1">
      <c r="B33" s="30">
        <f t="shared" si="0"/>
        <v>2050</v>
      </c>
      <c r="C33" s="28">
        <f t="shared" si="1"/>
        <v>101</v>
      </c>
      <c r="D33" s="28">
        <v>31</v>
      </c>
      <c r="E33" s="28">
        <f>VLOOKUP(C:C, 'Total Data Set'!B:J, IF(Summary!$F$9="M", 4, 8), FALSE)</f>
        <v>0.29104000000000002</v>
      </c>
      <c r="F33" s="28">
        <f t="shared" si="2"/>
        <v>0.70896000000000003</v>
      </c>
      <c r="G33" s="28">
        <f t="shared" si="3"/>
        <v>4.5858491713217528E-2</v>
      </c>
      <c r="H33" s="28">
        <f>1/(1+Summary!$O$3)^D33</f>
        <v>0.220359474910341</v>
      </c>
      <c r="I33" s="28">
        <f>Summary!$J$9*'R8'!H33*'R8'!G33</f>
        <v>254.3416335356647</v>
      </c>
      <c r="L33" s="28" t="e">
        <f>IF(Summary!$F$9="M",VLOOKUP(C:C,#REF!,IF(B33&gt;2033,22,MATCH(B33,#REF!,0)),FALSE),VLOOKUP(C:C,#REF!,IF(B33&gt;2033,22,MATCH(B33,#REF!,0)),FALSE))</f>
        <v>#REF!</v>
      </c>
      <c r="M33" s="28" t="e">
        <f t="shared" si="4"/>
        <v>#REF!</v>
      </c>
      <c r="N33" s="28" t="e">
        <f t="shared" si="5"/>
        <v>#REF!</v>
      </c>
      <c r="O33" s="28" t="e">
        <f>Summary!$J$9*'R8'!N33*'R8'!H33</f>
        <v>#REF!</v>
      </c>
    </row>
    <row r="34" spans="2:15" ht="24" customHeight="1">
      <c r="B34" s="30">
        <f t="shared" si="0"/>
        <v>2051</v>
      </c>
      <c r="C34" s="28">
        <f t="shared" si="1"/>
        <v>102</v>
      </c>
      <c r="D34" s="28">
        <v>32</v>
      </c>
      <c r="E34" s="28">
        <f>VLOOKUP(C:C, 'Total Data Set'!B:J, IF(Summary!$F$9="M", 4, 8), FALSE)</f>
        <v>0.311444</v>
      </c>
      <c r="F34" s="28">
        <f t="shared" si="2"/>
        <v>0.68855599999999995</v>
      </c>
      <c r="G34" s="28">
        <f t="shared" si="3"/>
        <v>3.2511836285002697E-2</v>
      </c>
      <c r="H34" s="28">
        <f>1/(1+Summary!$O$3)^D34</f>
        <v>0.20986616658127716</v>
      </c>
      <c r="I34" s="28">
        <f>Summary!$J$9*'R8'!H34*'R8'!G34</f>
        <v>171.7314709632808</v>
      </c>
      <c r="L34" s="28" t="e">
        <f>IF(Summary!$F$9="M",VLOOKUP(C:C,#REF!,IF(B34&gt;2033,22,MATCH(B34,#REF!,0)),FALSE),VLOOKUP(C:C,#REF!,IF(B34&gt;2033,22,MATCH(B34,#REF!,0)),FALSE))</f>
        <v>#REF!</v>
      </c>
      <c r="M34" s="28" t="e">
        <f t="shared" si="4"/>
        <v>#REF!</v>
      </c>
      <c r="N34" s="28" t="e">
        <f t="shared" si="5"/>
        <v>#REF!</v>
      </c>
      <c r="O34" s="28" t="e">
        <f>Summary!$J$9*'R8'!N34*'R8'!H34</f>
        <v>#REF!</v>
      </c>
    </row>
    <row r="35" spans="2:15" ht="24" customHeight="1">
      <c r="B35" s="30">
        <f t="shared" si="0"/>
        <v>2052</v>
      </c>
      <c r="C35" s="28">
        <f t="shared" si="1"/>
        <v>103</v>
      </c>
      <c r="D35" s="28">
        <v>33</v>
      </c>
      <c r="E35" s="28">
        <f>VLOOKUP(C:C, 'Total Data Set'!B:J, IF(Summary!$F$9="M", 4, 8), FALSE)</f>
        <v>0.33189999999999997</v>
      </c>
      <c r="F35" s="28">
        <f t="shared" si="2"/>
        <v>0.66810000000000003</v>
      </c>
      <c r="G35" s="28">
        <f t="shared" si="3"/>
        <v>2.2386219945056317E-2</v>
      </c>
      <c r="H35" s="28">
        <f>1/(1+Summary!$O$3)^D35</f>
        <v>0.19987253960121634</v>
      </c>
      <c r="I35" s="28">
        <f>Summary!$J$9*'R8'!H35*'R8'!G35</f>
        <v>112.61593782913597</v>
      </c>
      <c r="L35" s="28" t="e">
        <f>IF(Summary!$F$9="M",VLOOKUP(C:C,#REF!,IF(B35&gt;2033,22,MATCH(B35,#REF!,0)),FALSE),VLOOKUP(C:C,#REF!,IF(B35&gt;2033,22,MATCH(B35,#REF!,0)),FALSE))</f>
        <v>#REF!</v>
      </c>
      <c r="M35" s="28" t="e">
        <f t="shared" si="4"/>
        <v>#REF!</v>
      </c>
      <c r="N35" s="28" t="e">
        <f t="shared" si="5"/>
        <v>#REF!</v>
      </c>
      <c r="O35" s="28" t="e">
        <f>Summary!$J$9*'R8'!N35*'R8'!H35</f>
        <v>#REF!</v>
      </c>
    </row>
    <row r="36" spans="2:15" ht="24" customHeight="1">
      <c r="B36" s="30">
        <f t="shared" si="0"/>
        <v>2053</v>
      </c>
      <c r="C36" s="28">
        <f t="shared" si="1"/>
        <v>104</v>
      </c>
      <c r="D36" s="28">
        <v>34</v>
      </c>
      <c r="E36" s="28">
        <f>VLOOKUP(C:C, 'Total Data Set'!B:J, IF(Summary!$F$9="M", 4, 8), FALSE)</f>
        <v>0.35223199999999999</v>
      </c>
      <c r="F36" s="28">
        <f t="shared" si="2"/>
        <v>0.64776800000000001</v>
      </c>
      <c r="G36" s="28">
        <f t="shared" ref="G36:G52" si="6">G35*F35</f>
        <v>1.4956233545292125E-2</v>
      </c>
      <c r="H36" s="28">
        <f>1/(1+Summary!$O$3)^D36</f>
        <v>0.19035479962020604</v>
      </c>
      <c r="I36" s="28">
        <f>Summary!$J$9*'R8'!H36*'R8'!G36</f>
        <v>71.655912441567381</v>
      </c>
      <c r="L36" s="28" t="e">
        <f>IF(Summary!$F$9="M",VLOOKUP(C:C,#REF!,IF(B36&gt;2033,22,MATCH(B36,#REF!,0)),FALSE),VLOOKUP(C:C,#REF!,IF(B36&gt;2033,22,MATCH(B36,#REF!,0)),FALSE))</f>
        <v>#REF!</v>
      </c>
      <c r="M36" s="28" t="e">
        <f t="shared" si="4"/>
        <v>#REF!</v>
      </c>
      <c r="N36" s="28" t="e">
        <f t="shared" si="5"/>
        <v>#REF!</v>
      </c>
      <c r="O36" s="28" t="e">
        <f>Summary!$J$9*'R8'!N36*'R8'!H36</f>
        <v>#REF!</v>
      </c>
    </row>
    <row r="37" spans="2:15" ht="24" customHeight="1">
      <c r="B37" s="30">
        <f t="shared" si="0"/>
        <v>2054</v>
      </c>
      <c r="C37" s="28">
        <f t="shared" si="1"/>
        <v>105</v>
      </c>
      <c r="D37" s="28">
        <v>35</v>
      </c>
      <c r="E37" s="28">
        <f>VLOOKUP(C:C, 'Total Data Set'!B:J, IF(Summary!$F$9="M", 4, 8), FALSE)</f>
        <v>0.37227300000000002</v>
      </c>
      <c r="F37" s="28">
        <f t="shared" si="2"/>
        <v>0.62772699999999992</v>
      </c>
      <c r="G37" s="28">
        <f t="shared" si="6"/>
        <v>9.6881694911667895E-3</v>
      </c>
      <c r="H37" s="28">
        <f>1/(1+Summary!$O$3)^D37</f>
        <v>0.18129028535257716</v>
      </c>
      <c r="I37" s="28">
        <f>Summary!$J$9*'R8'!H37*'R8'!G37</f>
        <v>44.20610199090401</v>
      </c>
      <c r="L37" s="28" t="e">
        <f>IF(Summary!$F$9="M",VLOOKUP(C:C,#REF!,IF(B37&gt;2033,22,MATCH(B37,#REF!,0)),FALSE),VLOOKUP(C:C,#REF!,IF(B37&gt;2033,22,MATCH(B37,#REF!,0)),FALSE))</f>
        <v>#REF!</v>
      </c>
      <c r="M37" s="28" t="e">
        <f t="shared" si="4"/>
        <v>#REF!</v>
      </c>
      <c r="N37" s="28" t="e">
        <f t="shared" si="5"/>
        <v>#REF!</v>
      </c>
      <c r="O37" s="28" t="e">
        <f>Summary!$J$9*'R8'!N37*'R8'!H37</f>
        <v>#REF!</v>
      </c>
    </row>
    <row r="38" spans="2:15" ht="24" customHeight="1">
      <c r="B38" s="30">
        <f t="shared" si="0"/>
        <v>2055</v>
      </c>
      <c r="C38" s="28">
        <f t="shared" si="1"/>
        <v>106</v>
      </c>
      <c r="D38" s="28">
        <v>36</v>
      </c>
      <c r="E38" s="28">
        <f>VLOOKUP(C:C, 'Total Data Set'!B:J, IF(Summary!$F$9="M", 4, 8), FALSE)</f>
        <v>0.39185999999999999</v>
      </c>
      <c r="F38" s="28">
        <f t="shared" si="2"/>
        <v>0.60814000000000001</v>
      </c>
      <c r="G38" s="28">
        <f t="shared" si="6"/>
        <v>6.0815255701816544E-3</v>
      </c>
      <c r="H38" s="28">
        <f>1/(1+Summary!$O$3)^D38</f>
        <v>0.17265741462150208</v>
      </c>
      <c r="I38" s="28">
        <f>Summary!$J$9*'R8'!H38*'R8'!G38</f>
        <v>26.427965508994479</v>
      </c>
      <c r="L38" s="28" t="e">
        <f>IF(Summary!$F$9="M",VLOOKUP(C:C,#REF!,IF(B38&gt;2033,22,MATCH(B38,#REF!,0)),FALSE),VLOOKUP(C:C,#REF!,IF(B38&gt;2033,22,MATCH(B38,#REF!,0)),FALSE))</f>
        <v>#REF!</v>
      </c>
      <c r="M38" s="28" t="e">
        <f t="shared" si="4"/>
        <v>#REF!</v>
      </c>
      <c r="N38" s="28" t="e">
        <f t="shared" si="5"/>
        <v>#REF!</v>
      </c>
      <c r="O38" s="28" t="e">
        <f>Summary!$J$9*'R8'!N38*'R8'!H38</f>
        <v>#REF!</v>
      </c>
    </row>
    <row r="39" spans="2:15" ht="24" customHeight="1">
      <c r="B39" s="30">
        <f t="shared" si="0"/>
        <v>2056</v>
      </c>
      <c r="C39" s="28">
        <f t="shared" si="1"/>
        <v>107</v>
      </c>
      <c r="D39" s="28">
        <v>37</v>
      </c>
      <c r="E39" s="28">
        <f>VLOOKUP(C:C, 'Total Data Set'!B:J, IF(Summary!$F$9="M", 4, 8), FALSE)</f>
        <v>0.41084900000000002</v>
      </c>
      <c r="F39" s="28">
        <f t="shared" si="2"/>
        <v>0.58915099999999998</v>
      </c>
      <c r="G39" s="28">
        <f t="shared" si="6"/>
        <v>3.6984189602502714E-3</v>
      </c>
      <c r="H39" s="28">
        <f>1/(1+Summary!$O$3)^D39</f>
        <v>0.1644356329728591</v>
      </c>
      <c r="I39" s="28">
        <f>Summary!$J$9*'R8'!H39*'R8'!G39</f>
        <v>15.30657423299038</v>
      </c>
      <c r="L39" s="28" t="e">
        <f>IF(Summary!$F$9="M",VLOOKUP(C:C,#REF!,IF(B39&gt;2033,22,MATCH(B39,#REF!,0)),FALSE),VLOOKUP(C:C,#REF!,IF(B39&gt;2033,22,MATCH(B39,#REF!,0)),FALSE))</f>
        <v>#REF!</v>
      </c>
      <c r="M39" s="28" t="e">
        <f t="shared" si="4"/>
        <v>#REF!</v>
      </c>
      <c r="N39" s="28" t="e">
        <f t="shared" si="5"/>
        <v>#REF!</v>
      </c>
      <c r="O39" s="28" t="e">
        <f>Summary!$J$9*'R8'!N39*'R8'!H39</f>
        <v>#REF!</v>
      </c>
    </row>
    <row r="40" spans="2:15" ht="24" customHeight="1">
      <c r="B40" s="30">
        <f t="shared" si="0"/>
        <v>2057</v>
      </c>
      <c r="C40" s="28">
        <f t="shared" si="1"/>
        <v>108</v>
      </c>
      <c r="D40" s="28">
        <v>38</v>
      </c>
      <c r="E40" s="28">
        <f>VLOOKUP(C:C, 'Total Data Set'!B:J, IF(Summary!$F$9="M", 4, 8), FALSE)</f>
        <v>0.42911199999999999</v>
      </c>
      <c r="F40" s="28">
        <f t="shared" si="2"/>
        <v>0.57088800000000006</v>
      </c>
      <c r="G40" s="28">
        <f t="shared" si="6"/>
        <v>2.1789272288504076E-3</v>
      </c>
      <c r="H40" s="28">
        <f>1/(1+Summary!$O$3)^D40</f>
        <v>0.15660536473605632</v>
      </c>
      <c r="I40" s="28">
        <f>Summary!$J$9*'R8'!H40*'R8'!G40</f>
        <v>8.5884604913719222</v>
      </c>
      <c r="L40" s="28" t="e">
        <f>IF(Summary!$F$9="M",VLOOKUP(C:C,#REF!,IF(B40&gt;2033,22,MATCH(B40,#REF!,0)),FALSE),VLOOKUP(C:C,#REF!,IF(B40&gt;2033,22,MATCH(B40,#REF!,0)),FALSE))</f>
        <v>#REF!</v>
      </c>
      <c r="M40" s="28" t="e">
        <f t="shared" si="4"/>
        <v>#REF!</v>
      </c>
      <c r="N40" s="28" t="e">
        <f t="shared" si="5"/>
        <v>#REF!</v>
      </c>
      <c r="O40" s="28" t="e">
        <f>Summary!$J$9*'R8'!N40*'R8'!H40</f>
        <v>#REF!</v>
      </c>
    </row>
    <row r="41" spans="2:15" ht="24" customHeight="1">
      <c r="B41" s="30">
        <f t="shared" si="0"/>
        <v>2058</v>
      </c>
      <c r="C41" s="28">
        <f t="shared" si="1"/>
        <v>109</v>
      </c>
      <c r="D41" s="28">
        <v>39</v>
      </c>
      <c r="E41" s="28">
        <f>VLOOKUP(C:C, 'Total Data Set'!B:J, IF(Summary!$F$9="M", 4, 8), FALSE)</f>
        <v>0.446544</v>
      </c>
      <c r="F41" s="28">
        <f t="shared" si="2"/>
        <v>0.55345599999999995</v>
      </c>
      <c r="G41" s="28">
        <f t="shared" si="6"/>
        <v>1.2439234078239516E-3</v>
      </c>
      <c r="H41" s="28">
        <f>1/(1+Summary!$O$3)^D41</f>
        <v>0.14914796641529171</v>
      </c>
      <c r="I41" s="28">
        <f>Summary!$J$9*'R8'!H41*'R8'!G41</f>
        <v>4.6695705076174594</v>
      </c>
      <c r="L41" s="28" t="e">
        <f>IF(Summary!$F$9="M",VLOOKUP(C:C,#REF!,IF(B41&gt;2033,22,MATCH(B41,#REF!,0)),FALSE),VLOOKUP(C:C,#REF!,IF(B41&gt;2033,22,MATCH(B41,#REF!,0)),FALSE))</f>
        <v>#REF!</v>
      </c>
      <c r="M41" s="28" t="e">
        <f t="shared" si="4"/>
        <v>#REF!</v>
      </c>
      <c r="N41" s="28" t="e">
        <f t="shared" si="5"/>
        <v>#REF!</v>
      </c>
      <c r="O41" s="28" t="e">
        <f>Summary!$J$9*'R8'!N41*'R8'!H41</f>
        <v>#REF!</v>
      </c>
    </row>
    <row r="42" spans="2:15" ht="24" customHeight="1">
      <c r="B42" s="30">
        <f t="shared" si="0"/>
        <v>2059</v>
      </c>
      <c r="C42" s="28">
        <f t="shared" si="1"/>
        <v>110</v>
      </c>
      <c r="D42" s="28">
        <v>40</v>
      </c>
      <c r="E42" s="28">
        <f>VLOOKUP(C:C, 'Total Data Set'!B:J, IF(Summary!$F$9="M", 4, 8), FALSE)</f>
        <v>0.463061</v>
      </c>
      <c r="F42" s="28">
        <f t="shared" si="2"/>
        <v>0.53693900000000006</v>
      </c>
      <c r="G42" s="28">
        <f t="shared" si="6"/>
        <v>6.8845687360061291E-4</v>
      </c>
      <c r="H42" s="28">
        <f>1/(1+Summary!$O$3)^D42</f>
        <v>0.14204568230027784</v>
      </c>
      <c r="I42" s="28">
        <f>Summary!$J$9*'R8'!H42*'R8'!G42</f>
        <v>2.4613350617751704</v>
      </c>
      <c r="L42" s="28" t="e">
        <f>IF(Summary!$F$9="M",VLOOKUP(C:C,#REF!,IF(B42&gt;2033,22,MATCH(B42,#REF!,0)),FALSE),VLOOKUP(C:C,#REF!,IF(B42&gt;2033,22,MATCH(B42,#REF!,0)),FALSE))</f>
        <v>#REF!</v>
      </c>
      <c r="M42" s="28" t="e">
        <f t="shared" si="4"/>
        <v>#REF!</v>
      </c>
      <c r="N42" s="28" t="e">
        <f t="shared" si="5"/>
        <v>#REF!</v>
      </c>
      <c r="O42" s="28" t="e">
        <f>Summary!$J$9*'R8'!N42*'R8'!H42</f>
        <v>#REF!</v>
      </c>
    </row>
    <row r="43" spans="2:15" ht="24" customHeight="1">
      <c r="B43" s="30">
        <f t="shared" si="0"/>
        <v>2060</v>
      </c>
      <c r="C43" s="28">
        <f t="shared" si="1"/>
        <v>111</v>
      </c>
      <c r="D43" s="28">
        <v>41</v>
      </c>
      <c r="E43" s="28">
        <f>VLOOKUP(C:C, 'Total Data Set'!B:J, IF(Summary!$F$9="M", 4, 8), FALSE)</f>
        <v>0.47860399999999997</v>
      </c>
      <c r="F43" s="28">
        <f t="shared" si="2"/>
        <v>0.52139599999999997</v>
      </c>
      <c r="G43" s="28">
        <f t="shared" si="6"/>
        <v>3.6965934525423952E-4</v>
      </c>
      <c r="H43" s="28">
        <f>1/(1+Summary!$O$3)^D43</f>
        <v>0.13528160219074079</v>
      </c>
      <c r="I43" s="28">
        <f>Summary!$J$9*'R8'!H43*'R8'!G43</f>
        <v>1.258654082604284</v>
      </c>
      <c r="L43" s="28" t="e">
        <f>IF(Summary!$F$9="M",VLOOKUP(C:C,#REF!,IF(B43&gt;2033,22,MATCH(B43,#REF!,0)),FALSE),VLOOKUP(C:C,#REF!,IF(B43&gt;2033,22,MATCH(B43,#REF!,0)),FALSE))</f>
        <v>#REF!</v>
      </c>
      <c r="M43" s="28" t="e">
        <f t="shared" si="4"/>
        <v>#REF!</v>
      </c>
      <c r="N43" s="28" t="e">
        <f t="shared" si="5"/>
        <v>#REF!</v>
      </c>
      <c r="O43" s="28" t="e">
        <f>Summary!$J$9*'R8'!N43*'R8'!H43</f>
        <v>#REF!</v>
      </c>
    </row>
    <row r="44" spans="2:15" ht="24" customHeight="1">
      <c r="B44" s="30">
        <f t="shared" si="0"/>
        <v>2061</v>
      </c>
      <c r="C44" s="28">
        <f t="shared" si="1"/>
        <v>112</v>
      </c>
      <c r="D44" s="28">
        <v>42</v>
      </c>
      <c r="E44" s="28">
        <f>VLOOKUP(C:C, 'Total Data Set'!B:J, IF(Summary!$F$9="M", 4, 8), FALSE)</f>
        <v>0.49313699999999999</v>
      </c>
      <c r="F44" s="28">
        <f t="shared" si="2"/>
        <v>0.50686300000000006</v>
      </c>
      <c r="G44" s="28">
        <f t="shared" si="6"/>
        <v>1.9273890397817947E-4</v>
      </c>
      <c r="H44" s="28">
        <f>1/(1+Summary!$O$3)^D44</f>
        <v>0.12883962113403885</v>
      </c>
      <c r="I44" s="28">
        <f>Summary!$J$9*'R8'!H44*'R8'!G44</f>
        <v>0.62500686100337455</v>
      </c>
      <c r="L44" s="28" t="e">
        <f>IF(Summary!$F$9="M",VLOOKUP(C:C,#REF!,IF(B44&gt;2033,22,MATCH(B44,#REF!,0)),FALSE),VLOOKUP(C:C,#REF!,IF(B44&gt;2033,22,MATCH(B44,#REF!,0)),FALSE))</f>
        <v>#REF!</v>
      </c>
      <c r="M44" s="28" t="e">
        <f t="shared" si="4"/>
        <v>#REF!</v>
      </c>
      <c r="N44" s="28" t="e">
        <f t="shared" si="5"/>
        <v>#REF!</v>
      </c>
      <c r="O44" s="28" t="e">
        <f>Summary!$J$9*'R8'!N44*'R8'!H44</f>
        <v>#REF!</v>
      </c>
    </row>
    <row r="45" spans="2:15" ht="24" customHeight="1">
      <c r="B45" s="30">
        <f t="shared" si="0"/>
        <v>2062</v>
      </c>
      <c r="C45" s="28">
        <f t="shared" si="1"/>
        <v>113</v>
      </c>
      <c r="D45" s="28">
        <v>43</v>
      </c>
      <c r="E45" s="28">
        <f>VLOOKUP(C:C, 'Total Data Set'!B:J, IF(Summary!$F$9="M", 4, 8), FALSE)</f>
        <v>0.5</v>
      </c>
      <c r="F45" s="28">
        <f t="shared" si="2"/>
        <v>0.5</v>
      </c>
      <c r="G45" s="28">
        <f t="shared" si="6"/>
        <v>9.7692219087092E-5</v>
      </c>
      <c r="H45" s="28">
        <f>1/(1+Summary!$O$3)^D45</f>
        <v>0.12270440108003698</v>
      </c>
      <c r="I45" s="28">
        <f>Summary!$J$9*'R8'!H45*'R8'!G45</f>
        <v>0.30170747865595571</v>
      </c>
      <c r="L45" s="28" t="e">
        <f>IF(Summary!$F$9="M",VLOOKUP(C:C,#REF!,IF(B45&gt;2033,22,MATCH(B45,#REF!,0)),FALSE),VLOOKUP(C:C,#REF!,IF(B45&gt;2033,22,MATCH(B45,#REF!,0)),FALSE))</f>
        <v>#REF!</v>
      </c>
      <c r="M45" s="28" t="e">
        <f t="shared" si="4"/>
        <v>#REF!</v>
      </c>
      <c r="N45" s="28" t="e">
        <f t="shared" si="5"/>
        <v>#REF!</v>
      </c>
      <c r="O45" s="28" t="e">
        <f>Summary!$J$9*'R8'!N45*'R8'!H45</f>
        <v>#REF!</v>
      </c>
    </row>
    <row r="46" spans="2:15" ht="24" customHeight="1">
      <c r="B46" s="30">
        <f t="shared" si="0"/>
        <v>2063</v>
      </c>
      <c r="C46" s="28">
        <f t="shared" si="1"/>
        <v>114</v>
      </c>
      <c r="D46" s="28">
        <v>44</v>
      </c>
      <c r="E46" s="28">
        <f>VLOOKUP(C:C, 'Total Data Set'!B:J, IF(Summary!$F$9="M", 4, 8), FALSE)</f>
        <v>0.5</v>
      </c>
      <c r="F46" s="28">
        <f t="shared" si="2"/>
        <v>0.5</v>
      </c>
      <c r="G46" s="28">
        <f t="shared" si="6"/>
        <v>4.8846109543546E-5</v>
      </c>
      <c r="H46" s="28">
        <f>1/(1+Summary!$O$3)^D46</f>
        <v>0.11686133436193999</v>
      </c>
      <c r="I46" s="28">
        <f>Summary!$J$9*'R8'!H46*'R8'!G46</f>
        <v>0.14367022793140749</v>
      </c>
      <c r="L46" s="28" t="e">
        <f>IF(Summary!$F$9="M",VLOOKUP(C:C,#REF!,IF(B46&gt;2033,22,MATCH(B46,#REF!,0)),FALSE),VLOOKUP(C:C,#REF!,IF(B46&gt;2033,22,MATCH(B46,#REF!,0)),FALSE))</f>
        <v>#REF!</v>
      </c>
      <c r="M46" s="28" t="e">
        <f t="shared" si="4"/>
        <v>#REF!</v>
      </c>
      <c r="N46" s="28" t="e">
        <f t="shared" si="5"/>
        <v>#REF!</v>
      </c>
      <c r="O46" s="28" t="e">
        <f>Summary!$J$9*'R8'!N46*'R8'!H46</f>
        <v>#REF!</v>
      </c>
    </row>
    <row r="47" spans="2:15" ht="24" customHeight="1">
      <c r="B47" s="30">
        <f t="shared" si="0"/>
        <v>2064</v>
      </c>
      <c r="C47" s="28">
        <f t="shared" si="1"/>
        <v>115</v>
      </c>
      <c r="D47" s="28">
        <v>45</v>
      </c>
      <c r="E47" s="28">
        <f>VLOOKUP(C:C, 'Total Data Set'!B:J, IF(Summary!$F$9="M", 4, 8), FALSE)</f>
        <v>0.5</v>
      </c>
      <c r="F47" s="28">
        <f t="shared" si="2"/>
        <v>0.5</v>
      </c>
      <c r="G47" s="28">
        <f t="shared" si="6"/>
        <v>2.4423054771773E-5</v>
      </c>
      <c r="H47" s="28">
        <f>1/(1+Summary!$O$3)^D47</f>
        <v>0.1112965089161333</v>
      </c>
      <c r="I47" s="28">
        <f>Summary!$J$9*'R8'!H47*'R8'!G47</f>
        <v>6.8414394253051167E-2</v>
      </c>
      <c r="L47" s="28" t="e">
        <f>IF(Summary!$F$9="M",VLOOKUP(C:C,#REF!,IF(B47&gt;2033,22,MATCH(B47,#REF!,0)),FALSE),VLOOKUP(C:C,#REF!,IF(B47&gt;2033,22,MATCH(B47,#REF!,0)),FALSE))</f>
        <v>#REF!</v>
      </c>
      <c r="M47" s="28" t="e">
        <f t="shared" si="4"/>
        <v>#REF!</v>
      </c>
      <c r="N47" s="28" t="e">
        <f t="shared" si="5"/>
        <v>#REF!</v>
      </c>
      <c r="O47" s="28" t="e">
        <f>Summary!$J$9*'R8'!N47*'R8'!H47</f>
        <v>#REF!</v>
      </c>
    </row>
    <row r="48" spans="2:15" ht="24" customHeight="1">
      <c r="B48" s="30">
        <f t="shared" si="0"/>
        <v>2065</v>
      </c>
      <c r="C48" s="28">
        <f t="shared" si="1"/>
        <v>116</v>
      </c>
      <c r="D48" s="28">
        <v>46</v>
      </c>
      <c r="E48" s="28">
        <f>VLOOKUP(C:C, 'Total Data Set'!B:J, IF(Summary!$F$9="M", 4, 8), FALSE)</f>
        <v>0.5</v>
      </c>
      <c r="F48" s="28">
        <f t="shared" si="2"/>
        <v>0.5</v>
      </c>
      <c r="G48" s="28">
        <f t="shared" si="6"/>
        <v>1.22115273858865E-5</v>
      </c>
      <c r="H48" s="28">
        <f>1/(1+Summary!$O$3)^D48</f>
        <v>0.10599667515822221</v>
      </c>
      <c r="I48" s="28">
        <f>Summary!$J$9*'R8'!H48*'R8'!G48</f>
        <v>3.2578282977643418E-2</v>
      </c>
      <c r="L48" s="28" t="e">
        <f>IF(Summary!$F$9="M",VLOOKUP(C:C,#REF!,IF(B48&gt;2033,22,MATCH(B48,#REF!,0)),FALSE),VLOOKUP(C:C,#REF!,IF(B48&gt;2033,22,MATCH(B48,#REF!,0)),FALSE))</f>
        <v>#REF!</v>
      </c>
      <c r="M48" s="28" t="e">
        <f t="shared" si="4"/>
        <v>#REF!</v>
      </c>
      <c r="N48" s="28" t="e">
        <f t="shared" si="5"/>
        <v>#REF!</v>
      </c>
      <c r="O48" s="28" t="e">
        <f>Summary!$J$9*'R8'!N48*'R8'!H48</f>
        <v>#REF!</v>
      </c>
    </row>
    <row r="49" spans="2:15" ht="24" customHeight="1">
      <c r="B49" s="30">
        <f t="shared" si="0"/>
        <v>2066</v>
      </c>
      <c r="C49" s="28">
        <f t="shared" si="1"/>
        <v>117</v>
      </c>
      <c r="D49" s="28">
        <v>47</v>
      </c>
      <c r="E49" s="28">
        <f>VLOOKUP(C:C, 'Total Data Set'!B:J, IF(Summary!$F$9="M", 4, 8), FALSE)</f>
        <v>0.5</v>
      </c>
      <c r="F49" s="28">
        <f t="shared" si="2"/>
        <v>0.5</v>
      </c>
      <c r="G49" s="28">
        <f t="shared" si="6"/>
        <v>6.10576369294325E-6</v>
      </c>
      <c r="H49" s="28">
        <f>1/(1+Summary!$O$3)^D49</f>
        <v>0.10094921443640208</v>
      </c>
      <c r="I49" s="28">
        <f>Summary!$J$9*'R8'!H49*'R8'!G49</f>
        <v>1.55134680845921E-2</v>
      </c>
      <c r="L49" s="28" t="e">
        <f>IF(Summary!$F$9="M",VLOOKUP(C:C,#REF!,IF(B49&gt;2033,22,MATCH(B49,#REF!,0)),FALSE),VLOOKUP(C:C,#REF!,IF(B49&gt;2033,22,MATCH(B49,#REF!,0)),FALSE))</f>
        <v>#REF!</v>
      </c>
      <c r="M49" s="28" t="e">
        <f t="shared" si="4"/>
        <v>#REF!</v>
      </c>
      <c r="N49" s="28" t="e">
        <f t="shared" si="5"/>
        <v>#REF!</v>
      </c>
      <c r="O49" s="28" t="e">
        <f>Summary!$J$9*'R8'!N49*'R8'!H49</f>
        <v>#REF!</v>
      </c>
    </row>
    <row r="50" spans="2:15" ht="24" customHeight="1">
      <c r="B50" s="30">
        <f t="shared" si="0"/>
        <v>2067</v>
      </c>
      <c r="C50" s="28">
        <f t="shared" si="1"/>
        <v>118</v>
      </c>
      <c r="D50" s="28">
        <v>48</v>
      </c>
      <c r="E50" s="28">
        <f>VLOOKUP(C:C, 'Total Data Set'!B:J, IF(Summary!$F$9="M", 4, 8), FALSE)</f>
        <v>0.5</v>
      </c>
      <c r="F50" s="28">
        <f t="shared" si="2"/>
        <v>0.5</v>
      </c>
      <c r="G50" s="28">
        <f t="shared" si="6"/>
        <v>3.052881846471625E-6</v>
      </c>
      <c r="H50" s="28">
        <f>1/(1+Summary!$O$3)^D50</f>
        <v>9.6142108987049613E-2</v>
      </c>
      <c r="I50" s="28">
        <f>Summary!$J$9*'R8'!H50*'R8'!G50</f>
        <v>7.3873657545676687E-3</v>
      </c>
      <c r="L50" s="28" t="e">
        <f>IF(Summary!$F$9="M",VLOOKUP(C:C,#REF!,IF(B50&gt;2033,22,MATCH(B50,#REF!,0)),FALSE),VLOOKUP(C:C,#REF!,IF(B50&gt;2033,22,MATCH(B50,#REF!,0)),FALSE))</f>
        <v>#REF!</v>
      </c>
      <c r="M50" s="28" t="e">
        <f t="shared" si="4"/>
        <v>#REF!</v>
      </c>
      <c r="N50" s="28" t="e">
        <f t="shared" si="5"/>
        <v>#REF!</v>
      </c>
      <c r="O50" s="28" t="e">
        <f>Summary!$J$9*'R8'!N50*'R8'!H50</f>
        <v>#REF!</v>
      </c>
    </row>
    <row r="51" spans="2:15" ht="24" customHeight="1">
      <c r="B51" s="30">
        <f t="shared" si="0"/>
        <v>2068</v>
      </c>
      <c r="C51" s="28">
        <f t="shared" si="1"/>
        <v>119</v>
      </c>
      <c r="D51" s="28">
        <v>49</v>
      </c>
      <c r="E51" s="28">
        <f>VLOOKUP(C:C, 'Total Data Set'!B:J, IF(Summary!$F$9="M", 4, 8), FALSE)</f>
        <v>0.5</v>
      </c>
      <c r="F51" s="28">
        <f t="shared" si="2"/>
        <v>0.5</v>
      </c>
      <c r="G51" s="28">
        <f t="shared" si="6"/>
        <v>1.5264409232358125E-6</v>
      </c>
      <c r="H51" s="28">
        <f>1/(1+Summary!$O$3)^D51</f>
        <v>9.1563913320999626E-2</v>
      </c>
      <c r="I51" s="28">
        <f>Summary!$J$9*'R8'!H51*'R8'!G51</f>
        <v>3.5177932164607946E-3</v>
      </c>
      <c r="L51" s="28" t="e">
        <f>IF(Summary!$F$9="M",VLOOKUP(C:C,#REF!,IF(B51&gt;2033,22,MATCH(B51,#REF!,0)),FALSE),VLOOKUP(C:C,#REF!,IF(B51&gt;2033,22,MATCH(B51,#REF!,0)),FALSE))</f>
        <v>#REF!</v>
      </c>
      <c r="M51" s="28" t="e">
        <f t="shared" si="4"/>
        <v>#REF!</v>
      </c>
      <c r="N51" s="28" t="e">
        <f t="shared" si="5"/>
        <v>#REF!</v>
      </c>
      <c r="O51" s="28" t="e">
        <f>Summary!$J$9*'R8'!N51*'R8'!H51</f>
        <v>#REF!</v>
      </c>
    </row>
    <row r="52" spans="2:15" ht="24" customHeight="1">
      <c r="B52" s="30">
        <f t="shared" si="0"/>
        <v>2069</v>
      </c>
      <c r="C52" s="28">
        <f>$A$4+D52</f>
        <v>120</v>
      </c>
      <c r="D52" s="28">
        <v>50</v>
      </c>
      <c r="E52" s="28">
        <f>VLOOKUP(C:C, 'Total Data Set'!B:J, IF(Summary!$F$9="M", 4, 8), FALSE)</f>
        <v>1</v>
      </c>
      <c r="F52" s="28">
        <f>1-E52</f>
        <v>0</v>
      </c>
      <c r="G52" s="28">
        <f t="shared" si="6"/>
        <v>7.6322046161790625E-7</v>
      </c>
      <c r="H52" s="28">
        <f>1/(1+Summary!$O$3)^D52</f>
        <v>8.7203726972380588E-2</v>
      </c>
      <c r="I52" s="28">
        <f>Summary!$J$9*'R8'!H52*'R8'!G52</f>
        <v>1.6751396268860923E-3</v>
      </c>
      <c r="L52" s="28" t="e">
        <f>IF(Summary!$F$9="M",VLOOKUP(C:C,#REF!,IF(B52&gt;2033,22,MATCH(B52,#REF!,0)),FALSE),VLOOKUP(C:C,#REF!,IF(B52&gt;2033,22,MATCH(B52,#REF!,0)),FALSE))</f>
        <v>#REF!</v>
      </c>
      <c r="M52" s="28" t="e">
        <f t="shared" si="4"/>
        <v>#REF!</v>
      </c>
      <c r="N52" s="28" t="e">
        <f t="shared" si="5"/>
        <v>#REF!</v>
      </c>
      <c r="O52" s="28" t="e">
        <f>Summary!$J$9*'R8'!N52*'R8'!H52</f>
        <v>#REF!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50"/>
  <sheetViews>
    <sheetView topLeftCell="A43" workbookViewId="0">
      <selection activeCell="A6" sqref="A6"/>
    </sheetView>
  </sheetViews>
  <sheetFormatPr defaultColWidth="18" defaultRowHeight="24" customHeight="1"/>
  <cols>
    <col min="1" max="6" width="18" style="28"/>
    <col min="7" max="7" width="21.140625" style="28" customWidth="1"/>
    <col min="8" max="9" width="18" style="28"/>
    <col min="10" max="10" width="21.7109375" style="28" customWidth="1"/>
    <col min="11" max="16384" width="18" style="28"/>
  </cols>
  <sheetData>
    <row r="1" spans="1:16" ht="24" customHeight="1">
      <c r="A1" s="30" t="s">
        <v>69</v>
      </c>
      <c r="B1" s="30" t="s">
        <v>74</v>
      </c>
      <c r="C1" s="28" t="s">
        <v>28</v>
      </c>
      <c r="D1" s="28" t="s">
        <v>29</v>
      </c>
      <c r="E1" s="28" t="s">
        <v>30</v>
      </c>
      <c r="F1" s="28" t="s">
        <v>71</v>
      </c>
      <c r="G1" s="28" t="s">
        <v>72</v>
      </c>
      <c r="H1" s="28" t="s">
        <v>31</v>
      </c>
      <c r="I1" s="28" t="s">
        <v>32</v>
      </c>
      <c r="J1" s="28" t="s">
        <v>33</v>
      </c>
      <c r="L1" s="39" t="s">
        <v>76</v>
      </c>
      <c r="M1" s="39" t="s">
        <v>77</v>
      </c>
      <c r="N1" s="39" t="s">
        <v>78</v>
      </c>
      <c r="O1" s="39" t="s">
        <v>79</v>
      </c>
      <c r="P1" s="39" t="s">
        <v>80</v>
      </c>
    </row>
    <row r="2" spans="1:16" ht="24" customHeight="1">
      <c r="A2" s="31">
        <v>43647</v>
      </c>
      <c r="B2" s="30">
        <f>YEAR(A2)</f>
        <v>2019</v>
      </c>
      <c r="C2" s="28">
        <f>$A$4+D2</f>
        <v>72</v>
      </c>
      <c r="D2" s="28">
        <v>0</v>
      </c>
      <c r="E2" s="28">
        <f>VLOOKUP(C:C, 'Total Data Set'!B:J, IF(Summary!$F$10="M", 4, 8), FALSE)</f>
        <v>1.5613999999999999E-2</v>
      </c>
      <c r="F2" s="28">
        <f>1-E2</f>
        <v>0.98438599999999998</v>
      </c>
      <c r="G2" s="28">
        <v>1</v>
      </c>
      <c r="H2" s="28">
        <f>1/(1+Summary!$O$3)^D2</f>
        <v>1</v>
      </c>
      <c r="I2" s="28">
        <f>Summary!$J$10*'R9'!H2*'R9'!G2</f>
        <v>16444</v>
      </c>
      <c r="J2" s="28">
        <f>SUM(I2:I50)</f>
        <v>182756.8713228977</v>
      </c>
      <c r="L2" s="28" t="e">
        <f>IF(Summary!$F$10="M",VLOOKUP(C:C,#REF!,IF(B2&gt;2033,22,MATCH(B2,#REF!,0)),FALSE),VLOOKUP(C:C,#REF!,IF(B2&gt;2033,22,MATCH(B2,#REF!,0)),FALSE))</f>
        <v>#REF!</v>
      </c>
      <c r="M2" s="28" t="e">
        <f>1-L2</f>
        <v>#REF!</v>
      </c>
      <c r="N2" s="28">
        <v>1</v>
      </c>
      <c r="O2" s="28">
        <f>Summary!$J$10*'R9'!N2*'R9'!H2</f>
        <v>16444</v>
      </c>
      <c r="P2" s="28" t="e">
        <f>SUM(O2:O50)</f>
        <v>#REF!</v>
      </c>
    </row>
    <row r="3" spans="1:16" ht="24" customHeight="1">
      <c r="A3" s="28" t="s">
        <v>34</v>
      </c>
      <c r="B3" s="30">
        <f>$B2+1</f>
        <v>2020</v>
      </c>
      <c r="C3" s="28">
        <f>$A$4+D3</f>
        <v>73</v>
      </c>
      <c r="D3" s="28">
        <v>1</v>
      </c>
      <c r="E3" s="28">
        <f>VLOOKUP(C:C, 'Total Data Set'!B:J, IF(Summary!$F$10="M", 4, 8), FALSE)</f>
        <v>1.721E-2</v>
      </c>
      <c r="F3" s="28">
        <f>1-E3</f>
        <v>0.98279000000000005</v>
      </c>
      <c r="G3" s="28">
        <f>F2</f>
        <v>0.98438599999999998</v>
      </c>
      <c r="H3" s="28">
        <f>1/(1+Summary!$O$3)^D3</f>
        <v>0.95238095238095233</v>
      </c>
      <c r="I3" s="28">
        <f>Summary!$J$10*'R9'!H3*'R9'!G3</f>
        <v>15416.422270476189</v>
      </c>
      <c r="L3" s="28" t="e">
        <f>IF(Summary!$F$10="M",VLOOKUP(C:C,#REF!,IF(B3&gt;2033,22,MATCH(B3,#REF!,0)),FALSE),VLOOKUP(C:C,#REF!,IF(B3&gt;2033,22,MATCH(B3,#REF!,0)),FALSE))</f>
        <v>#REF!</v>
      </c>
      <c r="M3" s="28" t="e">
        <f>1-L3</f>
        <v>#REF!</v>
      </c>
      <c r="N3" s="28" t="e">
        <f>N2*M2</f>
        <v>#REF!</v>
      </c>
      <c r="O3" s="28" t="e">
        <f>Summary!$J$10*'R9'!N3*'R9'!H3</f>
        <v>#REF!</v>
      </c>
    </row>
    <row r="4" spans="1:16" ht="24" customHeight="1">
      <c r="A4" s="30">
        <f>Summary!I10</f>
        <v>72</v>
      </c>
      <c r="B4" s="30">
        <f t="shared" ref="B4:B50" si="0">$B3+1</f>
        <v>2021</v>
      </c>
      <c r="C4" s="28">
        <f t="shared" ref="C4:C50" si="1">$A$4+D4</f>
        <v>74</v>
      </c>
      <c r="D4" s="28">
        <v>2</v>
      </c>
      <c r="E4" s="28">
        <f>VLOOKUP(C:C, 'Total Data Set'!B:J, IF(Summary!$F$10="M", 4, 8), FALSE)</f>
        <v>1.8977000000000001E-2</v>
      </c>
      <c r="F4" s="28">
        <f t="shared" ref="F4:F50" si="2">1-E4</f>
        <v>0.98102299999999998</v>
      </c>
      <c r="G4" s="28">
        <f t="shared" ref="G4:G50" si="3">G3*F3</f>
        <v>0.96744471694</v>
      </c>
      <c r="H4" s="28">
        <f>1/(1+Summary!$O$3)^D4</f>
        <v>0.90702947845804982</v>
      </c>
      <c r="I4" s="28">
        <f>Summary!$J$10*'R9'!H4*'R9'!G4</f>
        <v>14429.624422096471</v>
      </c>
      <c r="L4" s="28" t="e">
        <f>IF(Summary!$F$10="M",VLOOKUP(C:C,#REF!,IF(B4&gt;2033,22,MATCH(B4,#REF!,0)),FALSE),VLOOKUP(C:C,#REF!,IF(B4&gt;2033,22,MATCH(B4,#REF!,0)),FALSE))</f>
        <v>#REF!</v>
      </c>
      <c r="M4" s="28" t="e">
        <f t="shared" ref="M4:M50" si="4">1-L4</f>
        <v>#REF!</v>
      </c>
      <c r="N4" s="28" t="e">
        <f t="shared" ref="N4:N50" si="5">N3*M3</f>
        <v>#REF!</v>
      </c>
      <c r="O4" s="28" t="e">
        <f>Summary!$J$10*'R9'!N4*'R9'!H4</f>
        <v>#REF!</v>
      </c>
    </row>
    <row r="5" spans="1:16" ht="24" customHeight="1">
      <c r="B5" s="30">
        <f t="shared" si="0"/>
        <v>2022</v>
      </c>
      <c r="C5" s="28">
        <f t="shared" si="1"/>
        <v>75</v>
      </c>
      <c r="D5" s="28">
        <v>3</v>
      </c>
      <c r="E5" s="28">
        <f>VLOOKUP(C:C, 'Total Data Set'!B:J, IF(Summary!$F$10="M", 4, 8), FALSE)</f>
        <v>2.0937999999999998E-2</v>
      </c>
      <c r="F5" s="28">
        <f t="shared" si="2"/>
        <v>0.97906199999999999</v>
      </c>
      <c r="G5" s="28">
        <f t="shared" si="3"/>
        <v>0.94908551854662959</v>
      </c>
      <c r="H5" s="28">
        <f>1/(1+Summary!$O$3)^D5</f>
        <v>0.86383759853147601</v>
      </c>
      <c r="I5" s="28">
        <f>Summary!$J$10*'R9'!H5*'R9'!G5</f>
        <v>13481.708037560329</v>
      </c>
      <c r="L5" s="28" t="e">
        <f>IF(Summary!$F$10="M",VLOOKUP(C:C,#REF!,IF(B5&gt;2033,22,MATCH(B5,#REF!,0)),FALSE),VLOOKUP(C:C,#REF!,IF(B5&gt;2033,22,MATCH(B5,#REF!,0)),FALSE))</f>
        <v>#REF!</v>
      </c>
      <c r="M5" s="28" t="e">
        <f t="shared" si="4"/>
        <v>#REF!</v>
      </c>
      <c r="N5" s="28" t="e">
        <f t="shared" si="5"/>
        <v>#REF!</v>
      </c>
      <c r="O5" s="28" t="e">
        <f>Summary!$J$10*'R9'!N5*'R9'!H5</f>
        <v>#REF!</v>
      </c>
    </row>
    <row r="6" spans="1:16" ht="24" customHeight="1">
      <c r="B6" s="30">
        <f t="shared" si="0"/>
        <v>2023</v>
      </c>
      <c r="C6" s="28">
        <f t="shared" si="1"/>
        <v>76</v>
      </c>
      <c r="D6" s="28">
        <v>4</v>
      </c>
      <c r="E6" s="28">
        <f>VLOOKUP(C:C, 'Total Data Set'!B:J, IF(Summary!$F$10="M", 4, 8), FALSE)</f>
        <v>2.3118E-2</v>
      </c>
      <c r="F6" s="28">
        <f t="shared" si="2"/>
        <v>0.97688200000000003</v>
      </c>
      <c r="G6" s="28">
        <f t="shared" si="3"/>
        <v>0.92921356595930027</v>
      </c>
      <c r="H6" s="28">
        <f>1/(1+Summary!$O$3)^D6</f>
        <v>0.82270247479188197</v>
      </c>
      <c r="I6" s="28">
        <f>Summary!$J$10*'R9'!H6*'R9'!G6</f>
        <v>12570.883842542755</v>
      </c>
      <c r="L6" s="28" t="e">
        <f>IF(Summary!$F$10="M",VLOOKUP(C:C,#REF!,IF(B6&gt;2033,22,MATCH(B6,#REF!,0)),FALSE),VLOOKUP(C:C,#REF!,IF(B6&gt;2033,22,MATCH(B6,#REF!,0)),FALSE))</f>
        <v>#REF!</v>
      </c>
      <c r="M6" s="28" t="e">
        <f t="shared" si="4"/>
        <v>#REF!</v>
      </c>
      <c r="N6" s="28" t="e">
        <f t="shared" si="5"/>
        <v>#REF!</v>
      </c>
      <c r="O6" s="28" t="e">
        <f>Summary!$J$10*'R9'!N6*'R9'!H6</f>
        <v>#REF!</v>
      </c>
    </row>
    <row r="7" spans="1:16" ht="24" customHeight="1">
      <c r="B7" s="30">
        <f t="shared" si="0"/>
        <v>2024</v>
      </c>
      <c r="C7" s="28">
        <f t="shared" si="1"/>
        <v>77</v>
      </c>
      <c r="D7" s="28">
        <v>5</v>
      </c>
      <c r="E7" s="28">
        <f>VLOOKUP(C:C, 'Total Data Set'!B:J, IF(Summary!$F$10="M", 4, 8), FALSE)</f>
        <v>2.5554E-2</v>
      </c>
      <c r="F7" s="28">
        <f t="shared" si="2"/>
        <v>0.97444600000000003</v>
      </c>
      <c r="G7" s="28">
        <f t="shared" si="3"/>
        <v>0.90773200674145316</v>
      </c>
      <c r="H7" s="28">
        <f>1/(1+Summary!$O$3)^D7</f>
        <v>0.78352616646845896</v>
      </c>
      <c r="I7" s="28">
        <f>Summary!$J$10*'R9'!H7*'R9'!G7</f>
        <v>11695.495380829381</v>
      </c>
      <c r="L7" s="28" t="e">
        <f>IF(Summary!$F$10="M",VLOOKUP(C:C,#REF!,IF(B7&gt;2033,22,MATCH(B7,#REF!,0)),FALSE),VLOOKUP(C:C,#REF!,IF(B7&gt;2033,22,MATCH(B7,#REF!,0)),FALSE))</f>
        <v>#REF!</v>
      </c>
      <c r="M7" s="28" t="e">
        <f t="shared" si="4"/>
        <v>#REF!</v>
      </c>
      <c r="N7" s="28" t="e">
        <f t="shared" si="5"/>
        <v>#REF!</v>
      </c>
      <c r="O7" s="28" t="e">
        <f>Summary!$J$10*'R9'!N7*'R9'!H7</f>
        <v>#REF!</v>
      </c>
    </row>
    <row r="8" spans="1:16" ht="24" customHeight="1">
      <c r="B8" s="30">
        <f t="shared" si="0"/>
        <v>2025</v>
      </c>
      <c r="C8" s="28">
        <f t="shared" si="1"/>
        <v>78</v>
      </c>
      <c r="D8" s="28">
        <v>6</v>
      </c>
      <c r="E8" s="28">
        <f>VLOOKUP(C:C, 'Total Data Set'!B:J, IF(Summary!$F$10="M", 4, 8), FALSE)</f>
        <v>2.8288000000000001E-2</v>
      </c>
      <c r="F8" s="28">
        <f t="shared" si="2"/>
        <v>0.97171200000000002</v>
      </c>
      <c r="G8" s="28">
        <f t="shared" si="3"/>
        <v>0.88453582304118206</v>
      </c>
      <c r="H8" s="28">
        <f>1/(1+Summary!$O$3)^D8</f>
        <v>0.74621539663662761</v>
      </c>
      <c r="I8" s="28">
        <f>Summary!$J$10*'R9'!H8*'R9'!G8</f>
        <v>10853.932087493016</v>
      </c>
      <c r="L8" s="28" t="e">
        <f>IF(Summary!$F$10="M",VLOOKUP(C:C,#REF!,IF(B8&gt;2033,22,MATCH(B8,#REF!,0)),FALSE),VLOOKUP(C:C,#REF!,IF(B8&gt;2033,22,MATCH(B8,#REF!,0)),FALSE))</f>
        <v>#REF!</v>
      </c>
      <c r="M8" s="28" t="e">
        <f t="shared" si="4"/>
        <v>#REF!</v>
      </c>
      <c r="N8" s="28" t="e">
        <f t="shared" si="5"/>
        <v>#REF!</v>
      </c>
      <c r="O8" s="28" t="e">
        <f>Summary!$J$10*'R9'!N8*'R9'!H8</f>
        <v>#REF!</v>
      </c>
    </row>
    <row r="9" spans="1:16" ht="24" customHeight="1">
      <c r="B9" s="30">
        <f t="shared" si="0"/>
        <v>2026</v>
      </c>
      <c r="C9" s="28">
        <f t="shared" si="1"/>
        <v>79</v>
      </c>
      <c r="D9" s="28">
        <v>7</v>
      </c>
      <c r="E9" s="28">
        <f>VLOOKUP(C:C, 'Total Data Set'!B:J, IF(Summary!$F$10="M", 4, 8), FALSE)</f>
        <v>3.1365999999999998E-2</v>
      </c>
      <c r="F9" s="28">
        <f t="shared" si="2"/>
        <v>0.968634</v>
      </c>
      <c r="G9" s="28">
        <f t="shared" si="3"/>
        <v>0.85951407367899313</v>
      </c>
      <c r="H9" s="28">
        <f>1/(1+Summary!$O$3)^D9</f>
        <v>0.71068133013012147</v>
      </c>
      <c r="I9" s="28">
        <f>Summary!$J$10*'R9'!H9*'R9'!G9</f>
        <v>10044.662911049536</v>
      </c>
      <c r="L9" s="28" t="e">
        <f>IF(Summary!$F$10="M",VLOOKUP(C:C,#REF!,IF(B9&gt;2033,22,MATCH(B9,#REF!,0)),FALSE),VLOOKUP(C:C,#REF!,IF(B9&gt;2033,22,MATCH(B9,#REF!,0)),FALSE))</f>
        <v>#REF!</v>
      </c>
      <c r="M9" s="28" t="e">
        <f t="shared" si="4"/>
        <v>#REF!</v>
      </c>
      <c r="N9" s="28" t="e">
        <f t="shared" si="5"/>
        <v>#REF!</v>
      </c>
      <c r="O9" s="28" t="e">
        <f>Summary!$J$10*'R9'!N9*'R9'!H9</f>
        <v>#REF!</v>
      </c>
    </row>
    <row r="10" spans="1:16" ht="24" customHeight="1">
      <c r="B10" s="30">
        <f t="shared" si="0"/>
        <v>2027</v>
      </c>
      <c r="C10" s="28">
        <f t="shared" si="1"/>
        <v>80</v>
      </c>
      <c r="D10" s="28">
        <v>8</v>
      </c>
      <c r="E10" s="28">
        <f>VLOOKUP(C:C, 'Total Data Set'!B:J, IF(Summary!$F$10="M", 4, 8), FALSE)</f>
        <v>3.4844E-2</v>
      </c>
      <c r="F10" s="28">
        <f t="shared" si="2"/>
        <v>0.96515600000000001</v>
      </c>
      <c r="G10" s="28">
        <f t="shared" si="3"/>
        <v>0.83255455524397781</v>
      </c>
      <c r="H10" s="28">
        <f>1/(1+Summary!$O$3)^D10</f>
        <v>0.67683936202868722</v>
      </c>
      <c r="I10" s="28">
        <f>Summary!$J$10*'R9'!H10*'R9'!G10</f>
        <v>9266.2876325538655</v>
      </c>
      <c r="L10" s="28" t="e">
        <f>IF(Summary!$F$10="M",VLOOKUP(C:C,#REF!,IF(B10&gt;2033,22,MATCH(B10,#REF!,0)),FALSE),VLOOKUP(C:C,#REF!,IF(B10&gt;2033,22,MATCH(B10,#REF!,0)),FALSE))</f>
        <v>#REF!</v>
      </c>
      <c r="M10" s="28" t="e">
        <f t="shared" si="4"/>
        <v>#REF!</v>
      </c>
      <c r="N10" s="28" t="e">
        <f t="shared" si="5"/>
        <v>#REF!</v>
      </c>
      <c r="O10" s="28" t="e">
        <f>Summary!$J$10*'R9'!N10*'R9'!H10</f>
        <v>#REF!</v>
      </c>
    </row>
    <row r="11" spans="1:16" ht="24" customHeight="1">
      <c r="B11" s="30">
        <f t="shared" si="0"/>
        <v>2028</v>
      </c>
      <c r="C11" s="28">
        <f t="shared" si="1"/>
        <v>81</v>
      </c>
      <c r="D11" s="28">
        <v>9</v>
      </c>
      <c r="E11" s="28">
        <f>VLOOKUP(C:C, 'Total Data Set'!B:J, IF(Summary!$F$10="M", 4, 8), FALSE)</f>
        <v>3.8782999999999998E-2</v>
      </c>
      <c r="F11" s="28">
        <f t="shared" si="2"/>
        <v>0.96121699999999999</v>
      </c>
      <c r="G11" s="28">
        <f t="shared" si="3"/>
        <v>0.80354502432105668</v>
      </c>
      <c r="H11" s="28">
        <f>1/(1+Summary!$O$3)^D11</f>
        <v>0.64460891621779726</v>
      </c>
      <c r="I11" s="28">
        <f>Summary!$J$10*'R9'!H11*'R9'!G11</f>
        <v>8517.5362917001494</v>
      </c>
      <c r="L11" s="28" t="e">
        <f>IF(Summary!$F$10="M",VLOOKUP(C:C,#REF!,IF(B11&gt;2033,22,MATCH(B11,#REF!,0)),FALSE),VLOOKUP(C:C,#REF!,IF(B11&gt;2033,22,MATCH(B11,#REF!,0)),FALSE))</f>
        <v>#REF!</v>
      </c>
      <c r="M11" s="28" t="e">
        <f t="shared" si="4"/>
        <v>#REF!</v>
      </c>
      <c r="N11" s="28" t="e">
        <f t="shared" si="5"/>
        <v>#REF!</v>
      </c>
      <c r="O11" s="28" t="e">
        <f>Summary!$J$10*'R9'!N11*'R9'!H11</f>
        <v>#REF!</v>
      </c>
    </row>
    <row r="12" spans="1:16" ht="24" customHeight="1">
      <c r="B12" s="30">
        <f t="shared" si="0"/>
        <v>2029</v>
      </c>
      <c r="C12" s="28">
        <f t="shared" si="1"/>
        <v>82</v>
      </c>
      <c r="D12" s="28">
        <v>10</v>
      </c>
      <c r="E12" s="28">
        <f>VLOOKUP(C:C, 'Total Data Set'!B:J, IF(Summary!$F$10="M", 4, 8), FALSE)</f>
        <v>4.3246E-2</v>
      </c>
      <c r="F12" s="28">
        <f t="shared" si="2"/>
        <v>0.95675399999999999</v>
      </c>
      <c r="G12" s="28">
        <f t="shared" si="3"/>
        <v>0.77238113764281313</v>
      </c>
      <c r="H12" s="28">
        <f>1/(1+Summary!$O$3)^D12</f>
        <v>0.61391325354075932</v>
      </c>
      <c r="I12" s="28">
        <f>Summary!$J$10*'R9'!H12*'R9'!G12</f>
        <v>7797.3339825706125</v>
      </c>
      <c r="L12" s="28" t="e">
        <f>IF(Summary!$F$10="M",VLOOKUP(C:C,#REF!,IF(B12&gt;2033,22,MATCH(B12,#REF!,0)),FALSE),VLOOKUP(C:C,#REF!,IF(B12&gt;2033,22,MATCH(B12,#REF!,0)),FALSE))</f>
        <v>#REF!</v>
      </c>
      <c r="M12" s="28" t="e">
        <f t="shared" si="4"/>
        <v>#REF!</v>
      </c>
      <c r="N12" s="28" t="e">
        <f t="shared" si="5"/>
        <v>#REF!</v>
      </c>
      <c r="O12" s="28" t="e">
        <f>Summary!$J$10*'R9'!N12*'R9'!H12</f>
        <v>#REF!</v>
      </c>
    </row>
    <row r="13" spans="1:16" ht="24" customHeight="1">
      <c r="B13" s="30">
        <f t="shared" si="0"/>
        <v>2030</v>
      </c>
      <c r="C13" s="28">
        <f t="shared" si="1"/>
        <v>83</v>
      </c>
      <c r="D13" s="28">
        <v>11</v>
      </c>
      <c r="E13" s="28">
        <f>VLOOKUP(C:C, 'Total Data Set'!B:J, IF(Summary!$F$10="M", 4, 8), FALSE)</f>
        <v>4.8305000000000001E-2</v>
      </c>
      <c r="F13" s="28">
        <f t="shared" si="2"/>
        <v>0.95169499999999996</v>
      </c>
      <c r="G13" s="28">
        <f t="shared" si="3"/>
        <v>0.73897874296431199</v>
      </c>
      <c r="H13" s="28">
        <f>1/(1+Summary!$O$3)^D13</f>
        <v>0.5846792890864374</v>
      </c>
      <c r="I13" s="28">
        <f>Summary!$J$10*'R9'!H13*'R9'!G13</f>
        <v>7104.8861687241542</v>
      </c>
      <c r="L13" s="28" t="e">
        <f>IF(Summary!$F$10="M",VLOOKUP(C:C,#REF!,IF(B13&gt;2033,22,MATCH(B13,#REF!,0)),FALSE),VLOOKUP(C:C,#REF!,IF(B13&gt;2033,22,MATCH(B13,#REF!,0)),FALSE))</f>
        <v>#REF!</v>
      </c>
      <c r="M13" s="28" t="e">
        <f t="shared" si="4"/>
        <v>#REF!</v>
      </c>
      <c r="N13" s="28" t="e">
        <f t="shared" si="5"/>
        <v>#REF!</v>
      </c>
      <c r="O13" s="28" t="e">
        <f>Summary!$J$10*'R9'!N13*'R9'!H13</f>
        <v>#REF!</v>
      </c>
    </row>
    <row r="14" spans="1:16" ht="24" customHeight="1">
      <c r="B14" s="30">
        <f t="shared" si="0"/>
        <v>2031</v>
      </c>
      <c r="C14" s="28">
        <f t="shared" si="1"/>
        <v>84</v>
      </c>
      <c r="D14" s="28">
        <v>12</v>
      </c>
      <c r="E14" s="28">
        <f>VLOOKUP(C:C, 'Total Data Set'!B:J, IF(Summary!$F$10="M", 4, 8), FALSE)</f>
        <v>5.4031999999999997E-2</v>
      </c>
      <c r="F14" s="28">
        <f t="shared" si="2"/>
        <v>0.94596800000000003</v>
      </c>
      <c r="G14" s="28">
        <f t="shared" si="3"/>
        <v>0.70328237478542088</v>
      </c>
      <c r="H14" s="28">
        <f>1/(1+Summary!$O$3)^D14</f>
        <v>0.5568374181775595</v>
      </c>
      <c r="I14" s="28">
        <f>Summary!$J$10*'R9'!H14*'R9'!G14</f>
        <v>6439.6996593751765</v>
      </c>
      <c r="L14" s="28" t="e">
        <f>IF(Summary!$F$10="M",VLOOKUP(C:C,#REF!,IF(B14&gt;2033,22,MATCH(B14,#REF!,0)),FALSE),VLOOKUP(C:C,#REF!,IF(B14&gt;2033,22,MATCH(B14,#REF!,0)),FALSE))</f>
        <v>#REF!</v>
      </c>
      <c r="M14" s="28" t="e">
        <f t="shared" si="4"/>
        <v>#REF!</v>
      </c>
      <c r="N14" s="28" t="e">
        <f t="shared" si="5"/>
        <v>#REF!</v>
      </c>
      <c r="O14" s="28" t="e">
        <f>Summary!$J$10*'R9'!N14*'R9'!H14</f>
        <v>#REF!</v>
      </c>
    </row>
    <row r="15" spans="1:16" ht="24" customHeight="1">
      <c r="B15" s="30">
        <f t="shared" si="0"/>
        <v>2032</v>
      </c>
      <c r="C15" s="28">
        <f t="shared" si="1"/>
        <v>85</v>
      </c>
      <c r="D15" s="28">
        <v>13</v>
      </c>
      <c r="E15" s="28">
        <f>VLOOKUP(C:C, 'Total Data Set'!B:J, IF(Summary!$F$10="M", 4, 8), FALSE)</f>
        <v>6.0504000000000002E-2</v>
      </c>
      <c r="F15" s="28">
        <f t="shared" si="2"/>
        <v>0.939496</v>
      </c>
      <c r="G15" s="28">
        <f t="shared" si="3"/>
        <v>0.66528262151101503</v>
      </c>
      <c r="H15" s="28">
        <f>1/(1+Summary!$O$3)^D15</f>
        <v>0.53032135064529462</v>
      </c>
      <c r="I15" s="28">
        <f>Summary!$J$10*'R9'!H15*'R9'!G15</f>
        <v>5801.6664832188717</v>
      </c>
      <c r="L15" s="28" t="e">
        <f>IF(Summary!$F$10="M",VLOOKUP(C:C,#REF!,IF(B15&gt;2033,22,MATCH(B15,#REF!,0)),FALSE),VLOOKUP(C:C,#REF!,IF(B15&gt;2033,22,MATCH(B15,#REF!,0)),FALSE))</f>
        <v>#REF!</v>
      </c>
      <c r="M15" s="28" t="e">
        <f t="shared" si="4"/>
        <v>#REF!</v>
      </c>
      <c r="N15" s="28" t="e">
        <f t="shared" si="5"/>
        <v>#REF!</v>
      </c>
      <c r="O15" s="28" t="e">
        <f>Summary!$J$10*'R9'!N15*'R9'!H15</f>
        <v>#REF!</v>
      </c>
    </row>
    <row r="16" spans="1:16" ht="24" customHeight="1">
      <c r="B16" s="30">
        <f t="shared" si="0"/>
        <v>2033</v>
      </c>
      <c r="C16" s="28">
        <f t="shared" si="1"/>
        <v>86</v>
      </c>
      <c r="D16" s="28">
        <v>14</v>
      </c>
      <c r="E16" s="28">
        <f>VLOOKUP(C:C, 'Total Data Set'!B:J, IF(Summary!$F$10="M", 4, 8), FALSE)</f>
        <v>6.7801E-2</v>
      </c>
      <c r="F16" s="28">
        <f t="shared" si="2"/>
        <v>0.932199</v>
      </c>
      <c r="G16" s="28">
        <f t="shared" si="3"/>
        <v>0.62503036177911253</v>
      </c>
      <c r="H16" s="28">
        <f>1/(1+Summary!$O$3)^D16</f>
        <v>0.50506795299551888</v>
      </c>
      <c r="I16" s="28">
        <f>Summary!$J$10*'R9'!H16*'R9'!G16</f>
        <v>5191.0880517316182</v>
      </c>
      <c r="L16" s="28" t="e">
        <f>IF(Summary!$F$10="M",VLOOKUP(C:C,#REF!,IF(B16&gt;2033,22,MATCH(B16,#REF!,0)),FALSE),VLOOKUP(C:C,#REF!,IF(B16&gt;2033,22,MATCH(B16,#REF!,0)),FALSE))</f>
        <v>#REF!</v>
      </c>
      <c r="M16" s="28" t="e">
        <f t="shared" si="4"/>
        <v>#REF!</v>
      </c>
      <c r="N16" s="28" t="e">
        <f t="shared" si="5"/>
        <v>#REF!</v>
      </c>
      <c r="O16" s="28" t="e">
        <f>Summary!$J$10*'R9'!N16*'R9'!H16</f>
        <v>#REF!</v>
      </c>
    </row>
    <row r="17" spans="2:15" ht="24" customHeight="1">
      <c r="B17" s="30">
        <f t="shared" si="0"/>
        <v>2034</v>
      </c>
      <c r="C17" s="28">
        <f t="shared" si="1"/>
        <v>87</v>
      </c>
      <c r="D17" s="28">
        <v>15</v>
      </c>
      <c r="E17" s="28">
        <f>VLOOKUP(C:C, 'Total Data Set'!B:J, IF(Summary!$F$10="M", 4, 8), FALSE)</f>
        <v>7.6011999999999996E-2</v>
      </c>
      <c r="F17" s="28">
        <f t="shared" si="2"/>
        <v>0.92398800000000003</v>
      </c>
      <c r="G17" s="28">
        <f t="shared" si="3"/>
        <v>0.5826526782201269</v>
      </c>
      <c r="H17" s="28">
        <f>1/(1+Summary!$O$3)^D17</f>
        <v>0.48101709809097021</v>
      </c>
      <c r="I17" s="28">
        <f>Summary!$J$10*'R9'!H17*'R9'!G17</f>
        <v>4608.6924673677713</v>
      </c>
      <c r="L17" s="28" t="e">
        <f>IF(Summary!$F$10="M",VLOOKUP(C:C,#REF!,IF(B17&gt;2033,22,MATCH(B17,#REF!,0)),FALSE),VLOOKUP(C:C,#REF!,IF(B17&gt;2033,22,MATCH(B17,#REF!,0)),FALSE))</f>
        <v>#REF!</v>
      </c>
      <c r="M17" s="28" t="e">
        <f t="shared" si="4"/>
        <v>#REF!</v>
      </c>
      <c r="N17" s="28" t="e">
        <f t="shared" si="5"/>
        <v>#REF!</v>
      </c>
      <c r="O17" s="28" t="e">
        <f>Summary!$J$10*'R9'!N17*'R9'!H17</f>
        <v>#REF!</v>
      </c>
    </row>
    <row r="18" spans="2:15" ht="24" customHeight="1">
      <c r="B18" s="30">
        <f t="shared" si="0"/>
        <v>2035</v>
      </c>
      <c r="C18" s="28">
        <f>$A$4+D18</f>
        <v>88</v>
      </c>
      <c r="D18" s="28">
        <v>16</v>
      </c>
      <c r="E18" s="28">
        <f>VLOOKUP(C:C, 'Total Data Set'!B:J, IF(Summary!$F$10="M", 4, 8), FALSE)</f>
        <v>8.523E-2</v>
      </c>
      <c r="F18" s="28">
        <f>1-E18</f>
        <v>0.91476999999999997</v>
      </c>
      <c r="G18" s="28">
        <f t="shared" si="3"/>
        <v>0.53836408284325865</v>
      </c>
      <c r="H18" s="28">
        <f>1/(1+Summary!$O$3)^D18</f>
        <v>0.45811152199140021</v>
      </c>
      <c r="I18" s="28">
        <f>Summary!$J$10*'R9'!H18*'R9'!G18</f>
        <v>4055.596700512584</v>
      </c>
      <c r="L18" s="28" t="e">
        <f>IF(Summary!$F$10="M",VLOOKUP(C:C,#REF!,IF(B18&gt;2033,22,MATCH(B18,#REF!,0)),FALSE),VLOOKUP(C:C,#REF!,IF(B18&gt;2033,22,MATCH(B18,#REF!,0)),FALSE))</f>
        <v>#REF!</v>
      </c>
      <c r="M18" s="28" t="e">
        <f t="shared" si="4"/>
        <v>#REF!</v>
      </c>
      <c r="N18" s="28" t="e">
        <f t="shared" si="5"/>
        <v>#REF!</v>
      </c>
      <c r="O18" s="28" t="e">
        <f>Summary!$J$10*'R9'!N18*'R9'!H18</f>
        <v>#REF!</v>
      </c>
    </row>
    <row r="19" spans="2:15" ht="24" customHeight="1">
      <c r="B19" s="30">
        <f t="shared" si="0"/>
        <v>2036</v>
      </c>
      <c r="C19" s="28">
        <f t="shared" si="1"/>
        <v>89</v>
      </c>
      <c r="D19" s="28">
        <v>17</v>
      </c>
      <c r="E19" s="28">
        <f>VLOOKUP(C:C, 'Total Data Set'!B:J, IF(Summary!$F$10="M", 4, 8), FALSE)</f>
        <v>9.5562999999999995E-2</v>
      </c>
      <c r="F19" s="28">
        <f t="shared" si="2"/>
        <v>0.90443700000000005</v>
      </c>
      <c r="G19" s="28">
        <f t="shared" si="3"/>
        <v>0.49247931206252771</v>
      </c>
      <c r="H19" s="28">
        <f>1/(1+Summary!$O$3)^D19</f>
        <v>0.43629668761085727</v>
      </c>
      <c r="I19" s="28">
        <f>Summary!$J$10*'R9'!H19*'R9'!G19</f>
        <v>3533.2744702170435</v>
      </c>
      <c r="L19" s="28" t="e">
        <f>IF(Summary!$F$10="M",VLOOKUP(C:C,#REF!,IF(B19&gt;2033,22,MATCH(B19,#REF!,0)),FALSE),VLOOKUP(C:C,#REF!,IF(B19&gt;2033,22,MATCH(B19,#REF!,0)),FALSE))</f>
        <v>#REF!</v>
      </c>
      <c r="M19" s="28" t="e">
        <f t="shared" si="4"/>
        <v>#REF!</v>
      </c>
      <c r="N19" s="28" t="e">
        <f t="shared" si="5"/>
        <v>#REF!</v>
      </c>
      <c r="O19" s="28" t="e">
        <f>Summary!$J$10*'R9'!N19*'R9'!H19</f>
        <v>#REF!</v>
      </c>
    </row>
    <row r="20" spans="2:15" ht="24" customHeight="1">
      <c r="B20" s="30">
        <f t="shared" si="0"/>
        <v>2037</v>
      </c>
      <c r="C20" s="28">
        <f t="shared" si="1"/>
        <v>90</v>
      </c>
      <c r="D20" s="28">
        <v>18</v>
      </c>
      <c r="E20" s="28">
        <f>VLOOKUP(C:C, 'Total Data Set'!B:J, IF(Summary!$F$10="M", 4, 8), FALSE)</f>
        <v>0.107126</v>
      </c>
      <c r="F20" s="28">
        <f t="shared" si="2"/>
        <v>0.89287399999999995</v>
      </c>
      <c r="G20" s="28">
        <f t="shared" si="3"/>
        <v>0.44541651156389639</v>
      </c>
      <c r="H20" s="28">
        <f>1/(1+Summary!$O$3)^D20</f>
        <v>0.41552065486748313</v>
      </c>
      <c r="I20" s="28">
        <f>Summary!$J$10*'R9'!H20*'R9'!G20</f>
        <v>3043.4515828758977</v>
      </c>
      <c r="L20" s="28" t="e">
        <f>IF(Summary!$F$10="M",VLOOKUP(C:C,#REF!,IF(B20&gt;2033,22,MATCH(B20,#REF!,0)),FALSE),VLOOKUP(C:C,#REF!,IF(B20&gt;2033,22,MATCH(B20,#REF!,0)),FALSE))</f>
        <v>#REF!</v>
      </c>
      <c r="M20" s="28" t="e">
        <f t="shared" si="4"/>
        <v>#REF!</v>
      </c>
      <c r="N20" s="28" t="e">
        <f t="shared" si="5"/>
        <v>#REF!</v>
      </c>
      <c r="O20" s="28" t="e">
        <f>Summary!$J$10*'R9'!N20*'R9'!H20</f>
        <v>#REF!</v>
      </c>
    </row>
    <row r="21" spans="2:15" ht="24" customHeight="1">
      <c r="B21" s="30">
        <f t="shared" si="0"/>
        <v>2038</v>
      </c>
      <c r="C21" s="28">
        <f t="shared" si="1"/>
        <v>91</v>
      </c>
      <c r="D21" s="28">
        <v>19</v>
      </c>
      <c r="E21" s="28">
        <f>VLOOKUP(C:C, 'Total Data Set'!B:J, IF(Summary!$F$10="M", 4, 8), FALSE)</f>
        <v>0.119744</v>
      </c>
      <c r="F21" s="28">
        <f t="shared" si="2"/>
        <v>0.88025600000000004</v>
      </c>
      <c r="G21" s="28">
        <f t="shared" si="3"/>
        <v>0.39770082234610238</v>
      </c>
      <c r="H21" s="28">
        <f>1/(1+Summary!$O$3)^D21</f>
        <v>0.39573395701665059</v>
      </c>
      <c r="I21" s="28">
        <f>Summary!$J$10*'R9'!H21*'R9'!G21</f>
        <v>2588.0178939130801</v>
      </c>
      <c r="L21" s="28" t="e">
        <f>IF(Summary!$F$10="M",VLOOKUP(C:C,#REF!,IF(B21&gt;2033,22,MATCH(B21,#REF!,0)),FALSE),VLOOKUP(C:C,#REF!,IF(B21&gt;2033,22,MATCH(B21,#REF!,0)),FALSE))</f>
        <v>#REF!</v>
      </c>
      <c r="M21" s="28" t="e">
        <f t="shared" si="4"/>
        <v>#REF!</v>
      </c>
      <c r="N21" s="28" t="e">
        <f t="shared" si="5"/>
        <v>#REF!</v>
      </c>
      <c r="O21" s="28" t="e">
        <f>Summary!$J$10*'R9'!N21*'R9'!H21</f>
        <v>#REF!</v>
      </c>
    </row>
    <row r="22" spans="2:15" ht="24" customHeight="1">
      <c r="B22" s="30">
        <f t="shared" si="0"/>
        <v>2039</v>
      </c>
      <c r="C22" s="28">
        <f t="shared" si="1"/>
        <v>92</v>
      </c>
      <c r="D22" s="28">
        <v>20</v>
      </c>
      <c r="E22" s="28">
        <f>VLOOKUP(C:C, 'Total Data Set'!B:J, IF(Summary!$F$10="M", 4, 8), FALSE)</f>
        <v>0.133299</v>
      </c>
      <c r="F22" s="28">
        <f t="shared" si="2"/>
        <v>0.86670099999999994</v>
      </c>
      <c r="G22" s="28">
        <f t="shared" si="3"/>
        <v>0.35007853507509074</v>
      </c>
      <c r="H22" s="28">
        <f>1/(1+Summary!$O$3)^D22</f>
        <v>0.37688948287300061</v>
      </c>
      <c r="I22" s="28">
        <f>Summary!$J$10*'R9'!H22*'R9'!G22</f>
        <v>2169.6364564041455</v>
      </c>
      <c r="L22" s="28" t="e">
        <f>IF(Summary!$F$10="M",VLOOKUP(C:C,#REF!,IF(B22&gt;2033,22,MATCH(B22,#REF!,0)),FALSE),VLOOKUP(C:C,#REF!,IF(B22&gt;2033,22,MATCH(B22,#REF!,0)),FALSE))</f>
        <v>#REF!</v>
      </c>
      <c r="M22" s="28" t="e">
        <f t="shared" si="4"/>
        <v>#REF!</v>
      </c>
      <c r="N22" s="28" t="e">
        <f t="shared" si="5"/>
        <v>#REF!</v>
      </c>
      <c r="O22" s="28" t="e">
        <f>Summary!$J$10*'R9'!N22*'R9'!H22</f>
        <v>#REF!</v>
      </c>
    </row>
    <row r="23" spans="2:15" ht="24" customHeight="1">
      <c r="B23" s="30">
        <f t="shared" si="0"/>
        <v>2040</v>
      </c>
      <c r="C23" s="28">
        <f t="shared" si="1"/>
        <v>93</v>
      </c>
      <c r="D23" s="28">
        <v>21</v>
      </c>
      <c r="E23" s="28">
        <f>VLOOKUP(C:C, 'Total Data Set'!B:J, IF(Summary!$F$10="M", 4, 8), FALSE)</f>
        <v>0.14771999999999999</v>
      </c>
      <c r="F23" s="28">
        <f t="shared" si="2"/>
        <v>0.85228000000000004</v>
      </c>
      <c r="G23" s="28">
        <f t="shared" si="3"/>
        <v>0.3034134164281162</v>
      </c>
      <c r="H23" s="28">
        <f>1/(1+Summary!$O$3)^D23</f>
        <v>0.35894236464095297</v>
      </c>
      <c r="I23" s="28">
        <f>Summary!$J$10*'R9'!H23*'R9'!G23</f>
        <v>1790.8819870494563</v>
      </c>
      <c r="L23" s="28" t="e">
        <f>IF(Summary!$F$10="M",VLOOKUP(C:C,#REF!,IF(B23&gt;2033,22,MATCH(B23,#REF!,0)),FALSE),VLOOKUP(C:C,#REF!,IF(B23&gt;2033,22,MATCH(B23,#REF!,0)),FALSE))</f>
        <v>#REF!</v>
      </c>
      <c r="M23" s="28" t="e">
        <f t="shared" si="4"/>
        <v>#REF!</v>
      </c>
      <c r="N23" s="28" t="e">
        <f t="shared" si="5"/>
        <v>#REF!</v>
      </c>
      <c r="O23" s="28" t="e">
        <f>Summary!$J$10*'R9'!N23*'R9'!H23</f>
        <v>#REF!</v>
      </c>
    </row>
    <row r="24" spans="2:15" ht="24" customHeight="1">
      <c r="B24" s="30">
        <f t="shared" si="0"/>
        <v>2041</v>
      </c>
      <c r="C24" s="28">
        <f t="shared" si="1"/>
        <v>94</v>
      </c>
      <c r="D24" s="28">
        <v>22</v>
      </c>
      <c r="E24" s="28">
        <f>VLOOKUP(C:C, 'Total Data Set'!B:J, IF(Summary!$F$10="M", 4, 8), FALSE)</f>
        <v>0.162971</v>
      </c>
      <c r="F24" s="28">
        <f t="shared" si="2"/>
        <v>0.83702900000000002</v>
      </c>
      <c r="G24" s="28">
        <f t="shared" si="3"/>
        <v>0.25859318655335489</v>
      </c>
      <c r="H24" s="28">
        <f>1/(1+Summary!$O$3)^D24</f>
        <v>0.3418498710866219</v>
      </c>
      <c r="I24" s="28">
        <f>Summary!$J$10*'R9'!H24*'R9'!G24</f>
        <v>1453.6503808785817</v>
      </c>
      <c r="L24" s="28" t="e">
        <f>IF(Summary!$F$10="M",VLOOKUP(C:C,#REF!,IF(B24&gt;2033,22,MATCH(B24,#REF!,0)),FALSE),VLOOKUP(C:C,#REF!,IF(B24&gt;2033,22,MATCH(B24,#REF!,0)),FALSE))</f>
        <v>#REF!</v>
      </c>
      <c r="M24" s="28" t="e">
        <f t="shared" si="4"/>
        <v>#REF!</v>
      </c>
      <c r="N24" s="28" t="e">
        <f t="shared" si="5"/>
        <v>#REF!</v>
      </c>
      <c r="O24" s="28" t="e">
        <f>Summary!$J$10*'R9'!N24*'R9'!H24</f>
        <v>#REF!</v>
      </c>
    </row>
    <row r="25" spans="2:15" ht="24" customHeight="1">
      <c r="B25" s="30">
        <f t="shared" si="0"/>
        <v>2042</v>
      </c>
      <c r="C25" s="28">
        <f t="shared" si="1"/>
        <v>95</v>
      </c>
      <c r="D25" s="28">
        <v>23</v>
      </c>
      <c r="E25" s="28">
        <f>VLOOKUP(C:C, 'Total Data Set'!B:J, IF(Summary!$F$10="M", 4, 8), FALSE)</f>
        <v>0.179034</v>
      </c>
      <c r="F25" s="28">
        <f t="shared" si="2"/>
        <v>0.82096599999999997</v>
      </c>
      <c r="G25" s="28">
        <f t="shared" si="3"/>
        <v>0.21644999634756809</v>
      </c>
      <c r="H25" s="28">
        <f>1/(1+Summary!$O$3)^D25</f>
        <v>0.32557130579678267</v>
      </c>
      <c r="I25" s="28">
        <f>Summary!$J$10*'R9'!H25*'R9'!G25</f>
        <v>1158.8071663394458</v>
      </c>
      <c r="L25" s="28" t="e">
        <f>IF(Summary!$F$10="M",VLOOKUP(C:C,#REF!,IF(B25&gt;2033,22,MATCH(B25,#REF!,0)),FALSE),VLOOKUP(C:C,#REF!,IF(B25&gt;2033,22,MATCH(B25,#REF!,0)),FALSE))</f>
        <v>#REF!</v>
      </c>
      <c r="M25" s="28" t="e">
        <f t="shared" si="4"/>
        <v>#REF!</v>
      </c>
      <c r="N25" s="28" t="e">
        <f t="shared" si="5"/>
        <v>#REF!</v>
      </c>
      <c r="O25" s="28" t="e">
        <f>Summary!$J$10*'R9'!N25*'R9'!H25</f>
        <v>#REF!</v>
      </c>
    </row>
    <row r="26" spans="2:15" ht="24" customHeight="1">
      <c r="B26" s="30">
        <f t="shared" si="0"/>
        <v>2043</v>
      </c>
      <c r="C26" s="28">
        <f t="shared" si="1"/>
        <v>96</v>
      </c>
      <c r="D26" s="28">
        <v>24</v>
      </c>
      <c r="E26" s="28">
        <f>VLOOKUP(C:C, 'Total Data Set'!B:J, IF(Summary!$F$10="M", 4, 8), FALSE)</f>
        <v>0.19590299999999999</v>
      </c>
      <c r="F26" s="28">
        <f t="shared" si="2"/>
        <v>0.80409700000000006</v>
      </c>
      <c r="G26" s="28">
        <f t="shared" si="3"/>
        <v>0.17769808770147758</v>
      </c>
      <c r="H26" s="28">
        <f>1/(1+Summary!$O$3)^D26</f>
        <v>0.31006791028265024</v>
      </c>
      <c r="I26" s="28">
        <f>Summary!$J$10*'R9'!H26*'R9'!G26</f>
        <v>906.03931821050446</v>
      </c>
      <c r="L26" s="28" t="e">
        <f>IF(Summary!$F$10="M",VLOOKUP(C:C,#REF!,IF(B26&gt;2033,22,MATCH(B26,#REF!,0)),FALSE),VLOOKUP(C:C,#REF!,IF(B26&gt;2033,22,MATCH(B26,#REF!,0)),FALSE))</f>
        <v>#REF!</v>
      </c>
      <c r="M26" s="28" t="e">
        <f t="shared" si="4"/>
        <v>#REF!</v>
      </c>
      <c r="N26" s="28" t="e">
        <f t="shared" si="5"/>
        <v>#REF!</v>
      </c>
      <c r="O26" s="28" t="e">
        <f>Summary!$J$10*'R9'!N26*'R9'!H26</f>
        <v>#REF!</v>
      </c>
    </row>
    <row r="27" spans="2:15" ht="24" customHeight="1">
      <c r="B27" s="30">
        <f t="shared" si="0"/>
        <v>2044</v>
      </c>
      <c r="C27" s="28">
        <f>$A$4+D27</f>
        <v>97</v>
      </c>
      <c r="D27" s="28">
        <v>25</v>
      </c>
      <c r="E27" s="28">
        <f>VLOOKUP(C:C, 'Total Data Set'!B:J, IF(Summary!$F$10="M", 4, 8), FALSE)</f>
        <v>0.213565</v>
      </c>
      <c r="F27" s="28">
        <f>1-E27</f>
        <v>0.786435</v>
      </c>
      <c r="G27" s="28">
        <f t="shared" si="3"/>
        <v>0.14288649922649502</v>
      </c>
      <c r="H27" s="28">
        <f>1/(1+Summary!$O$3)^D27</f>
        <v>0.29530277169776209</v>
      </c>
      <c r="I27" s="28">
        <f>Summary!$J$10*'R9'!H27*'R9'!G27</f>
        <v>693.8509501477256</v>
      </c>
      <c r="L27" s="28" t="e">
        <f>IF(Summary!$F$10="M",VLOOKUP(C:C,#REF!,IF(B27&gt;2033,22,MATCH(B27,#REF!,0)),FALSE),VLOOKUP(C:C,#REF!,IF(B27&gt;2033,22,MATCH(B27,#REF!,0)),FALSE))</f>
        <v>#REF!</v>
      </c>
      <c r="M27" s="28" t="e">
        <f t="shared" si="4"/>
        <v>#REF!</v>
      </c>
      <c r="N27" s="28" t="e">
        <f t="shared" si="5"/>
        <v>#REF!</v>
      </c>
      <c r="O27" s="28" t="e">
        <f>Summary!$J$10*'R9'!N27*'R9'!H27</f>
        <v>#REF!</v>
      </c>
    </row>
    <row r="28" spans="2:15" ht="24" customHeight="1">
      <c r="B28" s="30">
        <f t="shared" si="0"/>
        <v>2045</v>
      </c>
      <c r="C28" s="28">
        <f t="shared" si="1"/>
        <v>98</v>
      </c>
      <c r="D28" s="28">
        <v>26</v>
      </c>
      <c r="E28" s="28">
        <f>VLOOKUP(C:C, 'Total Data Set'!B:J, IF(Summary!$F$10="M", 4, 8), FALSE)</f>
        <v>0.231991</v>
      </c>
      <c r="F28" s="28">
        <f t="shared" si="2"/>
        <v>0.76800899999999994</v>
      </c>
      <c r="G28" s="28">
        <f t="shared" si="3"/>
        <v>0.11237094401918861</v>
      </c>
      <c r="H28" s="28">
        <f>1/(1+Summary!$O$3)^D28</f>
        <v>0.28124073495024959</v>
      </c>
      <c r="I28" s="28">
        <f>Summary!$J$10*'R9'!H28*'R9'!G28</f>
        <v>519.68444950421576</v>
      </c>
      <c r="L28" s="28" t="e">
        <f>IF(Summary!$F$10="M",VLOOKUP(C:C,#REF!,IF(B28&gt;2033,22,MATCH(B28,#REF!,0)),FALSE),VLOOKUP(C:C,#REF!,IF(B28&gt;2033,22,MATCH(B28,#REF!,0)),FALSE))</f>
        <v>#REF!</v>
      </c>
      <c r="M28" s="28" t="e">
        <f t="shared" si="4"/>
        <v>#REF!</v>
      </c>
      <c r="N28" s="28" t="e">
        <f t="shared" si="5"/>
        <v>#REF!</v>
      </c>
      <c r="O28" s="28" t="e">
        <f>Summary!$J$10*'R9'!N28*'R9'!H28</f>
        <v>#REF!</v>
      </c>
    </row>
    <row r="29" spans="2:15" ht="24" customHeight="1">
      <c r="B29" s="30">
        <f t="shared" si="0"/>
        <v>2046</v>
      </c>
      <c r="C29" s="28">
        <f t="shared" si="1"/>
        <v>99</v>
      </c>
      <c r="D29" s="28">
        <v>27</v>
      </c>
      <c r="E29" s="28">
        <f>VLOOKUP(C:C, 'Total Data Set'!B:J, IF(Summary!$F$10="M", 4, 8), FALSE)</f>
        <v>0.25112299999999999</v>
      </c>
      <c r="F29" s="28">
        <f t="shared" si="2"/>
        <v>0.74887700000000001</v>
      </c>
      <c r="G29" s="28">
        <f t="shared" si="3"/>
        <v>8.6301896345233012E-2</v>
      </c>
      <c r="H29" s="28">
        <f>1/(1+Summary!$O$3)^D29</f>
        <v>0.2678483190002377</v>
      </c>
      <c r="I29" s="28">
        <f>Summary!$J$10*'R9'!H29*'R9'!G29</f>
        <v>380.11650893265062</v>
      </c>
      <c r="L29" s="28" t="e">
        <f>IF(Summary!$F$10="M",VLOOKUP(C:C,#REF!,IF(B29&gt;2033,22,MATCH(B29,#REF!,0)),FALSE),VLOOKUP(C:C,#REF!,IF(B29&gt;2033,22,MATCH(B29,#REF!,0)),FALSE))</f>
        <v>#REF!</v>
      </c>
      <c r="M29" s="28" t="e">
        <f t="shared" si="4"/>
        <v>#REF!</v>
      </c>
      <c r="N29" s="28" t="e">
        <f t="shared" si="5"/>
        <v>#REF!</v>
      </c>
      <c r="O29" s="28" t="e">
        <f>Summary!$J$10*'R9'!N29*'R9'!H29</f>
        <v>#REF!</v>
      </c>
    </row>
    <row r="30" spans="2:15" ht="24" customHeight="1">
      <c r="B30" s="30">
        <f t="shared" si="0"/>
        <v>2047</v>
      </c>
      <c r="C30" s="28">
        <f t="shared" si="1"/>
        <v>100</v>
      </c>
      <c r="D30" s="28">
        <v>28</v>
      </c>
      <c r="E30" s="28">
        <f>VLOOKUP(C:C, 'Total Data Set'!B:J, IF(Summary!$F$10="M", 4, 8), FALSE)</f>
        <v>0.27085799999999999</v>
      </c>
      <c r="F30" s="28">
        <f t="shared" si="2"/>
        <v>0.72914199999999996</v>
      </c>
      <c r="G30" s="28">
        <f t="shared" si="3"/>
        <v>6.462950522932906E-2</v>
      </c>
      <c r="H30" s="28">
        <f>1/(1+Summary!$O$3)^D30</f>
        <v>0.25509363714308358</v>
      </c>
      <c r="I30" s="28">
        <f>Summary!$J$10*'R9'!H30*'R9'!G30</f>
        <v>271.10524843805399</v>
      </c>
      <c r="L30" s="28" t="e">
        <f>IF(Summary!$F$10="M",VLOOKUP(C:C,#REF!,IF(B30&gt;2033,22,MATCH(B30,#REF!,0)),FALSE),VLOOKUP(C:C,#REF!,IF(B30&gt;2033,22,MATCH(B30,#REF!,0)),FALSE))</f>
        <v>#REF!</v>
      </c>
      <c r="M30" s="28" t="e">
        <f t="shared" si="4"/>
        <v>#REF!</v>
      </c>
      <c r="N30" s="28" t="e">
        <f t="shared" si="5"/>
        <v>#REF!</v>
      </c>
      <c r="O30" s="28" t="e">
        <f>Summary!$J$10*'R9'!N30*'R9'!H30</f>
        <v>#REF!</v>
      </c>
    </row>
    <row r="31" spans="2:15" ht="24" customHeight="1">
      <c r="B31" s="30">
        <f t="shared" si="0"/>
        <v>2048</v>
      </c>
      <c r="C31" s="28">
        <f t="shared" si="1"/>
        <v>101</v>
      </c>
      <c r="D31" s="28">
        <v>29</v>
      </c>
      <c r="E31" s="28">
        <f>VLOOKUP(C:C, 'Total Data Set'!B:J, IF(Summary!$F$10="M", 4, 8), FALSE)</f>
        <v>0.29104000000000002</v>
      </c>
      <c r="F31" s="28">
        <f t="shared" si="2"/>
        <v>0.70896000000000003</v>
      </c>
      <c r="G31" s="28">
        <f t="shared" si="3"/>
        <v>4.7124086701923446E-2</v>
      </c>
      <c r="H31" s="28">
        <f>1/(1+Summary!$O$3)^D31</f>
        <v>0.24294632108865097</v>
      </c>
      <c r="I31" s="28">
        <f>Summary!$J$10*'R9'!H31*'R9'!G31</f>
        <v>188.26116481582807</v>
      </c>
      <c r="L31" s="28" t="e">
        <f>IF(Summary!$F$10="M",VLOOKUP(C:C,#REF!,IF(B31&gt;2033,22,MATCH(B31,#REF!,0)),FALSE),VLOOKUP(C:C,#REF!,IF(B31&gt;2033,22,MATCH(B31,#REF!,0)),FALSE))</f>
        <v>#REF!</v>
      </c>
      <c r="M31" s="28" t="e">
        <f t="shared" si="4"/>
        <v>#REF!</v>
      </c>
      <c r="N31" s="28" t="e">
        <f t="shared" si="5"/>
        <v>#REF!</v>
      </c>
      <c r="O31" s="28" t="e">
        <f>Summary!$J$10*'R9'!N31*'R9'!H31</f>
        <v>#REF!</v>
      </c>
    </row>
    <row r="32" spans="2:15" ht="24" customHeight="1">
      <c r="B32" s="30">
        <f t="shared" si="0"/>
        <v>2049</v>
      </c>
      <c r="C32" s="28">
        <f t="shared" si="1"/>
        <v>102</v>
      </c>
      <c r="D32" s="28">
        <v>30</v>
      </c>
      <c r="E32" s="28">
        <f>VLOOKUP(C:C, 'Total Data Set'!B:J, IF(Summary!$F$10="M", 4, 8), FALSE)</f>
        <v>0.311444</v>
      </c>
      <c r="F32" s="28">
        <f t="shared" si="2"/>
        <v>0.68855599999999995</v>
      </c>
      <c r="G32" s="28">
        <f t="shared" si="3"/>
        <v>3.3409092508195647E-2</v>
      </c>
      <c r="H32" s="28">
        <f>1/(1+Summary!$O$3)^D32</f>
        <v>0.23137744865585813</v>
      </c>
      <c r="I32" s="28">
        <f>Summary!$J$10*'R9'!H32*'R9'!G32</f>
        <v>127.11393848364715</v>
      </c>
      <c r="L32" s="28" t="e">
        <f>IF(Summary!$F$10="M",VLOOKUP(C:C,#REF!,IF(B32&gt;2033,22,MATCH(B32,#REF!,0)),FALSE),VLOOKUP(C:C,#REF!,IF(B32&gt;2033,22,MATCH(B32,#REF!,0)),FALSE))</f>
        <v>#REF!</v>
      </c>
      <c r="M32" s="28" t="e">
        <f t="shared" si="4"/>
        <v>#REF!</v>
      </c>
      <c r="N32" s="28" t="e">
        <f t="shared" si="5"/>
        <v>#REF!</v>
      </c>
      <c r="O32" s="28" t="e">
        <f>Summary!$J$10*'R9'!N32*'R9'!H32</f>
        <v>#REF!</v>
      </c>
    </row>
    <row r="33" spans="2:15" ht="24" customHeight="1">
      <c r="B33" s="30">
        <f t="shared" si="0"/>
        <v>2050</v>
      </c>
      <c r="C33" s="28">
        <f t="shared" si="1"/>
        <v>103</v>
      </c>
      <c r="D33" s="28">
        <v>31</v>
      </c>
      <c r="E33" s="28">
        <f>VLOOKUP(C:C, 'Total Data Set'!B:J, IF(Summary!$F$10="M", 4, 8), FALSE)</f>
        <v>0.33189999999999997</v>
      </c>
      <c r="F33" s="28">
        <f t="shared" si="2"/>
        <v>0.66810000000000003</v>
      </c>
      <c r="G33" s="28">
        <f t="shared" si="3"/>
        <v>2.3004031101073161E-2</v>
      </c>
      <c r="H33" s="28">
        <f>1/(1+Summary!$O$3)^D33</f>
        <v>0.220359474910341</v>
      </c>
      <c r="I33" s="28">
        <f>Summary!$J$10*'R9'!H33*'R9'!G33</f>
        <v>83.357204787186774</v>
      </c>
      <c r="L33" s="28" t="e">
        <f>IF(Summary!$F$10="M",VLOOKUP(C:C,#REF!,IF(B33&gt;2033,22,MATCH(B33,#REF!,0)),FALSE),VLOOKUP(C:C,#REF!,IF(B33&gt;2033,22,MATCH(B33,#REF!,0)),FALSE))</f>
        <v>#REF!</v>
      </c>
      <c r="M33" s="28" t="e">
        <f t="shared" si="4"/>
        <v>#REF!</v>
      </c>
      <c r="N33" s="28" t="e">
        <f t="shared" si="5"/>
        <v>#REF!</v>
      </c>
      <c r="O33" s="28" t="e">
        <f>Summary!$J$10*'R9'!N33*'R9'!H33</f>
        <v>#REF!</v>
      </c>
    </row>
    <row r="34" spans="2:15" ht="24" customHeight="1">
      <c r="B34" s="30">
        <f t="shared" si="0"/>
        <v>2051</v>
      </c>
      <c r="C34" s="28">
        <f t="shared" si="1"/>
        <v>104</v>
      </c>
      <c r="D34" s="28">
        <v>32</v>
      </c>
      <c r="E34" s="28">
        <f>VLOOKUP(C:C, 'Total Data Set'!B:J, IF(Summary!$F$10="M", 4, 8), FALSE)</f>
        <v>0.35223199999999999</v>
      </c>
      <c r="F34" s="28">
        <f t="shared" si="2"/>
        <v>0.64776800000000001</v>
      </c>
      <c r="G34" s="28">
        <f t="shared" si="3"/>
        <v>1.536899317862698E-2</v>
      </c>
      <c r="H34" s="28">
        <f>1/(1+Summary!$O$3)^D34</f>
        <v>0.20986616658127716</v>
      </c>
      <c r="I34" s="28">
        <f>Summary!$J$10*'R9'!H34*'R9'!G34</f>
        <v>53.038998588875714</v>
      </c>
      <c r="L34" s="28" t="e">
        <f>IF(Summary!$F$10="M",VLOOKUP(C:C,#REF!,IF(B34&gt;2033,22,MATCH(B34,#REF!,0)),FALSE),VLOOKUP(C:C,#REF!,IF(B34&gt;2033,22,MATCH(B34,#REF!,0)),FALSE))</f>
        <v>#REF!</v>
      </c>
      <c r="M34" s="28" t="e">
        <f t="shared" si="4"/>
        <v>#REF!</v>
      </c>
      <c r="N34" s="28" t="e">
        <f t="shared" si="5"/>
        <v>#REF!</v>
      </c>
      <c r="O34" s="28" t="e">
        <f>Summary!$J$10*'R9'!N34*'R9'!H34</f>
        <v>#REF!</v>
      </c>
    </row>
    <row r="35" spans="2:15" ht="24" customHeight="1">
      <c r="B35" s="30">
        <f t="shared" si="0"/>
        <v>2052</v>
      </c>
      <c r="C35" s="28">
        <f t="shared" si="1"/>
        <v>105</v>
      </c>
      <c r="D35" s="28">
        <v>33</v>
      </c>
      <c r="E35" s="28">
        <f>VLOOKUP(C:C, 'Total Data Set'!B:J, IF(Summary!$F$10="M", 4, 8), FALSE)</f>
        <v>0.37227300000000002</v>
      </c>
      <c r="F35" s="28">
        <f t="shared" si="2"/>
        <v>0.62772699999999992</v>
      </c>
      <c r="G35" s="28">
        <f t="shared" si="3"/>
        <v>9.9555419733328415E-3</v>
      </c>
      <c r="H35" s="28">
        <f>1/(1+Summary!$O$3)^D35</f>
        <v>0.19987253960121634</v>
      </c>
      <c r="I35" s="28">
        <f>Summary!$J$10*'R9'!H35*'R9'!G35</f>
        <v>32.720920036113185</v>
      </c>
      <c r="L35" s="28" t="e">
        <f>IF(Summary!$F$10="M",VLOOKUP(C:C,#REF!,IF(B35&gt;2033,22,MATCH(B35,#REF!,0)),FALSE),VLOOKUP(C:C,#REF!,IF(B35&gt;2033,22,MATCH(B35,#REF!,0)),FALSE))</f>
        <v>#REF!</v>
      </c>
      <c r="M35" s="28" t="e">
        <f t="shared" si="4"/>
        <v>#REF!</v>
      </c>
      <c r="N35" s="28" t="e">
        <f t="shared" si="5"/>
        <v>#REF!</v>
      </c>
      <c r="O35" s="28" t="e">
        <f>Summary!$J$10*'R9'!N35*'R9'!H35</f>
        <v>#REF!</v>
      </c>
    </row>
    <row r="36" spans="2:15" ht="24" customHeight="1">
      <c r="B36" s="30">
        <f t="shared" si="0"/>
        <v>2053</v>
      </c>
      <c r="C36" s="28">
        <f t="shared" si="1"/>
        <v>106</v>
      </c>
      <c r="D36" s="28">
        <v>34</v>
      </c>
      <c r="E36" s="28">
        <f>VLOOKUP(C:C, 'Total Data Set'!B:J, IF(Summary!$F$10="M", 4, 8), FALSE)</f>
        <v>0.39185999999999999</v>
      </c>
      <c r="F36" s="28">
        <f t="shared" si="2"/>
        <v>0.60814000000000001</v>
      </c>
      <c r="G36" s="28">
        <f t="shared" si="3"/>
        <v>6.2493624962943039E-3</v>
      </c>
      <c r="H36" s="28">
        <f>1/(1+Summary!$O$3)^D36</f>
        <v>0.19035479962020604</v>
      </c>
      <c r="I36" s="28">
        <f>Summary!$J$10*'R9'!H36*'R9'!G36</f>
        <v>19.561719020484968</v>
      </c>
      <c r="L36" s="28" t="e">
        <f>IF(Summary!$F$10="M",VLOOKUP(C:C,#REF!,IF(B36&gt;2033,22,MATCH(B36,#REF!,0)),FALSE),VLOOKUP(C:C,#REF!,IF(B36&gt;2033,22,MATCH(B36,#REF!,0)),FALSE))</f>
        <v>#REF!</v>
      </c>
      <c r="M36" s="28" t="e">
        <f t="shared" si="4"/>
        <v>#REF!</v>
      </c>
      <c r="N36" s="28" t="e">
        <f t="shared" si="5"/>
        <v>#REF!</v>
      </c>
      <c r="O36" s="28" t="e">
        <f>Summary!$J$10*'R9'!N36*'R9'!H36</f>
        <v>#REF!</v>
      </c>
    </row>
    <row r="37" spans="2:15" ht="24" customHeight="1">
      <c r="B37" s="30">
        <f t="shared" si="0"/>
        <v>2054</v>
      </c>
      <c r="C37" s="28">
        <f t="shared" si="1"/>
        <v>107</v>
      </c>
      <c r="D37" s="28">
        <v>35</v>
      </c>
      <c r="E37" s="28">
        <f>VLOOKUP(C:C, 'Total Data Set'!B:J, IF(Summary!$F$10="M", 4, 8), FALSE)</f>
        <v>0.41084900000000002</v>
      </c>
      <c r="F37" s="28">
        <f t="shared" si="2"/>
        <v>0.58915099999999998</v>
      </c>
      <c r="G37" s="28">
        <f t="shared" si="3"/>
        <v>3.800487308496418E-3</v>
      </c>
      <c r="H37" s="28">
        <f>1/(1+Summary!$O$3)^D37</f>
        <v>0.18129028535257716</v>
      </c>
      <c r="I37" s="28">
        <f>Summary!$J$10*'R9'!H37*'R9'!G37</f>
        <v>11.329775052493074</v>
      </c>
      <c r="L37" s="28" t="e">
        <f>IF(Summary!$F$10="M",VLOOKUP(C:C,#REF!,IF(B37&gt;2033,22,MATCH(B37,#REF!,0)),FALSE),VLOOKUP(C:C,#REF!,IF(B37&gt;2033,22,MATCH(B37,#REF!,0)),FALSE))</f>
        <v>#REF!</v>
      </c>
      <c r="M37" s="28" t="e">
        <f t="shared" si="4"/>
        <v>#REF!</v>
      </c>
      <c r="N37" s="28" t="e">
        <f t="shared" si="5"/>
        <v>#REF!</v>
      </c>
      <c r="O37" s="28" t="e">
        <f>Summary!$J$10*'R9'!N37*'R9'!H37</f>
        <v>#REF!</v>
      </c>
    </row>
    <row r="38" spans="2:15" ht="24" customHeight="1">
      <c r="B38" s="30">
        <f t="shared" si="0"/>
        <v>2055</v>
      </c>
      <c r="C38" s="28">
        <f t="shared" si="1"/>
        <v>108</v>
      </c>
      <c r="D38" s="28">
        <v>36</v>
      </c>
      <c r="E38" s="28">
        <f>VLOOKUP(C:C, 'Total Data Set'!B:J, IF(Summary!$F$10="M", 4, 8), FALSE)</f>
        <v>0.42911199999999999</v>
      </c>
      <c r="F38" s="28">
        <f t="shared" si="2"/>
        <v>0.57088800000000006</v>
      </c>
      <c r="G38" s="28">
        <f t="shared" si="3"/>
        <v>2.2390608982879733E-3</v>
      </c>
      <c r="H38" s="28">
        <f>1/(1+Summary!$O$3)^D38</f>
        <v>0.17265741462150208</v>
      </c>
      <c r="I38" s="28">
        <f>Summary!$J$10*'R9'!H38*'R9'!G38</f>
        <v>6.3570936209060456</v>
      </c>
      <c r="L38" s="28" t="e">
        <f>IF(Summary!$F$10="M",VLOOKUP(C:C,#REF!,IF(B38&gt;2033,22,MATCH(B38,#REF!,0)),FALSE),VLOOKUP(C:C,#REF!,IF(B38&gt;2033,22,MATCH(B38,#REF!,0)),FALSE))</f>
        <v>#REF!</v>
      </c>
      <c r="M38" s="28" t="e">
        <f t="shared" si="4"/>
        <v>#REF!</v>
      </c>
      <c r="N38" s="28" t="e">
        <f t="shared" si="5"/>
        <v>#REF!</v>
      </c>
      <c r="O38" s="28" t="e">
        <f>Summary!$J$10*'R9'!N38*'R9'!H38</f>
        <v>#REF!</v>
      </c>
    </row>
    <row r="39" spans="2:15" ht="24" customHeight="1">
      <c r="B39" s="30">
        <f t="shared" si="0"/>
        <v>2056</v>
      </c>
      <c r="C39" s="28">
        <f t="shared" si="1"/>
        <v>109</v>
      </c>
      <c r="D39" s="28">
        <v>37</v>
      </c>
      <c r="E39" s="28">
        <f>VLOOKUP(C:C, 'Total Data Set'!B:J, IF(Summary!$F$10="M", 4, 8), FALSE)</f>
        <v>0.446544</v>
      </c>
      <c r="F39" s="28">
        <f t="shared" si="2"/>
        <v>0.55345599999999995</v>
      </c>
      <c r="G39" s="28">
        <f t="shared" si="3"/>
        <v>1.2782529981018246E-3</v>
      </c>
      <c r="H39" s="28">
        <f>1/(1+Summary!$O$3)^D39</f>
        <v>0.1644356329728591</v>
      </c>
      <c r="I39" s="28">
        <f>Summary!$J$10*'R9'!H39*'R9'!G39</f>
        <v>3.4563699648112483</v>
      </c>
      <c r="L39" s="28" t="e">
        <f>IF(Summary!$F$10="M",VLOOKUP(C:C,#REF!,IF(B39&gt;2033,22,MATCH(B39,#REF!,0)),FALSE),VLOOKUP(C:C,#REF!,IF(B39&gt;2033,22,MATCH(B39,#REF!,0)),FALSE))</f>
        <v>#REF!</v>
      </c>
      <c r="M39" s="28" t="e">
        <f t="shared" si="4"/>
        <v>#REF!</v>
      </c>
      <c r="N39" s="28" t="e">
        <f t="shared" si="5"/>
        <v>#REF!</v>
      </c>
      <c r="O39" s="28" t="e">
        <f>Summary!$J$10*'R9'!N39*'R9'!H39</f>
        <v>#REF!</v>
      </c>
    </row>
    <row r="40" spans="2:15" ht="24" customHeight="1">
      <c r="B40" s="30">
        <f t="shared" si="0"/>
        <v>2057</v>
      </c>
      <c r="C40" s="28">
        <f t="shared" si="1"/>
        <v>110</v>
      </c>
      <c r="D40" s="28">
        <v>38</v>
      </c>
      <c r="E40" s="28">
        <f>VLOOKUP(C:C, 'Total Data Set'!B:J, IF(Summary!$F$10="M", 4, 8), FALSE)</f>
        <v>0.463061</v>
      </c>
      <c r="F40" s="28">
        <f t="shared" si="2"/>
        <v>0.53693900000000006</v>
      </c>
      <c r="G40" s="28">
        <f t="shared" si="3"/>
        <v>7.074567913174434E-4</v>
      </c>
      <c r="H40" s="28">
        <f>1/(1+Summary!$O$3)^D40</f>
        <v>0.15660536473605632</v>
      </c>
      <c r="I40" s="28">
        <f>Summary!$J$10*'R9'!H40*'R9'!G40</f>
        <v>1.821855900232928</v>
      </c>
      <c r="L40" s="28" t="e">
        <f>IF(Summary!$F$10="M",VLOOKUP(C:C,#REF!,IF(B40&gt;2033,22,MATCH(B40,#REF!,0)),FALSE),VLOOKUP(C:C,#REF!,IF(B40&gt;2033,22,MATCH(B40,#REF!,0)),FALSE))</f>
        <v>#REF!</v>
      </c>
      <c r="M40" s="28" t="e">
        <f t="shared" si="4"/>
        <v>#REF!</v>
      </c>
      <c r="N40" s="28" t="e">
        <f t="shared" si="5"/>
        <v>#REF!</v>
      </c>
      <c r="O40" s="28" t="e">
        <f>Summary!$J$10*'R9'!N40*'R9'!H40</f>
        <v>#REF!</v>
      </c>
    </row>
    <row r="41" spans="2:15" ht="24" customHeight="1">
      <c r="B41" s="30">
        <f t="shared" si="0"/>
        <v>2058</v>
      </c>
      <c r="C41" s="28">
        <f t="shared" si="1"/>
        <v>111</v>
      </c>
      <c r="D41" s="28">
        <v>39</v>
      </c>
      <c r="E41" s="28">
        <f>VLOOKUP(C:C, 'Total Data Set'!B:J, IF(Summary!$F$10="M", 4, 8), FALSE)</f>
        <v>0.47860399999999997</v>
      </c>
      <c r="F41" s="28">
        <f t="shared" si="2"/>
        <v>0.52139599999999997</v>
      </c>
      <c r="G41" s="28">
        <f t="shared" si="3"/>
        <v>3.798611420731968E-4</v>
      </c>
      <c r="H41" s="28">
        <f>1/(1+Summary!$O$3)^D41</f>
        <v>0.14914796641529171</v>
      </c>
      <c r="I41" s="28">
        <f>Summary!$J$10*'R9'!H41*'R9'!G41</f>
        <v>0.93164331925254107</v>
      </c>
      <c r="L41" s="28" t="e">
        <f>IF(Summary!$F$10="M",VLOOKUP(C:C,#REF!,IF(B41&gt;2033,22,MATCH(B41,#REF!,0)),FALSE),VLOOKUP(C:C,#REF!,IF(B41&gt;2033,22,MATCH(B41,#REF!,0)),FALSE))</f>
        <v>#REF!</v>
      </c>
      <c r="M41" s="28" t="e">
        <f t="shared" si="4"/>
        <v>#REF!</v>
      </c>
      <c r="N41" s="28" t="e">
        <f t="shared" si="5"/>
        <v>#REF!</v>
      </c>
      <c r="O41" s="28" t="e">
        <f>Summary!$J$10*'R9'!N41*'R9'!H41</f>
        <v>#REF!</v>
      </c>
    </row>
    <row r="42" spans="2:15" ht="24" customHeight="1">
      <c r="B42" s="30">
        <f t="shared" si="0"/>
        <v>2059</v>
      </c>
      <c r="C42" s="28">
        <f>$A$4+D42</f>
        <v>112</v>
      </c>
      <c r="D42" s="28">
        <v>40</v>
      </c>
      <c r="E42" s="28">
        <f>VLOOKUP(C:C, 'Total Data Set'!B:J, IF(Summary!$F$10="M", 4, 8), FALSE)</f>
        <v>0.49313699999999999</v>
      </c>
      <c r="F42" s="28">
        <f>1-E42</f>
        <v>0.50686300000000006</v>
      </c>
      <c r="G42" s="28">
        <f t="shared" si="3"/>
        <v>1.9805808003239652E-4</v>
      </c>
      <c r="H42" s="28">
        <f>1/(1+Summary!$O$3)^D42</f>
        <v>0.14204568230027784</v>
      </c>
      <c r="I42" s="28">
        <f>Summary!$J$10*'R9'!H42*'R9'!G42</f>
        <v>0.4626239048428552</v>
      </c>
      <c r="L42" s="28" t="e">
        <f>IF(Summary!$F$10="M",VLOOKUP(C:C,#REF!,IF(B42&gt;2033,22,MATCH(B42,#REF!,0)),FALSE),VLOOKUP(C:C,#REF!,IF(B42&gt;2033,22,MATCH(B42,#REF!,0)),FALSE))</f>
        <v>#REF!</v>
      </c>
      <c r="M42" s="28" t="e">
        <f t="shared" si="4"/>
        <v>#REF!</v>
      </c>
      <c r="N42" s="28" t="e">
        <f t="shared" si="5"/>
        <v>#REF!</v>
      </c>
      <c r="O42" s="28" t="e">
        <f>Summary!$J$10*'R9'!N42*'R9'!H42</f>
        <v>#REF!</v>
      </c>
    </row>
    <row r="43" spans="2:15" ht="24" customHeight="1">
      <c r="B43" s="30">
        <f t="shared" si="0"/>
        <v>2060</v>
      </c>
      <c r="C43" s="28">
        <f t="shared" si="1"/>
        <v>113</v>
      </c>
      <c r="D43" s="28">
        <v>41</v>
      </c>
      <c r="E43" s="28">
        <f>VLOOKUP(C:C, 'Total Data Set'!B:J, IF(Summary!$F$10="M", 4, 8), FALSE)</f>
        <v>0.5</v>
      </c>
      <c r="F43" s="28">
        <f t="shared" si="2"/>
        <v>0.5</v>
      </c>
      <c r="G43" s="28">
        <f t="shared" si="3"/>
        <v>1.0038831261946061E-4</v>
      </c>
      <c r="H43" s="28">
        <f>1/(1+Summary!$O$3)^D43</f>
        <v>0.13528160219074079</v>
      </c>
      <c r="I43" s="28">
        <f>Summary!$J$10*'R9'!H43*'R9'!G43</f>
        <v>0.22332089550510867</v>
      </c>
      <c r="L43" s="28" t="e">
        <f>IF(Summary!$F$10="M",VLOOKUP(C:C,#REF!,IF(B43&gt;2033,22,MATCH(B43,#REF!,0)),FALSE),VLOOKUP(C:C,#REF!,IF(B43&gt;2033,22,MATCH(B43,#REF!,0)),FALSE))</f>
        <v>#REF!</v>
      </c>
      <c r="M43" s="28" t="e">
        <f t="shared" si="4"/>
        <v>#REF!</v>
      </c>
      <c r="N43" s="28" t="e">
        <f t="shared" si="5"/>
        <v>#REF!</v>
      </c>
      <c r="O43" s="28" t="e">
        <f>Summary!$J$10*'R9'!N43*'R9'!H43</f>
        <v>#REF!</v>
      </c>
    </row>
    <row r="44" spans="2:15" ht="24" customHeight="1">
      <c r="B44" s="30">
        <f t="shared" si="0"/>
        <v>2061</v>
      </c>
      <c r="C44" s="28">
        <f t="shared" si="1"/>
        <v>114</v>
      </c>
      <c r="D44" s="28">
        <v>42</v>
      </c>
      <c r="E44" s="28">
        <f>VLOOKUP(C:C, 'Total Data Set'!B:J, IF(Summary!$F$10="M", 4, 8), FALSE)</f>
        <v>0.5</v>
      </c>
      <c r="F44" s="28">
        <f t="shared" si="2"/>
        <v>0.5</v>
      </c>
      <c r="G44" s="28">
        <f t="shared" si="3"/>
        <v>5.0194156309730304E-5</v>
      </c>
      <c r="H44" s="28">
        <f>1/(1+Summary!$O$3)^D44</f>
        <v>0.12883962113403885</v>
      </c>
      <c r="I44" s="28">
        <f>Summary!$J$10*'R9'!H44*'R9'!G44</f>
        <v>0.1063432835738613</v>
      </c>
      <c r="L44" s="28" t="e">
        <f>IF(Summary!$F$10="M",VLOOKUP(C:C,#REF!,IF(B44&gt;2033,22,MATCH(B44,#REF!,0)),FALSE),VLOOKUP(C:C,#REF!,IF(B44&gt;2033,22,MATCH(B44,#REF!,0)),FALSE))</f>
        <v>#REF!</v>
      </c>
      <c r="M44" s="28" t="e">
        <f t="shared" si="4"/>
        <v>#REF!</v>
      </c>
      <c r="N44" s="28" t="e">
        <f t="shared" si="5"/>
        <v>#REF!</v>
      </c>
      <c r="O44" s="28" t="e">
        <f>Summary!$J$10*'R9'!N44*'R9'!H44</f>
        <v>#REF!</v>
      </c>
    </row>
    <row r="45" spans="2:15" ht="24" customHeight="1">
      <c r="B45" s="30">
        <f t="shared" si="0"/>
        <v>2062</v>
      </c>
      <c r="C45" s="28">
        <f t="shared" si="1"/>
        <v>115</v>
      </c>
      <c r="D45" s="28">
        <v>43</v>
      </c>
      <c r="E45" s="28">
        <f>VLOOKUP(C:C, 'Total Data Set'!B:J, IF(Summary!$F$10="M", 4, 8), FALSE)</f>
        <v>0.5</v>
      </c>
      <c r="F45" s="28">
        <f t="shared" si="2"/>
        <v>0.5</v>
      </c>
      <c r="G45" s="28">
        <f t="shared" si="3"/>
        <v>2.5097078154865152E-5</v>
      </c>
      <c r="H45" s="28">
        <f>1/(1+Summary!$O$3)^D45</f>
        <v>0.12270440108003698</v>
      </c>
      <c r="I45" s="28">
        <f>Summary!$J$10*'R9'!H45*'R9'!G45</f>
        <v>5.0639658844695845E-2</v>
      </c>
      <c r="L45" s="28" t="e">
        <f>IF(Summary!$F$10="M",VLOOKUP(C:C,#REF!,IF(B45&gt;2033,22,MATCH(B45,#REF!,0)),FALSE),VLOOKUP(C:C,#REF!,IF(B45&gt;2033,22,MATCH(B45,#REF!,0)),FALSE))</f>
        <v>#REF!</v>
      </c>
      <c r="M45" s="28" t="e">
        <f t="shared" si="4"/>
        <v>#REF!</v>
      </c>
      <c r="N45" s="28" t="e">
        <f t="shared" si="5"/>
        <v>#REF!</v>
      </c>
      <c r="O45" s="28" t="e">
        <f>Summary!$J$10*'R9'!N45*'R9'!H45</f>
        <v>#REF!</v>
      </c>
    </row>
    <row r="46" spans="2:15" ht="24" customHeight="1">
      <c r="B46" s="30">
        <f t="shared" si="0"/>
        <v>2063</v>
      </c>
      <c r="C46" s="28">
        <f>$A$4+D46</f>
        <v>116</v>
      </c>
      <c r="D46" s="28">
        <v>44</v>
      </c>
      <c r="E46" s="28">
        <f>VLOOKUP(C:C, 'Total Data Set'!B:J, IF(Summary!$F$10="M", 4, 8), FALSE)</f>
        <v>0.5</v>
      </c>
      <c r="F46" s="28">
        <f>1-E46</f>
        <v>0.5</v>
      </c>
      <c r="G46" s="28">
        <f t="shared" si="3"/>
        <v>1.2548539077432576E-5</v>
      </c>
      <c r="H46" s="28">
        <f>1/(1+Summary!$O$3)^D46</f>
        <v>0.11686133436193999</v>
      </c>
      <c r="I46" s="28">
        <f>Summary!$J$10*'R9'!H46*'R9'!G46</f>
        <v>2.4114123259378974E-2</v>
      </c>
      <c r="L46" s="28" t="e">
        <f>IF(Summary!$F$10="M",VLOOKUP(C:C,#REF!,IF(B46&gt;2033,22,MATCH(B46,#REF!,0)),FALSE),VLOOKUP(C:C,#REF!,IF(B46&gt;2033,22,MATCH(B46,#REF!,0)),FALSE))</f>
        <v>#REF!</v>
      </c>
      <c r="M46" s="28" t="e">
        <f t="shared" si="4"/>
        <v>#REF!</v>
      </c>
      <c r="N46" s="28" t="e">
        <f t="shared" si="5"/>
        <v>#REF!</v>
      </c>
      <c r="O46" s="28" t="e">
        <f>Summary!$J$10*'R9'!N46*'R9'!H46</f>
        <v>#REF!</v>
      </c>
    </row>
    <row r="47" spans="2:15" ht="24" customHeight="1">
      <c r="B47" s="30">
        <f t="shared" si="0"/>
        <v>2064</v>
      </c>
      <c r="C47" s="28">
        <f t="shared" si="1"/>
        <v>117</v>
      </c>
      <c r="D47" s="28">
        <v>45</v>
      </c>
      <c r="E47" s="28">
        <f>VLOOKUP(C:C, 'Total Data Set'!B:J, IF(Summary!$F$10="M", 4, 8), FALSE)</f>
        <v>0.5</v>
      </c>
      <c r="F47" s="28">
        <f t="shared" si="2"/>
        <v>0.5</v>
      </c>
      <c r="G47" s="28">
        <f t="shared" si="3"/>
        <v>6.274269538716288E-6</v>
      </c>
      <c r="H47" s="28">
        <f>1/(1+Summary!$O$3)^D47</f>
        <v>0.1112965089161333</v>
      </c>
      <c r="I47" s="28">
        <f>Summary!$J$10*'R9'!H47*'R9'!G47</f>
        <v>1.1482915837799508E-2</v>
      </c>
      <c r="L47" s="28" t="e">
        <f>IF(Summary!$F$10="M",VLOOKUP(C:C,#REF!,IF(B47&gt;2033,22,MATCH(B47,#REF!,0)),FALSE),VLOOKUP(C:C,#REF!,IF(B47&gt;2033,22,MATCH(B47,#REF!,0)),FALSE))</f>
        <v>#REF!</v>
      </c>
      <c r="M47" s="28" t="e">
        <f t="shared" si="4"/>
        <v>#REF!</v>
      </c>
      <c r="N47" s="28" t="e">
        <f t="shared" si="5"/>
        <v>#REF!</v>
      </c>
      <c r="O47" s="28" t="e">
        <f>Summary!$J$10*'R9'!N47*'R9'!H47</f>
        <v>#REF!</v>
      </c>
    </row>
    <row r="48" spans="2:15" ht="24" customHeight="1">
      <c r="B48" s="30">
        <f t="shared" si="0"/>
        <v>2065</v>
      </c>
      <c r="C48" s="28">
        <f t="shared" si="1"/>
        <v>118</v>
      </c>
      <c r="D48" s="28">
        <v>46</v>
      </c>
      <c r="E48" s="28">
        <f>VLOOKUP(C:C, 'Total Data Set'!B:J, IF(Summary!$F$10="M", 4, 8), FALSE)</f>
        <v>0.5</v>
      </c>
      <c r="F48" s="28">
        <f t="shared" si="2"/>
        <v>0.5</v>
      </c>
      <c r="G48" s="28">
        <f t="shared" si="3"/>
        <v>3.137134769358144E-6</v>
      </c>
      <c r="H48" s="28">
        <f>1/(1+Summary!$O$3)^D48</f>
        <v>0.10599667515822221</v>
      </c>
      <c r="I48" s="28">
        <f>Summary!$J$10*'R9'!H48*'R9'!G48</f>
        <v>5.4680551608569106E-3</v>
      </c>
      <c r="L48" s="28" t="e">
        <f>IF(Summary!$F$10="M",VLOOKUP(C:C,#REF!,IF(B48&gt;2033,22,MATCH(B48,#REF!,0)),FALSE),VLOOKUP(C:C,#REF!,IF(B48&gt;2033,22,MATCH(B48,#REF!,0)),FALSE))</f>
        <v>#REF!</v>
      </c>
      <c r="M48" s="28" t="e">
        <f t="shared" si="4"/>
        <v>#REF!</v>
      </c>
      <c r="N48" s="28" t="e">
        <f t="shared" si="5"/>
        <v>#REF!</v>
      </c>
      <c r="O48" s="28" t="e">
        <f>Summary!$J$10*'R9'!N48*'R9'!H48</f>
        <v>#REF!</v>
      </c>
    </row>
    <row r="49" spans="2:15" ht="24" customHeight="1">
      <c r="B49" s="30">
        <f t="shared" si="0"/>
        <v>2066</v>
      </c>
      <c r="C49" s="28">
        <f t="shared" si="1"/>
        <v>119</v>
      </c>
      <c r="D49" s="28">
        <v>47</v>
      </c>
      <c r="E49" s="28">
        <f>VLOOKUP(C:C, 'Total Data Set'!B:J, IF(Summary!$F$10="M", 4, 8), FALSE)</f>
        <v>0.5</v>
      </c>
      <c r="F49" s="28">
        <f t="shared" si="2"/>
        <v>0.5</v>
      </c>
      <c r="G49" s="28">
        <f t="shared" si="3"/>
        <v>1.568567384679072E-6</v>
      </c>
      <c r="H49" s="28">
        <f>1/(1+Summary!$O$3)^D49</f>
        <v>0.10094921443640208</v>
      </c>
      <c r="I49" s="28">
        <f>Summary!$J$10*'R9'!H49*'R9'!G49</f>
        <v>2.6038357908842419E-3</v>
      </c>
      <c r="L49" s="28" t="e">
        <f>IF(Summary!$F$10="M",VLOOKUP(C:C,#REF!,IF(B49&gt;2033,22,MATCH(B49,#REF!,0)),FALSE),VLOOKUP(C:C,#REF!,IF(B49&gt;2033,22,MATCH(B49,#REF!,0)),FALSE))</f>
        <v>#REF!</v>
      </c>
      <c r="M49" s="28" t="e">
        <f t="shared" si="4"/>
        <v>#REF!</v>
      </c>
      <c r="N49" s="28" t="e">
        <f t="shared" si="5"/>
        <v>#REF!</v>
      </c>
      <c r="O49" s="28" t="e">
        <f>Summary!$J$10*'R9'!N49*'R9'!H49</f>
        <v>#REF!</v>
      </c>
    </row>
    <row r="50" spans="2:15" ht="24" customHeight="1">
      <c r="B50" s="30">
        <f t="shared" si="0"/>
        <v>2067</v>
      </c>
      <c r="C50" s="28">
        <f t="shared" si="1"/>
        <v>120</v>
      </c>
      <c r="D50" s="28">
        <v>48</v>
      </c>
      <c r="E50" s="28">
        <f>VLOOKUP(C:C, 'Total Data Set'!B:J, IF(Summary!$F$10="M", 4, 8), FALSE)</f>
        <v>1</v>
      </c>
      <c r="F50" s="28">
        <f t="shared" si="2"/>
        <v>0</v>
      </c>
      <c r="G50" s="28">
        <f t="shared" si="3"/>
        <v>7.8428369233953599E-7</v>
      </c>
      <c r="H50" s="28">
        <f>1/(1+Summary!$O$3)^D50</f>
        <v>9.6142108987049613E-2</v>
      </c>
      <c r="I50" s="28">
        <f>Summary!$J$10*'R9'!H50*'R9'!G50</f>
        <v>1.2399218051829725E-3</v>
      </c>
      <c r="L50" s="28" t="e">
        <f>IF(Summary!$F$10="M",VLOOKUP(C:C,#REF!,IF(B50&gt;2033,22,MATCH(B50,#REF!,0)),FALSE),VLOOKUP(C:C,#REF!,IF(B50&gt;2033,22,MATCH(B50,#REF!,0)),FALSE))</f>
        <v>#REF!</v>
      </c>
      <c r="M50" s="28" t="e">
        <f t="shared" si="4"/>
        <v>#REF!</v>
      </c>
      <c r="N50" s="28" t="e">
        <f t="shared" si="5"/>
        <v>#REF!</v>
      </c>
      <c r="O50" s="28" t="e">
        <f>Summary!$J$10*'R9'!N50*'R9'!H50</f>
        <v>#REF!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47"/>
  <sheetViews>
    <sheetView topLeftCell="D36" zoomScale="85" zoomScaleNormal="85" workbookViewId="0">
      <selection activeCell="A6" sqref="A6"/>
    </sheetView>
  </sheetViews>
  <sheetFormatPr defaultColWidth="18" defaultRowHeight="24" customHeight="1"/>
  <cols>
    <col min="1" max="6" width="18" style="28"/>
    <col min="7" max="7" width="21.140625" style="28" customWidth="1"/>
    <col min="8" max="9" width="18" style="28"/>
    <col min="10" max="10" width="21.7109375" style="28" customWidth="1"/>
    <col min="11" max="16384" width="18" style="28"/>
  </cols>
  <sheetData>
    <row r="1" spans="1:16" ht="24" customHeight="1">
      <c r="A1" s="30" t="s">
        <v>69</v>
      </c>
      <c r="B1" s="30" t="s">
        <v>74</v>
      </c>
      <c r="C1" s="28" t="s">
        <v>28</v>
      </c>
      <c r="D1" s="28" t="s">
        <v>29</v>
      </c>
      <c r="E1" s="28" t="s">
        <v>30</v>
      </c>
      <c r="F1" s="28" t="s">
        <v>71</v>
      </c>
      <c r="G1" s="28" t="s">
        <v>72</v>
      </c>
      <c r="H1" s="28" t="s">
        <v>31</v>
      </c>
      <c r="I1" s="28" t="s">
        <v>32</v>
      </c>
      <c r="J1" s="28" t="s">
        <v>33</v>
      </c>
      <c r="L1" s="39" t="s">
        <v>76</v>
      </c>
      <c r="M1" s="39" t="s">
        <v>77</v>
      </c>
      <c r="N1" s="39" t="s">
        <v>78</v>
      </c>
      <c r="O1" s="39" t="s">
        <v>79</v>
      </c>
      <c r="P1" s="39" t="s">
        <v>80</v>
      </c>
    </row>
    <row r="2" spans="1:16" ht="24" customHeight="1">
      <c r="A2" s="31">
        <v>43647</v>
      </c>
      <c r="B2" s="30">
        <f>YEAR(A2)</f>
        <v>2019</v>
      </c>
      <c r="C2" s="28">
        <f>$A$4+D2</f>
        <v>75</v>
      </c>
      <c r="D2" s="28">
        <v>0</v>
      </c>
      <c r="E2" s="28">
        <f>VLOOKUP(C:C, 'Total Data Set'!B:J, IF(Summary!$F$11="M", 4, 8), FALSE)</f>
        <v>2.0937999999999998E-2</v>
      </c>
      <c r="F2" s="28">
        <f>1-E2</f>
        <v>0.97906199999999999</v>
      </c>
      <c r="G2" s="28">
        <v>1</v>
      </c>
      <c r="H2" s="28">
        <f>1/(1+Summary!$O$3)^D2</f>
        <v>1</v>
      </c>
      <c r="I2" s="28">
        <f>Summary!$J$11*'R10'!H2*'R10'!G2</f>
        <v>32889</v>
      </c>
      <c r="J2" s="28">
        <f>SUM(I2:I48)</f>
        <v>332914.59678272065</v>
      </c>
      <c r="L2" s="28" t="e">
        <f>IF(Summary!$F$11="M",VLOOKUP(C:C,#REF!,IF(B2&gt;2033,22,MATCH(B2,#REF!,0)),FALSE),VLOOKUP(C:C,#REF!,IF(B2&gt;2033,22,MATCH(B2,#REF!,0)),FALSE))</f>
        <v>#REF!</v>
      </c>
      <c r="M2" s="28" t="e">
        <f>1-L2</f>
        <v>#REF!</v>
      </c>
      <c r="N2" s="28">
        <v>1</v>
      </c>
      <c r="O2" s="28">
        <f>Summary!$J$11*'R10'!N2*'R10'!H2</f>
        <v>32889</v>
      </c>
      <c r="P2" s="28" t="e">
        <f>SUM(O2:O47)</f>
        <v>#REF!</v>
      </c>
    </row>
    <row r="3" spans="1:16" ht="24" customHeight="1">
      <c r="A3" s="28" t="s">
        <v>34</v>
      </c>
      <c r="B3" s="30">
        <f>$B2+1</f>
        <v>2020</v>
      </c>
      <c r="C3" s="28">
        <f>$A$4+D3</f>
        <v>76</v>
      </c>
      <c r="D3" s="28">
        <v>1</v>
      </c>
      <c r="E3" s="28">
        <f>VLOOKUP(C:C, 'Total Data Set'!B:J, IF(Summary!$F$11="M", 4, 8), FALSE)</f>
        <v>2.3118E-2</v>
      </c>
      <c r="F3" s="28">
        <f>1-E3</f>
        <v>0.97688200000000003</v>
      </c>
      <c r="G3" s="28">
        <f>F2</f>
        <v>0.97906199999999999</v>
      </c>
      <c r="H3" s="28">
        <f>1/(1+Summary!$O$3)^D3</f>
        <v>0.95238095238095233</v>
      </c>
      <c r="I3" s="28">
        <f>Summary!$J$11*'R10'!H3*'R10'!G3</f>
        <v>30667.01916</v>
      </c>
      <c r="L3" s="28" t="e">
        <f>IF(Summary!$F$11="M",VLOOKUP(C:C,#REF!,IF(B3&gt;2033,22,MATCH(B3,#REF!,0)),FALSE),VLOOKUP(C:C,#REF!,IF(B3&gt;2033,22,MATCH(B3,#REF!,0)),FALSE))</f>
        <v>#REF!</v>
      </c>
      <c r="M3" s="28" t="e">
        <f>1-L3</f>
        <v>#REF!</v>
      </c>
      <c r="N3" s="28" t="e">
        <f>N2*M2</f>
        <v>#REF!</v>
      </c>
      <c r="O3" s="28" t="e">
        <f>Summary!$J$11*'R10'!N3*'R10'!H3</f>
        <v>#REF!</v>
      </c>
    </row>
    <row r="4" spans="1:16" ht="24" customHeight="1">
      <c r="A4" s="28">
        <f>Summary!I11</f>
        <v>75</v>
      </c>
      <c r="B4" s="30">
        <f t="shared" ref="B4:B47" si="0">$B3+1</f>
        <v>2021</v>
      </c>
      <c r="C4" s="28">
        <f t="shared" ref="C4:C47" si="1">$A$4+D4</f>
        <v>77</v>
      </c>
      <c r="D4" s="28">
        <v>2</v>
      </c>
      <c r="E4" s="28">
        <f>VLOOKUP(C:C, 'Total Data Set'!B:J, IF(Summary!$F$11="M", 4, 8), FALSE)</f>
        <v>2.5554E-2</v>
      </c>
      <c r="F4" s="28">
        <f t="shared" ref="F4:F47" si="2">1-E4</f>
        <v>0.97444600000000003</v>
      </c>
      <c r="G4" s="28">
        <f t="shared" ref="G4:G47" si="3">G3*F3</f>
        <v>0.956428044684</v>
      </c>
      <c r="H4" s="28">
        <f>1/(1+Summary!$O$3)^D4</f>
        <v>0.90702947845804982</v>
      </c>
      <c r="I4" s="28">
        <f>Summary!$J$11*'R10'!H4*'R10'!G4</f>
        <v>28531.484772437256</v>
      </c>
      <c r="L4" s="28" t="e">
        <f>IF(Summary!$F$11="M",VLOOKUP(C:C,#REF!,IF(B4&gt;2033,22,MATCH(B4,#REF!,0)),FALSE),VLOOKUP(C:C,#REF!,IF(B4&gt;2033,22,MATCH(B4,#REF!,0)),FALSE))</f>
        <v>#REF!</v>
      </c>
      <c r="M4" s="28" t="e">
        <f t="shared" ref="M4:M47" si="4">1-L4</f>
        <v>#REF!</v>
      </c>
      <c r="N4" s="28" t="e">
        <f t="shared" ref="N4:N47" si="5">N3*M3</f>
        <v>#REF!</v>
      </c>
      <c r="O4" s="28" t="e">
        <f>Summary!$J$11*'R10'!N4*'R10'!H4</f>
        <v>#REF!</v>
      </c>
    </row>
    <row r="5" spans="1:16" ht="24" customHeight="1">
      <c r="B5" s="30">
        <f t="shared" si="0"/>
        <v>2022</v>
      </c>
      <c r="C5" s="28">
        <f t="shared" si="1"/>
        <v>78</v>
      </c>
      <c r="D5" s="28">
        <v>3</v>
      </c>
      <c r="E5" s="28">
        <f>VLOOKUP(C:C, 'Total Data Set'!B:J, IF(Summary!$F$11="M", 4, 8), FALSE)</f>
        <v>2.8288000000000001E-2</v>
      </c>
      <c r="F5" s="28">
        <f t="shared" si="2"/>
        <v>0.97171200000000002</v>
      </c>
      <c r="G5" s="28">
        <f t="shared" si="3"/>
        <v>0.93198748243014506</v>
      </c>
      <c r="H5" s="28">
        <f>1/(1+Summary!$O$3)^D5</f>
        <v>0.86383759853147601</v>
      </c>
      <c r="I5" s="28">
        <f>Summary!$J$11*'R10'!H5*'R10'!G5</f>
        <v>26478.467819583231</v>
      </c>
      <c r="L5" s="28" t="e">
        <f>IF(Summary!$F$11="M",VLOOKUP(C:C,#REF!,IF(B5&gt;2033,22,MATCH(B5,#REF!,0)),FALSE),VLOOKUP(C:C,#REF!,IF(B5&gt;2033,22,MATCH(B5,#REF!,0)),FALSE))</f>
        <v>#REF!</v>
      </c>
      <c r="M5" s="28" t="e">
        <f t="shared" si="4"/>
        <v>#REF!</v>
      </c>
      <c r="N5" s="28" t="e">
        <f t="shared" si="5"/>
        <v>#REF!</v>
      </c>
      <c r="O5" s="28" t="e">
        <f>Summary!$J$11*'R10'!N5*'R10'!H5</f>
        <v>#REF!</v>
      </c>
    </row>
    <row r="6" spans="1:16" ht="24" customHeight="1">
      <c r="B6" s="30">
        <f t="shared" si="0"/>
        <v>2023</v>
      </c>
      <c r="C6" s="28">
        <f t="shared" si="1"/>
        <v>79</v>
      </c>
      <c r="D6" s="28">
        <v>4</v>
      </c>
      <c r="E6" s="28">
        <f>VLOOKUP(C:C, 'Total Data Set'!B:J, IF(Summary!$F$11="M", 4, 8), FALSE)</f>
        <v>3.1365999999999998E-2</v>
      </c>
      <c r="F6" s="28">
        <f t="shared" si="2"/>
        <v>0.968634</v>
      </c>
      <c r="G6" s="28">
        <f t="shared" si="3"/>
        <v>0.90562342052716116</v>
      </c>
      <c r="H6" s="28">
        <f>1/(1+Summary!$O$3)^D6</f>
        <v>0.82270247479188197</v>
      </c>
      <c r="I6" s="28">
        <f>Summary!$J$11*'R10'!H6*'R10'!G6</f>
        <v>24504.233258955108</v>
      </c>
      <c r="L6" s="28" t="e">
        <f>IF(Summary!$F$11="M",VLOOKUP(C:C,#REF!,IF(B6&gt;2033,22,MATCH(B6,#REF!,0)),FALSE),VLOOKUP(C:C,#REF!,IF(B6&gt;2033,22,MATCH(B6,#REF!,0)),FALSE))</f>
        <v>#REF!</v>
      </c>
      <c r="M6" s="28" t="e">
        <f t="shared" si="4"/>
        <v>#REF!</v>
      </c>
      <c r="N6" s="28" t="e">
        <f t="shared" si="5"/>
        <v>#REF!</v>
      </c>
      <c r="O6" s="28" t="e">
        <f>Summary!$J$11*'R10'!N6*'R10'!H6</f>
        <v>#REF!</v>
      </c>
    </row>
    <row r="7" spans="1:16" ht="24" customHeight="1">
      <c r="B7" s="30">
        <f t="shared" si="0"/>
        <v>2024</v>
      </c>
      <c r="C7" s="28">
        <f t="shared" si="1"/>
        <v>80</v>
      </c>
      <c r="D7" s="28">
        <v>5</v>
      </c>
      <c r="E7" s="28">
        <f>VLOOKUP(C:C, 'Total Data Set'!B:J, IF(Summary!$F$11="M", 4, 8), FALSE)</f>
        <v>3.4844E-2</v>
      </c>
      <c r="F7" s="28">
        <f t="shared" si="2"/>
        <v>0.96515600000000001</v>
      </c>
      <c r="G7" s="28">
        <f t="shared" si="3"/>
        <v>0.87721763631890626</v>
      </c>
      <c r="H7" s="28">
        <f>1/(1+Summary!$O$3)^D7</f>
        <v>0.78352616646845896</v>
      </c>
      <c r="I7" s="28">
        <f>Summary!$J$11*'R10'!H7*'R10'!G7</f>
        <v>22605.365217671162</v>
      </c>
      <c r="L7" s="28" t="e">
        <f>IF(Summary!$F$11="M",VLOOKUP(C:C,#REF!,IF(B7&gt;2033,22,MATCH(B7,#REF!,0)),FALSE),VLOOKUP(C:C,#REF!,IF(B7&gt;2033,22,MATCH(B7,#REF!,0)),FALSE))</f>
        <v>#REF!</v>
      </c>
      <c r="M7" s="28" t="e">
        <f t="shared" si="4"/>
        <v>#REF!</v>
      </c>
      <c r="N7" s="28" t="e">
        <f t="shared" si="5"/>
        <v>#REF!</v>
      </c>
      <c r="O7" s="28" t="e">
        <f>Summary!$J$11*'R10'!N7*'R10'!H7</f>
        <v>#REF!</v>
      </c>
    </row>
    <row r="8" spans="1:16" ht="24" customHeight="1">
      <c r="B8" s="30">
        <f t="shared" si="0"/>
        <v>2025</v>
      </c>
      <c r="C8" s="28">
        <f t="shared" si="1"/>
        <v>81</v>
      </c>
      <c r="D8" s="28">
        <v>6</v>
      </c>
      <c r="E8" s="28">
        <f>VLOOKUP(C:C, 'Total Data Set'!B:J, IF(Summary!$F$11="M", 4, 8), FALSE)</f>
        <v>3.8782999999999998E-2</v>
      </c>
      <c r="F8" s="28">
        <f t="shared" si="2"/>
        <v>0.96121699999999999</v>
      </c>
      <c r="G8" s="28">
        <f t="shared" si="3"/>
        <v>0.84665186499901035</v>
      </c>
      <c r="H8" s="28">
        <f>1/(1+Summary!$O$3)^D8</f>
        <v>0.74621539663662761</v>
      </c>
      <c r="I8" s="28">
        <f>Summary!$J$11*'R10'!H8*'R10'!G8</f>
        <v>20778.765592406315</v>
      </c>
      <c r="L8" s="28" t="e">
        <f>IF(Summary!$F$11="M",VLOOKUP(C:C,#REF!,IF(B8&gt;2033,22,MATCH(B8,#REF!,0)),FALSE),VLOOKUP(C:C,#REF!,IF(B8&gt;2033,22,MATCH(B8,#REF!,0)),FALSE))</f>
        <v>#REF!</v>
      </c>
      <c r="M8" s="28" t="e">
        <f t="shared" si="4"/>
        <v>#REF!</v>
      </c>
      <c r="N8" s="28" t="e">
        <f t="shared" si="5"/>
        <v>#REF!</v>
      </c>
      <c r="O8" s="28" t="e">
        <f>Summary!$J$11*'R10'!N8*'R10'!H8</f>
        <v>#REF!</v>
      </c>
    </row>
    <row r="9" spans="1:16" ht="24" customHeight="1">
      <c r="B9" s="30">
        <f t="shared" si="0"/>
        <v>2026</v>
      </c>
      <c r="C9" s="28">
        <f t="shared" si="1"/>
        <v>82</v>
      </c>
      <c r="D9" s="28">
        <v>7</v>
      </c>
      <c r="E9" s="28">
        <f>VLOOKUP(C:C, 'Total Data Set'!B:J, IF(Summary!$F$11="M", 4, 8), FALSE)</f>
        <v>4.3246E-2</v>
      </c>
      <c r="F9" s="28">
        <f t="shared" si="2"/>
        <v>0.95675399999999999</v>
      </c>
      <c r="G9" s="28">
        <f t="shared" si="3"/>
        <v>0.8138161657187537</v>
      </c>
      <c r="H9" s="28">
        <f>1/(1+Summary!$O$3)^D9</f>
        <v>0.71068133013012147</v>
      </c>
      <c r="I9" s="28">
        <f>Summary!$J$11*'R10'!H9*'R10'!G9</f>
        <v>19021.812120415256</v>
      </c>
      <c r="L9" s="28" t="e">
        <f>IF(Summary!$F$11="M",VLOOKUP(C:C,#REF!,IF(B9&gt;2033,22,MATCH(B9,#REF!,0)),FALSE),VLOOKUP(C:C,#REF!,IF(B9&gt;2033,22,MATCH(B9,#REF!,0)),FALSE))</f>
        <v>#REF!</v>
      </c>
      <c r="M9" s="28" t="e">
        <f t="shared" si="4"/>
        <v>#REF!</v>
      </c>
      <c r="N9" s="28" t="e">
        <f t="shared" si="5"/>
        <v>#REF!</v>
      </c>
      <c r="O9" s="28" t="e">
        <f>Summary!$J$11*'R10'!N9*'R10'!H9</f>
        <v>#REF!</v>
      </c>
    </row>
    <row r="10" spans="1:16" ht="24" customHeight="1">
      <c r="B10" s="30">
        <f t="shared" si="0"/>
        <v>2027</v>
      </c>
      <c r="C10" s="28">
        <f t="shared" si="1"/>
        <v>83</v>
      </c>
      <c r="D10" s="28">
        <v>8</v>
      </c>
      <c r="E10" s="28">
        <f>VLOOKUP(C:C, 'Total Data Set'!B:J, IF(Summary!$F$11="M", 4, 8), FALSE)</f>
        <v>4.8305000000000001E-2</v>
      </c>
      <c r="F10" s="28">
        <f t="shared" si="2"/>
        <v>0.95169499999999996</v>
      </c>
      <c r="G10" s="28">
        <f t="shared" si="3"/>
        <v>0.77862187181608045</v>
      </c>
      <c r="H10" s="28">
        <f>1/(1+Summary!$O$3)^D10</f>
        <v>0.67683936202868722</v>
      </c>
      <c r="I10" s="28">
        <f>Summary!$J$11*'R10'!H10*'R10'!G10</f>
        <v>17332.566508053125</v>
      </c>
      <c r="L10" s="28" t="e">
        <f>IF(Summary!$F$11="M",VLOOKUP(C:C,#REF!,IF(B10&gt;2033,22,MATCH(B10,#REF!,0)),FALSE),VLOOKUP(C:C,#REF!,IF(B10&gt;2033,22,MATCH(B10,#REF!,0)),FALSE))</f>
        <v>#REF!</v>
      </c>
      <c r="M10" s="28" t="e">
        <f t="shared" si="4"/>
        <v>#REF!</v>
      </c>
      <c r="N10" s="28" t="e">
        <f t="shared" si="5"/>
        <v>#REF!</v>
      </c>
      <c r="O10" s="28" t="e">
        <f>Summary!$J$11*'R10'!N10*'R10'!H10</f>
        <v>#REF!</v>
      </c>
    </row>
    <row r="11" spans="1:16" ht="24" customHeight="1">
      <c r="B11" s="30">
        <f t="shared" si="0"/>
        <v>2028</v>
      </c>
      <c r="C11" s="28">
        <f t="shared" si="1"/>
        <v>84</v>
      </c>
      <c r="D11" s="28">
        <v>9</v>
      </c>
      <c r="E11" s="28">
        <f>VLOOKUP(C:C, 'Total Data Set'!B:J, IF(Summary!$F$11="M", 4, 8), FALSE)</f>
        <v>5.4031999999999997E-2</v>
      </c>
      <c r="F11" s="28">
        <f t="shared" si="2"/>
        <v>0.94596800000000003</v>
      </c>
      <c r="G11" s="28">
        <f t="shared" si="3"/>
        <v>0.74101054229800467</v>
      </c>
      <c r="H11" s="28">
        <f>1/(1+Summary!$O$3)^D11</f>
        <v>0.64460891621779726</v>
      </c>
      <c r="I11" s="28">
        <f>Summary!$J$11*'R10'!H11*'R10'!G11</f>
        <v>15709.825602744395</v>
      </c>
      <c r="L11" s="28" t="e">
        <f>IF(Summary!$F$11="M",VLOOKUP(C:C,#REF!,IF(B11&gt;2033,22,MATCH(B11,#REF!,0)),FALSE),VLOOKUP(C:C,#REF!,IF(B11&gt;2033,22,MATCH(B11,#REF!,0)),FALSE))</f>
        <v>#REF!</v>
      </c>
      <c r="M11" s="28" t="e">
        <f t="shared" si="4"/>
        <v>#REF!</v>
      </c>
      <c r="N11" s="28" t="e">
        <f t="shared" si="5"/>
        <v>#REF!</v>
      </c>
      <c r="O11" s="28" t="e">
        <f>Summary!$J$11*'R10'!N11*'R10'!H11</f>
        <v>#REF!</v>
      </c>
    </row>
    <row r="12" spans="1:16" ht="24" customHeight="1">
      <c r="B12" s="30">
        <f t="shared" si="0"/>
        <v>2029</v>
      </c>
      <c r="C12" s="28">
        <f t="shared" si="1"/>
        <v>85</v>
      </c>
      <c r="D12" s="28">
        <v>10</v>
      </c>
      <c r="E12" s="28">
        <f>VLOOKUP(C:C, 'Total Data Set'!B:J, IF(Summary!$F$11="M", 4, 8), FALSE)</f>
        <v>6.0504000000000002E-2</v>
      </c>
      <c r="F12" s="28">
        <f t="shared" si="2"/>
        <v>0.939496</v>
      </c>
      <c r="G12" s="28">
        <f t="shared" si="3"/>
        <v>0.70097226067655893</v>
      </c>
      <c r="H12" s="28">
        <f>1/(1+Summary!$O$3)^D12</f>
        <v>0.61391325354075932</v>
      </c>
      <c r="I12" s="28">
        <f>Summary!$J$11*'R10'!H12*'R10'!G12</f>
        <v>14153.32600550182</v>
      </c>
      <c r="L12" s="28" t="e">
        <f>IF(Summary!$F$11="M",VLOOKUP(C:C,#REF!,IF(B12&gt;2033,22,MATCH(B12,#REF!,0)),FALSE),VLOOKUP(C:C,#REF!,IF(B12&gt;2033,22,MATCH(B12,#REF!,0)),FALSE))</f>
        <v>#REF!</v>
      </c>
      <c r="M12" s="28" t="e">
        <f t="shared" si="4"/>
        <v>#REF!</v>
      </c>
      <c r="N12" s="28" t="e">
        <f t="shared" si="5"/>
        <v>#REF!</v>
      </c>
      <c r="O12" s="28" t="e">
        <f>Summary!$J$11*'R10'!N12*'R10'!H12</f>
        <v>#REF!</v>
      </c>
    </row>
    <row r="13" spans="1:16" ht="24" customHeight="1">
      <c r="B13" s="30">
        <f t="shared" si="0"/>
        <v>2030</v>
      </c>
      <c r="C13" s="28">
        <f t="shared" si="1"/>
        <v>86</v>
      </c>
      <c r="D13" s="28">
        <v>11</v>
      </c>
      <c r="E13" s="28">
        <f>VLOOKUP(C:C, 'Total Data Set'!B:J, IF(Summary!$F$11="M", 4, 8), FALSE)</f>
        <v>6.7801E-2</v>
      </c>
      <c r="F13" s="28">
        <f t="shared" si="2"/>
        <v>0.932199</v>
      </c>
      <c r="G13" s="28">
        <f t="shared" si="3"/>
        <v>0.65856063501658446</v>
      </c>
      <c r="H13" s="28">
        <f>1/(1+Summary!$O$3)^D13</f>
        <v>0.5846792890864374</v>
      </c>
      <c r="I13" s="28">
        <f>Summary!$J$11*'R10'!H13*'R10'!G13</f>
        <v>12663.803017966609</v>
      </c>
      <c r="L13" s="28" t="e">
        <f>IF(Summary!$F$11="M",VLOOKUP(C:C,#REF!,IF(B13&gt;2033,22,MATCH(B13,#REF!,0)),FALSE),VLOOKUP(C:C,#REF!,IF(B13&gt;2033,22,MATCH(B13,#REF!,0)),FALSE))</f>
        <v>#REF!</v>
      </c>
      <c r="M13" s="28" t="e">
        <f t="shared" si="4"/>
        <v>#REF!</v>
      </c>
      <c r="N13" s="28" t="e">
        <f t="shared" si="5"/>
        <v>#REF!</v>
      </c>
      <c r="O13" s="28" t="e">
        <f>Summary!$J$11*'R10'!N13*'R10'!H13</f>
        <v>#REF!</v>
      </c>
    </row>
    <row r="14" spans="1:16" ht="24" customHeight="1">
      <c r="B14" s="30">
        <f t="shared" si="0"/>
        <v>2031</v>
      </c>
      <c r="C14" s="28">
        <f t="shared" si="1"/>
        <v>87</v>
      </c>
      <c r="D14" s="28">
        <v>12</v>
      </c>
      <c r="E14" s="28">
        <f>VLOOKUP(C:C, 'Total Data Set'!B:J, IF(Summary!$F$11="M", 4, 8), FALSE)</f>
        <v>7.6011999999999996E-2</v>
      </c>
      <c r="F14" s="28">
        <f t="shared" si="2"/>
        <v>0.92398800000000003</v>
      </c>
      <c r="G14" s="28">
        <f t="shared" si="3"/>
        <v>0.61390956540182506</v>
      </c>
      <c r="H14" s="28">
        <f>1/(1+Summary!$O$3)^D14</f>
        <v>0.5568374181775595</v>
      </c>
      <c r="I14" s="28">
        <f>Summary!$J$11*'R10'!H14*'R10'!G14</f>
        <v>11243.032866233769</v>
      </c>
      <c r="L14" s="28" t="e">
        <f>IF(Summary!$F$11="M",VLOOKUP(C:C,#REF!,IF(B14&gt;2033,22,MATCH(B14,#REF!,0)),FALSE),VLOOKUP(C:C,#REF!,IF(B14&gt;2033,22,MATCH(B14,#REF!,0)),FALSE))</f>
        <v>#REF!</v>
      </c>
      <c r="M14" s="28" t="e">
        <f t="shared" si="4"/>
        <v>#REF!</v>
      </c>
      <c r="N14" s="28" t="e">
        <f t="shared" si="5"/>
        <v>#REF!</v>
      </c>
      <c r="O14" s="28" t="e">
        <f>Summary!$J$11*'R10'!N14*'R10'!H14</f>
        <v>#REF!</v>
      </c>
    </row>
    <row r="15" spans="1:16" ht="24" customHeight="1">
      <c r="B15" s="30">
        <f t="shared" si="0"/>
        <v>2032</v>
      </c>
      <c r="C15" s="28">
        <f t="shared" si="1"/>
        <v>88</v>
      </c>
      <c r="D15" s="28">
        <v>13</v>
      </c>
      <c r="E15" s="28">
        <f>VLOOKUP(C:C, 'Total Data Set'!B:J, IF(Summary!$F$11="M", 4, 8), FALSE)</f>
        <v>8.523E-2</v>
      </c>
      <c r="F15" s="28">
        <f t="shared" si="2"/>
        <v>0.91476999999999997</v>
      </c>
      <c r="G15" s="28">
        <f t="shared" si="3"/>
        <v>0.56724507151650161</v>
      </c>
      <c r="H15" s="28">
        <f>1/(1+Summary!$O$3)^D15</f>
        <v>0.53032135064529462</v>
      </c>
      <c r="I15" s="28">
        <f>Summary!$J$11*'R10'!H15*'R10'!G15</f>
        <v>9893.7404304815282</v>
      </c>
      <c r="L15" s="28" t="e">
        <f>IF(Summary!$F$11="M",VLOOKUP(C:C,#REF!,IF(B15&gt;2033,22,MATCH(B15,#REF!,0)),FALSE),VLOOKUP(C:C,#REF!,IF(B15&gt;2033,22,MATCH(B15,#REF!,0)),FALSE))</f>
        <v>#REF!</v>
      </c>
      <c r="M15" s="28" t="e">
        <f t="shared" si="4"/>
        <v>#REF!</v>
      </c>
      <c r="N15" s="28" t="e">
        <f t="shared" si="5"/>
        <v>#REF!</v>
      </c>
      <c r="O15" s="28" t="e">
        <f>Summary!$J$11*'R10'!N15*'R10'!H15</f>
        <v>#REF!</v>
      </c>
    </row>
    <row r="16" spans="1:16" ht="24" customHeight="1">
      <c r="B16" s="30">
        <f t="shared" si="0"/>
        <v>2033</v>
      </c>
      <c r="C16" s="28">
        <f t="shared" si="1"/>
        <v>89</v>
      </c>
      <c r="D16" s="28">
        <v>14</v>
      </c>
      <c r="E16" s="28">
        <f>VLOOKUP(C:C, 'Total Data Set'!B:J, IF(Summary!$F$11="M", 4, 8), FALSE)</f>
        <v>9.5562999999999995E-2</v>
      </c>
      <c r="F16" s="28">
        <f t="shared" si="2"/>
        <v>0.90443700000000005</v>
      </c>
      <c r="G16" s="28">
        <f t="shared" si="3"/>
        <v>0.51889877407115015</v>
      </c>
      <c r="H16" s="28">
        <f>1/(1+Summary!$O$3)^D16</f>
        <v>0.50506795299551888</v>
      </c>
      <c r="I16" s="28">
        <f>Summary!$J$11*'R10'!H16*'R10'!G16</f>
        <v>8619.5208891348502</v>
      </c>
      <c r="L16" s="28" t="e">
        <f>IF(Summary!$F$11="M",VLOOKUP(C:C,#REF!,IF(B16&gt;2033,22,MATCH(B16,#REF!,0)),FALSE),VLOOKUP(C:C,#REF!,IF(B16&gt;2033,22,MATCH(B16,#REF!,0)),FALSE))</f>
        <v>#REF!</v>
      </c>
      <c r="M16" s="28" t="e">
        <f t="shared" si="4"/>
        <v>#REF!</v>
      </c>
      <c r="N16" s="28" t="e">
        <f t="shared" si="5"/>
        <v>#REF!</v>
      </c>
      <c r="O16" s="28" t="e">
        <f>Summary!$J$11*'R10'!N16*'R10'!H16</f>
        <v>#REF!</v>
      </c>
    </row>
    <row r="17" spans="2:15" ht="24" customHeight="1">
      <c r="B17" s="30">
        <f t="shared" si="0"/>
        <v>2034</v>
      </c>
      <c r="C17" s="28">
        <f t="shared" si="1"/>
        <v>90</v>
      </c>
      <c r="D17" s="28">
        <v>15</v>
      </c>
      <c r="E17" s="28">
        <f>VLOOKUP(C:C, 'Total Data Set'!B:J, IF(Summary!$F$11="M", 4, 8), FALSE)</f>
        <v>0.107126</v>
      </c>
      <c r="F17" s="28">
        <f t="shared" si="2"/>
        <v>0.89287399999999995</v>
      </c>
      <c r="G17" s="28">
        <f t="shared" si="3"/>
        <v>0.46931125052458883</v>
      </c>
      <c r="H17" s="28">
        <f>1/(1+Summary!$O$3)^D17</f>
        <v>0.48101709809097021</v>
      </c>
      <c r="I17" s="28">
        <f>Summary!$J$11*'R10'!H17*'R10'!G17</f>
        <v>7424.5843946728119</v>
      </c>
      <c r="L17" s="28" t="e">
        <f>IF(Summary!$F$11="M",VLOOKUP(C:C,#REF!,IF(B17&gt;2033,22,MATCH(B17,#REF!,0)),FALSE),VLOOKUP(C:C,#REF!,IF(B17&gt;2033,22,MATCH(B17,#REF!,0)),FALSE))</f>
        <v>#REF!</v>
      </c>
      <c r="M17" s="28" t="e">
        <f t="shared" si="4"/>
        <v>#REF!</v>
      </c>
      <c r="N17" s="28" t="e">
        <f t="shared" si="5"/>
        <v>#REF!</v>
      </c>
      <c r="O17" s="28" t="e">
        <f>Summary!$J$11*'R10'!N17*'R10'!H17</f>
        <v>#REF!</v>
      </c>
    </row>
    <row r="18" spans="2:15" ht="24" customHeight="1">
      <c r="B18" s="30">
        <f t="shared" si="0"/>
        <v>2035</v>
      </c>
      <c r="C18" s="28">
        <f t="shared" si="1"/>
        <v>91</v>
      </c>
      <c r="D18" s="28">
        <v>16</v>
      </c>
      <c r="E18" s="28">
        <f>VLOOKUP(C:C, 'Total Data Set'!B:J, IF(Summary!$F$11="M", 4, 8), FALSE)</f>
        <v>0.119744</v>
      </c>
      <c r="F18" s="28">
        <f t="shared" si="2"/>
        <v>0.88025600000000004</v>
      </c>
      <c r="G18" s="28">
        <f t="shared" si="3"/>
        <v>0.4190358135008917</v>
      </c>
      <c r="H18" s="28">
        <f>1/(1+Summary!$O$3)^D18</f>
        <v>0.45811152199140021</v>
      </c>
      <c r="I18" s="28">
        <f>Summary!$J$11*'R10'!H18*'R10'!G18</f>
        <v>6313.5413017229448</v>
      </c>
      <c r="L18" s="28" t="e">
        <f>IF(Summary!$F$11="M",VLOOKUP(C:C,#REF!,IF(B18&gt;2033,22,MATCH(B18,#REF!,0)),FALSE),VLOOKUP(C:C,#REF!,IF(B18&gt;2033,22,MATCH(B18,#REF!,0)),FALSE))</f>
        <v>#REF!</v>
      </c>
      <c r="M18" s="28" t="e">
        <f t="shared" si="4"/>
        <v>#REF!</v>
      </c>
      <c r="N18" s="28" t="e">
        <f t="shared" si="5"/>
        <v>#REF!</v>
      </c>
      <c r="O18" s="28" t="e">
        <f>Summary!$J$11*'R10'!N18*'R10'!H18</f>
        <v>#REF!</v>
      </c>
    </row>
    <row r="19" spans="2:15" ht="24" customHeight="1">
      <c r="B19" s="30">
        <f t="shared" si="0"/>
        <v>2036</v>
      </c>
      <c r="C19" s="28">
        <f t="shared" si="1"/>
        <v>92</v>
      </c>
      <c r="D19" s="28">
        <v>17</v>
      </c>
      <c r="E19" s="28">
        <f>VLOOKUP(C:C, 'Total Data Set'!B:J, IF(Summary!$F$11="M", 4, 8), FALSE)</f>
        <v>0.133299</v>
      </c>
      <c r="F19" s="28">
        <f t="shared" si="2"/>
        <v>0.86670099999999994</v>
      </c>
      <c r="G19" s="28">
        <f t="shared" si="3"/>
        <v>0.36885878904904096</v>
      </c>
      <c r="H19" s="28">
        <f>1/(1+Summary!$O$3)^D19</f>
        <v>0.43629668761085727</v>
      </c>
      <c r="I19" s="28">
        <f>Summary!$J$11*'R10'!H19*'R10'!G19</f>
        <v>5292.8882019899356</v>
      </c>
      <c r="L19" s="28" t="e">
        <f>IF(Summary!$F$11="M",VLOOKUP(C:C,#REF!,IF(B19&gt;2033,22,MATCH(B19,#REF!,0)),FALSE),VLOOKUP(C:C,#REF!,IF(B19&gt;2033,22,MATCH(B19,#REF!,0)),FALSE))</f>
        <v>#REF!</v>
      </c>
      <c r="M19" s="28" t="e">
        <f t="shared" si="4"/>
        <v>#REF!</v>
      </c>
      <c r="N19" s="28" t="e">
        <f t="shared" si="5"/>
        <v>#REF!</v>
      </c>
      <c r="O19" s="28" t="e">
        <f>Summary!$J$11*'R10'!N19*'R10'!H19</f>
        <v>#REF!</v>
      </c>
    </row>
    <row r="20" spans="2:15" ht="24" customHeight="1">
      <c r="B20" s="30">
        <f t="shared" si="0"/>
        <v>2037</v>
      </c>
      <c r="C20" s="28">
        <f t="shared" si="1"/>
        <v>93</v>
      </c>
      <c r="D20" s="28">
        <v>18</v>
      </c>
      <c r="E20" s="28">
        <f>VLOOKUP(C:C, 'Total Data Set'!B:J, IF(Summary!$F$11="M", 4, 8), FALSE)</f>
        <v>0.14771999999999999</v>
      </c>
      <c r="F20" s="28">
        <f t="shared" si="2"/>
        <v>0.85228000000000004</v>
      </c>
      <c r="G20" s="28">
        <f t="shared" si="3"/>
        <v>0.31969028132759281</v>
      </c>
      <c r="H20" s="28">
        <f>1/(1+Summary!$O$3)^D20</f>
        <v>0.41552065486748313</v>
      </c>
      <c r="I20" s="28">
        <f>Summary!$J$11*'R10'!H20*'R10'!G20</f>
        <v>4368.9061881455991</v>
      </c>
      <c r="L20" s="28" t="e">
        <f>IF(Summary!$F$11="M",VLOOKUP(C:C,#REF!,IF(B20&gt;2033,22,MATCH(B20,#REF!,0)),FALSE),VLOOKUP(C:C,#REF!,IF(B20&gt;2033,22,MATCH(B20,#REF!,0)),FALSE))</f>
        <v>#REF!</v>
      </c>
      <c r="M20" s="28" t="e">
        <f t="shared" si="4"/>
        <v>#REF!</v>
      </c>
      <c r="N20" s="28" t="e">
        <f t="shared" si="5"/>
        <v>#REF!</v>
      </c>
      <c r="O20" s="28" t="e">
        <f>Summary!$J$11*'R10'!N20*'R10'!H20</f>
        <v>#REF!</v>
      </c>
    </row>
    <row r="21" spans="2:15" ht="24" customHeight="1">
      <c r="B21" s="30">
        <f t="shared" si="0"/>
        <v>2038</v>
      </c>
      <c r="C21" s="28">
        <f t="shared" si="1"/>
        <v>94</v>
      </c>
      <c r="D21" s="28">
        <v>19</v>
      </c>
      <c r="E21" s="28">
        <f>VLOOKUP(C:C, 'Total Data Set'!B:J, IF(Summary!$F$11="M", 4, 8), FALSE)</f>
        <v>0.162971</v>
      </c>
      <c r="F21" s="28">
        <f t="shared" si="2"/>
        <v>0.83702900000000002</v>
      </c>
      <c r="G21" s="28">
        <f t="shared" si="3"/>
        <v>0.2724656329698808</v>
      </c>
      <c r="H21" s="28">
        <f>1/(1+Summary!$O$3)^D21</f>
        <v>0.39573395701665059</v>
      </c>
      <c r="I21" s="28">
        <f>Summary!$J$11*'R10'!H21*'R10'!G21</f>
        <v>3546.220348602601</v>
      </c>
      <c r="L21" s="28" t="e">
        <f>IF(Summary!$F$11="M",VLOOKUP(C:C,#REF!,IF(B21&gt;2033,22,MATCH(B21,#REF!,0)),FALSE),VLOOKUP(C:C,#REF!,IF(B21&gt;2033,22,MATCH(B21,#REF!,0)),FALSE))</f>
        <v>#REF!</v>
      </c>
      <c r="M21" s="28" t="e">
        <f t="shared" si="4"/>
        <v>#REF!</v>
      </c>
      <c r="N21" s="28" t="e">
        <f t="shared" si="5"/>
        <v>#REF!</v>
      </c>
      <c r="O21" s="28" t="e">
        <f>Summary!$J$11*'R10'!N21*'R10'!H21</f>
        <v>#REF!</v>
      </c>
    </row>
    <row r="22" spans="2:15" ht="24" customHeight="1">
      <c r="B22" s="30">
        <f t="shared" si="0"/>
        <v>2039</v>
      </c>
      <c r="C22" s="28">
        <f t="shared" si="1"/>
        <v>95</v>
      </c>
      <c r="D22" s="28">
        <v>20</v>
      </c>
      <c r="E22" s="28">
        <f>VLOOKUP(C:C, 'Total Data Set'!B:J, IF(Summary!$F$11="M", 4, 8), FALSE)</f>
        <v>0.179034</v>
      </c>
      <c r="F22" s="28">
        <f t="shared" si="2"/>
        <v>0.82096599999999997</v>
      </c>
      <c r="G22" s="28">
        <f t="shared" si="3"/>
        <v>0.22806163629914636</v>
      </c>
      <c r="H22" s="28">
        <f>1/(1+Summary!$O$3)^D22</f>
        <v>0.37688948287300061</v>
      </c>
      <c r="I22" s="28">
        <f>Summary!$J$11*'R10'!H22*'R10'!G22</f>
        <v>2826.9421639718926</v>
      </c>
      <c r="L22" s="28" t="e">
        <f>IF(Summary!$F$11="M",VLOOKUP(C:C,#REF!,IF(B22&gt;2033,22,MATCH(B22,#REF!,0)),FALSE),VLOOKUP(C:C,#REF!,IF(B22&gt;2033,22,MATCH(B22,#REF!,0)),FALSE))</f>
        <v>#REF!</v>
      </c>
      <c r="M22" s="28" t="e">
        <f t="shared" si="4"/>
        <v>#REF!</v>
      </c>
      <c r="N22" s="28" t="e">
        <f t="shared" si="5"/>
        <v>#REF!</v>
      </c>
      <c r="O22" s="28" t="e">
        <f>Summary!$J$11*'R10'!N22*'R10'!H22</f>
        <v>#REF!</v>
      </c>
    </row>
    <row r="23" spans="2:15" ht="24" customHeight="1">
      <c r="B23" s="30">
        <f t="shared" si="0"/>
        <v>2040</v>
      </c>
      <c r="C23" s="28">
        <f t="shared" si="1"/>
        <v>96</v>
      </c>
      <c r="D23" s="28">
        <v>21</v>
      </c>
      <c r="E23" s="28">
        <f>VLOOKUP(C:C, 'Total Data Set'!B:J, IF(Summary!$F$11="M", 4, 8), FALSE)</f>
        <v>0.19590299999999999</v>
      </c>
      <c r="F23" s="28">
        <f t="shared" si="2"/>
        <v>0.80409700000000006</v>
      </c>
      <c r="G23" s="28">
        <f t="shared" si="3"/>
        <v>0.18723084930596498</v>
      </c>
      <c r="H23" s="28">
        <f>1/(1+Summary!$O$3)^D23</f>
        <v>0.35894236464095297</v>
      </c>
      <c r="I23" s="28">
        <f>Summary!$J$11*'R10'!H23*'R10'!G23</f>
        <v>2210.3080005593797</v>
      </c>
      <c r="L23" s="28" t="e">
        <f>IF(Summary!$F$11="M",VLOOKUP(C:C,#REF!,IF(B23&gt;2033,22,MATCH(B23,#REF!,0)),FALSE),VLOOKUP(C:C,#REF!,IF(B23&gt;2033,22,MATCH(B23,#REF!,0)),FALSE))</f>
        <v>#REF!</v>
      </c>
      <c r="M23" s="28" t="e">
        <f t="shared" si="4"/>
        <v>#REF!</v>
      </c>
      <c r="N23" s="28" t="e">
        <f t="shared" si="5"/>
        <v>#REF!</v>
      </c>
      <c r="O23" s="28" t="e">
        <f>Summary!$J$11*'R10'!N23*'R10'!H23</f>
        <v>#REF!</v>
      </c>
    </row>
    <row r="24" spans="2:15" ht="24" customHeight="1">
      <c r="B24" s="30">
        <f t="shared" si="0"/>
        <v>2041</v>
      </c>
      <c r="C24" s="28">
        <f t="shared" si="1"/>
        <v>97</v>
      </c>
      <c r="D24" s="28">
        <v>22</v>
      </c>
      <c r="E24" s="28">
        <f>VLOOKUP(C:C, 'Total Data Set'!B:J, IF(Summary!$F$11="M", 4, 8), FALSE)</f>
        <v>0.213565</v>
      </c>
      <c r="F24" s="28">
        <f t="shared" si="2"/>
        <v>0.786435</v>
      </c>
      <c r="G24" s="28">
        <f t="shared" si="3"/>
        <v>0.15055176423437852</v>
      </c>
      <c r="H24" s="28">
        <f>1/(1+Summary!$O$3)^D24</f>
        <v>0.3418498710866219</v>
      </c>
      <c r="I24" s="28">
        <f>Summary!$J$11*'R10'!H24*'R10'!G24</f>
        <v>1692.6686022150434</v>
      </c>
      <c r="L24" s="28" t="e">
        <f>IF(Summary!$F$11="M",VLOOKUP(C:C,#REF!,IF(B24&gt;2033,22,MATCH(B24,#REF!,0)),FALSE),VLOOKUP(C:C,#REF!,IF(B24&gt;2033,22,MATCH(B24,#REF!,0)),FALSE))</f>
        <v>#REF!</v>
      </c>
      <c r="M24" s="28" t="e">
        <f t="shared" si="4"/>
        <v>#REF!</v>
      </c>
      <c r="N24" s="28" t="e">
        <f t="shared" si="5"/>
        <v>#REF!</v>
      </c>
      <c r="O24" s="28" t="e">
        <f>Summary!$J$11*'R10'!N24*'R10'!H24</f>
        <v>#REF!</v>
      </c>
    </row>
    <row r="25" spans="2:15" ht="24" customHeight="1">
      <c r="B25" s="30">
        <f t="shared" si="0"/>
        <v>2042</v>
      </c>
      <c r="C25" s="28">
        <f t="shared" si="1"/>
        <v>98</v>
      </c>
      <c r="D25" s="28">
        <v>23</v>
      </c>
      <c r="E25" s="28">
        <f>VLOOKUP(C:C, 'Total Data Set'!B:J, IF(Summary!$F$11="M", 4, 8), FALSE)</f>
        <v>0.231991</v>
      </c>
      <c r="F25" s="28">
        <f t="shared" si="2"/>
        <v>0.76800899999999994</v>
      </c>
      <c r="G25" s="28">
        <f t="shared" si="3"/>
        <v>0.11839917670566347</v>
      </c>
      <c r="H25" s="28">
        <f>1/(1+Summary!$O$3)^D25</f>
        <v>0.32557130579678267</v>
      </c>
      <c r="I25" s="28">
        <f>Summary!$J$11*'R10'!H25*'R10'!G25</f>
        <v>1267.7846020790355</v>
      </c>
      <c r="L25" s="28" t="e">
        <f>IF(Summary!$F$11="M",VLOOKUP(C:C,#REF!,IF(B25&gt;2033,22,MATCH(B25,#REF!,0)),FALSE),VLOOKUP(C:C,#REF!,IF(B25&gt;2033,22,MATCH(B25,#REF!,0)),FALSE))</f>
        <v>#REF!</v>
      </c>
      <c r="M25" s="28" t="e">
        <f t="shared" si="4"/>
        <v>#REF!</v>
      </c>
      <c r="N25" s="28" t="e">
        <f t="shared" si="5"/>
        <v>#REF!</v>
      </c>
      <c r="O25" s="28" t="e">
        <f>Summary!$J$11*'R10'!N25*'R10'!H25</f>
        <v>#REF!</v>
      </c>
    </row>
    <row r="26" spans="2:15" ht="24" customHeight="1">
      <c r="B26" s="30">
        <f t="shared" si="0"/>
        <v>2043</v>
      </c>
      <c r="C26" s="28">
        <f t="shared" si="1"/>
        <v>99</v>
      </c>
      <c r="D26" s="28">
        <v>24</v>
      </c>
      <c r="E26" s="28">
        <f>VLOOKUP(C:C, 'Total Data Set'!B:J, IF(Summary!$F$11="M", 4, 8), FALSE)</f>
        <v>0.25112299999999999</v>
      </c>
      <c r="F26" s="28">
        <f t="shared" si="2"/>
        <v>0.74887700000000001</v>
      </c>
      <c r="G26" s="28">
        <f t="shared" si="3"/>
        <v>9.093163330253988E-2</v>
      </c>
      <c r="H26" s="28">
        <f>1/(1+Summary!$O$3)^D26</f>
        <v>0.31006791028265024</v>
      </c>
      <c r="I26" s="28">
        <f>Summary!$J$11*'R10'!H26*'R10'!G26</f>
        <v>927.30474710296949</v>
      </c>
      <c r="L26" s="28" t="e">
        <f>IF(Summary!$F$11="M",VLOOKUP(C:C,#REF!,IF(B26&gt;2033,22,MATCH(B26,#REF!,0)),FALSE),VLOOKUP(C:C,#REF!,IF(B26&gt;2033,22,MATCH(B26,#REF!,0)),FALSE))</f>
        <v>#REF!</v>
      </c>
      <c r="M26" s="28" t="e">
        <f t="shared" si="4"/>
        <v>#REF!</v>
      </c>
      <c r="N26" s="28" t="e">
        <f t="shared" si="5"/>
        <v>#REF!</v>
      </c>
      <c r="O26" s="28" t="e">
        <f>Summary!$J$11*'R10'!N26*'R10'!H26</f>
        <v>#REF!</v>
      </c>
    </row>
    <row r="27" spans="2:15" ht="24" customHeight="1">
      <c r="B27" s="30">
        <f t="shared" si="0"/>
        <v>2044</v>
      </c>
      <c r="C27" s="28">
        <f t="shared" si="1"/>
        <v>100</v>
      </c>
      <c r="D27" s="28">
        <v>25</v>
      </c>
      <c r="E27" s="28">
        <f>VLOOKUP(C:C, 'Total Data Set'!B:J, IF(Summary!$F$11="M", 4, 8), FALSE)</f>
        <v>0.27085799999999999</v>
      </c>
      <c r="F27" s="28">
        <f t="shared" si="2"/>
        <v>0.72914199999999996</v>
      </c>
      <c r="G27" s="28">
        <f t="shared" si="3"/>
        <v>6.8096608752706164E-2</v>
      </c>
      <c r="H27" s="28">
        <f>1/(1+Summary!$O$3)^D27</f>
        <v>0.29530277169776209</v>
      </c>
      <c r="I27" s="28">
        <f>Summary!$J$11*'R10'!H27*'R10'!G27</f>
        <v>661.36875913926701</v>
      </c>
      <c r="L27" s="28" t="e">
        <f>IF(Summary!$F$11="M",VLOOKUP(C:C,#REF!,IF(B27&gt;2033,22,MATCH(B27,#REF!,0)),FALSE),VLOOKUP(C:C,#REF!,IF(B27&gt;2033,22,MATCH(B27,#REF!,0)),FALSE))</f>
        <v>#REF!</v>
      </c>
      <c r="M27" s="28" t="e">
        <f t="shared" si="4"/>
        <v>#REF!</v>
      </c>
      <c r="N27" s="28" t="e">
        <f t="shared" si="5"/>
        <v>#REF!</v>
      </c>
      <c r="O27" s="28" t="e">
        <f>Summary!$J$11*'R10'!N27*'R10'!H27</f>
        <v>#REF!</v>
      </c>
    </row>
    <row r="28" spans="2:15" ht="24" customHeight="1">
      <c r="B28" s="30">
        <f t="shared" si="0"/>
        <v>2045</v>
      </c>
      <c r="C28" s="28">
        <f t="shared" si="1"/>
        <v>101</v>
      </c>
      <c r="D28" s="28">
        <v>26</v>
      </c>
      <c r="E28" s="28">
        <f>VLOOKUP(C:C, 'Total Data Set'!B:J, IF(Summary!$F$11="M", 4, 8), FALSE)</f>
        <v>0.29104000000000002</v>
      </c>
      <c r="F28" s="28">
        <f t="shared" si="2"/>
        <v>0.70896000000000003</v>
      </c>
      <c r="G28" s="28">
        <f t="shared" si="3"/>
        <v>4.9652097499165673E-2</v>
      </c>
      <c r="H28" s="28">
        <f>1/(1+Summary!$O$3)^D28</f>
        <v>0.28124073495024959</v>
      </c>
      <c r="I28" s="28">
        <f>Summary!$J$11*'R10'!H28*'R10'!G28</f>
        <v>459.26832359649848</v>
      </c>
      <c r="L28" s="28" t="e">
        <f>IF(Summary!$F$11="M",VLOOKUP(C:C,#REF!,IF(B28&gt;2033,22,MATCH(B28,#REF!,0)),FALSE),VLOOKUP(C:C,#REF!,IF(B28&gt;2033,22,MATCH(B28,#REF!,0)),FALSE))</f>
        <v>#REF!</v>
      </c>
      <c r="M28" s="28" t="e">
        <f t="shared" si="4"/>
        <v>#REF!</v>
      </c>
      <c r="N28" s="28" t="e">
        <f t="shared" si="5"/>
        <v>#REF!</v>
      </c>
      <c r="O28" s="28" t="e">
        <f>Summary!$J$11*'R10'!N28*'R10'!H28</f>
        <v>#REF!</v>
      </c>
    </row>
    <row r="29" spans="2:15" ht="24" customHeight="1">
      <c r="B29" s="30">
        <f t="shared" si="0"/>
        <v>2046</v>
      </c>
      <c r="C29" s="28">
        <f t="shared" si="1"/>
        <v>102</v>
      </c>
      <c r="D29" s="28">
        <v>27</v>
      </c>
      <c r="E29" s="28">
        <f>VLOOKUP(C:C, 'Total Data Set'!B:J, IF(Summary!$F$11="M", 4, 8), FALSE)</f>
        <v>0.311444</v>
      </c>
      <c r="F29" s="28">
        <f t="shared" si="2"/>
        <v>0.68855599999999995</v>
      </c>
      <c r="G29" s="28">
        <f t="shared" si="3"/>
        <v>3.5201351043008498E-2</v>
      </c>
      <c r="H29" s="28">
        <f>1/(1+Summary!$O$3)^D29</f>
        <v>0.2678483190002377</v>
      </c>
      <c r="I29" s="28">
        <f>Summary!$J$11*'R10'!H29*'R10'!G29</f>
        <v>310.0979720923558</v>
      </c>
      <c r="L29" s="28" t="e">
        <f>IF(Summary!$F$11="M",VLOOKUP(C:C,#REF!,IF(B29&gt;2033,22,MATCH(B29,#REF!,0)),FALSE),VLOOKUP(C:C,#REF!,IF(B29&gt;2033,22,MATCH(B29,#REF!,0)),FALSE))</f>
        <v>#REF!</v>
      </c>
      <c r="M29" s="28" t="e">
        <f t="shared" si="4"/>
        <v>#REF!</v>
      </c>
      <c r="N29" s="28" t="e">
        <f t="shared" si="5"/>
        <v>#REF!</v>
      </c>
      <c r="O29" s="28" t="e">
        <f>Summary!$J$11*'R10'!N29*'R10'!H29</f>
        <v>#REF!</v>
      </c>
    </row>
    <row r="30" spans="2:15" ht="24" customHeight="1">
      <c r="B30" s="30">
        <f t="shared" si="0"/>
        <v>2047</v>
      </c>
      <c r="C30" s="28">
        <f t="shared" si="1"/>
        <v>103</v>
      </c>
      <c r="D30" s="28">
        <v>28</v>
      </c>
      <c r="E30" s="28">
        <f>VLOOKUP(C:C, 'Total Data Set'!B:J, IF(Summary!$F$11="M", 4, 8), FALSE)</f>
        <v>0.33189999999999997</v>
      </c>
      <c r="F30" s="28">
        <f t="shared" si="2"/>
        <v>0.66810000000000003</v>
      </c>
      <c r="G30" s="28">
        <f t="shared" si="3"/>
        <v>2.4238101468769757E-2</v>
      </c>
      <c r="H30" s="28">
        <f>1/(1+Summary!$O$3)^D30</f>
        <v>0.25509363714308358</v>
      </c>
      <c r="I30" s="28">
        <f>Summary!$J$11*'R10'!H30*'R10'!G30</f>
        <v>203.35220883049922</v>
      </c>
      <c r="L30" s="28" t="e">
        <f>IF(Summary!$F$11="M",VLOOKUP(C:C,#REF!,IF(B30&gt;2033,22,MATCH(B30,#REF!,0)),FALSE),VLOOKUP(C:C,#REF!,IF(B30&gt;2033,22,MATCH(B30,#REF!,0)),FALSE))</f>
        <v>#REF!</v>
      </c>
      <c r="M30" s="28" t="e">
        <f t="shared" si="4"/>
        <v>#REF!</v>
      </c>
      <c r="N30" s="28" t="e">
        <f t="shared" si="5"/>
        <v>#REF!</v>
      </c>
      <c r="O30" s="28" t="e">
        <f>Summary!$J$11*'R10'!N30*'R10'!H30</f>
        <v>#REF!</v>
      </c>
    </row>
    <row r="31" spans="2:15" ht="24" customHeight="1">
      <c r="B31" s="30">
        <f t="shared" si="0"/>
        <v>2048</v>
      </c>
      <c r="C31" s="28">
        <f t="shared" si="1"/>
        <v>104</v>
      </c>
      <c r="D31" s="28">
        <v>29</v>
      </c>
      <c r="E31" s="28">
        <f>VLOOKUP(C:C, 'Total Data Set'!B:J, IF(Summary!$F$11="M", 4, 8), FALSE)</f>
        <v>0.35223199999999999</v>
      </c>
      <c r="F31" s="28">
        <f t="shared" si="2"/>
        <v>0.64776800000000001</v>
      </c>
      <c r="G31" s="28">
        <f t="shared" si="3"/>
        <v>1.6193475591285075E-2</v>
      </c>
      <c r="H31" s="28">
        <f>1/(1+Summary!$O$3)^D31</f>
        <v>0.24294632108865097</v>
      </c>
      <c r="I31" s="28">
        <f>Summary!$J$11*'R10'!H31*'R10'!G31</f>
        <v>129.39010544729189</v>
      </c>
      <c r="L31" s="28" t="e">
        <f>IF(Summary!$F$11="M",VLOOKUP(C:C,#REF!,IF(B31&gt;2033,22,MATCH(B31,#REF!,0)),FALSE),VLOOKUP(C:C,#REF!,IF(B31&gt;2033,22,MATCH(B31,#REF!,0)),FALSE))</f>
        <v>#REF!</v>
      </c>
      <c r="M31" s="28" t="e">
        <f t="shared" si="4"/>
        <v>#REF!</v>
      </c>
      <c r="N31" s="28" t="e">
        <f t="shared" si="5"/>
        <v>#REF!</v>
      </c>
      <c r="O31" s="28" t="e">
        <f>Summary!$J$11*'R10'!N31*'R10'!H31</f>
        <v>#REF!</v>
      </c>
    </row>
    <row r="32" spans="2:15" ht="24" customHeight="1">
      <c r="B32" s="30">
        <f t="shared" si="0"/>
        <v>2049</v>
      </c>
      <c r="C32" s="28">
        <f t="shared" si="1"/>
        <v>105</v>
      </c>
      <c r="D32" s="28">
        <v>30</v>
      </c>
      <c r="E32" s="28">
        <f>VLOOKUP(C:C, 'Total Data Set'!B:J, IF(Summary!$F$11="M", 4, 8), FALSE)</f>
        <v>0.37227300000000002</v>
      </c>
      <c r="F32" s="28">
        <f t="shared" si="2"/>
        <v>0.62772699999999992</v>
      </c>
      <c r="G32" s="28">
        <f t="shared" si="3"/>
        <v>1.048961529681555E-2</v>
      </c>
      <c r="H32" s="28">
        <f>1/(1+Summary!$O$3)^D32</f>
        <v>0.23137744865585813</v>
      </c>
      <c r="I32" s="28">
        <f>Summary!$J$11*'R10'!H32*'R10'!G32</f>
        <v>79.823590309887052</v>
      </c>
      <c r="L32" s="28" t="e">
        <f>IF(Summary!$F$11="M",VLOOKUP(C:C,#REF!,IF(B32&gt;2033,22,MATCH(B32,#REF!,0)),FALSE),VLOOKUP(C:C,#REF!,IF(B32&gt;2033,22,MATCH(B32,#REF!,0)),FALSE))</f>
        <v>#REF!</v>
      </c>
      <c r="M32" s="28" t="e">
        <f t="shared" si="4"/>
        <v>#REF!</v>
      </c>
      <c r="N32" s="28" t="e">
        <f t="shared" si="5"/>
        <v>#REF!</v>
      </c>
      <c r="O32" s="28" t="e">
        <f>Summary!$J$11*'R10'!N32*'R10'!H32</f>
        <v>#REF!</v>
      </c>
    </row>
    <row r="33" spans="2:15" ht="24" customHeight="1">
      <c r="B33" s="30">
        <f t="shared" si="0"/>
        <v>2050</v>
      </c>
      <c r="C33" s="28">
        <f t="shared" si="1"/>
        <v>106</v>
      </c>
      <c r="D33" s="28">
        <v>31</v>
      </c>
      <c r="E33" s="28">
        <f>VLOOKUP(C:C, 'Total Data Set'!B:J, IF(Summary!$F$11="M", 4, 8), FALSE)</f>
        <v>0.39185999999999999</v>
      </c>
      <c r="F33" s="28">
        <f t="shared" si="2"/>
        <v>0.60814000000000001</v>
      </c>
      <c r="G33" s="28">
        <f t="shared" si="3"/>
        <v>6.5846147414241338E-3</v>
      </c>
      <c r="H33" s="28">
        <f>1/(1+Summary!$O$3)^D33</f>
        <v>0.220359474910341</v>
      </c>
      <c r="I33" s="28">
        <f>Summary!$J$11*'R10'!H33*'R10'!G33</f>
        <v>47.721355118528038</v>
      </c>
      <c r="L33" s="28" t="e">
        <f>IF(Summary!$F$11="M",VLOOKUP(C:C,#REF!,IF(B33&gt;2033,22,MATCH(B33,#REF!,0)),FALSE),VLOOKUP(C:C,#REF!,IF(B33&gt;2033,22,MATCH(B33,#REF!,0)),FALSE))</f>
        <v>#REF!</v>
      </c>
      <c r="M33" s="28" t="e">
        <f t="shared" si="4"/>
        <v>#REF!</v>
      </c>
      <c r="N33" s="28" t="e">
        <f t="shared" si="5"/>
        <v>#REF!</v>
      </c>
      <c r="O33" s="28" t="e">
        <f>Summary!$J$11*'R10'!N33*'R10'!H33</f>
        <v>#REF!</v>
      </c>
    </row>
    <row r="34" spans="2:15" ht="24" customHeight="1">
      <c r="B34" s="30">
        <f t="shared" si="0"/>
        <v>2051</v>
      </c>
      <c r="C34" s="28">
        <f t="shared" si="1"/>
        <v>107</v>
      </c>
      <c r="D34" s="28">
        <v>32</v>
      </c>
      <c r="E34" s="28">
        <f>VLOOKUP(C:C, 'Total Data Set'!B:J, IF(Summary!$F$11="M", 4, 8), FALSE)</f>
        <v>0.41084900000000002</v>
      </c>
      <c r="F34" s="28">
        <f t="shared" si="2"/>
        <v>0.58915099999999998</v>
      </c>
      <c r="G34" s="28">
        <f t="shared" si="3"/>
        <v>4.0043676088496729E-3</v>
      </c>
      <c r="H34" s="28">
        <f>1/(1+Summary!$O$3)^D34</f>
        <v>0.20986616658127716</v>
      </c>
      <c r="I34" s="28">
        <f>Summary!$J$11*'R10'!H34*'R10'!G34</f>
        <v>27.63929990645871</v>
      </c>
      <c r="L34" s="28" t="e">
        <f>IF(Summary!$F$11="M",VLOOKUP(C:C,#REF!,IF(B34&gt;2033,22,MATCH(B34,#REF!,0)),FALSE),VLOOKUP(C:C,#REF!,IF(B34&gt;2033,22,MATCH(B34,#REF!,0)),FALSE))</f>
        <v>#REF!</v>
      </c>
      <c r="M34" s="28" t="e">
        <f t="shared" si="4"/>
        <v>#REF!</v>
      </c>
      <c r="N34" s="28" t="e">
        <f t="shared" si="5"/>
        <v>#REF!</v>
      </c>
      <c r="O34" s="28" t="e">
        <f>Summary!$J$11*'R10'!N34*'R10'!H34</f>
        <v>#REF!</v>
      </c>
    </row>
    <row r="35" spans="2:15" ht="24" customHeight="1">
      <c r="B35" s="30">
        <f t="shared" si="0"/>
        <v>2052</v>
      </c>
      <c r="C35" s="28">
        <f t="shared" si="1"/>
        <v>108</v>
      </c>
      <c r="D35" s="28">
        <v>33</v>
      </c>
      <c r="E35" s="28">
        <f>VLOOKUP(C:C, 'Total Data Set'!B:J, IF(Summary!$F$11="M", 4, 8), FALSE)</f>
        <v>0.42911199999999999</v>
      </c>
      <c r="F35" s="28">
        <f t="shared" si="2"/>
        <v>0.57088800000000006</v>
      </c>
      <c r="G35" s="28">
        <f t="shared" si="3"/>
        <v>2.3591771811213936E-3</v>
      </c>
      <c r="H35" s="28">
        <f>1/(1+Summary!$O$3)^D35</f>
        <v>0.19987253960121634</v>
      </c>
      <c r="I35" s="28">
        <f>Summary!$J$11*'R10'!H35*'R10'!G35</f>
        <v>15.508305884942908</v>
      </c>
      <c r="L35" s="28" t="e">
        <f>IF(Summary!$F$11="M",VLOOKUP(C:C,#REF!,IF(B35&gt;2033,22,MATCH(B35,#REF!,0)),FALSE),VLOOKUP(C:C,#REF!,IF(B35&gt;2033,22,MATCH(B35,#REF!,0)),FALSE))</f>
        <v>#REF!</v>
      </c>
      <c r="M35" s="28" t="e">
        <f t="shared" si="4"/>
        <v>#REF!</v>
      </c>
      <c r="N35" s="28" t="e">
        <f t="shared" si="5"/>
        <v>#REF!</v>
      </c>
      <c r="O35" s="28" t="e">
        <f>Summary!$J$11*'R10'!N35*'R10'!H35</f>
        <v>#REF!</v>
      </c>
    </row>
    <row r="36" spans="2:15" ht="24" customHeight="1">
      <c r="B36" s="30">
        <f t="shared" si="0"/>
        <v>2053</v>
      </c>
      <c r="C36" s="28">
        <f t="shared" si="1"/>
        <v>109</v>
      </c>
      <c r="D36" s="28">
        <v>34</v>
      </c>
      <c r="E36" s="28">
        <f>VLOOKUP(C:C, 'Total Data Set'!B:J, IF(Summary!$F$11="M", 4, 8), FALSE)</f>
        <v>0.446544</v>
      </c>
      <c r="F36" s="28">
        <f t="shared" si="2"/>
        <v>0.55345599999999995</v>
      </c>
      <c r="G36" s="28">
        <f t="shared" si="3"/>
        <v>1.3468259425760303E-3</v>
      </c>
      <c r="H36" s="28">
        <f>1/(1+Summary!$O$3)^D36</f>
        <v>0.19035479962020604</v>
      </c>
      <c r="I36" s="28">
        <f>Summary!$J$11*'R10'!H36*'R10'!G36</f>
        <v>8.4319102190888469</v>
      </c>
      <c r="L36" s="28" t="e">
        <f>IF(Summary!$F$11="M",VLOOKUP(C:C,#REF!,IF(B36&gt;2033,22,MATCH(B36,#REF!,0)),FALSE),VLOOKUP(C:C,#REF!,IF(B36&gt;2033,22,MATCH(B36,#REF!,0)),FALSE))</f>
        <v>#REF!</v>
      </c>
      <c r="M36" s="28" t="e">
        <f t="shared" si="4"/>
        <v>#REF!</v>
      </c>
      <c r="N36" s="28" t="e">
        <f t="shared" si="5"/>
        <v>#REF!</v>
      </c>
      <c r="O36" s="28" t="e">
        <f>Summary!$J$11*'R10'!N36*'R10'!H36</f>
        <v>#REF!</v>
      </c>
    </row>
    <row r="37" spans="2:15" ht="24" customHeight="1">
      <c r="B37" s="30">
        <f t="shared" si="0"/>
        <v>2054</v>
      </c>
      <c r="C37" s="28">
        <f t="shared" si="1"/>
        <v>110</v>
      </c>
      <c r="D37" s="28">
        <v>35</v>
      </c>
      <c r="E37" s="28">
        <f>VLOOKUP(C:C, 'Total Data Set'!B:J, IF(Summary!$F$11="M", 4, 8), FALSE)</f>
        <v>0.463061</v>
      </c>
      <c r="F37" s="28">
        <f t="shared" si="2"/>
        <v>0.53693900000000006</v>
      </c>
      <c r="G37" s="28">
        <f t="shared" si="3"/>
        <v>7.4540889887435942E-4</v>
      </c>
      <c r="H37" s="28">
        <f>1/(1+Summary!$O$3)^D37</f>
        <v>0.18129028535257716</v>
      </c>
      <c r="I37" s="28">
        <f>Summary!$J$11*'R10'!H37*'R10'!G37</f>
        <v>4.4444679068724149</v>
      </c>
      <c r="L37" s="28" t="e">
        <f>IF(Summary!$F$11="M",VLOOKUP(C:C,#REF!,IF(B37&gt;2033,22,MATCH(B37,#REF!,0)),FALSE),VLOOKUP(C:C,#REF!,IF(B37&gt;2033,22,MATCH(B37,#REF!,0)),FALSE))</f>
        <v>#REF!</v>
      </c>
      <c r="M37" s="28" t="e">
        <f t="shared" si="4"/>
        <v>#REF!</v>
      </c>
      <c r="N37" s="28" t="e">
        <f t="shared" si="5"/>
        <v>#REF!</v>
      </c>
      <c r="O37" s="28" t="e">
        <f>Summary!$J$11*'R10'!N37*'R10'!H37</f>
        <v>#REF!</v>
      </c>
    </row>
    <row r="38" spans="2:15" ht="24" customHeight="1">
      <c r="B38" s="30">
        <f t="shared" si="0"/>
        <v>2055</v>
      </c>
      <c r="C38" s="28">
        <f t="shared" si="1"/>
        <v>111</v>
      </c>
      <c r="D38" s="28">
        <v>36</v>
      </c>
      <c r="E38" s="28">
        <f>VLOOKUP(C:C, 'Total Data Set'!B:J, IF(Summary!$F$11="M", 4, 8), FALSE)</f>
        <v>0.47860399999999997</v>
      </c>
      <c r="F38" s="28">
        <f t="shared" si="2"/>
        <v>0.52139599999999997</v>
      </c>
      <c r="G38" s="28">
        <f t="shared" si="3"/>
        <v>4.002391087526997E-4</v>
      </c>
      <c r="H38" s="28">
        <f>1/(1+Summary!$O$3)^D38</f>
        <v>0.17265741462150208</v>
      </c>
      <c r="I38" s="28">
        <f>Summary!$J$11*'R10'!H38*'R10'!G38</f>
        <v>2.2727696699506361</v>
      </c>
      <c r="L38" s="28" t="e">
        <f>IF(Summary!$F$11="M",VLOOKUP(C:C,#REF!,IF(B38&gt;2033,22,MATCH(B38,#REF!,0)),FALSE),VLOOKUP(C:C,#REF!,IF(B38&gt;2033,22,MATCH(B38,#REF!,0)),FALSE))</f>
        <v>#REF!</v>
      </c>
      <c r="M38" s="28" t="e">
        <f t="shared" si="4"/>
        <v>#REF!</v>
      </c>
      <c r="N38" s="28" t="e">
        <f t="shared" si="5"/>
        <v>#REF!</v>
      </c>
      <c r="O38" s="28" t="e">
        <f>Summary!$J$11*'R10'!N38*'R10'!H38</f>
        <v>#REF!</v>
      </c>
    </row>
    <row r="39" spans="2:15" ht="24" customHeight="1">
      <c r="B39" s="30">
        <f t="shared" si="0"/>
        <v>2056</v>
      </c>
      <c r="C39" s="28">
        <f t="shared" si="1"/>
        <v>112</v>
      </c>
      <c r="D39" s="28">
        <v>37</v>
      </c>
      <c r="E39" s="28">
        <f>VLOOKUP(C:C, 'Total Data Set'!B:J, IF(Summary!$F$11="M", 4, 8), FALSE)</f>
        <v>0.49313699999999999</v>
      </c>
      <c r="F39" s="28">
        <f t="shared" si="2"/>
        <v>0.50686300000000006</v>
      </c>
      <c r="G39" s="28">
        <f t="shared" si="3"/>
        <v>2.086830703472226E-4</v>
      </c>
      <c r="H39" s="28">
        <f>1/(1+Summary!$O$3)^D39</f>
        <v>0.1644356329728591</v>
      </c>
      <c r="I39" s="28">
        <f>Summary!$J$11*'R10'!H39*'R10'!G39</f>
        <v>1.1285838236510302</v>
      </c>
      <c r="L39" s="28" t="e">
        <f>IF(Summary!$F$11="M",VLOOKUP(C:C,#REF!,IF(B39&gt;2033,22,MATCH(B39,#REF!,0)),FALSE),VLOOKUP(C:C,#REF!,IF(B39&gt;2033,22,MATCH(B39,#REF!,0)),FALSE))</f>
        <v>#REF!</v>
      </c>
      <c r="M39" s="28" t="e">
        <f t="shared" si="4"/>
        <v>#REF!</v>
      </c>
      <c r="N39" s="28" t="e">
        <f t="shared" si="5"/>
        <v>#REF!</v>
      </c>
      <c r="O39" s="28" t="e">
        <f>Summary!$J$11*'R10'!N39*'R10'!H39</f>
        <v>#REF!</v>
      </c>
    </row>
    <row r="40" spans="2:15" ht="24" customHeight="1">
      <c r="B40" s="30">
        <f t="shared" si="0"/>
        <v>2057</v>
      </c>
      <c r="C40" s="28">
        <f t="shared" si="1"/>
        <v>113</v>
      </c>
      <c r="D40" s="28">
        <v>38</v>
      </c>
      <c r="E40" s="28">
        <f>VLOOKUP(C:C, 'Total Data Set'!B:J, IF(Summary!$F$11="M", 4, 8), FALSE)</f>
        <v>0.5</v>
      </c>
      <c r="F40" s="28">
        <f t="shared" si="2"/>
        <v>0.5</v>
      </c>
      <c r="G40" s="28">
        <f t="shared" si="3"/>
        <v>1.057737270854043E-4</v>
      </c>
      <c r="H40" s="28">
        <f>1/(1+Summary!$O$3)^D40</f>
        <v>0.15660536473605632</v>
      </c>
      <c r="I40" s="28">
        <f>Summary!$J$11*'R10'!H40*'R10'!G40</f>
        <v>0.54479750724498321</v>
      </c>
      <c r="L40" s="28" t="e">
        <f>IF(Summary!$F$11="M",VLOOKUP(C:C,#REF!,IF(B40&gt;2033,22,MATCH(B40,#REF!,0)),FALSE),VLOOKUP(C:C,#REF!,IF(B40&gt;2033,22,MATCH(B40,#REF!,0)),FALSE))</f>
        <v>#REF!</v>
      </c>
      <c r="M40" s="28" t="e">
        <f t="shared" si="4"/>
        <v>#REF!</v>
      </c>
      <c r="N40" s="28" t="e">
        <f t="shared" si="5"/>
        <v>#REF!</v>
      </c>
      <c r="O40" s="28" t="e">
        <f>Summary!$J$11*'R10'!N40*'R10'!H40</f>
        <v>#REF!</v>
      </c>
    </row>
    <row r="41" spans="2:15" ht="24" customHeight="1">
      <c r="B41" s="30">
        <f t="shared" si="0"/>
        <v>2058</v>
      </c>
      <c r="C41" s="28">
        <f t="shared" si="1"/>
        <v>114</v>
      </c>
      <c r="D41" s="28">
        <v>39</v>
      </c>
      <c r="E41" s="28">
        <f>VLOOKUP(C:C, 'Total Data Set'!B:J, IF(Summary!$F$11="M", 4, 8), FALSE)</f>
        <v>0.5</v>
      </c>
      <c r="F41" s="28">
        <f t="shared" si="2"/>
        <v>0.5</v>
      </c>
      <c r="G41" s="28">
        <f t="shared" si="3"/>
        <v>5.288686354270215E-5</v>
      </c>
      <c r="H41" s="28">
        <f>1/(1+Summary!$O$3)^D41</f>
        <v>0.14914796641529171</v>
      </c>
      <c r="I41" s="28">
        <f>Summary!$J$11*'R10'!H41*'R10'!G41</f>
        <v>0.2594273844023729</v>
      </c>
      <c r="L41" s="28" t="e">
        <f>IF(Summary!$F$11="M",VLOOKUP(C:C,#REF!,IF(B41&gt;2033,22,MATCH(B41,#REF!,0)),FALSE),VLOOKUP(C:C,#REF!,IF(B41&gt;2033,22,MATCH(B41,#REF!,0)),FALSE))</f>
        <v>#REF!</v>
      </c>
      <c r="M41" s="28" t="e">
        <f t="shared" si="4"/>
        <v>#REF!</v>
      </c>
      <c r="N41" s="28" t="e">
        <f t="shared" si="5"/>
        <v>#REF!</v>
      </c>
      <c r="O41" s="28" t="e">
        <f>Summary!$J$11*'R10'!N41*'R10'!H41</f>
        <v>#REF!</v>
      </c>
    </row>
    <row r="42" spans="2:15" ht="24" customHeight="1">
      <c r="B42" s="30">
        <f t="shared" si="0"/>
        <v>2059</v>
      </c>
      <c r="C42" s="28">
        <f t="shared" si="1"/>
        <v>115</v>
      </c>
      <c r="D42" s="28">
        <v>40</v>
      </c>
      <c r="E42" s="28">
        <f>VLOOKUP(C:C, 'Total Data Set'!B:J, IF(Summary!$F$11="M", 4, 8), FALSE)</f>
        <v>0.5</v>
      </c>
      <c r="F42" s="28">
        <f t="shared" si="2"/>
        <v>0.5</v>
      </c>
      <c r="G42" s="28">
        <f t="shared" si="3"/>
        <v>2.6443431771351075E-5</v>
      </c>
      <c r="H42" s="28">
        <f>1/(1+Summary!$O$3)^D42</f>
        <v>0.14204568230027784</v>
      </c>
      <c r="I42" s="28">
        <f>Summary!$J$11*'R10'!H42*'R10'!G42</f>
        <v>0.12353684971541568</v>
      </c>
      <c r="L42" s="28" t="e">
        <f>IF(Summary!$F$11="M",VLOOKUP(C:C,#REF!,IF(B42&gt;2033,22,MATCH(B42,#REF!,0)),FALSE),VLOOKUP(C:C,#REF!,IF(B42&gt;2033,22,MATCH(B42,#REF!,0)),FALSE))</f>
        <v>#REF!</v>
      </c>
      <c r="M42" s="28" t="e">
        <f t="shared" si="4"/>
        <v>#REF!</v>
      </c>
      <c r="N42" s="28" t="e">
        <f t="shared" si="5"/>
        <v>#REF!</v>
      </c>
      <c r="O42" s="28" t="e">
        <f>Summary!$J$11*'R10'!N42*'R10'!H42</f>
        <v>#REF!</v>
      </c>
    </row>
    <row r="43" spans="2:15" ht="24" customHeight="1">
      <c r="B43" s="30">
        <f t="shared" si="0"/>
        <v>2060</v>
      </c>
      <c r="C43" s="28">
        <f t="shared" si="1"/>
        <v>116</v>
      </c>
      <c r="D43" s="28">
        <v>41</v>
      </c>
      <c r="E43" s="28">
        <f>VLOOKUP(C:C, 'Total Data Set'!B:J, IF(Summary!$F$11="M", 4, 8), FALSE)</f>
        <v>0.5</v>
      </c>
      <c r="F43" s="28">
        <f t="shared" si="2"/>
        <v>0.5</v>
      </c>
      <c r="G43" s="28">
        <f t="shared" si="3"/>
        <v>1.3221715885675537E-5</v>
      </c>
      <c r="H43" s="28">
        <f>1/(1+Summary!$O$3)^D43</f>
        <v>0.13528160219074079</v>
      </c>
      <c r="I43" s="28">
        <f>Summary!$J$11*'R10'!H43*'R10'!G43</f>
        <v>5.8827071293055075E-2</v>
      </c>
      <c r="L43" s="28" t="e">
        <f>IF(Summary!$F$11="M",VLOOKUP(C:C,#REF!,IF(B43&gt;2033,22,MATCH(B43,#REF!,0)),FALSE),VLOOKUP(C:C,#REF!,IF(B43&gt;2033,22,MATCH(B43,#REF!,0)),FALSE))</f>
        <v>#REF!</v>
      </c>
      <c r="M43" s="28" t="e">
        <f t="shared" si="4"/>
        <v>#REF!</v>
      </c>
      <c r="N43" s="28" t="e">
        <f t="shared" si="5"/>
        <v>#REF!</v>
      </c>
      <c r="O43" s="28" t="e">
        <f>Summary!$J$11*'R10'!N43*'R10'!H43</f>
        <v>#REF!</v>
      </c>
    </row>
    <row r="44" spans="2:15" ht="24" customHeight="1">
      <c r="B44" s="30">
        <f t="shared" si="0"/>
        <v>2061</v>
      </c>
      <c r="C44" s="28">
        <f t="shared" si="1"/>
        <v>117</v>
      </c>
      <c r="D44" s="28">
        <v>42</v>
      </c>
      <c r="E44" s="28">
        <f>VLOOKUP(C:C, 'Total Data Set'!B:J, IF(Summary!$F$11="M", 4, 8), FALSE)</f>
        <v>0.5</v>
      </c>
      <c r="F44" s="28">
        <f t="shared" si="2"/>
        <v>0.5</v>
      </c>
      <c r="G44" s="28">
        <f t="shared" si="3"/>
        <v>6.6108579428377687E-6</v>
      </c>
      <c r="H44" s="28">
        <f>1/(1+Summary!$O$3)^D44</f>
        <v>0.12883962113403885</v>
      </c>
      <c r="I44" s="28">
        <f>Summary!$J$11*'R10'!H44*'R10'!G44</f>
        <v>2.8012891091930992E-2</v>
      </c>
      <c r="L44" s="28" t="e">
        <f>IF(Summary!$F$11="M",VLOOKUP(C:C,#REF!,IF(B44&gt;2033,22,MATCH(B44,#REF!,0)),FALSE),VLOOKUP(C:C,#REF!,IF(B44&gt;2033,22,MATCH(B44,#REF!,0)),FALSE))</f>
        <v>#REF!</v>
      </c>
      <c r="M44" s="28" t="e">
        <f t="shared" si="4"/>
        <v>#REF!</v>
      </c>
      <c r="N44" s="28" t="e">
        <f t="shared" si="5"/>
        <v>#REF!</v>
      </c>
      <c r="O44" s="28" t="e">
        <f>Summary!$J$11*'R10'!N44*'R10'!H44</f>
        <v>#REF!</v>
      </c>
    </row>
    <row r="45" spans="2:15" ht="24" customHeight="1">
      <c r="B45" s="30">
        <f t="shared" si="0"/>
        <v>2062</v>
      </c>
      <c r="C45" s="28">
        <f t="shared" si="1"/>
        <v>118</v>
      </c>
      <c r="D45" s="28">
        <v>43</v>
      </c>
      <c r="E45" s="28">
        <f>VLOOKUP(C:C, 'Total Data Set'!B:J, IF(Summary!$F$11="M", 4, 8), FALSE)</f>
        <v>0.5</v>
      </c>
      <c r="F45" s="28">
        <f t="shared" si="2"/>
        <v>0.5</v>
      </c>
      <c r="G45" s="28">
        <f t="shared" si="3"/>
        <v>3.3054289714188844E-6</v>
      </c>
      <c r="H45" s="28">
        <f>1/(1+Summary!$O$3)^D45</f>
        <v>0.12270440108003698</v>
      </c>
      <c r="I45" s="28">
        <f>Summary!$J$11*'R10'!H45*'R10'!G45</f>
        <v>1.3339471948538566E-2</v>
      </c>
      <c r="L45" s="28" t="e">
        <f>IF(Summary!$F$11="M",VLOOKUP(C:C,#REF!,IF(B45&gt;2033,22,MATCH(B45,#REF!,0)),FALSE),VLOOKUP(C:C,#REF!,IF(B45&gt;2033,22,MATCH(B45,#REF!,0)),FALSE))</f>
        <v>#REF!</v>
      </c>
      <c r="M45" s="28" t="e">
        <f t="shared" si="4"/>
        <v>#REF!</v>
      </c>
      <c r="N45" s="28" t="e">
        <f t="shared" si="5"/>
        <v>#REF!</v>
      </c>
      <c r="O45" s="28" t="e">
        <f>Summary!$J$11*'R10'!N45*'R10'!H45</f>
        <v>#REF!</v>
      </c>
    </row>
    <row r="46" spans="2:15" ht="24" customHeight="1">
      <c r="B46" s="30">
        <f t="shared" si="0"/>
        <v>2063</v>
      </c>
      <c r="C46" s="28">
        <f t="shared" si="1"/>
        <v>119</v>
      </c>
      <c r="D46" s="28">
        <v>44</v>
      </c>
      <c r="E46" s="28">
        <f>VLOOKUP(C:C, 'Total Data Set'!B:J, IF(Summary!$F$11="M", 4, 8), FALSE)</f>
        <v>0.5</v>
      </c>
      <c r="F46" s="28">
        <f t="shared" si="2"/>
        <v>0.5</v>
      </c>
      <c r="G46" s="28">
        <f t="shared" si="3"/>
        <v>1.6527144857094422E-6</v>
      </c>
      <c r="H46" s="28">
        <f>1/(1+Summary!$O$3)^D46</f>
        <v>0.11686133436193999</v>
      </c>
      <c r="I46" s="28">
        <f>Summary!$J$11*'R10'!H46*'R10'!G46</f>
        <v>6.3521294993040787E-3</v>
      </c>
      <c r="L46" s="28" t="e">
        <f>IF(Summary!$F$11="M",VLOOKUP(C:C,#REF!,IF(B46&gt;2033,22,MATCH(B46,#REF!,0)),FALSE),VLOOKUP(C:C,#REF!,IF(B46&gt;2033,22,MATCH(B46,#REF!,0)),FALSE))</f>
        <v>#REF!</v>
      </c>
      <c r="M46" s="28" t="e">
        <f t="shared" si="4"/>
        <v>#REF!</v>
      </c>
      <c r="N46" s="28" t="e">
        <f t="shared" si="5"/>
        <v>#REF!</v>
      </c>
      <c r="O46" s="28" t="e">
        <f>Summary!$J$11*'R10'!N46*'R10'!H46</f>
        <v>#REF!</v>
      </c>
    </row>
    <row r="47" spans="2:15" ht="24" customHeight="1">
      <c r="B47" s="30">
        <f t="shared" si="0"/>
        <v>2064</v>
      </c>
      <c r="C47" s="28">
        <f t="shared" si="1"/>
        <v>120</v>
      </c>
      <c r="D47" s="28">
        <v>45</v>
      </c>
      <c r="E47" s="28">
        <f>VLOOKUP(C:C, 'Total Data Set'!B:J, IF(Summary!$F$11="M", 4, 8), FALSE)</f>
        <v>1</v>
      </c>
      <c r="F47" s="28">
        <f t="shared" si="2"/>
        <v>0</v>
      </c>
      <c r="G47" s="28">
        <f t="shared" si="3"/>
        <v>8.2635724285472109E-7</v>
      </c>
      <c r="H47" s="28">
        <f>1/(1+Summary!$O$3)^D47</f>
        <v>0.1112965089161333</v>
      </c>
      <c r="I47" s="28">
        <f>Summary!$J$11*'R10'!H47*'R10'!G47</f>
        <v>3.0248235710971798E-3</v>
      </c>
      <c r="L47" s="28" t="e">
        <f>IF(Summary!$F$11="M",VLOOKUP(C:C,#REF!,IF(B47&gt;2033,22,MATCH(B47,#REF!,0)),FALSE),VLOOKUP(C:C,#REF!,IF(B47&gt;2033,22,MATCH(B47,#REF!,0)),FALSE))</f>
        <v>#REF!</v>
      </c>
      <c r="M47" s="28" t="e">
        <f t="shared" si="4"/>
        <v>#REF!</v>
      </c>
      <c r="N47" s="28" t="e">
        <f t="shared" si="5"/>
        <v>#REF!</v>
      </c>
      <c r="O47" s="28" t="e">
        <f>Summary!$J$11*'R10'!N47*'R10'!H47</f>
        <v>#REF!</v>
      </c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topLeftCell="A38" workbookViewId="0">
      <selection activeCell="A6" sqref="A6"/>
    </sheetView>
  </sheetViews>
  <sheetFormatPr defaultColWidth="18" defaultRowHeight="24" customHeight="1"/>
  <cols>
    <col min="1" max="6" width="18" style="28"/>
    <col min="7" max="7" width="23.7109375" style="28" customWidth="1"/>
    <col min="8" max="9" width="18" style="28"/>
    <col min="10" max="10" width="21.7109375" style="28" customWidth="1"/>
    <col min="11" max="16384" width="18" style="28"/>
  </cols>
  <sheetData>
    <row r="1" spans="1:16" ht="24" customHeight="1">
      <c r="A1" s="30" t="s">
        <v>69</v>
      </c>
      <c r="B1" s="30" t="s">
        <v>74</v>
      </c>
      <c r="C1" s="28" t="s">
        <v>28</v>
      </c>
      <c r="D1" s="28" t="s">
        <v>29</v>
      </c>
      <c r="E1" s="28" t="s">
        <v>30</v>
      </c>
      <c r="F1" s="28" t="s">
        <v>71</v>
      </c>
      <c r="G1" s="28" t="s">
        <v>72</v>
      </c>
      <c r="H1" s="28" t="s">
        <v>31</v>
      </c>
      <c r="I1" s="28" t="s">
        <v>32</v>
      </c>
      <c r="J1" s="28" t="s">
        <v>33</v>
      </c>
      <c r="L1" s="39" t="s">
        <v>76</v>
      </c>
      <c r="M1" s="39" t="s">
        <v>77</v>
      </c>
      <c r="N1" s="39" t="s">
        <v>78</v>
      </c>
      <c r="O1" s="39" t="s">
        <v>79</v>
      </c>
      <c r="P1" s="39" t="s">
        <v>80</v>
      </c>
    </row>
    <row r="2" spans="1:16" ht="24" customHeight="1">
      <c r="A2" s="31">
        <v>43647</v>
      </c>
      <c r="B2" s="30">
        <f>YEAR(A2)</f>
        <v>2019</v>
      </c>
      <c r="C2" s="28">
        <f>$A$4+D2</f>
        <v>77</v>
      </c>
      <c r="D2" s="28">
        <v>0</v>
      </c>
      <c r="E2" s="28">
        <f>VLOOKUP(C:C, 'Total Data Set'!B:J, IF(Summary!$F$12="M", 4, 8), FALSE)</f>
        <v>3.2735E-2</v>
      </c>
      <c r="F2" s="28">
        <f>1-E2</f>
        <v>0.96726500000000004</v>
      </c>
      <c r="G2" s="28">
        <v>1</v>
      </c>
      <c r="H2" s="28">
        <f>1/(1+Summary!$O$3)^D2</f>
        <v>1</v>
      </c>
      <c r="I2" s="28">
        <f>Summary!$J$12*'R11'!H2*'R11'!G2</f>
        <v>22808</v>
      </c>
      <c r="J2" s="28">
        <f>SUM(I2:I45)</f>
        <v>197537.46962153903</v>
      </c>
      <c r="L2" s="28" t="e">
        <f>IF(Summary!$F$12="M",VLOOKUP(C:C,#REF!,IF(B2&gt;2033,22,MATCH(B2,#REF!,0)),FALSE),VLOOKUP(C:C,#REF!,IF(B2&gt;2033,22,MATCH(B2,#REF!,0)),FALSE))</f>
        <v>#REF!</v>
      </c>
      <c r="M2" s="28" t="e">
        <f>1-L2</f>
        <v>#REF!</v>
      </c>
      <c r="N2" s="28">
        <v>1</v>
      </c>
      <c r="O2" s="28">
        <f>Summary!$J$12*'R11'!N2*'R11'!H2</f>
        <v>22808</v>
      </c>
      <c r="P2" s="28" t="e">
        <f>SUM(O2:O45)</f>
        <v>#REF!</v>
      </c>
    </row>
    <row r="3" spans="1:16" ht="24" customHeight="1">
      <c r="A3" s="28" t="s">
        <v>34</v>
      </c>
      <c r="B3" s="30">
        <f>$B2+1</f>
        <v>2020</v>
      </c>
      <c r="C3" s="28">
        <f>$A$4+D3</f>
        <v>78</v>
      </c>
      <c r="D3" s="28">
        <v>1</v>
      </c>
      <c r="E3" s="28">
        <f>VLOOKUP(C:C, 'Total Data Set'!B:J, IF(Summary!$F$12="M", 4, 8), FALSE)</f>
        <v>3.6257999999999999E-2</v>
      </c>
      <c r="F3" s="28">
        <f>1-E3</f>
        <v>0.96374199999999999</v>
      </c>
      <c r="G3" s="28">
        <f>F2</f>
        <v>0.96726500000000004</v>
      </c>
      <c r="H3" s="28">
        <f>1/(1+Summary!$O$3)^D3</f>
        <v>0.95238095238095233</v>
      </c>
      <c r="I3" s="28">
        <f>Summary!$J$12*'R11'!H3*'R11'!G3</f>
        <v>21010.838209523808</v>
      </c>
      <c r="L3" s="28" t="e">
        <f>IF(Summary!$F$12="M",VLOOKUP(C:C,#REF!,IF(B3&gt;2033,22,MATCH(B3,#REF!,0)),FALSE),VLOOKUP(C:C,#REF!,IF(B3&gt;2033,22,MATCH(B3,#REF!,0)),FALSE))</f>
        <v>#REF!</v>
      </c>
      <c r="M3" s="28" t="e">
        <f>1-L3</f>
        <v>#REF!</v>
      </c>
      <c r="N3" s="28" t="e">
        <f>N2*M2</f>
        <v>#REF!</v>
      </c>
      <c r="O3" s="28" t="e">
        <f>Summary!$J$12*'R11'!N3*'R11'!H3</f>
        <v>#REF!</v>
      </c>
    </row>
    <row r="4" spans="1:16" ht="24" customHeight="1">
      <c r="A4" s="28">
        <f>Summary!I12</f>
        <v>77</v>
      </c>
      <c r="B4" s="30">
        <f t="shared" ref="B4:B45" si="0">$B3+1</f>
        <v>2021</v>
      </c>
      <c r="C4" s="28">
        <f t="shared" ref="C4:C45" si="1">$A$4+D4</f>
        <v>79</v>
      </c>
      <c r="D4" s="28">
        <v>2</v>
      </c>
      <c r="E4" s="28">
        <f>VLOOKUP(C:C, 'Total Data Set'!B:J, IF(Summary!$F$12="M", 4, 8), FALSE)</f>
        <v>4.0231999999999997E-2</v>
      </c>
      <c r="F4" s="28">
        <f t="shared" ref="F4:F45" si="2">1-E4</f>
        <v>0.95976799999999995</v>
      </c>
      <c r="G4" s="28">
        <f t="shared" ref="G4:G45" si="3">G3*F3</f>
        <v>0.93219390563000004</v>
      </c>
      <c r="H4" s="28">
        <f>1/(1+Summary!$O$3)^D4</f>
        <v>0.90702947845804982</v>
      </c>
      <c r="I4" s="28">
        <f>Summary!$J$12*'R11'!H4*'R11'!G4</f>
        <v>19284.787845450377</v>
      </c>
      <c r="L4" s="28" t="e">
        <f>IF(Summary!$F$12="M",VLOOKUP(C:C,#REF!,IF(B4&gt;2033,22,MATCH(B4,#REF!,0)),FALSE),VLOOKUP(C:C,#REF!,IF(B4&gt;2033,22,MATCH(B4,#REF!,0)),FALSE))</f>
        <v>#REF!</v>
      </c>
      <c r="M4" s="28" t="e">
        <f t="shared" ref="M4:M45" si="4">1-L4</f>
        <v>#REF!</v>
      </c>
      <c r="N4" s="28" t="e">
        <f t="shared" ref="N4:N45" si="5">N3*M3</f>
        <v>#REF!</v>
      </c>
      <c r="O4" s="28" t="e">
        <f>Summary!$J$12*'R11'!N4*'R11'!H4</f>
        <v>#REF!</v>
      </c>
    </row>
    <row r="5" spans="1:16" ht="24" customHeight="1">
      <c r="B5" s="30">
        <f t="shared" si="0"/>
        <v>2022</v>
      </c>
      <c r="C5" s="28">
        <f t="shared" si="1"/>
        <v>80</v>
      </c>
      <c r="D5" s="28">
        <v>3</v>
      </c>
      <c r="E5" s="28">
        <f>VLOOKUP(C:C, 'Total Data Set'!B:J, IF(Summary!$F$12="M", 4, 8), FALSE)</f>
        <v>4.4721999999999998E-2</v>
      </c>
      <c r="F5" s="28">
        <f t="shared" si="2"/>
        <v>0.95527799999999996</v>
      </c>
      <c r="G5" s="28">
        <f t="shared" si="3"/>
        <v>0.89468988041869379</v>
      </c>
      <c r="H5" s="28">
        <f>1/(1+Summary!$O$3)^D5</f>
        <v>0.86383759853147601</v>
      </c>
      <c r="I5" s="28">
        <f>Summary!$J$12*'R11'!H5*'R11'!G5</f>
        <v>17627.545010335445</v>
      </c>
      <c r="L5" s="28" t="e">
        <f>IF(Summary!$F$12="M",VLOOKUP(C:C,#REF!,IF(B5&gt;2033,22,MATCH(B5,#REF!,0)),FALSE),VLOOKUP(C:C,#REF!,IF(B5&gt;2033,22,MATCH(B5,#REF!,0)),FALSE))</f>
        <v>#REF!</v>
      </c>
      <c r="M5" s="28" t="e">
        <f t="shared" si="4"/>
        <v>#REF!</v>
      </c>
      <c r="N5" s="28" t="e">
        <f t="shared" si="5"/>
        <v>#REF!</v>
      </c>
      <c r="O5" s="28" t="e">
        <f>Summary!$J$12*'R11'!N5*'R11'!H5</f>
        <v>#REF!</v>
      </c>
    </row>
    <row r="6" spans="1:16" ht="24" customHeight="1">
      <c r="B6" s="30">
        <f t="shared" si="0"/>
        <v>2023</v>
      </c>
      <c r="C6" s="28">
        <f t="shared" si="1"/>
        <v>81</v>
      </c>
      <c r="D6" s="28">
        <v>4</v>
      </c>
      <c r="E6" s="28">
        <f>VLOOKUP(C:C, 'Total Data Set'!B:J, IF(Summary!$F$12="M", 4, 8), FALSE)</f>
        <v>4.9794999999999999E-2</v>
      </c>
      <c r="F6" s="28">
        <f t="shared" si="2"/>
        <v>0.95020499999999997</v>
      </c>
      <c r="G6" s="28">
        <f t="shared" si="3"/>
        <v>0.85467755958660896</v>
      </c>
      <c r="H6" s="28">
        <f>1/(1+Summary!$O$3)^D6</f>
        <v>0.82270247479188197</v>
      </c>
      <c r="I6" s="28">
        <f>Summary!$J$12*'R11'!H6*'R11'!G6</f>
        <v>16037.338992745925</v>
      </c>
      <c r="L6" s="28" t="e">
        <f>IF(Summary!$F$12="M",VLOOKUP(C:C,#REF!,IF(B6&gt;2033,22,MATCH(B6,#REF!,0)),FALSE),VLOOKUP(C:C,#REF!,IF(B6&gt;2033,22,MATCH(B6,#REF!,0)),FALSE))</f>
        <v>#REF!</v>
      </c>
      <c r="M6" s="28" t="e">
        <f t="shared" si="4"/>
        <v>#REF!</v>
      </c>
      <c r="N6" s="28" t="e">
        <f t="shared" si="5"/>
        <v>#REF!</v>
      </c>
      <c r="O6" s="28" t="e">
        <f>Summary!$J$12*'R11'!N6*'R11'!H6</f>
        <v>#REF!</v>
      </c>
    </row>
    <row r="7" spans="1:16" ht="24" customHeight="1">
      <c r="B7" s="30">
        <f t="shared" si="0"/>
        <v>2024</v>
      </c>
      <c r="C7" s="28">
        <f t="shared" si="1"/>
        <v>82</v>
      </c>
      <c r="D7" s="28">
        <v>5</v>
      </c>
      <c r="E7" s="28">
        <f>VLOOKUP(C:C, 'Total Data Set'!B:J, IF(Summary!$F$12="M", 4, 8), FALSE)</f>
        <v>5.5525999999999999E-2</v>
      </c>
      <c r="F7" s="28">
        <f t="shared" si="2"/>
        <v>0.94447400000000004</v>
      </c>
      <c r="G7" s="28">
        <f t="shared" si="3"/>
        <v>0.81211889050699371</v>
      </c>
      <c r="H7" s="28">
        <f>1/(1+Summary!$O$3)^D7</f>
        <v>0.78352616646845896</v>
      </c>
      <c r="I7" s="28">
        <f>Summary!$J$12*'R11'!H7*'R11'!G7</f>
        <v>14513.1044739068</v>
      </c>
      <c r="L7" s="28" t="e">
        <f>IF(Summary!$F$12="M",VLOOKUP(C:C,#REF!,IF(B7&gt;2033,22,MATCH(B7,#REF!,0)),FALSE),VLOOKUP(C:C,#REF!,IF(B7&gt;2033,22,MATCH(B7,#REF!,0)),FALSE))</f>
        <v>#REF!</v>
      </c>
      <c r="M7" s="28" t="e">
        <f t="shared" si="4"/>
        <v>#REF!</v>
      </c>
      <c r="N7" s="28" t="e">
        <f t="shared" si="5"/>
        <v>#REF!</v>
      </c>
      <c r="O7" s="28" t="e">
        <f>Summary!$J$12*'R11'!N7*'R11'!H7</f>
        <v>#REF!</v>
      </c>
    </row>
    <row r="8" spans="1:16" ht="24" customHeight="1">
      <c r="B8" s="30">
        <f t="shared" si="0"/>
        <v>2025</v>
      </c>
      <c r="C8" s="28">
        <f t="shared" si="1"/>
        <v>83</v>
      </c>
      <c r="D8" s="28">
        <v>6</v>
      </c>
      <c r="E8" s="28">
        <f>VLOOKUP(C:C, 'Total Data Set'!B:J, IF(Summary!$F$12="M", 4, 8), FALSE)</f>
        <v>6.1996000000000002E-2</v>
      </c>
      <c r="F8" s="28">
        <f t="shared" si="2"/>
        <v>0.93800399999999995</v>
      </c>
      <c r="G8" s="28">
        <f t="shared" si="3"/>
        <v>0.76702517699270245</v>
      </c>
      <c r="H8" s="28">
        <f>1/(1+Summary!$O$3)^D8</f>
        <v>0.74621539663662761</v>
      </c>
      <c r="I8" s="28">
        <f>Summary!$J$12*'R11'!H8*'R11'!G8</f>
        <v>13054.523652274907</v>
      </c>
      <c r="L8" s="28" t="e">
        <f>IF(Summary!$F$12="M",VLOOKUP(C:C,#REF!,IF(B8&gt;2033,22,MATCH(B8,#REF!,0)),FALSE),VLOOKUP(C:C,#REF!,IF(B8&gt;2033,22,MATCH(B8,#REF!,0)),FALSE))</f>
        <v>#REF!</v>
      </c>
      <c r="M8" s="28" t="e">
        <f t="shared" si="4"/>
        <v>#REF!</v>
      </c>
      <c r="N8" s="28" t="e">
        <f t="shared" si="5"/>
        <v>#REF!</v>
      </c>
      <c r="O8" s="28" t="e">
        <f>Summary!$J$12*'R11'!N8*'R11'!H8</f>
        <v>#REF!</v>
      </c>
    </row>
    <row r="9" spans="1:16" ht="24" customHeight="1">
      <c r="B9" s="30">
        <f t="shared" si="0"/>
        <v>2026</v>
      </c>
      <c r="C9" s="28">
        <f t="shared" si="1"/>
        <v>84</v>
      </c>
      <c r="D9" s="28">
        <v>7</v>
      </c>
      <c r="E9" s="28">
        <f>VLOOKUP(C:C, 'Total Data Set'!B:J, IF(Summary!$F$12="M", 4, 8), FALSE)</f>
        <v>6.9290000000000004E-2</v>
      </c>
      <c r="F9" s="28">
        <f t="shared" si="2"/>
        <v>0.93071000000000004</v>
      </c>
      <c r="G9" s="28">
        <f t="shared" si="3"/>
        <v>0.71947268411986287</v>
      </c>
      <c r="H9" s="28">
        <f>1/(1+Summary!$O$3)^D9</f>
        <v>0.71068133013012147</v>
      </c>
      <c r="I9" s="28">
        <f>Summary!$J$12*'R11'!H9*'R11'!G9</f>
        <v>11662.090860884258</v>
      </c>
      <c r="L9" s="28" t="e">
        <f>IF(Summary!$F$12="M",VLOOKUP(C:C,#REF!,IF(B9&gt;2033,22,MATCH(B9,#REF!,0)),FALSE),VLOOKUP(C:C,#REF!,IF(B9&gt;2033,22,MATCH(B9,#REF!,0)),FALSE))</f>
        <v>#REF!</v>
      </c>
      <c r="M9" s="28" t="e">
        <f t="shared" si="4"/>
        <v>#REF!</v>
      </c>
      <c r="N9" s="28" t="e">
        <f t="shared" si="5"/>
        <v>#REF!</v>
      </c>
      <c r="O9" s="28" t="e">
        <f>Summary!$J$12*'R11'!N9*'R11'!H9</f>
        <v>#REF!</v>
      </c>
    </row>
    <row r="10" spans="1:16" ht="24" customHeight="1">
      <c r="B10" s="30">
        <f t="shared" si="0"/>
        <v>2027</v>
      </c>
      <c r="C10" s="28">
        <f t="shared" si="1"/>
        <v>85</v>
      </c>
      <c r="D10" s="28">
        <v>8</v>
      </c>
      <c r="E10" s="28">
        <f>VLOOKUP(C:C, 'Total Data Set'!B:J, IF(Summary!$F$12="M", 4, 8), FALSE)</f>
        <v>7.7496999999999996E-2</v>
      </c>
      <c r="F10" s="28">
        <f t="shared" si="2"/>
        <v>0.92250299999999996</v>
      </c>
      <c r="G10" s="28">
        <f t="shared" si="3"/>
        <v>0.66962042183719761</v>
      </c>
      <c r="H10" s="28">
        <f>1/(1+Summary!$O$3)^D10</f>
        <v>0.67683936202868722</v>
      </c>
      <c r="I10" s="28">
        <f>Summary!$J$12*'R11'!H10*'R11'!G10</f>
        <v>10337.1662715558</v>
      </c>
      <c r="L10" s="28" t="e">
        <f>IF(Summary!$F$12="M",VLOOKUP(C:C,#REF!,IF(B10&gt;2033,22,MATCH(B10,#REF!,0)),FALSE),VLOOKUP(C:C,#REF!,IF(B10&gt;2033,22,MATCH(B10,#REF!,0)),FALSE))</f>
        <v>#REF!</v>
      </c>
      <c r="M10" s="28" t="e">
        <f t="shared" si="4"/>
        <v>#REF!</v>
      </c>
      <c r="N10" s="28" t="e">
        <f t="shared" si="5"/>
        <v>#REF!</v>
      </c>
      <c r="O10" s="28" t="e">
        <f>Summary!$J$12*'R11'!N10*'R11'!H10</f>
        <v>#REF!</v>
      </c>
    </row>
    <row r="11" spans="1:16" ht="24" customHeight="1">
      <c r="B11" s="30">
        <f t="shared" si="0"/>
        <v>2028</v>
      </c>
      <c r="C11" s="28">
        <f t="shared" si="1"/>
        <v>86</v>
      </c>
      <c r="D11" s="28">
        <v>9</v>
      </c>
      <c r="E11" s="28">
        <f>VLOOKUP(C:C, 'Total Data Set'!B:J, IF(Summary!$F$12="M", 4, 8), FALSE)</f>
        <v>8.6711999999999997E-2</v>
      </c>
      <c r="F11" s="28">
        <f t="shared" si="2"/>
        <v>0.91328799999999999</v>
      </c>
      <c r="G11" s="28">
        <f t="shared" si="3"/>
        <v>0.61772684800608024</v>
      </c>
      <c r="H11" s="28">
        <f>1/(1+Summary!$O$3)^D11</f>
        <v>0.64460891621779726</v>
      </c>
      <c r="I11" s="28">
        <f>Summary!$J$12*'R11'!H11*'R11'!G11</f>
        <v>9081.9684733419417</v>
      </c>
      <c r="L11" s="28" t="e">
        <f>IF(Summary!$F$12="M",VLOOKUP(C:C,#REF!,IF(B11&gt;2033,22,MATCH(B11,#REF!,0)),FALSE),VLOOKUP(C:C,#REF!,IF(B11&gt;2033,22,MATCH(B11,#REF!,0)),FALSE))</f>
        <v>#REF!</v>
      </c>
      <c r="M11" s="28" t="e">
        <f t="shared" si="4"/>
        <v>#REF!</v>
      </c>
      <c r="N11" s="28" t="e">
        <f t="shared" si="5"/>
        <v>#REF!</v>
      </c>
      <c r="O11" s="28" t="e">
        <f>Summary!$J$12*'R11'!N11*'R11'!H11</f>
        <v>#REF!</v>
      </c>
    </row>
    <row r="12" spans="1:16" ht="24" customHeight="1">
      <c r="B12" s="30">
        <f t="shared" si="0"/>
        <v>2029</v>
      </c>
      <c r="C12" s="28">
        <f t="shared" si="1"/>
        <v>87</v>
      </c>
      <c r="D12" s="28">
        <v>10</v>
      </c>
      <c r="E12" s="28">
        <f>VLOOKUP(C:C, 'Total Data Set'!B:J, IF(Summary!$F$12="M", 4, 8), FALSE)</f>
        <v>9.7037999999999999E-2</v>
      </c>
      <c r="F12" s="28">
        <f t="shared" si="2"/>
        <v>0.90296200000000004</v>
      </c>
      <c r="G12" s="28">
        <f t="shared" si="3"/>
        <v>0.56416251756177704</v>
      </c>
      <c r="H12" s="28">
        <f>1/(1+Summary!$O$3)^D12</f>
        <v>0.61391325354075932</v>
      </c>
      <c r="I12" s="28">
        <f>Summary!$J$12*'R11'!H12*'R11'!G12</f>
        <v>7899.4788791252531</v>
      </c>
      <c r="L12" s="28" t="e">
        <f>IF(Summary!$F$12="M",VLOOKUP(C:C,#REF!,IF(B12&gt;2033,22,MATCH(B12,#REF!,0)),FALSE),VLOOKUP(C:C,#REF!,IF(B12&gt;2033,22,MATCH(B12,#REF!,0)),FALSE))</f>
        <v>#REF!</v>
      </c>
      <c r="M12" s="28" t="e">
        <f t="shared" si="4"/>
        <v>#REF!</v>
      </c>
      <c r="N12" s="28" t="e">
        <f t="shared" si="5"/>
        <v>#REF!</v>
      </c>
      <c r="O12" s="28" t="e">
        <f>Summary!$J$12*'R11'!N12*'R11'!H12</f>
        <v>#REF!</v>
      </c>
    </row>
    <row r="13" spans="1:16" ht="24" customHeight="1">
      <c r="B13" s="30">
        <f t="shared" si="0"/>
        <v>2030</v>
      </c>
      <c r="C13" s="28">
        <f t="shared" si="1"/>
        <v>88</v>
      </c>
      <c r="D13" s="28">
        <v>11</v>
      </c>
      <c r="E13" s="28">
        <f>VLOOKUP(C:C, 'Total Data Set'!B:J, IF(Summary!$F$12="M", 4, 8), FALSE)</f>
        <v>0.10859099999999999</v>
      </c>
      <c r="F13" s="28">
        <f t="shared" si="2"/>
        <v>0.89140900000000001</v>
      </c>
      <c r="G13" s="28">
        <f t="shared" si="3"/>
        <v>0.50941731518261735</v>
      </c>
      <c r="H13" s="28">
        <f>1/(1+Summary!$O$3)^D13</f>
        <v>0.5846792890864374</v>
      </c>
      <c r="I13" s="28">
        <f>Summary!$J$12*'R11'!H13*'R11'!G13</f>
        <v>6793.2659501454254</v>
      </c>
      <c r="L13" s="28" t="e">
        <f>IF(Summary!$F$12="M",VLOOKUP(C:C,#REF!,IF(B13&gt;2033,22,MATCH(B13,#REF!,0)),FALSE),VLOOKUP(C:C,#REF!,IF(B13&gt;2033,22,MATCH(B13,#REF!,0)),FALSE))</f>
        <v>#REF!</v>
      </c>
      <c r="M13" s="28" t="e">
        <f t="shared" si="4"/>
        <v>#REF!</v>
      </c>
      <c r="N13" s="28" t="e">
        <f t="shared" si="5"/>
        <v>#REF!</v>
      </c>
      <c r="O13" s="28" t="e">
        <f>Summary!$J$12*'R11'!N13*'R11'!H13</f>
        <v>#REF!</v>
      </c>
    </row>
    <row r="14" spans="1:16" ht="24" customHeight="1">
      <c r="B14" s="30">
        <f t="shared" si="0"/>
        <v>2031</v>
      </c>
      <c r="C14" s="28">
        <f t="shared" si="1"/>
        <v>89</v>
      </c>
      <c r="D14" s="28">
        <v>12</v>
      </c>
      <c r="E14" s="28">
        <f>VLOOKUP(C:C, 'Total Data Set'!B:J, IF(Summary!$F$12="M", 4, 8), FALSE)</f>
        <v>0.121499</v>
      </c>
      <c r="F14" s="28">
        <f t="shared" si="2"/>
        <v>0.87850099999999998</v>
      </c>
      <c r="G14" s="28">
        <f t="shared" si="3"/>
        <v>0.45409917950962175</v>
      </c>
      <c r="H14" s="28">
        <f>1/(1+Summary!$O$3)^D14</f>
        <v>0.5568374181775595</v>
      </c>
      <c r="I14" s="28">
        <f>Summary!$J$12*'R11'!H14*'R11'!G14</f>
        <v>5767.2175308125561</v>
      </c>
      <c r="L14" s="28" t="e">
        <f>IF(Summary!$F$12="M",VLOOKUP(C:C,#REF!,IF(B14&gt;2033,22,MATCH(B14,#REF!,0)),FALSE),VLOOKUP(C:C,#REF!,IF(B14&gt;2033,22,MATCH(B14,#REF!,0)),FALSE))</f>
        <v>#REF!</v>
      </c>
      <c r="M14" s="28" t="e">
        <f t="shared" si="4"/>
        <v>#REF!</v>
      </c>
      <c r="N14" s="28" t="e">
        <f t="shared" si="5"/>
        <v>#REF!</v>
      </c>
      <c r="O14" s="28" t="e">
        <f>Summary!$J$12*'R11'!N14*'R11'!H14</f>
        <v>#REF!</v>
      </c>
    </row>
    <row r="15" spans="1:16" ht="24" customHeight="1">
      <c r="B15" s="30">
        <f t="shared" si="0"/>
        <v>2032</v>
      </c>
      <c r="C15" s="28">
        <f t="shared" si="1"/>
        <v>90</v>
      </c>
      <c r="D15" s="28">
        <v>13</v>
      </c>
      <c r="E15" s="28">
        <f>VLOOKUP(C:C, 'Total Data Set'!B:J, IF(Summary!$F$12="M", 4, 8), FALSE)</f>
        <v>0.135908</v>
      </c>
      <c r="F15" s="28">
        <f t="shared" si="2"/>
        <v>0.86409199999999997</v>
      </c>
      <c r="G15" s="28">
        <f t="shared" si="3"/>
        <v>0.39892658329838221</v>
      </c>
      <c r="H15" s="28">
        <f>1/(1+Summary!$O$3)^D15</f>
        <v>0.53032135064529462</v>
      </c>
      <c r="I15" s="28">
        <f>Summary!$J$12*'R11'!H15*'R11'!G15</f>
        <v>4825.2441600346283</v>
      </c>
      <c r="L15" s="28" t="e">
        <f>IF(Summary!$F$12="M",VLOOKUP(C:C,#REF!,IF(B15&gt;2033,22,MATCH(B15,#REF!,0)),FALSE),VLOOKUP(C:C,#REF!,IF(B15&gt;2033,22,MATCH(B15,#REF!,0)),FALSE))</f>
        <v>#REF!</v>
      </c>
      <c r="M15" s="28" t="e">
        <f t="shared" si="4"/>
        <v>#REF!</v>
      </c>
      <c r="N15" s="28" t="e">
        <f t="shared" si="5"/>
        <v>#REF!</v>
      </c>
      <c r="O15" s="28" t="e">
        <f>Summary!$J$12*'R11'!N15*'R11'!H15</f>
        <v>#REF!</v>
      </c>
    </row>
    <row r="16" spans="1:16" ht="24" customHeight="1">
      <c r="B16" s="30">
        <f t="shared" si="0"/>
        <v>2033</v>
      </c>
      <c r="C16" s="28">
        <f t="shared" si="1"/>
        <v>91</v>
      </c>
      <c r="D16" s="28">
        <v>14</v>
      </c>
      <c r="E16" s="28">
        <f>VLOOKUP(C:C, 'Total Data Set'!B:J, IF(Summary!$F$12="M", 4, 8), FALSE)</f>
        <v>0.15132200000000001</v>
      </c>
      <c r="F16" s="28">
        <f t="shared" si="2"/>
        <v>0.84867800000000004</v>
      </c>
      <c r="G16" s="28">
        <f t="shared" si="3"/>
        <v>0.34470926921546569</v>
      </c>
      <c r="H16" s="28">
        <f>1/(1+Summary!$O$3)^D16</f>
        <v>0.50506795299551888</v>
      </c>
      <c r="I16" s="28">
        <f>Summary!$J$12*'R11'!H16*'R11'!G16</f>
        <v>3970.9094064120418</v>
      </c>
      <c r="L16" s="28" t="e">
        <f>IF(Summary!$F$12="M",VLOOKUP(C:C,#REF!,IF(B16&gt;2033,22,MATCH(B16,#REF!,0)),FALSE),VLOOKUP(C:C,#REF!,IF(B16&gt;2033,22,MATCH(B16,#REF!,0)),FALSE))</f>
        <v>#REF!</v>
      </c>
      <c r="M16" s="28" t="e">
        <f t="shared" si="4"/>
        <v>#REF!</v>
      </c>
      <c r="N16" s="28" t="e">
        <f t="shared" si="5"/>
        <v>#REF!</v>
      </c>
      <c r="O16" s="28" t="e">
        <f>Summary!$J$12*'R11'!N16*'R11'!H16</f>
        <v>#REF!</v>
      </c>
    </row>
    <row r="17" spans="2:15" ht="24" customHeight="1">
      <c r="B17" s="30">
        <f t="shared" si="0"/>
        <v>2034</v>
      </c>
      <c r="C17" s="28">
        <f t="shared" si="1"/>
        <v>92</v>
      </c>
      <c r="D17" s="28">
        <v>15</v>
      </c>
      <c r="E17" s="28">
        <f>VLOOKUP(C:C, 'Total Data Set'!B:J, IF(Summary!$F$12="M", 4, 8), FALSE)</f>
        <v>0.16742199999999999</v>
      </c>
      <c r="F17" s="28">
        <f t="shared" si="2"/>
        <v>0.83257800000000004</v>
      </c>
      <c r="G17" s="28">
        <f t="shared" si="3"/>
        <v>0.292547173179243</v>
      </c>
      <c r="H17" s="28">
        <f>1/(1+Summary!$O$3)^D17</f>
        <v>0.48101709809097021</v>
      </c>
      <c r="I17" s="28">
        <f>Summary!$J$12*'R11'!H17*'R11'!G17</f>
        <v>3209.5461459190074</v>
      </c>
      <c r="L17" s="28" t="e">
        <f>IF(Summary!$F$12="M",VLOOKUP(C:C,#REF!,IF(B17&gt;2033,22,MATCH(B17,#REF!,0)),FALSE),VLOOKUP(C:C,#REF!,IF(B17&gt;2033,22,MATCH(B17,#REF!,0)),FALSE))</f>
        <v>#REF!</v>
      </c>
      <c r="M17" s="28" t="e">
        <f t="shared" si="4"/>
        <v>#REF!</v>
      </c>
      <c r="N17" s="28" t="e">
        <f t="shared" si="5"/>
        <v>#REF!</v>
      </c>
      <c r="O17" s="28" t="e">
        <f>Summary!$J$12*'R11'!N17*'R11'!H17</f>
        <v>#REF!</v>
      </c>
    </row>
    <row r="18" spans="2:15" ht="24" customHeight="1">
      <c r="B18" s="30">
        <f t="shared" si="0"/>
        <v>2035</v>
      </c>
      <c r="C18" s="28">
        <f t="shared" si="1"/>
        <v>93</v>
      </c>
      <c r="D18" s="28">
        <v>16</v>
      </c>
      <c r="E18" s="28">
        <f>VLOOKUP(C:C, 'Total Data Set'!B:J, IF(Summary!$F$12="M", 4, 8), FALSE)</f>
        <v>0.18403</v>
      </c>
      <c r="F18" s="28">
        <f t="shared" si="2"/>
        <v>0.81596999999999997</v>
      </c>
      <c r="G18" s="28">
        <f t="shared" si="3"/>
        <v>0.24356834035122779</v>
      </c>
      <c r="H18" s="28">
        <f>1/(1+Summary!$O$3)^D18</f>
        <v>0.45811152199140021</v>
      </c>
      <c r="I18" s="28">
        <f>Summary!$J$12*'R11'!H18*'R11'!G18</f>
        <v>2544.9500105494817</v>
      </c>
      <c r="L18" s="28" t="e">
        <f>IF(Summary!$F$12="M",VLOOKUP(C:C,#REF!,IF(B18&gt;2033,22,MATCH(B18,#REF!,0)),FALSE),VLOOKUP(C:C,#REF!,IF(B18&gt;2033,22,MATCH(B18,#REF!,0)),FALSE))</f>
        <v>#REF!</v>
      </c>
      <c r="M18" s="28" t="e">
        <f t="shared" si="4"/>
        <v>#REF!</v>
      </c>
      <c r="N18" s="28" t="e">
        <f t="shared" si="5"/>
        <v>#REF!</v>
      </c>
      <c r="O18" s="28" t="e">
        <f>Summary!$J$12*'R11'!N18*'R11'!H18</f>
        <v>#REF!</v>
      </c>
    </row>
    <row r="19" spans="2:15" ht="24" customHeight="1">
      <c r="B19" s="30">
        <f t="shared" si="0"/>
        <v>2036</v>
      </c>
      <c r="C19" s="28">
        <f t="shared" si="1"/>
        <v>94</v>
      </c>
      <c r="D19" s="28">
        <v>17</v>
      </c>
      <c r="E19" s="28">
        <f>VLOOKUP(C:C, 'Total Data Set'!B:J, IF(Summary!$F$12="M", 4, 8), FALSE)</f>
        <v>0.201074</v>
      </c>
      <c r="F19" s="28">
        <f t="shared" si="2"/>
        <v>0.79892600000000003</v>
      </c>
      <c r="G19" s="28">
        <f t="shared" si="3"/>
        <v>0.19874445867639134</v>
      </c>
      <c r="H19" s="28">
        <f>1/(1+Summary!$O$3)^D19</f>
        <v>0.43629668761085727</v>
      </c>
      <c r="I19" s="28">
        <f>Summary!$J$12*'R11'!H19*'R11'!G19</f>
        <v>1977.7170096267241</v>
      </c>
      <c r="L19" s="28" t="e">
        <f>IF(Summary!$F$12="M",VLOOKUP(C:C,#REF!,IF(B19&gt;2033,22,MATCH(B19,#REF!,0)),FALSE),VLOOKUP(C:C,#REF!,IF(B19&gt;2033,22,MATCH(B19,#REF!,0)),FALSE))</f>
        <v>#REF!</v>
      </c>
      <c r="M19" s="28" t="e">
        <f t="shared" si="4"/>
        <v>#REF!</v>
      </c>
      <c r="N19" s="28" t="e">
        <f t="shared" si="5"/>
        <v>#REF!</v>
      </c>
      <c r="O19" s="28" t="e">
        <f>Summary!$J$12*'R11'!N19*'R11'!H19</f>
        <v>#REF!</v>
      </c>
    </row>
    <row r="20" spans="2:15" ht="24" customHeight="1">
      <c r="B20" s="30">
        <f t="shared" si="0"/>
        <v>2037</v>
      </c>
      <c r="C20" s="28">
        <f t="shared" si="1"/>
        <v>95</v>
      </c>
      <c r="D20" s="28">
        <v>18</v>
      </c>
      <c r="E20" s="28">
        <f>VLOOKUP(C:C, 'Total Data Set'!B:J, IF(Summary!$F$12="M", 4, 8), FALSE)</f>
        <v>0.218559</v>
      </c>
      <c r="F20" s="28">
        <f t="shared" si="2"/>
        <v>0.78144100000000005</v>
      </c>
      <c r="G20" s="28">
        <f t="shared" si="3"/>
        <v>0.15878211539249465</v>
      </c>
      <c r="H20" s="28">
        <f>1/(1+Summary!$O$3)^D20</f>
        <v>0.41552065486748313</v>
      </c>
      <c r="I20" s="28">
        <f>Summary!$J$12*'R11'!H20*'R11'!G20</f>
        <v>1504.8090853648005</v>
      </c>
      <c r="L20" s="28" t="e">
        <f>IF(Summary!$F$12="M",VLOOKUP(C:C,#REF!,IF(B20&gt;2033,22,MATCH(B20,#REF!,0)),FALSE),VLOOKUP(C:C,#REF!,IF(B20&gt;2033,22,MATCH(B20,#REF!,0)),FALSE))</f>
        <v>#REF!</v>
      </c>
      <c r="M20" s="28" t="e">
        <f t="shared" si="4"/>
        <v>#REF!</v>
      </c>
      <c r="N20" s="28" t="e">
        <f t="shared" si="5"/>
        <v>#REF!</v>
      </c>
      <c r="O20" s="28" t="e">
        <f>Summary!$J$12*'R11'!N20*'R11'!H20</f>
        <v>#REF!</v>
      </c>
    </row>
    <row r="21" spans="2:15" ht="24" customHeight="1">
      <c r="B21" s="30">
        <f t="shared" si="0"/>
        <v>2038</v>
      </c>
      <c r="C21" s="28">
        <f t="shared" si="1"/>
        <v>96</v>
      </c>
      <c r="D21" s="28">
        <v>19</v>
      </c>
      <c r="E21" s="28">
        <f>VLOOKUP(C:C, 'Total Data Set'!B:J, IF(Summary!$F$12="M", 4, 8), FALSE)</f>
        <v>0.236535</v>
      </c>
      <c r="F21" s="28">
        <f t="shared" si="2"/>
        <v>0.76346500000000006</v>
      </c>
      <c r="G21" s="28">
        <f t="shared" si="3"/>
        <v>0.12407885503442642</v>
      </c>
      <c r="H21" s="28">
        <f>1/(1+Summary!$O$3)^D21</f>
        <v>0.39573395701665059</v>
      </c>
      <c r="I21" s="28">
        <f>Summary!$J$12*'R11'!H21*'R11'!G21</f>
        <v>1119.9233490252905</v>
      </c>
      <c r="L21" s="28" t="e">
        <f>IF(Summary!$F$12="M",VLOOKUP(C:C,#REF!,IF(B21&gt;2033,22,MATCH(B21,#REF!,0)),FALSE),VLOOKUP(C:C,#REF!,IF(B21&gt;2033,22,MATCH(B21,#REF!,0)),FALSE))</f>
        <v>#REF!</v>
      </c>
      <c r="M21" s="28" t="e">
        <f t="shared" si="4"/>
        <v>#REF!</v>
      </c>
      <c r="N21" s="28" t="e">
        <f t="shared" si="5"/>
        <v>#REF!</v>
      </c>
      <c r="O21" s="28" t="e">
        <f>Summary!$J$12*'R11'!N21*'R11'!H21</f>
        <v>#REF!</v>
      </c>
    </row>
    <row r="22" spans="2:15" ht="24" customHeight="1">
      <c r="B22" s="30">
        <f t="shared" si="0"/>
        <v>2039</v>
      </c>
      <c r="C22" s="28">
        <f t="shared" si="1"/>
        <v>97</v>
      </c>
      <c r="D22" s="28">
        <v>20</v>
      </c>
      <c r="E22" s="28">
        <f>VLOOKUP(C:C, 'Total Data Set'!B:J, IF(Summary!$F$12="M", 4, 8), FALSE)</f>
        <v>0.25505899999999998</v>
      </c>
      <c r="F22" s="28">
        <f t="shared" si="2"/>
        <v>0.74494100000000008</v>
      </c>
      <c r="G22" s="28">
        <f t="shared" si="3"/>
        <v>9.4729863058858374E-2</v>
      </c>
      <c r="H22" s="28">
        <f>1/(1+Summary!$O$3)^D22</f>
        <v>0.37688948287300061</v>
      </c>
      <c r="I22" s="28">
        <f>Summary!$J$12*'R11'!H22*'R11'!G22</f>
        <v>814.30693301294627</v>
      </c>
      <c r="L22" s="28" t="e">
        <f>IF(Summary!$F$12="M",VLOOKUP(C:C,#REF!,IF(B22&gt;2033,22,MATCH(B22,#REF!,0)),FALSE),VLOOKUP(C:C,#REF!,IF(B22&gt;2033,22,MATCH(B22,#REF!,0)),FALSE))</f>
        <v>#REF!</v>
      </c>
      <c r="M22" s="28" t="e">
        <f t="shared" si="4"/>
        <v>#REF!</v>
      </c>
      <c r="N22" s="28" t="e">
        <f t="shared" si="5"/>
        <v>#REF!</v>
      </c>
      <c r="O22" s="28" t="e">
        <f>Summary!$J$12*'R11'!N22*'R11'!H22</f>
        <v>#REF!</v>
      </c>
    </row>
    <row r="23" spans="2:15" ht="24" customHeight="1">
      <c r="B23" s="30">
        <f t="shared" si="0"/>
        <v>2040</v>
      </c>
      <c r="C23" s="28">
        <f t="shared" si="1"/>
        <v>98</v>
      </c>
      <c r="D23" s="28">
        <v>21</v>
      </c>
      <c r="E23" s="28">
        <f>VLOOKUP(C:C, 'Total Data Set'!B:J, IF(Summary!$F$12="M", 4, 8), FALSE)</f>
        <v>0.27417000000000002</v>
      </c>
      <c r="F23" s="28">
        <f t="shared" si="2"/>
        <v>0.72582999999999998</v>
      </c>
      <c r="G23" s="28">
        <f t="shared" si="3"/>
        <v>7.0568158916929025E-2</v>
      </c>
      <c r="H23" s="28">
        <f>1/(1+Summary!$O$3)^D23</f>
        <v>0.35894236464095297</v>
      </c>
      <c r="I23" s="28">
        <f>Summary!$J$12*'R11'!H23*'R11'!G23</f>
        <v>577.72440093866408</v>
      </c>
      <c r="L23" s="28" t="e">
        <f>IF(Summary!$F$12="M",VLOOKUP(C:C,#REF!,IF(B23&gt;2033,22,MATCH(B23,#REF!,0)),FALSE),VLOOKUP(C:C,#REF!,IF(B23&gt;2033,22,MATCH(B23,#REF!,0)),FALSE))</f>
        <v>#REF!</v>
      </c>
      <c r="M23" s="28" t="e">
        <f t="shared" si="4"/>
        <v>#REF!</v>
      </c>
      <c r="N23" s="28" t="e">
        <f t="shared" si="5"/>
        <v>#REF!</v>
      </c>
      <c r="O23" s="28" t="e">
        <f>Summary!$J$12*'R11'!N23*'R11'!H23</f>
        <v>#REF!</v>
      </c>
    </row>
    <row r="24" spans="2:15" ht="24" customHeight="1">
      <c r="B24" s="30">
        <f t="shared" si="0"/>
        <v>2041</v>
      </c>
      <c r="C24" s="28">
        <f t="shared" si="1"/>
        <v>99</v>
      </c>
      <c r="D24" s="28">
        <v>22</v>
      </c>
      <c r="E24" s="28">
        <f>VLOOKUP(C:C, 'Total Data Set'!B:J, IF(Summary!$F$12="M", 4, 8), FALSE)</f>
        <v>0.293848</v>
      </c>
      <c r="F24" s="28">
        <f t="shared" si="2"/>
        <v>0.706152</v>
      </c>
      <c r="G24" s="28">
        <f t="shared" si="3"/>
        <v>5.1220486786674589E-2</v>
      </c>
      <c r="H24" s="28">
        <f>1/(1+Summary!$O$3)^D24</f>
        <v>0.3418498710866219</v>
      </c>
      <c r="I24" s="28">
        <f>Summary!$J$12*'R11'!H24*'R11'!G24</f>
        <v>399.36162088886721</v>
      </c>
      <c r="L24" s="28" t="e">
        <f>IF(Summary!$F$12="M",VLOOKUP(C:C,#REF!,IF(B24&gt;2033,22,MATCH(B24,#REF!,0)),FALSE),VLOOKUP(C:C,#REF!,IF(B24&gt;2033,22,MATCH(B24,#REF!,0)),FALSE))</f>
        <v>#REF!</v>
      </c>
      <c r="M24" s="28" t="e">
        <f t="shared" si="4"/>
        <v>#REF!</v>
      </c>
      <c r="N24" s="28" t="e">
        <f t="shared" si="5"/>
        <v>#REF!</v>
      </c>
      <c r="O24" s="28" t="e">
        <f>Summary!$J$12*'R11'!N24*'R11'!H24</f>
        <v>#REF!</v>
      </c>
    </row>
    <row r="25" spans="2:15" ht="24" customHeight="1">
      <c r="B25" s="30">
        <f t="shared" si="0"/>
        <v>2042</v>
      </c>
      <c r="C25" s="28">
        <f t="shared" si="1"/>
        <v>100</v>
      </c>
      <c r="D25" s="28">
        <v>23</v>
      </c>
      <c r="E25" s="28">
        <f>VLOOKUP(C:C, 'Total Data Set'!B:J, IF(Summary!$F$12="M", 4, 8), FALSE)</f>
        <v>0.31398799999999999</v>
      </c>
      <c r="F25" s="28">
        <f t="shared" si="2"/>
        <v>0.68601200000000007</v>
      </c>
      <c r="G25" s="28">
        <f t="shared" si="3"/>
        <v>3.6169449185383833E-2</v>
      </c>
      <c r="H25" s="28">
        <f>1/(1+Summary!$O$3)^D25</f>
        <v>0.32557130579678267</v>
      </c>
      <c r="I25" s="28">
        <f>Summary!$J$12*'R11'!H25*'R11'!G25</f>
        <v>268.58095934658593</v>
      </c>
      <c r="L25" s="28" t="e">
        <f>IF(Summary!$F$12="M",VLOOKUP(C:C,#REF!,IF(B25&gt;2033,22,MATCH(B25,#REF!,0)),FALSE),VLOOKUP(C:C,#REF!,IF(B25&gt;2033,22,MATCH(B25,#REF!,0)),FALSE))</f>
        <v>#REF!</v>
      </c>
      <c r="M25" s="28" t="e">
        <f t="shared" si="4"/>
        <v>#REF!</v>
      </c>
      <c r="N25" s="28" t="e">
        <f t="shared" si="5"/>
        <v>#REF!</v>
      </c>
      <c r="O25" s="28" t="e">
        <f>Summary!$J$12*'R11'!N25*'R11'!H25</f>
        <v>#REF!</v>
      </c>
    </row>
    <row r="26" spans="2:15" ht="24" customHeight="1">
      <c r="B26" s="30">
        <f t="shared" si="0"/>
        <v>2043</v>
      </c>
      <c r="C26" s="28">
        <f t="shared" si="1"/>
        <v>101</v>
      </c>
      <c r="D26" s="28">
        <v>24</v>
      </c>
      <c r="E26" s="28">
        <f>VLOOKUP(C:C, 'Total Data Set'!B:J, IF(Summary!$F$12="M", 4, 8), FALSE)</f>
        <v>0.33436500000000002</v>
      </c>
      <c r="F26" s="28">
        <f t="shared" si="2"/>
        <v>0.66563499999999998</v>
      </c>
      <c r="G26" s="28">
        <f t="shared" si="3"/>
        <v>2.4812676174563536E-2</v>
      </c>
      <c r="H26" s="28">
        <f>1/(1+Summary!$O$3)^D26</f>
        <v>0.31006791028265024</v>
      </c>
      <c r="I26" s="28">
        <f>Summary!$J$12*'R11'!H26*'R11'!G26</f>
        <v>175.47596293644779</v>
      </c>
      <c r="L26" s="28" t="e">
        <f>IF(Summary!$F$12="M",VLOOKUP(C:C,#REF!,IF(B26&gt;2033,22,MATCH(B26,#REF!,0)),FALSE),VLOOKUP(C:C,#REF!,IF(B26&gt;2033,22,MATCH(B26,#REF!,0)),FALSE))</f>
        <v>#REF!</v>
      </c>
      <c r="M26" s="28" t="e">
        <f t="shared" si="4"/>
        <v>#REF!</v>
      </c>
      <c r="N26" s="28" t="e">
        <f t="shared" si="5"/>
        <v>#REF!</v>
      </c>
      <c r="O26" s="28" t="e">
        <f>Summary!$J$12*'R11'!N26*'R11'!H26</f>
        <v>#REF!</v>
      </c>
    </row>
    <row r="27" spans="2:15" ht="24" customHeight="1">
      <c r="B27" s="30">
        <f t="shared" si="0"/>
        <v>2044</v>
      </c>
      <c r="C27" s="28">
        <f t="shared" si="1"/>
        <v>102</v>
      </c>
      <c r="D27" s="28">
        <v>25</v>
      </c>
      <c r="E27" s="28">
        <f>VLOOKUP(C:C, 'Total Data Set'!B:J, IF(Summary!$F$12="M", 4, 8), FALSE)</f>
        <v>0.354599</v>
      </c>
      <c r="F27" s="28">
        <f t="shared" si="2"/>
        <v>0.645401</v>
      </c>
      <c r="G27" s="28">
        <f t="shared" si="3"/>
        <v>1.6516185705455599E-2</v>
      </c>
      <c r="H27" s="28">
        <f>1/(1+Summary!$O$3)^D27</f>
        <v>0.29530277169776209</v>
      </c>
      <c r="I27" s="28">
        <f>Summary!$J$12*'R11'!H27*'R11'!G27</f>
        <v>111.24089770400229</v>
      </c>
      <c r="L27" s="28" t="e">
        <f>IF(Summary!$F$12="M",VLOOKUP(C:C,#REF!,IF(B27&gt;2033,22,MATCH(B27,#REF!,0)),FALSE),VLOOKUP(C:C,#REF!,IF(B27&gt;2033,22,MATCH(B27,#REF!,0)),FALSE))</f>
        <v>#REF!</v>
      </c>
      <c r="M27" s="28" t="e">
        <f t="shared" si="4"/>
        <v>#REF!</v>
      </c>
      <c r="N27" s="28" t="e">
        <f t="shared" si="5"/>
        <v>#REF!</v>
      </c>
      <c r="O27" s="28" t="e">
        <f>Summary!$J$12*'R11'!N27*'R11'!H27</f>
        <v>#REF!</v>
      </c>
    </row>
    <row r="28" spans="2:15" ht="24" customHeight="1">
      <c r="B28" s="30">
        <f t="shared" si="0"/>
        <v>2045</v>
      </c>
      <c r="C28" s="28">
        <f t="shared" si="1"/>
        <v>103</v>
      </c>
      <c r="D28" s="28">
        <v>26</v>
      </c>
      <c r="E28" s="28">
        <f>VLOOKUP(C:C, 'Total Data Set'!B:J, IF(Summary!$F$12="M", 4, 8), FALSE)</f>
        <v>0.37452400000000002</v>
      </c>
      <c r="F28" s="28">
        <f t="shared" si="2"/>
        <v>0.62547599999999992</v>
      </c>
      <c r="G28" s="28">
        <f t="shared" si="3"/>
        <v>1.065956277048675E-2</v>
      </c>
      <c r="H28" s="28">
        <f>1/(1+Summary!$O$3)^D28</f>
        <v>0.28124073495024959</v>
      </c>
      <c r="I28" s="28">
        <f>Summary!$J$12*'R11'!H28*'R11'!G28</f>
        <v>68.376177732438848</v>
      </c>
      <c r="L28" s="28" t="e">
        <f>IF(Summary!$F$12="M",VLOOKUP(C:C,#REF!,IF(B28&gt;2033,22,MATCH(B28,#REF!,0)),FALSE),VLOOKUP(C:C,#REF!,IF(B28&gt;2033,22,MATCH(B28,#REF!,0)),FALSE))</f>
        <v>#REF!</v>
      </c>
      <c r="M28" s="28" t="e">
        <f t="shared" si="4"/>
        <v>#REF!</v>
      </c>
      <c r="N28" s="28" t="e">
        <f t="shared" si="5"/>
        <v>#REF!</v>
      </c>
      <c r="O28" s="28" t="e">
        <f>Summary!$J$12*'R11'!N28*'R11'!H28</f>
        <v>#REF!</v>
      </c>
    </row>
    <row r="29" spans="2:15" ht="24" customHeight="1">
      <c r="B29" s="30">
        <f t="shared" si="0"/>
        <v>2046</v>
      </c>
      <c r="C29" s="28">
        <f t="shared" si="1"/>
        <v>104</v>
      </c>
      <c r="D29" s="28">
        <v>27</v>
      </c>
      <c r="E29" s="28">
        <f>VLOOKUP(C:C, 'Total Data Set'!B:J, IF(Summary!$F$12="M", 4, 8), FALSE)</f>
        <v>0.393982</v>
      </c>
      <c r="F29" s="28">
        <f t="shared" si="2"/>
        <v>0.60601799999999995</v>
      </c>
      <c r="G29" s="28">
        <f t="shared" si="3"/>
        <v>6.6673006834329692E-3</v>
      </c>
      <c r="H29" s="28">
        <f>1/(1+Summary!$O$3)^D29</f>
        <v>0.2678483190002377</v>
      </c>
      <c r="I29" s="28">
        <f>Summary!$J$12*'R11'!H29*'R11'!G29</f>
        <v>40.731102993690385</v>
      </c>
      <c r="L29" s="28" t="e">
        <f>IF(Summary!$F$12="M",VLOOKUP(C:C,#REF!,IF(B29&gt;2033,22,MATCH(B29,#REF!,0)),FALSE),VLOOKUP(C:C,#REF!,IF(B29&gt;2033,22,MATCH(B29,#REF!,0)),FALSE))</f>
        <v>#REF!</v>
      </c>
      <c r="M29" s="28" t="e">
        <f t="shared" si="4"/>
        <v>#REF!</v>
      </c>
      <c r="N29" s="28" t="e">
        <f t="shared" si="5"/>
        <v>#REF!</v>
      </c>
      <c r="O29" s="28" t="e">
        <f>Summary!$J$12*'R11'!N29*'R11'!H29</f>
        <v>#REF!</v>
      </c>
    </row>
    <row r="30" spans="2:15" ht="24" customHeight="1">
      <c r="B30" s="30">
        <f t="shared" si="0"/>
        <v>2047</v>
      </c>
      <c r="C30" s="28">
        <f t="shared" si="1"/>
        <v>105</v>
      </c>
      <c r="D30" s="28">
        <v>28</v>
      </c>
      <c r="E30" s="28">
        <f>VLOOKUP(C:C, 'Total Data Set'!B:J, IF(Summary!$F$12="M", 4, 8), FALSE)</f>
        <v>0.412831</v>
      </c>
      <c r="F30" s="28">
        <f t="shared" si="2"/>
        <v>0.58716900000000005</v>
      </c>
      <c r="G30" s="28">
        <f t="shared" si="3"/>
        <v>4.0405042255726806E-3</v>
      </c>
      <c r="H30" s="28">
        <f>1/(1+Summary!$O$3)^D30</f>
        <v>0.25509363714308358</v>
      </c>
      <c r="I30" s="28">
        <f>Summary!$J$12*'R11'!H30*'R11'!G30</f>
        <v>23.508363403838345</v>
      </c>
      <c r="L30" s="28" t="e">
        <f>IF(Summary!$F$12="M",VLOOKUP(C:C,#REF!,IF(B30&gt;2033,22,MATCH(B30,#REF!,0)),FALSE),VLOOKUP(C:C,#REF!,IF(B30&gt;2033,22,MATCH(B30,#REF!,0)),FALSE))</f>
        <v>#REF!</v>
      </c>
      <c r="M30" s="28" t="e">
        <f t="shared" si="4"/>
        <v>#REF!</v>
      </c>
      <c r="N30" s="28" t="e">
        <f t="shared" si="5"/>
        <v>#REF!</v>
      </c>
      <c r="O30" s="28" t="e">
        <f>Summary!$J$12*'R11'!N30*'R11'!H30</f>
        <v>#REF!</v>
      </c>
    </row>
    <row r="31" spans="2:15" ht="24" customHeight="1">
      <c r="B31" s="30">
        <f t="shared" si="0"/>
        <v>2048</v>
      </c>
      <c r="C31" s="28">
        <f t="shared" si="1"/>
        <v>106</v>
      </c>
      <c r="D31" s="28">
        <v>29</v>
      </c>
      <c r="E31" s="28">
        <f>VLOOKUP(C:C, 'Total Data Set'!B:J, IF(Summary!$F$12="M", 4, 8), FALSE)</f>
        <v>0.430946</v>
      </c>
      <c r="F31" s="28">
        <f t="shared" si="2"/>
        <v>0.56905399999999995</v>
      </c>
      <c r="G31" s="28">
        <f t="shared" si="3"/>
        <v>2.3724588256252856E-3</v>
      </c>
      <c r="H31" s="28">
        <f>1/(1+Summary!$O$3)^D31</f>
        <v>0.24294632108865097</v>
      </c>
      <c r="I31" s="28">
        <f>Summary!$J$12*'R11'!H31*'R11'!G31</f>
        <v>13.146078315684148</v>
      </c>
      <c r="L31" s="28" t="e">
        <f>IF(Summary!$F$12="M",VLOOKUP(C:C,#REF!,IF(B31&gt;2033,22,MATCH(B31,#REF!,0)),FALSE),VLOOKUP(C:C,#REF!,IF(B31&gt;2033,22,MATCH(B31,#REF!,0)),FALSE))</f>
        <v>#REF!</v>
      </c>
      <c r="M31" s="28" t="e">
        <f t="shared" si="4"/>
        <v>#REF!</v>
      </c>
      <c r="N31" s="28" t="e">
        <f t="shared" si="5"/>
        <v>#REF!</v>
      </c>
      <c r="O31" s="28" t="e">
        <f>Summary!$J$12*'R11'!N31*'R11'!H31</f>
        <v>#REF!</v>
      </c>
    </row>
    <row r="32" spans="2:15" ht="24" customHeight="1">
      <c r="B32" s="30">
        <f t="shared" si="0"/>
        <v>2049</v>
      </c>
      <c r="C32" s="28">
        <f t="shared" si="1"/>
        <v>107</v>
      </c>
      <c r="D32" s="28">
        <v>30</v>
      </c>
      <c r="E32" s="28">
        <f>VLOOKUP(C:C, 'Total Data Set'!B:J, IF(Summary!$F$12="M", 4, 8), FALSE)</f>
        <v>0.44822699999999999</v>
      </c>
      <c r="F32" s="28">
        <f t="shared" si="2"/>
        <v>0.55177300000000007</v>
      </c>
      <c r="G32" s="28">
        <f t="shared" si="3"/>
        <v>1.3500571845573711E-3</v>
      </c>
      <c r="H32" s="28">
        <f>1/(1+Summary!$O$3)^D32</f>
        <v>0.23137744865585813</v>
      </c>
      <c r="I32" s="28">
        <f>Summary!$J$12*'R11'!H32*'R11'!G32</f>
        <v>7.124598523669837</v>
      </c>
      <c r="L32" s="28" t="e">
        <f>IF(Summary!$F$12="M",VLOOKUP(C:C,#REF!,IF(B32&gt;2033,22,MATCH(B32,#REF!,0)),FALSE),VLOOKUP(C:C,#REF!,IF(B32&gt;2033,22,MATCH(B32,#REF!,0)),FALSE))</f>
        <v>#REF!</v>
      </c>
      <c r="M32" s="28" t="e">
        <f t="shared" si="4"/>
        <v>#REF!</v>
      </c>
      <c r="N32" s="28" t="e">
        <f t="shared" si="5"/>
        <v>#REF!</v>
      </c>
      <c r="O32" s="28" t="e">
        <f>Summary!$J$12*'R11'!N32*'R11'!H32</f>
        <v>#REF!</v>
      </c>
    </row>
    <row r="33" spans="2:15" ht="24" customHeight="1">
      <c r="B33" s="30">
        <f t="shared" si="0"/>
        <v>2050</v>
      </c>
      <c r="C33" s="28">
        <f t="shared" si="1"/>
        <v>108</v>
      </c>
      <c r="D33" s="28">
        <v>31</v>
      </c>
      <c r="E33" s="28">
        <f>VLOOKUP(C:C, 'Total Data Set'!B:J, IF(Summary!$F$12="M", 4, 8), FALSE)</f>
        <v>0.464592</v>
      </c>
      <c r="F33" s="28">
        <f t="shared" si="2"/>
        <v>0.535408</v>
      </c>
      <c r="G33" s="28">
        <f t="shared" si="3"/>
        <v>7.4492510289477442E-4</v>
      </c>
      <c r="H33" s="28">
        <f>1/(1+Summary!$O$3)^D33</f>
        <v>0.220359474910341</v>
      </c>
      <c r="I33" s="28">
        <f>Summary!$J$12*'R11'!H33*'R11'!G33</f>
        <v>3.7439629535246439</v>
      </c>
      <c r="L33" s="28" t="e">
        <f>IF(Summary!$F$12="M",VLOOKUP(C:C,#REF!,IF(B33&gt;2033,22,MATCH(B33,#REF!,0)),FALSE),VLOOKUP(C:C,#REF!,IF(B33&gt;2033,22,MATCH(B33,#REF!,0)),FALSE))</f>
        <v>#REF!</v>
      </c>
      <c r="M33" s="28" t="e">
        <f t="shared" si="4"/>
        <v>#REF!</v>
      </c>
      <c r="N33" s="28" t="e">
        <f t="shared" si="5"/>
        <v>#REF!</v>
      </c>
      <c r="O33" s="28" t="e">
        <f>Summary!$J$12*'R11'!N33*'R11'!H33</f>
        <v>#REF!</v>
      </c>
    </row>
    <row r="34" spans="2:15" ht="24" customHeight="1">
      <c r="B34" s="30">
        <f t="shared" si="0"/>
        <v>2051</v>
      </c>
      <c r="C34" s="28">
        <f t="shared" si="1"/>
        <v>109</v>
      </c>
      <c r="D34" s="28">
        <v>32</v>
      </c>
      <c r="E34" s="28">
        <f>VLOOKUP(C:C, 'Total Data Set'!B:J, IF(Summary!$F$12="M", 4, 8), FALSE)</f>
        <v>0.479987</v>
      </c>
      <c r="F34" s="28">
        <f t="shared" si="2"/>
        <v>0.52001300000000006</v>
      </c>
      <c r="G34" s="28">
        <f t="shared" si="3"/>
        <v>3.9883885949068538E-4</v>
      </c>
      <c r="H34" s="28">
        <f>1/(1+Summary!$O$3)^D34</f>
        <v>0.20986616658127716</v>
      </c>
      <c r="I34" s="28">
        <f>Summary!$J$12*'R11'!H34*'R11'!G34</f>
        <v>1.9090930638292596</v>
      </c>
      <c r="L34" s="28" t="e">
        <f>IF(Summary!$F$12="M",VLOOKUP(C:C,#REF!,IF(B34&gt;2033,22,MATCH(B34,#REF!,0)),FALSE),VLOOKUP(C:C,#REF!,IF(B34&gt;2033,22,MATCH(B34,#REF!,0)),FALSE))</f>
        <v>#REF!</v>
      </c>
      <c r="M34" s="28" t="e">
        <f t="shared" si="4"/>
        <v>#REF!</v>
      </c>
      <c r="N34" s="28" t="e">
        <f t="shared" si="5"/>
        <v>#REF!</v>
      </c>
      <c r="O34" s="28" t="e">
        <f>Summary!$J$12*'R11'!N34*'R11'!H34</f>
        <v>#REF!</v>
      </c>
    </row>
    <row r="35" spans="2:15" ht="24" customHeight="1">
      <c r="B35" s="30">
        <f t="shared" si="0"/>
        <v>2052</v>
      </c>
      <c r="C35" s="28">
        <f t="shared" si="1"/>
        <v>110</v>
      </c>
      <c r="D35" s="28">
        <v>33</v>
      </c>
      <c r="E35" s="28">
        <f>VLOOKUP(C:C, 'Total Data Set'!B:J, IF(Summary!$F$12="M", 4, 8), FALSE)</f>
        <v>0.49437599999999998</v>
      </c>
      <c r="F35" s="28">
        <f t="shared" si="2"/>
        <v>0.50562400000000007</v>
      </c>
      <c r="G35" s="28">
        <f t="shared" si="3"/>
        <v>2.0740139184032978E-4</v>
      </c>
      <c r="H35" s="28">
        <f>1/(1+Summary!$O$3)^D35</f>
        <v>0.19987253960121634</v>
      </c>
      <c r="I35" s="28">
        <f>Summary!$J$12*'R11'!H35*'R11'!G35</f>
        <v>0.94547924895337598</v>
      </c>
      <c r="L35" s="28" t="e">
        <f>IF(Summary!$F$12="M",VLOOKUP(C:C,#REF!,IF(B35&gt;2033,22,MATCH(B35,#REF!,0)),FALSE),VLOOKUP(C:C,#REF!,IF(B35&gt;2033,22,MATCH(B35,#REF!,0)),FALSE))</f>
        <v>#REF!</v>
      </c>
      <c r="M35" s="28" t="e">
        <f t="shared" si="4"/>
        <v>#REF!</v>
      </c>
      <c r="N35" s="28" t="e">
        <f t="shared" si="5"/>
        <v>#REF!</v>
      </c>
      <c r="O35" s="28" t="e">
        <f>Summary!$J$12*'R11'!N35*'R11'!H35</f>
        <v>#REF!</v>
      </c>
    </row>
    <row r="36" spans="2:15" ht="24" customHeight="1">
      <c r="B36" s="30">
        <f t="shared" si="0"/>
        <v>2053</v>
      </c>
      <c r="C36" s="28">
        <f t="shared" si="1"/>
        <v>111</v>
      </c>
      <c r="D36" s="28">
        <v>34</v>
      </c>
      <c r="E36" s="28">
        <f>VLOOKUP(C:C, 'Total Data Set'!B:J, IF(Summary!$F$12="M", 4, 8), FALSE)</f>
        <v>0.5</v>
      </c>
      <c r="F36" s="28">
        <f t="shared" si="2"/>
        <v>0.5</v>
      </c>
      <c r="G36" s="28">
        <f t="shared" si="3"/>
        <v>1.0486712134787492E-4</v>
      </c>
      <c r="H36" s="28">
        <f>1/(1+Summary!$O$3)^D36</f>
        <v>0.19035479962020604</v>
      </c>
      <c r="I36" s="28">
        <f>Summary!$J$12*'R11'!H36*'R11'!G36</f>
        <v>0.45529238073600176</v>
      </c>
      <c r="L36" s="28" t="e">
        <f>IF(Summary!$F$12="M",VLOOKUP(C:C,#REF!,IF(B36&gt;2033,22,MATCH(B36,#REF!,0)),FALSE),VLOOKUP(C:C,#REF!,IF(B36&gt;2033,22,MATCH(B36,#REF!,0)),FALSE))</f>
        <v>#REF!</v>
      </c>
      <c r="M36" s="28" t="e">
        <f t="shared" si="4"/>
        <v>#REF!</v>
      </c>
      <c r="N36" s="28" t="e">
        <f t="shared" si="5"/>
        <v>#REF!</v>
      </c>
      <c r="O36" s="28" t="e">
        <f>Summary!$J$12*'R11'!N36*'R11'!H36</f>
        <v>#REF!</v>
      </c>
    </row>
    <row r="37" spans="2:15" ht="24" customHeight="1">
      <c r="B37" s="30">
        <f t="shared" si="0"/>
        <v>2054</v>
      </c>
      <c r="C37" s="28">
        <f t="shared" si="1"/>
        <v>112</v>
      </c>
      <c r="D37" s="28">
        <v>35</v>
      </c>
      <c r="E37" s="28">
        <f>VLOOKUP(C:C, 'Total Data Set'!B:J, IF(Summary!$F$12="M", 4, 8), FALSE)</f>
        <v>0.5</v>
      </c>
      <c r="F37" s="28">
        <f t="shared" si="2"/>
        <v>0.5</v>
      </c>
      <c r="G37" s="28">
        <f t="shared" si="3"/>
        <v>5.2433560673937458E-5</v>
      </c>
      <c r="H37" s="28">
        <f>1/(1+Summary!$O$3)^D37</f>
        <v>0.18129028535257716</v>
      </c>
      <c r="I37" s="28">
        <f>Summary!$J$12*'R11'!H37*'R11'!G37</f>
        <v>0.21680589558857224</v>
      </c>
      <c r="L37" s="28" t="e">
        <f>IF(Summary!$F$12="M",VLOOKUP(C:C,#REF!,IF(B37&gt;2033,22,MATCH(B37,#REF!,0)),FALSE),VLOOKUP(C:C,#REF!,IF(B37&gt;2033,22,MATCH(B37,#REF!,0)),FALSE))</f>
        <v>#REF!</v>
      </c>
      <c r="M37" s="28" t="e">
        <f t="shared" si="4"/>
        <v>#REF!</v>
      </c>
      <c r="N37" s="28" t="e">
        <f t="shared" si="5"/>
        <v>#REF!</v>
      </c>
      <c r="O37" s="28" t="e">
        <f>Summary!$J$12*'R11'!N37*'R11'!H37</f>
        <v>#REF!</v>
      </c>
    </row>
    <row r="38" spans="2:15" ht="24" customHeight="1">
      <c r="B38" s="30">
        <f t="shared" si="0"/>
        <v>2055</v>
      </c>
      <c r="C38" s="28">
        <f t="shared" si="1"/>
        <v>113</v>
      </c>
      <c r="D38" s="28">
        <v>36</v>
      </c>
      <c r="E38" s="28">
        <f>VLOOKUP(C:C, 'Total Data Set'!B:J, IF(Summary!$F$12="M", 4, 8), FALSE)</f>
        <v>0.5</v>
      </c>
      <c r="F38" s="28">
        <f t="shared" si="2"/>
        <v>0.5</v>
      </c>
      <c r="G38" s="28">
        <f t="shared" si="3"/>
        <v>2.6216780336968729E-5</v>
      </c>
      <c r="H38" s="28">
        <f>1/(1+Summary!$O$3)^D38</f>
        <v>0.17265741462150208</v>
      </c>
      <c r="I38" s="28">
        <f>Summary!$J$12*'R11'!H38*'R11'!G38</f>
        <v>0.10324090266122489</v>
      </c>
      <c r="L38" s="28" t="e">
        <f>IF(Summary!$F$12="M",VLOOKUP(C:C,#REF!,IF(B38&gt;2033,22,MATCH(B38,#REF!,0)),FALSE),VLOOKUP(C:C,#REF!,IF(B38&gt;2033,22,MATCH(B38,#REF!,0)),FALSE))</f>
        <v>#REF!</v>
      </c>
      <c r="M38" s="28" t="e">
        <f t="shared" si="4"/>
        <v>#REF!</v>
      </c>
      <c r="N38" s="28" t="e">
        <f t="shared" si="5"/>
        <v>#REF!</v>
      </c>
      <c r="O38" s="28" t="e">
        <f>Summary!$J$12*'R11'!N38*'R11'!H38</f>
        <v>#REF!</v>
      </c>
    </row>
    <row r="39" spans="2:15" ht="24" customHeight="1">
      <c r="B39" s="30">
        <f t="shared" si="0"/>
        <v>2056</v>
      </c>
      <c r="C39" s="28">
        <f t="shared" si="1"/>
        <v>114</v>
      </c>
      <c r="D39" s="28">
        <v>37</v>
      </c>
      <c r="E39" s="28">
        <f>VLOOKUP(C:C, 'Total Data Set'!B:J, IF(Summary!$F$12="M", 4, 8), FALSE)</f>
        <v>0.5</v>
      </c>
      <c r="F39" s="28">
        <f t="shared" si="2"/>
        <v>0.5</v>
      </c>
      <c r="G39" s="28">
        <f t="shared" si="3"/>
        <v>1.3108390168484364E-5</v>
      </c>
      <c r="H39" s="28">
        <f>1/(1+Summary!$O$3)^D39</f>
        <v>0.1644356329728591</v>
      </c>
      <c r="I39" s="28">
        <f>Summary!$J$12*'R11'!H39*'R11'!G39</f>
        <v>4.9162334600583273E-2</v>
      </c>
      <c r="L39" s="28" t="e">
        <f>IF(Summary!$F$12="M",VLOOKUP(C:C,#REF!,IF(B39&gt;2033,22,MATCH(B39,#REF!,0)),FALSE),VLOOKUP(C:C,#REF!,IF(B39&gt;2033,22,MATCH(B39,#REF!,0)),FALSE))</f>
        <v>#REF!</v>
      </c>
      <c r="M39" s="28" t="e">
        <f t="shared" si="4"/>
        <v>#REF!</v>
      </c>
      <c r="N39" s="28" t="e">
        <f t="shared" si="5"/>
        <v>#REF!</v>
      </c>
      <c r="O39" s="28" t="e">
        <f>Summary!$J$12*'R11'!N39*'R11'!H39</f>
        <v>#REF!</v>
      </c>
    </row>
    <row r="40" spans="2:15" ht="24" customHeight="1">
      <c r="B40" s="30">
        <f t="shared" si="0"/>
        <v>2057</v>
      </c>
      <c r="C40" s="28">
        <f t="shared" si="1"/>
        <v>115</v>
      </c>
      <c r="D40" s="28">
        <v>38</v>
      </c>
      <c r="E40" s="28">
        <f>VLOOKUP(C:C, 'Total Data Set'!B:J, IF(Summary!$F$12="M", 4, 8), FALSE)</f>
        <v>0.5</v>
      </c>
      <c r="F40" s="28">
        <f t="shared" si="2"/>
        <v>0.5</v>
      </c>
      <c r="G40" s="28">
        <f t="shared" si="3"/>
        <v>6.5541950842421822E-6</v>
      </c>
      <c r="H40" s="28">
        <f>1/(1+Summary!$O$3)^D40</f>
        <v>0.15660536473605632</v>
      </c>
      <c r="I40" s="28">
        <f>Summary!$J$12*'R11'!H40*'R11'!G40</f>
        <v>2.341063552408728E-2</v>
      </c>
      <c r="L40" s="28" t="e">
        <f>IF(Summary!$F$12="M",VLOOKUP(C:C,#REF!,IF(B40&gt;2033,22,MATCH(B40,#REF!,0)),FALSE),VLOOKUP(C:C,#REF!,IF(B40&gt;2033,22,MATCH(B40,#REF!,0)),FALSE))</f>
        <v>#REF!</v>
      </c>
      <c r="M40" s="28" t="e">
        <f t="shared" si="4"/>
        <v>#REF!</v>
      </c>
      <c r="N40" s="28" t="e">
        <f t="shared" si="5"/>
        <v>#REF!</v>
      </c>
      <c r="O40" s="28" t="e">
        <f>Summary!$J$12*'R11'!N40*'R11'!H40</f>
        <v>#REF!</v>
      </c>
    </row>
    <row r="41" spans="2:15" ht="24" customHeight="1">
      <c r="B41" s="30">
        <f t="shared" si="0"/>
        <v>2058</v>
      </c>
      <c r="C41" s="28">
        <f t="shared" si="1"/>
        <v>116</v>
      </c>
      <c r="D41" s="28">
        <v>39</v>
      </c>
      <c r="E41" s="28">
        <f>VLOOKUP(C:C, 'Total Data Set'!B:J, IF(Summary!$F$12="M", 4, 8), FALSE)</f>
        <v>0.5</v>
      </c>
      <c r="F41" s="28">
        <f t="shared" si="2"/>
        <v>0.5</v>
      </c>
      <c r="G41" s="28">
        <f t="shared" si="3"/>
        <v>3.2770975421210911E-6</v>
      </c>
      <c r="H41" s="28">
        <f>1/(1+Summary!$O$3)^D41</f>
        <v>0.14914796641529171</v>
      </c>
      <c r="I41" s="28">
        <f>Summary!$J$12*'R11'!H41*'R11'!G41</f>
        <v>1.1147921678136797E-2</v>
      </c>
      <c r="L41" s="28" t="e">
        <f>IF(Summary!$F$12="M",VLOOKUP(C:C,#REF!,IF(B41&gt;2033,22,MATCH(B41,#REF!,0)),FALSE),VLOOKUP(C:C,#REF!,IF(B41&gt;2033,22,MATCH(B41,#REF!,0)),FALSE))</f>
        <v>#REF!</v>
      </c>
      <c r="M41" s="28" t="e">
        <f t="shared" si="4"/>
        <v>#REF!</v>
      </c>
      <c r="N41" s="28" t="e">
        <f t="shared" si="5"/>
        <v>#REF!</v>
      </c>
      <c r="O41" s="28" t="e">
        <f>Summary!$J$12*'R11'!N41*'R11'!H41</f>
        <v>#REF!</v>
      </c>
    </row>
    <row r="42" spans="2:15" ht="24" customHeight="1">
      <c r="B42" s="30">
        <f t="shared" si="0"/>
        <v>2059</v>
      </c>
      <c r="C42" s="28">
        <f t="shared" si="1"/>
        <v>117</v>
      </c>
      <c r="D42" s="28">
        <v>40</v>
      </c>
      <c r="E42" s="28">
        <f>VLOOKUP(C:C, 'Total Data Set'!B:J, IF(Summary!$F$12="M", 4, 8), FALSE)</f>
        <v>0.5</v>
      </c>
      <c r="F42" s="28">
        <f t="shared" si="2"/>
        <v>0.5</v>
      </c>
      <c r="G42" s="28">
        <f t="shared" si="3"/>
        <v>1.6385487710605456E-6</v>
      </c>
      <c r="H42" s="28">
        <f>1/(1+Summary!$O$3)^D42</f>
        <v>0.14204568230027784</v>
      </c>
      <c r="I42" s="28">
        <f>Summary!$J$12*'R11'!H42*'R11'!G42</f>
        <v>5.3085341324460951E-3</v>
      </c>
      <c r="L42" s="28" t="e">
        <f>IF(Summary!$F$12="M",VLOOKUP(C:C,#REF!,IF(B42&gt;2033,22,MATCH(B42,#REF!,0)),FALSE),VLOOKUP(C:C,#REF!,IF(B42&gt;2033,22,MATCH(B42,#REF!,0)),FALSE))</f>
        <v>#REF!</v>
      </c>
      <c r="M42" s="28" t="e">
        <f t="shared" si="4"/>
        <v>#REF!</v>
      </c>
      <c r="N42" s="28" t="e">
        <f t="shared" si="5"/>
        <v>#REF!</v>
      </c>
      <c r="O42" s="28" t="e">
        <f>Summary!$J$12*'R11'!N42*'R11'!H42</f>
        <v>#REF!</v>
      </c>
    </row>
    <row r="43" spans="2:15" ht="24" customHeight="1">
      <c r="B43" s="30">
        <f t="shared" si="0"/>
        <v>2060</v>
      </c>
      <c r="C43" s="28">
        <f t="shared" si="1"/>
        <v>118</v>
      </c>
      <c r="D43" s="28">
        <v>41</v>
      </c>
      <c r="E43" s="28">
        <f>VLOOKUP(C:C, 'Total Data Set'!B:J, IF(Summary!$F$12="M", 4, 8), FALSE)</f>
        <v>0.5</v>
      </c>
      <c r="F43" s="28">
        <f t="shared" si="2"/>
        <v>0.5</v>
      </c>
      <c r="G43" s="28">
        <f t="shared" si="3"/>
        <v>8.1927438553027278E-7</v>
      </c>
      <c r="H43" s="28">
        <f>1/(1+Summary!$O$3)^D43</f>
        <v>0.13528160219074079</v>
      </c>
      <c r="I43" s="28">
        <f>Summary!$J$12*'R11'!H43*'R11'!G43</f>
        <v>2.5278733964029022E-3</v>
      </c>
      <c r="L43" s="28" t="e">
        <f>IF(Summary!$F$12="M",VLOOKUP(C:C,#REF!,IF(B43&gt;2033,22,MATCH(B43,#REF!,0)),FALSE),VLOOKUP(C:C,#REF!,IF(B43&gt;2033,22,MATCH(B43,#REF!,0)),FALSE))</f>
        <v>#REF!</v>
      </c>
      <c r="M43" s="28" t="e">
        <f t="shared" si="4"/>
        <v>#REF!</v>
      </c>
      <c r="N43" s="28" t="e">
        <f t="shared" si="5"/>
        <v>#REF!</v>
      </c>
      <c r="O43" s="28" t="e">
        <f>Summary!$J$12*'R11'!N43*'R11'!H43</f>
        <v>#REF!</v>
      </c>
    </row>
    <row r="44" spans="2:15" ht="24" customHeight="1">
      <c r="B44" s="30">
        <f t="shared" si="0"/>
        <v>2061</v>
      </c>
      <c r="C44" s="28">
        <f t="shared" si="1"/>
        <v>119</v>
      </c>
      <c r="D44" s="28">
        <v>42</v>
      </c>
      <c r="E44" s="28">
        <f>VLOOKUP(C:C, 'Total Data Set'!B:J, IF(Summary!$F$12="M", 4, 8), FALSE)</f>
        <v>0.5</v>
      </c>
      <c r="F44" s="28">
        <f t="shared" si="2"/>
        <v>0.5</v>
      </c>
      <c r="G44" s="28">
        <f t="shared" si="3"/>
        <v>4.0963719276513639E-7</v>
      </c>
      <c r="H44" s="28">
        <f>1/(1+Summary!$O$3)^D44</f>
        <v>0.12883962113403885</v>
      </c>
      <c r="I44" s="28">
        <f>Summary!$J$12*'R11'!H44*'R11'!G44</f>
        <v>1.2037492363823345E-3</v>
      </c>
      <c r="L44" s="28" t="e">
        <f>IF(Summary!$F$12="M",VLOOKUP(C:C,#REF!,IF(B44&gt;2033,22,MATCH(B44,#REF!,0)),FALSE),VLOOKUP(C:C,#REF!,IF(B44&gt;2033,22,MATCH(B44,#REF!,0)),FALSE))</f>
        <v>#REF!</v>
      </c>
      <c r="M44" s="28" t="e">
        <f t="shared" si="4"/>
        <v>#REF!</v>
      </c>
      <c r="N44" s="28" t="e">
        <f t="shared" si="5"/>
        <v>#REF!</v>
      </c>
      <c r="O44" s="28" t="e">
        <f>Summary!$J$12*'R11'!N44*'R11'!H44</f>
        <v>#REF!</v>
      </c>
    </row>
    <row r="45" spans="2:15" ht="24" customHeight="1">
      <c r="B45" s="30">
        <f t="shared" si="0"/>
        <v>2062</v>
      </c>
      <c r="C45" s="28">
        <f t="shared" si="1"/>
        <v>120</v>
      </c>
      <c r="D45" s="28">
        <v>43</v>
      </c>
      <c r="E45" s="28">
        <f>VLOOKUP(C:C, 'Total Data Set'!B:J, IF(Summary!$F$12="M", 4, 8), FALSE)</f>
        <v>1</v>
      </c>
      <c r="F45" s="28">
        <f t="shared" si="2"/>
        <v>0</v>
      </c>
      <c r="G45" s="28">
        <f t="shared" si="3"/>
        <v>2.0481859638256819E-7</v>
      </c>
      <c r="H45" s="28">
        <f>1/(1+Summary!$O$3)^D45</f>
        <v>0.12270440108003698</v>
      </c>
      <c r="I45" s="28">
        <f>Summary!$J$12*'R11'!H45*'R11'!G45</f>
        <v>5.7321392208682588E-4</v>
      </c>
      <c r="L45" s="28" t="e">
        <f>IF(Summary!$F$12="M",VLOOKUP(C:C,#REF!,IF(B45&gt;2033,22,MATCH(B45,#REF!,0)),FALSE),VLOOKUP(C:C,#REF!,IF(B45&gt;2033,22,MATCH(B45,#REF!,0)),FALSE))</f>
        <v>#REF!</v>
      </c>
      <c r="M45" s="28" t="e">
        <f t="shared" si="4"/>
        <v>#REF!</v>
      </c>
      <c r="N45" s="28" t="e">
        <f t="shared" si="5"/>
        <v>#REF!</v>
      </c>
      <c r="O45" s="28" t="e">
        <f>Summary!$J$12*'R11'!N45*'R11'!H45</f>
        <v>#REF!</v>
      </c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2"/>
  <sheetViews>
    <sheetView topLeftCell="A35" workbookViewId="0">
      <selection activeCell="A6" sqref="A6"/>
    </sheetView>
  </sheetViews>
  <sheetFormatPr defaultColWidth="18" defaultRowHeight="24" customHeight="1"/>
  <cols>
    <col min="1" max="6" width="18" style="28"/>
    <col min="7" max="7" width="21.140625" style="28" customWidth="1"/>
    <col min="8" max="9" width="18" style="28"/>
    <col min="10" max="10" width="21.7109375" style="28" customWidth="1"/>
    <col min="11" max="16384" width="18" style="28"/>
  </cols>
  <sheetData>
    <row r="1" spans="1:16" ht="24" customHeight="1">
      <c r="A1" s="30" t="s">
        <v>69</v>
      </c>
      <c r="B1" s="30" t="s">
        <v>74</v>
      </c>
      <c r="C1" s="28" t="s">
        <v>28</v>
      </c>
      <c r="D1" s="28" t="s">
        <v>29</v>
      </c>
      <c r="E1" s="28" t="s">
        <v>30</v>
      </c>
      <c r="F1" s="28" t="s">
        <v>71</v>
      </c>
      <c r="G1" s="28" t="s">
        <v>72</v>
      </c>
      <c r="H1" s="28" t="s">
        <v>31</v>
      </c>
      <c r="I1" s="28" t="s">
        <v>32</v>
      </c>
      <c r="J1" s="28" t="s">
        <v>33</v>
      </c>
      <c r="L1" s="39" t="s">
        <v>82</v>
      </c>
      <c r="M1" s="39" t="s">
        <v>77</v>
      </c>
      <c r="N1" s="39" t="s">
        <v>78</v>
      </c>
      <c r="O1" s="39" t="s">
        <v>79</v>
      </c>
      <c r="P1" s="39" t="s">
        <v>80</v>
      </c>
    </row>
    <row r="2" spans="1:16" ht="24" customHeight="1">
      <c r="A2" s="31">
        <v>43647</v>
      </c>
      <c r="B2" s="30">
        <f>YEAR(A2)</f>
        <v>2019</v>
      </c>
      <c r="C2" s="28">
        <f>$A$4+D2</f>
        <v>80</v>
      </c>
      <c r="D2" s="28">
        <v>0</v>
      </c>
      <c r="E2" s="28">
        <f>VLOOKUP(C:C, 'Total Data Set'!B:J, IF(Summary!$F$13="M", 4, 8), FALSE)</f>
        <v>3.4844E-2</v>
      </c>
      <c r="F2" s="28">
        <f>1-E2</f>
        <v>0.96515600000000001</v>
      </c>
      <c r="G2" s="28">
        <v>1</v>
      </c>
      <c r="H2" s="28">
        <f>1/(1+Summary!$O$3)^D2</f>
        <v>1</v>
      </c>
      <c r="I2" s="28">
        <f>Summary!$J$13*'R12'!H2*'R12'!G2</f>
        <v>39195</v>
      </c>
      <c r="J2" s="28">
        <f>SUM(I2:I43)</f>
        <v>305836.80679108511</v>
      </c>
      <c r="L2" s="28" t="e">
        <f>IF(Summary!$F$13="M",VLOOKUP(C:C,#REF!,IF(B2&gt;2033,22,MATCH(B2,#REF!,0)),FALSE),VLOOKUP(C:C,#REF!,IF(B2&gt;2033,22,MATCH(B2,#REF!,0)),FALSE))</f>
        <v>#REF!</v>
      </c>
      <c r="M2" s="28" t="e">
        <f>1-L2</f>
        <v>#REF!</v>
      </c>
      <c r="N2" s="28">
        <v>1</v>
      </c>
      <c r="O2" s="28">
        <f>Summary!$J$13*'R12'!N2*'R12'!H2</f>
        <v>39195</v>
      </c>
      <c r="P2" s="28" t="e">
        <f>SUM(O2:O42)</f>
        <v>#REF!</v>
      </c>
    </row>
    <row r="3" spans="1:16" ht="24" customHeight="1">
      <c r="A3" s="28" t="s">
        <v>34</v>
      </c>
      <c r="B3" s="30">
        <f>$B2+1</f>
        <v>2020</v>
      </c>
      <c r="C3" s="28">
        <f>$A$4+D3</f>
        <v>81</v>
      </c>
      <c r="D3" s="28">
        <v>1</v>
      </c>
      <c r="E3" s="28">
        <f>VLOOKUP(C:C, 'Total Data Set'!B:J, IF(Summary!$F$13="M", 4, 8), FALSE)</f>
        <v>3.8782999999999998E-2</v>
      </c>
      <c r="F3" s="28">
        <f>1-E3</f>
        <v>0.96121699999999999</v>
      </c>
      <c r="G3" s="28">
        <f>F2</f>
        <v>0.96515600000000001</v>
      </c>
      <c r="H3" s="28">
        <f>1/(1+Summary!$O$3)^D3</f>
        <v>0.95238095238095233</v>
      </c>
      <c r="I3" s="28">
        <f>Summary!$J$13*'R12'!H3*'R12'!G4</f>
        <v>34630.624846118226</v>
      </c>
      <c r="L3" s="28" t="e">
        <f>IF(Summary!$F$13="M",VLOOKUP(C:C,#REF!,IF(B3&gt;2033,22,MATCH(B3,#REF!,0)),FALSE),VLOOKUP(C:C,#REF!,IF(B3&gt;2033,22,MATCH(B3,#REF!,0)),FALSE))</f>
        <v>#REF!</v>
      </c>
      <c r="M3" s="28" t="e">
        <f>1-L3</f>
        <v>#REF!</v>
      </c>
      <c r="N3" s="28" t="e">
        <f>N2*M2</f>
        <v>#REF!</v>
      </c>
      <c r="O3" s="28" t="e">
        <f>Summary!$J$13*'R12'!N3*'R12'!H3</f>
        <v>#REF!</v>
      </c>
    </row>
    <row r="4" spans="1:16" ht="24" customHeight="1">
      <c r="A4" s="28">
        <f>Summary!I13</f>
        <v>80</v>
      </c>
      <c r="B4" s="30">
        <f t="shared" ref="B4:B42" si="0">$B3+1</f>
        <v>2021</v>
      </c>
      <c r="C4" s="28">
        <f t="shared" ref="C4:C42" si="1">$A$4+D4</f>
        <v>82</v>
      </c>
      <c r="D4" s="28">
        <v>2</v>
      </c>
      <c r="E4" s="28">
        <f>VLOOKUP(C:C, 'Total Data Set'!B:J, IF(Summary!$F$13="M", 4, 8), FALSE)</f>
        <v>4.3246E-2</v>
      </c>
      <c r="F4" s="28">
        <f t="shared" ref="F4:F42" si="2">1-E4</f>
        <v>0.95675399999999999</v>
      </c>
      <c r="G4" s="28">
        <f t="shared" ref="G4:G42" si="3">G3*F3</f>
        <v>0.927724354852</v>
      </c>
      <c r="H4" s="28">
        <f>1/(1+Summary!$O$3)^D4</f>
        <v>0.90702947845804982</v>
      </c>
      <c r="I4" s="28">
        <f>Summary!$J$13*'R12'!H4*'R12'!G5</f>
        <v>31555.227470498092</v>
      </c>
      <c r="L4" s="28" t="e">
        <f>IF(Summary!$F$13="M",VLOOKUP(C:C,#REF!,IF(B4&gt;2033,22,MATCH(B4,#REF!,0)),FALSE),VLOOKUP(C:C,#REF!,IF(B4&gt;2033,22,MATCH(B4,#REF!,0)),FALSE))</f>
        <v>#REF!</v>
      </c>
      <c r="M4" s="28" t="e">
        <f t="shared" ref="M4:M42" si="4">1-L4</f>
        <v>#REF!</v>
      </c>
      <c r="N4" s="28" t="e">
        <f t="shared" ref="N4:N42" si="5">N3*M3</f>
        <v>#REF!</v>
      </c>
      <c r="O4" s="28" t="e">
        <f>Summary!$J$13*'R12'!N4*'R12'!H4</f>
        <v>#REF!</v>
      </c>
    </row>
    <row r="5" spans="1:16" ht="24" customHeight="1">
      <c r="B5" s="30">
        <f t="shared" si="0"/>
        <v>2022</v>
      </c>
      <c r="C5" s="28">
        <f t="shared" si="1"/>
        <v>83</v>
      </c>
      <c r="D5" s="28">
        <v>3</v>
      </c>
      <c r="E5" s="28">
        <f>VLOOKUP(C:C, 'Total Data Set'!B:J, IF(Summary!$F$13="M", 4, 8), FALSE)</f>
        <v>4.8305000000000001E-2</v>
      </c>
      <c r="F5" s="28">
        <f t="shared" si="2"/>
        <v>0.95169499999999996</v>
      </c>
      <c r="G5" s="28">
        <f t="shared" si="3"/>
        <v>0.88760398740207036</v>
      </c>
      <c r="H5" s="28">
        <f>1/(1+Summary!$O$3)^D5</f>
        <v>0.86383759853147601</v>
      </c>
      <c r="I5" s="28">
        <f>Summary!$J$13*'R12'!H5*'R12'!G6</f>
        <v>28600.906864319695</v>
      </c>
      <c r="L5" s="28" t="e">
        <f>IF(Summary!$F$13="M",VLOOKUP(C:C,#REF!,IF(B5&gt;2033,22,MATCH(B5,#REF!,0)),FALSE),VLOOKUP(C:C,#REF!,IF(B5&gt;2033,22,MATCH(B5,#REF!,0)),FALSE))</f>
        <v>#REF!</v>
      </c>
      <c r="M5" s="28" t="e">
        <f t="shared" si="4"/>
        <v>#REF!</v>
      </c>
      <c r="N5" s="28" t="e">
        <f t="shared" si="5"/>
        <v>#REF!</v>
      </c>
      <c r="O5" s="28" t="e">
        <f>Summary!$J$13*'R12'!N5*'R12'!H5</f>
        <v>#REF!</v>
      </c>
    </row>
    <row r="6" spans="1:16" ht="24" customHeight="1">
      <c r="B6" s="30">
        <f t="shared" si="0"/>
        <v>2023</v>
      </c>
      <c r="C6" s="28">
        <f t="shared" si="1"/>
        <v>84</v>
      </c>
      <c r="D6" s="28">
        <v>4</v>
      </c>
      <c r="E6" s="28">
        <f>VLOOKUP(C:C, 'Total Data Set'!B:J, IF(Summary!$F$13="M", 4, 8), FALSE)</f>
        <v>5.4031999999999997E-2</v>
      </c>
      <c r="F6" s="28">
        <f t="shared" si="2"/>
        <v>0.94596800000000003</v>
      </c>
      <c r="G6" s="28">
        <f t="shared" si="3"/>
        <v>0.84472827679061335</v>
      </c>
      <c r="H6" s="28">
        <f>1/(1+Summary!$O$3)^D6</f>
        <v>0.82270247479188197</v>
      </c>
      <c r="I6" s="28">
        <f>Summary!$J$13*'R12'!H6*'R12'!G7</f>
        <v>25767.18349012074</v>
      </c>
      <c r="L6" s="28" t="e">
        <f>IF(Summary!$F$13="M",VLOOKUP(C:C,#REF!,IF(B6&gt;2033,22,MATCH(B6,#REF!,0)),FALSE),VLOOKUP(C:C,#REF!,IF(B6&gt;2033,22,MATCH(B6,#REF!,0)),FALSE))</f>
        <v>#REF!</v>
      </c>
      <c r="M6" s="28" t="e">
        <f t="shared" si="4"/>
        <v>#REF!</v>
      </c>
      <c r="N6" s="28" t="e">
        <f t="shared" si="5"/>
        <v>#REF!</v>
      </c>
      <c r="O6" s="28" t="e">
        <f>Summary!$J$13*'R12'!N6*'R12'!H6</f>
        <v>#REF!</v>
      </c>
    </row>
    <row r="7" spans="1:16" ht="24" customHeight="1">
      <c r="B7" s="30">
        <f t="shared" si="0"/>
        <v>2024</v>
      </c>
      <c r="C7" s="28">
        <f t="shared" si="1"/>
        <v>85</v>
      </c>
      <c r="D7" s="28">
        <v>5</v>
      </c>
      <c r="E7" s="28">
        <f>VLOOKUP(C:C, 'Total Data Set'!B:J, IF(Summary!$F$13="M", 4, 8), FALSE)</f>
        <v>6.0504000000000002E-2</v>
      </c>
      <c r="F7" s="28">
        <f t="shared" si="2"/>
        <v>0.939496</v>
      </c>
      <c r="G7" s="28">
        <f t="shared" si="3"/>
        <v>0.79908591853906297</v>
      </c>
      <c r="H7" s="28">
        <f>1/(1+Summary!$O$3)^D7</f>
        <v>0.78352616646845896</v>
      </c>
      <c r="I7" s="28">
        <f>Summary!$J$13*'R12'!H7*'R12'!G8</f>
        <v>23055.396019270927</v>
      </c>
      <c r="L7" s="28" t="e">
        <f>IF(Summary!$F$13="M",VLOOKUP(C:C,#REF!,IF(B7&gt;2033,22,MATCH(B7,#REF!,0)),FALSE),VLOOKUP(C:C,#REF!,IF(B7&gt;2033,22,MATCH(B7,#REF!,0)),FALSE))</f>
        <v>#REF!</v>
      </c>
      <c r="M7" s="28" t="e">
        <f t="shared" si="4"/>
        <v>#REF!</v>
      </c>
      <c r="N7" s="28" t="e">
        <f t="shared" si="5"/>
        <v>#REF!</v>
      </c>
      <c r="O7" s="28" t="e">
        <f>Summary!$J$13*'R12'!N7*'R12'!H7</f>
        <v>#REF!</v>
      </c>
    </row>
    <row r="8" spans="1:16" ht="24" customHeight="1">
      <c r="B8" s="30">
        <f t="shared" si="0"/>
        <v>2025</v>
      </c>
      <c r="C8" s="28">
        <f t="shared" si="1"/>
        <v>86</v>
      </c>
      <c r="D8" s="28">
        <v>6</v>
      </c>
      <c r="E8" s="28">
        <f>VLOOKUP(C:C, 'Total Data Set'!B:J, IF(Summary!$F$13="M", 4, 8), FALSE)</f>
        <v>6.7801E-2</v>
      </c>
      <c r="F8" s="28">
        <f t="shared" si="2"/>
        <v>0.932199</v>
      </c>
      <c r="G8" s="28">
        <f t="shared" si="3"/>
        <v>0.75073802412377555</v>
      </c>
      <c r="H8" s="28">
        <f>1/(1+Summary!$O$3)^D8</f>
        <v>0.74621539663662761</v>
      </c>
      <c r="I8" s="28">
        <f>Summary!$J$13*'R12'!H8*'R12'!G9</f>
        <v>20468.778203588892</v>
      </c>
      <c r="L8" s="28" t="e">
        <f>IF(Summary!$F$13="M",VLOOKUP(C:C,#REF!,IF(B8&gt;2033,22,MATCH(B8,#REF!,0)),FALSE),VLOOKUP(C:C,#REF!,IF(B8&gt;2033,22,MATCH(B8,#REF!,0)),FALSE))</f>
        <v>#REF!</v>
      </c>
      <c r="M8" s="28" t="e">
        <f t="shared" si="4"/>
        <v>#REF!</v>
      </c>
      <c r="N8" s="28" t="e">
        <f t="shared" si="5"/>
        <v>#REF!</v>
      </c>
      <c r="O8" s="28" t="e">
        <f>Summary!$J$13*'R12'!N8*'R12'!H8</f>
        <v>#REF!</v>
      </c>
    </row>
    <row r="9" spans="1:16" ht="24" customHeight="1">
      <c r="B9" s="30">
        <f t="shared" si="0"/>
        <v>2026</v>
      </c>
      <c r="C9" s="28">
        <f t="shared" si="1"/>
        <v>87</v>
      </c>
      <c r="D9" s="28">
        <v>7</v>
      </c>
      <c r="E9" s="28">
        <f>VLOOKUP(C:C, 'Total Data Set'!B:J, IF(Summary!$F$13="M", 4, 8), FALSE)</f>
        <v>7.6011999999999996E-2</v>
      </c>
      <c r="F9" s="28">
        <f t="shared" si="2"/>
        <v>0.92398800000000003</v>
      </c>
      <c r="G9" s="28">
        <f t="shared" si="3"/>
        <v>0.6998372353501594</v>
      </c>
      <c r="H9" s="28">
        <f>1/(1+Summary!$O$3)^D9</f>
        <v>0.71068133013012147</v>
      </c>
      <c r="I9" s="28">
        <f>Summary!$J$13*'R12'!H9*'R12'!G10</f>
        <v>18012.290890264474</v>
      </c>
      <c r="L9" s="28" t="e">
        <f>IF(Summary!$F$13="M",VLOOKUP(C:C,#REF!,IF(B9&gt;2033,22,MATCH(B9,#REF!,0)),FALSE),VLOOKUP(C:C,#REF!,IF(B9&gt;2033,22,MATCH(B9,#REF!,0)),FALSE))</f>
        <v>#REF!</v>
      </c>
      <c r="M9" s="28" t="e">
        <f t="shared" si="4"/>
        <v>#REF!</v>
      </c>
      <c r="N9" s="28" t="e">
        <f t="shared" si="5"/>
        <v>#REF!</v>
      </c>
      <c r="O9" s="28" t="e">
        <f>Summary!$J$13*'R12'!N9*'R12'!H9</f>
        <v>#REF!</v>
      </c>
    </row>
    <row r="10" spans="1:16" ht="24" customHeight="1">
      <c r="B10" s="30">
        <f t="shared" si="0"/>
        <v>2027</v>
      </c>
      <c r="C10" s="28">
        <f t="shared" si="1"/>
        <v>88</v>
      </c>
      <c r="D10" s="28">
        <v>8</v>
      </c>
      <c r="E10" s="28">
        <f>VLOOKUP(C:C, 'Total Data Set'!B:J, IF(Summary!$F$13="M", 4, 8), FALSE)</f>
        <v>8.523E-2</v>
      </c>
      <c r="F10" s="28">
        <f t="shared" si="2"/>
        <v>0.91476999999999997</v>
      </c>
      <c r="G10" s="28">
        <f t="shared" si="3"/>
        <v>0.64664120741672315</v>
      </c>
      <c r="H10" s="28">
        <f>1/(1+Summary!$O$3)^D10</f>
        <v>0.67683936202868722</v>
      </c>
      <c r="I10" s="28">
        <f>Summary!$J$13*'R12'!H10*'R12'!G11</f>
        <v>15692.479369225935</v>
      </c>
      <c r="L10" s="28" t="e">
        <f>IF(Summary!$F$13="M",VLOOKUP(C:C,#REF!,IF(B10&gt;2033,22,MATCH(B10,#REF!,0)),FALSE),VLOOKUP(C:C,#REF!,IF(B10&gt;2033,22,MATCH(B10,#REF!,0)),FALSE))</f>
        <v>#REF!</v>
      </c>
      <c r="M10" s="28" t="e">
        <f t="shared" si="4"/>
        <v>#REF!</v>
      </c>
      <c r="N10" s="28" t="e">
        <f t="shared" si="5"/>
        <v>#REF!</v>
      </c>
      <c r="O10" s="28" t="e">
        <f>Summary!$J$13*'R12'!N10*'R12'!H10</f>
        <v>#REF!</v>
      </c>
    </row>
    <row r="11" spans="1:16" ht="24" customHeight="1">
      <c r="B11" s="30">
        <f t="shared" si="0"/>
        <v>2028</v>
      </c>
      <c r="C11" s="28">
        <f t="shared" si="1"/>
        <v>89</v>
      </c>
      <c r="D11" s="28">
        <v>9</v>
      </c>
      <c r="E11" s="28">
        <f>VLOOKUP(C:C, 'Total Data Set'!B:J, IF(Summary!$F$13="M", 4, 8), FALSE)</f>
        <v>9.5562999999999995E-2</v>
      </c>
      <c r="F11" s="28">
        <f t="shared" si="2"/>
        <v>0.90443700000000005</v>
      </c>
      <c r="G11" s="28">
        <f t="shared" si="3"/>
        <v>0.59152797730859585</v>
      </c>
      <c r="H11" s="28">
        <f>1/(1+Summary!$O$3)^D11</f>
        <v>0.64460891621779726</v>
      </c>
      <c r="I11" s="28">
        <f>Summary!$J$13*'R12'!H11*'R12'!G12</f>
        <v>13517.008536442476</v>
      </c>
      <c r="L11" s="28" t="e">
        <f>IF(Summary!$F$13="M",VLOOKUP(C:C,#REF!,IF(B11&gt;2033,22,MATCH(B11,#REF!,0)),FALSE),VLOOKUP(C:C,#REF!,IF(B11&gt;2033,22,MATCH(B11,#REF!,0)),FALSE))</f>
        <v>#REF!</v>
      </c>
      <c r="M11" s="28" t="e">
        <f t="shared" si="4"/>
        <v>#REF!</v>
      </c>
      <c r="N11" s="28" t="e">
        <f t="shared" si="5"/>
        <v>#REF!</v>
      </c>
      <c r="O11" s="28" t="e">
        <f>Summary!$J$13*'R12'!N11*'R12'!H11</f>
        <v>#REF!</v>
      </c>
    </row>
    <row r="12" spans="1:16" ht="24" customHeight="1">
      <c r="B12" s="30">
        <f t="shared" si="0"/>
        <v>2029</v>
      </c>
      <c r="C12" s="28">
        <f t="shared" si="1"/>
        <v>90</v>
      </c>
      <c r="D12" s="28">
        <v>10</v>
      </c>
      <c r="E12" s="28">
        <f>VLOOKUP(C:C, 'Total Data Set'!B:J, IF(Summary!$F$13="M", 4, 8), FALSE)</f>
        <v>0.107126</v>
      </c>
      <c r="F12" s="28">
        <f t="shared" si="2"/>
        <v>0.89287399999999995</v>
      </c>
      <c r="G12" s="28">
        <f t="shared" si="3"/>
        <v>0.53499978921305458</v>
      </c>
      <c r="H12" s="28">
        <f>1/(1+Summary!$O$3)^D12</f>
        <v>0.61391325354075932</v>
      </c>
      <c r="I12" s="28">
        <f>Summary!$J$13*'R12'!H12*'R12'!G13</f>
        <v>11494.271885683369</v>
      </c>
      <c r="L12" s="28" t="e">
        <f>IF(Summary!$F$13="M",VLOOKUP(C:C,#REF!,IF(B12&gt;2033,22,MATCH(B12,#REF!,0)),FALSE),VLOOKUP(C:C,#REF!,IF(B12&gt;2033,22,MATCH(B12,#REF!,0)),FALSE))</f>
        <v>#REF!</v>
      </c>
      <c r="M12" s="28" t="e">
        <f t="shared" si="4"/>
        <v>#REF!</v>
      </c>
      <c r="N12" s="28" t="e">
        <f t="shared" si="5"/>
        <v>#REF!</v>
      </c>
      <c r="O12" s="28" t="e">
        <f>Summary!$J$13*'R12'!N12*'R12'!H12</f>
        <v>#REF!</v>
      </c>
    </row>
    <row r="13" spans="1:16" ht="24" customHeight="1">
      <c r="B13" s="30">
        <f t="shared" si="0"/>
        <v>2030</v>
      </c>
      <c r="C13" s="28">
        <f t="shared" si="1"/>
        <v>91</v>
      </c>
      <c r="D13" s="28">
        <v>11</v>
      </c>
      <c r="E13" s="28">
        <f>VLOOKUP(C:C, 'Total Data Set'!B:J, IF(Summary!$F$13="M", 4, 8), FALSE)</f>
        <v>0.119744</v>
      </c>
      <c r="F13" s="28">
        <f t="shared" si="2"/>
        <v>0.88025600000000004</v>
      </c>
      <c r="G13" s="28">
        <f t="shared" si="3"/>
        <v>0.47768740179381686</v>
      </c>
      <c r="H13" s="28">
        <f>1/(1+Summary!$O$3)^D13</f>
        <v>0.5846792890864374</v>
      </c>
      <c r="I13" s="28">
        <f>Summary!$J$13*'R12'!H13*'R12'!G14</f>
        <v>9636.0969457181909</v>
      </c>
      <c r="L13" s="28" t="e">
        <f>IF(Summary!$F$13="M",VLOOKUP(C:C,#REF!,IF(B13&gt;2033,22,MATCH(B13,#REF!,0)),FALSE),VLOOKUP(C:C,#REF!,IF(B13&gt;2033,22,MATCH(B13,#REF!,0)),FALSE))</f>
        <v>#REF!</v>
      </c>
      <c r="M13" s="28" t="e">
        <f t="shared" si="4"/>
        <v>#REF!</v>
      </c>
      <c r="N13" s="28" t="e">
        <f t="shared" si="5"/>
        <v>#REF!</v>
      </c>
      <c r="O13" s="28" t="e">
        <f>Summary!$J$13*'R12'!N13*'R12'!H13</f>
        <v>#REF!</v>
      </c>
    </row>
    <row r="14" spans="1:16" ht="24" customHeight="1">
      <c r="B14" s="30">
        <f t="shared" si="0"/>
        <v>2031</v>
      </c>
      <c r="C14" s="28">
        <f t="shared" si="1"/>
        <v>92</v>
      </c>
      <c r="D14" s="28">
        <v>12</v>
      </c>
      <c r="E14" s="28">
        <f>VLOOKUP(C:C, 'Total Data Set'!B:J, IF(Summary!$F$13="M", 4, 8), FALSE)</f>
        <v>0.133299</v>
      </c>
      <c r="F14" s="28">
        <f t="shared" si="2"/>
        <v>0.86670099999999994</v>
      </c>
      <c r="G14" s="28">
        <f t="shared" si="3"/>
        <v>0.42048720155341807</v>
      </c>
      <c r="H14" s="28">
        <f>1/(1+Summary!$O$3)^D14</f>
        <v>0.5568374181775595</v>
      </c>
      <c r="I14" s="28">
        <f>Summary!$J$13*'R12'!H14*'R12'!G15</f>
        <v>7953.9189132865731</v>
      </c>
      <c r="L14" s="28" t="e">
        <f>IF(Summary!$F$13="M",VLOOKUP(C:C,#REF!,IF(B14&gt;2033,22,MATCH(B14,#REF!,0)),FALSE),VLOOKUP(C:C,#REF!,IF(B14&gt;2033,22,MATCH(B14,#REF!,0)),FALSE))</f>
        <v>#REF!</v>
      </c>
      <c r="M14" s="28" t="e">
        <f t="shared" si="4"/>
        <v>#REF!</v>
      </c>
      <c r="N14" s="28" t="e">
        <f t="shared" si="5"/>
        <v>#REF!</v>
      </c>
      <c r="O14" s="28" t="e">
        <f>Summary!$J$13*'R12'!N14*'R12'!H14</f>
        <v>#REF!</v>
      </c>
    </row>
    <row r="15" spans="1:16" ht="24" customHeight="1">
      <c r="B15" s="30">
        <f t="shared" si="0"/>
        <v>2032</v>
      </c>
      <c r="C15" s="28">
        <f t="shared" si="1"/>
        <v>93</v>
      </c>
      <c r="D15" s="28">
        <v>13</v>
      </c>
      <c r="E15" s="28">
        <f>VLOOKUP(C:C, 'Total Data Set'!B:J, IF(Summary!$F$13="M", 4, 8), FALSE)</f>
        <v>0.14771999999999999</v>
      </c>
      <c r="F15" s="28">
        <f t="shared" si="2"/>
        <v>0.85228000000000004</v>
      </c>
      <c r="G15" s="28">
        <f t="shared" si="3"/>
        <v>0.36443667807354896</v>
      </c>
      <c r="H15" s="28">
        <f>1/(1+Summary!$O$3)^D15</f>
        <v>0.53032135064529462</v>
      </c>
      <c r="I15" s="28">
        <f>Summary!$J$13*'R12'!H15*'R12'!G16</f>
        <v>6456.1581061103607</v>
      </c>
      <c r="L15" s="28" t="e">
        <f>IF(Summary!$F$13="M",VLOOKUP(C:C,#REF!,IF(B15&gt;2033,22,MATCH(B15,#REF!,0)),FALSE),VLOOKUP(C:C,#REF!,IF(B15&gt;2033,22,MATCH(B15,#REF!,0)),FALSE))</f>
        <v>#REF!</v>
      </c>
      <c r="M15" s="28" t="e">
        <f t="shared" si="4"/>
        <v>#REF!</v>
      </c>
      <c r="N15" s="28" t="e">
        <f t="shared" si="5"/>
        <v>#REF!</v>
      </c>
      <c r="O15" s="28" t="e">
        <f>Summary!$J$13*'R12'!N15*'R12'!H15</f>
        <v>#REF!</v>
      </c>
    </row>
    <row r="16" spans="1:16" ht="24" customHeight="1">
      <c r="B16" s="30">
        <f t="shared" si="0"/>
        <v>2033</v>
      </c>
      <c r="C16" s="28">
        <f t="shared" si="1"/>
        <v>94</v>
      </c>
      <c r="D16" s="28">
        <v>14</v>
      </c>
      <c r="E16" s="28">
        <f>VLOOKUP(C:C, 'Total Data Set'!B:J, IF(Summary!$F$13="M", 4, 8), FALSE)</f>
        <v>0.162971</v>
      </c>
      <c r="F16" s="28">
        <f t="shared" si="2"/>
        <v>0.83702900000000002</v>
      </c>
      <c r="G16" s="28">
        <f t="shared" si="3"/>
        <v>0.31060209198852434</v>
      </c>
      <c r="H16" s="28">
        <f>1/(1+Summary!$O$3)^D16</f>
        <v>0.50506795299551888</v>
      </c>
      <c r="I16" s="28">
        <f>Summary!$J$13*'R12'!H16*'R12'!G17</f>
        <v>5146.6586318090012</v>
      </c>
      <c r="L16" s="28" t="e">
        <f>IF(Summary!$F$13="M",VLOOKUP(C:C,#REF!,IF(B16&gt;2033,22,MATCH(B16,#REF!,0)),FALSE),VLOOKUP(C:C,#REF!,IF(B16&gt;2033,22,MATCH(B16,#REF!,0)),FALSE))</f>
        <v>#REF!</v>
      </c>
      <c r="M16" s="28" t="e">
        <f t="shared" si="4"/>
        <v>#REF!</v>
      </c>
      <c r="N16" s="28" t="e">
        <f t="shared" si="5"/>
        <v>#REF!</v>
      </c>
      <c r="O16" s="28" t="e">
        <f>Summary!$J$13*'R12'!N16*'R12'!H16</f>
        <v>#REF!</v>
      </c>
    </row>
    <row r="17" spans="2:15" ht="24" customHeight="1">
      <c r="B17" s="30">
        <f t="shared" si="0"/>
        <v>2034</v>
      </c>
      <c r="C17" s="28">
        <f t="shared" si="1"/>
        <v>95</v>
      </c>
      <c r="D17" s="28">
        <v>15</v>
      </c>
      <c r="E17" s="28">
        <f>VLOOKUP(C:C, 'Total Data Set'!B:J, IF(Summary!$F$13="M", 4, 8), FALSE)</f>
        <v>0.179034</v>
      </c>
      <c r="F17" s="28">
        <f t="shared" si="2"/>
        <v>0.82096599999999997</v>
      </c>
      <c r="G17" s="28">
        <f t="shared" si="3"/>
        <v>0.25998295845506253</v>
      </c>
      <c r="H17" s="28">
        <f>1/(1+Summary!$O$3)^D17</f>
        <v>0.48101709809097021</v>
      </c>
      <c r="I17" s="28">
        <f>Summary!$J$13*'R12'!H17*'R12'!G18</f>
        <v>4024.0302384016254</v>
      </c>
      <c r="L17" s="28" t="e">
        <f>IF(Summary!$F$13="M",VLOOKUP(C:C,#REF!,IF(B17&gt;2033,22,MATCH(B17,#REF!,0)),FALSE),VLOOKUP(C:C,#REF!,IF(B17&gt;2033,22,MATCH(B17,#REF!,0)),FALSE))</f>
        <v>#REF!</v>
      </c>
      <c r="M17" s="28" t="e">
        <f t="shared" si="4"/>
        <v>#REF!</v>
      </c>
      <c r="N17" s="28" t="e">
        <f t="shared" si="5"/>
        <v>#REF!</v>
      </c>
      <c r="O17" s="28" t="e">
        <f>Summary!$J$13*'R12'!N17*'R12'!H17</f>
        <v>#REF!</v>
      </c>
    </row>
    <row r="18" spans="2:15" ht="24" customHeight="1">
      <c r="B18" s="30">
        <f t="shared" si="0"/>
        <v>2035</v>
      </c>
      <c r="C18" s="28">
        <f t="shared" si="1"/>
        <v>96</v>
      </c>
      <c r="D18" s="28">
        <v>16</v>
      </c>
      <c r="E18" s="28">
        <f>VLOOKUP(C:C, 'Total Data Set'!B:J, IF(Summary!$F$13="M", 4, 8), FALSE)</f>
        <v>0.19590299999999999</v>
      </c>
      <c r="F18" s="28">
        <f t="shared" si="2"/>
        <v>0.80409700000000006</v>
      </c>
      <c r="G18" s="28">
        <f t="shared" si="3"/>
        <v>0.21343716947101884</v>
      </c>
      <c r="H18" s="28">
        <f>1/(1+Summary!$O$3)^D18</f>
        <v>0.45811152199140021</v>
      </c>
      <c r="I18" s="28">
        <f>Summary!$J$13*'R12'!H18*'R12'!G19</f>
        <v>3081.629183436221</v>
      </c>
      <c r="L18" s="28" t="e">
        <f>IF(Summary!$F$13="M",VLOOKUP(C:C,#REF!,IF(B18&gt;2033,22,MATCH(B18,#REF!,0)),FALSE),VLOOKUP(C:C,#REF!,IF(B18&gt;2033,22,MATCH(B18,#REF!,0)),FALSE))</f>
        <v>#REF!</v>
      </c>
      <c r="M18" s="28" t="e">
        <f t="shared" si="4"/>
        <v>#REF!</v>
      </c>
      <c r="N18" s="28" t="e">
        <f t="shared" si="5"/>
        <v>#REF!</v>
      </c>
      <c r="O18" s="28" t="e">
        <f>Summary!$J$13*'R12'!N18*'R12'!H18</f>
        <v>#REF!</v>
      </c>
    </row>
    <row r="19" spans="2:15" ht="24" customHeight="1">
      <c r="B19" s="30">
        <f t="shared" si="0"/>
        <v>2036</v>
      </c>
      <c r="C19" s="28">
        <f t="shared" si="1"/>
        <v>97</v>
      </c>
      <c r="D19" s="28">
        <v>17</v>
      </c>
      <c r="E19" s="28">
        <f>VLOOKUP(C:C, 'Total Data Set'!B:J, IF(Summary!$F$13="M", 4, 8), FALSE)</f>
        <v>0.213565</v>
      </c>
      <c r="F19" s="28">
        <f t="shared" si="2"/>
        <v>0.786435</v>
      </c>
      <c r="G19" s="28">
        <f t="shared" si="3"/>
        <v>0.17162418766013784</v>
      </c>
      <c r="H19" s="28">
        <f>1/(1+Summary!$O$3)^D19</f>
        <v>0.43629668761085727</v>
      </c>
      <c r="I19" s="28">
        <f>Summary!$J$13*'R12'!H19*'R12'!G20</f>
        <v>2308.0962351196799</v>
      </c>
      <c r="L19" s="28" t="e">
        <f>IF(Summary!$F$13="M",VLOOKUP(C:C,#REF!,IF(B19&gt;2033,22,MATCH(B19,#REF!,0)),FALSE),VLOOKUP(C:C,#REF!,IF(B19&gt;2033,22,MATCH(B19,#REF!,0)),FALSE))</f>
        <v>#REF!</v>
      </c>
      <c r="M19" s="28" t="e">
        <f t="shared" si="4"/>
        <v>#REF!</v>
      </c>
      <c r="N19" s="28" t="e">
        <f t="shared" si="5"/>
        <v>#REF!</v>
      </c>
      <c r="O19" s="28" t="e">
        <f>Summary!$J$13*'R12'!N19*'R12'!H19</f>
        <v>#REF!</v>
      </c>
    </row>
    <row r="20" spans="2:15" ht="24" customHeight="1">
      <c r="B20" s="30">
        <f t="shared" si="0"/>
        <v>2037</v>
      </c>
      <c r="C20" s="28">
        <f t="shared" si="1"/>
        <v>98</v>
      </c>
      <c r="D20" s="28">
        <v>18</v>
      </c>
      <c r="E20" s="28">
        <f>VLOOKUP(C:C, 'Total Data Set'!B:J, IF(Summary!$F$13="M", 4, 8), FALSE)</f>
        <v>0.231991</v>
      </c>
      <c r="F20" s="28">
        <f t="shared" si="2"/>
        <v>0.76800899999999994</v>
      </c>
      <c r="G20" s="28">
        <f t="shared" si="3"/>
        <v>0.13497126802250051</v>
      </c>
      <c r="H20" s="28">
        <f>1/(1+Summary!$O$3)^D20</f>
        <v>0.41552065486748313</v>
      </c>
      <c r="I20" s="28">
        <f>Summary!$J$13*'R12'!H20*'R12'!G21</f>
        <v>1688.2273156552669</v>
      </c>
      <c r="L20" s="28" t="e">
        <f>IF(Summary!$F$13="M",VLOOKUP(C:C,#REF!,IF(B20&gt;2033,22,MATCH(B20,#REF!,0)),FALSE),VLOOKUP(C:C,#REF!,IF(B20&gt;2033,22,MATCH(B20,#REF!,0)),FALSE))</f>
        <v>#REF!</v>
      </c>
      <c r="M20" s="28" t="e">
        <f t="shared" si="4"/>
        <v>#REF!</v>
      </c>
      <c r="N20" s="28" t="e">
        <f t="shared" si="5"/>
        <v>#REF!</v>
      </c>
      <c r="O20" s="28" t="e">
        <f>Summary!$J$13*'R12'!N20*'R12'!H20</f>
        <v>#REF!</v>
      </c>
    </row>
    <row r="21" spans="2:15" ht="24" customHeight="1">
      <c r="B21" s="30">
        <f t="shared" si="0"/>
        <v>2038</v>
      </c>
      <c r="C21" s="28">
        <f t="shared" si="1"/>
        <v>99</v>
      </c>
      <c r="D21" s="28">
        <v>19</v>
      </c>
      <c r="E21" s="28">
        <f>VLOOKUP(C:C, 'Total Data Set'!B:J, IF(Summary!$F$13="M", 4, 8), FALSE)</f>
        <v>0.25112299999999999</v>
      </c>
      <c r="F21" s="28">
        <f t="shared" si="2"/>
        <v>0.74887700000000001</v>
      </c>
      <c r="G21" s="28">
        <f t="shared" si="3"/>
        <v>0.10365914858269258</v>
      </c>
      <c r="H21" s="28">
        <f>1/(1+Summary!$O$3)^D21</f>
        <v>0.39573395701665059</v>
      </c>
      <c r="I21" s="28">
        <f>Summary!$J$13*'R12'!H21*'R12'!G22</f>
        <v>1204.0710547294946</v>
      </c>
      <c r="L21" s="28" t="e">
        <f>IF(Summary!$F$13="M",VLOOKUP(C:C,#REF!,IF(B21&gt;2033,22,MATCH(B21,#REF!,0)),FALSE),VLOOKUP(C:C,#REF!,IF(B21&gt;2033,22,MATCH(B21,#REF!,0)),FALSE))</f>
        <v>#REF!</v>
      </c>
      <c r="M21" s="28" t="e">
        <f t="shared" si="4"/>
        <v>#REF!</v>
      </c>
      <c r="N21" s="28" t="e">
        <f t="shared" si="5"/>
        <v>#REF!</v>
      </c>
      <c r="O21" s="28" t="e">
        <f>Summary!$J$13*'R12'!N21*'R12'!H21</f>
        <v>#REF!</v>
      </c>
    </row>
    <row r="22" spans="2:15" ht="24" customHeight="1">
      <c r="B22" s="30">
        <f t="shared" si="0"/>
        <v>2039</v>
      </c>
      <c r="C22" s="28">
        <f t="shared" si="1"/>
        <v>100</v>
      </c>
      <c r="D22" s="28">
        <v>20</v>
      </c>
      <c r="E22" s="28">
        <f>VLOOKUP(C:C, 'Total Data Set'!B:J, IF(Summary!$F$13="M", 4, 8), FALSE)</f>
        <v>0.27085799999999999</v>
      </c>
      <c r="F22" s="28">
        <f t="shared" si="2"/>
        <v>0.72914199999999996</v>
      </c>
      <c r="G22" s="28">
        <f t="shared" si="3"/>
        <v>7.7627952213161072E-2</v>
      </c>
      <c r="H22" s="28">
        <f>1/(1+Summary!$O$3)^D22</f>
        <v>0.37688948287300061</v>
      </c>
      <c r="I22" s="28">
        <f>Summary!$J$13*'R12'!H22*'R12'!G23</f>
        <v>836.13216855959342</v>
      </c>
      <c r="L22" s="28" t="e">
        <f>IF(Summary!$F$13="M",VLOOKUP(C:C,#REF!,IF(B22&gt;2033,22,MATCH(B22,#REF!,0)),FALSE),VLOOKUP(C:C,#REF!,IF(B22&gt;2033,22,MATCH(B22,#REF!,0)),FALSE))</f>
        <v>#REF!</v>
      </c>
      <c r="M22" s="28" t="e">
        <f t="shared" si="4"/>
        <v>#REF!</v>
      </c>
      <c r="N22" s="28" t="e">
        <f t="shared" si="5"/>
        <v>#REF!</v>
      </c>
      <c r="O22" s="28" t="e">
        <f>Summary!$J$13*'R12'!N22*'R12'!H22</f>
        <v>#REF!</v>
      </c>
    </row>
    <row r="23" spans="2:15" ht="24" customHeight="1">
      <c r="B23" s="30">
        <f t="shared" si="0"/>
        <v>2040</v>
      </c>
      <c r="C23" s="28">
        <f t="shared" si="1"/>
        <v>101</v>
      </c>
      <c r="D23" s="28">
        <v>21</v>
      </c>
      <c r="E23" s="28">
        <f>VLOOKUP(C:C, 'Total Data Set'!B:J, IF(Summary!$F$13="M", 4, 8), FALSE)</f>
        <v>0.29104000000000002</v>
      </c>
      <c r="F23" s="28">
        <f t="shared" si="2"/>
        <v>0.70896000000000003</v>
      </c>
      <c r="G23" s="28">
        <f t="shared" si="3"/>
        <v>5.6601800332608684E-2</v>
      </c>
      <c r="H23" s="28">
        <f>1/(1+Summary!$O$3)^D23</f>
        <v>0.35894236464095297</v>
      </c>
      <c r="I23" s="28">
        <f>Summary!$J$13*'R12'!H23*'R12'!G24</f>
        <v>564.55644021143758</v>
      </c>
      <c r="L23" s="28" t="e">
        <f>IF(Summary!$F$13="M",VLOOKUP(C:C,#REF!,IF(B23&gt;2033,22,MATCH(B23,#REF!,0)),FALSE),VLOOKUP(C:C,#REF!,IF(B23&gt;2033,22,MATCH(B23,#REF!,0)),FALSE))</f>
        <v>#REF!</v>
      </c>
      <c r="M23" s="28" t="e">
        <f t="shared" si="4"/>
        <v>#REF!</v>
      </c>
      <c r="N23" s="28" t="e">
        <f t="shared" si="5"/>
        <v>#REF!</v>
      </c>
      <c r="O23" s="28" t="e">
        <f>Summary!$J$13*'R12'!N23*'R12'!H23</f>
        <v>#REF!</v>
      </c>
    </row>
    <row r="24" spans="2:15" ht="24" customHeight="1">
      <c r="B24" s="30">
        <f t="shared" si="0"/>
        <v>2041</v>
      </c>
      <c r="C24" s="28">
        <f t="shared" si="1"/>
        <v>102</v>
      </c>
      <c r="D24" s="28">
        <v>22</v>
      </c>
      <c r="E24" s="28">
        <f>VLOOKUP(C:C, 'Total Data Set'!B:J, IF(Summary!$F$13="M", 4, 8), FALSE)</f>
        <v>0.311444</v>
      </c>
      <c r="F24" s="28">
        <f t="shared" si="2"/>
        <v>0.68855599999999995</v>
      </c>
      <c r="G24" s="28">
        <f t="shared" si="3"/>
        <v>4.0128412363806258E-2</v>
      </c>
      <c r="H24" s="28">
        <f>1/(1+Summary!$O$3)^D24</f>
        <v>0.3418498710866219</v>
      </c>
      <c r="I24" s="28">
        <f>Summary!$J$13*'R12'!H24*'R12'!G25</f>
        <v>370.21783261545391</v>
      </c>
      <c r="L24" s="28" t="e">
        <f>IF(Summary!$F$13="M",VLOOKUP(C:C,#REF!,IF(B24&gt;2033,22,MATCH(B24,#REF!,0)),FALSE),VLOOKUP(C:C,#REF!,IF(B24&gt;2033,22,MATCH(B24,#REF!,0)),FALSE))</f>
        <v>#REF!</v>
      </c>
      <c r="M24" s="28" t="e">
        <f t="shared" si="4"/>
        <v>#REF!</v>
      </c>
      <c r="N24" s="28" t="e">
        <f t="shared" si="5"/>
        <v>#REF!</v>
      </c>
      <c r="O24" s="28" t="e">
        <f>Summary!$J$13*'R12'!N24*'R12'!H24</f>
        <v>#REF!</v>
      </c>
    </row>
    <row r="25" spans="2:15" ht="24" customHeight="1">
      <c r="B25" s="30">
        <f t="shared" si="0"/>
        <v>2042</v>
      </c>
      <c r="C25" s="28">
        <f t="shared" si="1"/>
        <v>103</v>
      </c>
      <c r="D25" s="28">
        <v>23</v>
      </c>
      <c r="E25" s="28">
        <f>VLOOKUP(C:C, 'Total Data Set'!B:J, IF(Summary!$F$13="M", 4, 8), FALSE)</f>
        <v>0.33189999999999997</v>
      </c>
      <c r="F25" s="28">
        <f t="shared" si="2"/>
        <v>0.66810000000000003</v>
      </c>
      <c r="G25" s="28">
        <f t="shared" si="3"/>
        <v>2.7630659103572978E-2</v>
      </c>
      <c r="H25" s="28">
        <f>1/(1+Summary!$O$3)^D25</f>
        <v>0.32557130579678267</v>
      </c>
      <c r="I25" s="28">
        <f>Summary!$J$13*'R12'!H25*'R12'!G26</f>
        <v>235.56431806703304</v>
      </c>
      <c r="L25" s="28" t="e">
        <f>IF(Summary!$F$13="M",VLOOKUP(C:C,#REF!,IF(B25&gt;2033,22,MATCH(B25,#REF!,0)),FALSE),VLOOKUP(C:C,#REF!,IF(B25&gt;2033,22,MATCH(B25,#REF!,0)),FALSE))</f>
        <v>#REF!</v>
      </c>
      <c r="M25" s="28" t="e">
        <f t="shared" si="4"/>
        <v>#REF!</v>
      </c>
      <c r="N25" s="28" t="e">
        <f t="shared" si="5"/>
        <v>#REF!</v>
      </c>
      <c r="O25" s="28" t="e">
        <f>Summary!$J$13*'R12'!N25*'R12'!H25</f>
        <v>#REF!</v>
      </c>
    </row>
    <row r="26" spans="2:15" ht="24" customHeight="1">
      <c r="B26" s="30">
        <f t="shared" si="0"/>
        <v>2043</v>
      </c>
      <c r="C26" s="28">
        <f t="shared" si="1"/>
        <v>104</v>
      </c>
      <c r="D26" s="28">
        <v>24</v>
      </c>
      <c r="E26" s="28">
        <f>VLOOKUP(C:C, 'Total Data Set'!B:J, IF(Summary!$F$13="M", 4, 8), FALSE)</f>
        <v>0.35223199999999999</v>
      </c>
      <c r="F26" s="28">
        <f t="shared" si="2"/>
        <v>0.64776800000000001</v>
      </c>
      <c r="G26" s="28">
        <f t="shared" si="3"/>
        <v>1.8460043347097107E-2</v>
      </c>
      <c r="H26" s="28">
        <f>1/(1+Summary!$O$3)^D26</f>
        <v>0.31006791028265024</v>
      </c>
      <c r="I26" s="28">
        <f>Summary!$J$13*'R12'!H26*'R12'!G27</f>
        <v>145.32478779585321</v>
      </c>
      <c r="L26" s="28" t="e">
        <f>IF(Summary!$F$13="M",VLOOKUP(C:C,#REF!,IF(B26&gt;2033,22,MATCH(B26,#REF!,0)),FALSE),VLOOKUP(C:C,#REF!,IF(B26&gt;2033,22,MATCH(B26,#REF!,0)),FALSE))</f>
        <v>#REF!</v>
      </c>
      <c r="M26" s="28" t="e">
        <f t="shared" si="4"/>
        <v>#REF!</v>
      </c>
      <c r="N26" s="28" t="e">
        <f t="shared" si="5"/>
        <v>#REF!</v>
      </c>
      <c r="O26" s="28" t="e">
        <f>Summary!$J$13*'R12'!N26*'R12'!H26</f>
        <v>#REF!</v>
      </c>
    </row>
    <row r="27" spans="2:15" ht="24" customHeight="1">
      <c r="B27" s="30">
        <f t="shared" si="0"/>
        <v>2044</v>
      </c>
      <c r="C27" s="28">
        <f t="shared" si="1"/>
        <v>105</v>
      </c>
      <c r="D27" s="28">
        <v>25</v>
      </c>
      <c r="E27" s="28">
        <f>VLOOKUP(C:C, 'Total Data Set'!B:J, IF(Summary!$F$13="M", 4, 8), FALSE)</f>
        <v>0.37227300000000002</v>
      </c>
      <c r="F27" s="28">
        <f t="shared" si="2"/>
        <v>0.62772699999999992</v>
      </c>
      <c r="G27" s="28">
        <f t="shared" si="3"/>
        <v>1.1957825358862398E-2</v>
      </c>
      <c r="H27" s="28">
        <f>1/(1+Summary!$O$3)^D27</f>
        <v>0.29530277169776209</v>
      </c>
      <c r="I27" s="28">
        <f>Summary!$J$13*'R12'!H27*'R12'!G28</f>
        <v>86.88027911307384</v>
      </c>
      <c r="L27" s="28" t="e">
        <f>IF(Summary!$F$13="M",VLOOKUP(C:C,#REF!,IF(B27&gt;2033,22,MATCH(B27,#REF!,0)),FALSE),VLOOKUP(C:C,#REF!,IF(B27&gt;2033,22,MATCH(B27,#REF!,0)),FALSE))</f>
        <v>#REF!</v>
      </c>
      <c r="M27" s="28" t="e">
        <f t="shared" si="4"/>
        <v>#REF!</v>
      </c>
      <c r="N27" s="28" t="e">
        <f t="shared" si="5"/>
        <v>#REF!</v>
      </c>
      <c r="O27" s="28" t="e">
        <f>Summary!$J$13*'R12'!N27*'R12'!H27</f>
        <v>#REF!</v>
      </c>
    </row>
    <row r="28" spans="2:15" ht="24" customHeight="1">
      <c r="B28" s="30">
        <f t="shared" si="0"/>
        <v>2045</v>
      </c>
      <c r="C28" s="28">
        <f t="shared" si="1"/>
        <v>106</v>
      </c>
      <c r="D28" s="28">
        <v>26</v>
      </c>
      <c r="E28" s="28">
        <f>VLOOKUP(C:C, 'Total Data Set'!B:J, IF(Summary!$F$13="M", 4, 8), FALSE)</f>
        <v>0.39185999999999999</v>
      </c>
      <c r="F28" s="28">
        <f t="shared" si="2"/>
        <v>0.60814000000000001</v>
      </c>
      <c r="G28" s="28">
        <f t="shared" si="3"/>
        <v>7.5062498390426153E-3</v>
      </c>
      <c r="H28" s="28">
        <f>1/(1+Summary!$O$3)^D28</f>
        <v>0.28124073495024959</v>
      </c>
      <c r="I28" s="28">
        <f>Summary!$J$13*'R12'!H28*'R12'!G29</f>
        <v>50.319402799833064</v>
      </c>
      <c r="L28" s="28" t="e">
        <f>IF(Summary!$F$13="M",VLOOKUP(C:C,#REF!,IF(B28&gt;2033,22,MATCH(B28,#REF!,0)),FALSE),VLOOKUP(C:C,#REF!,IF(B28&gt;2033,22,MATCH(B28,#REF!,0)),FALSE))</f>
        <v>#REF!</v>
      </c>
      <c r="M28" s="28" t="e">
        <f t="shared" si="4"/>
        <v>#REF!</v>
      </c>
      <c r="N28" s="28" t="e">
        <f t="shared" si="5"/>
        <v>#REF!</v>
      </c>
      <c r="O28" s="28" t="e">
        <f>Summary!$J$13*'R12'!N28*'R12'!H28</f>
        <v>#REF!</v>
      </c>
    </row>
    <row r="29" spans="2:15" ht="24" customHeight="1">
      <c r="B29" s="30">
        <f t="shared" si="0"/>
        <v>2046</v>
      </c>
      <c r="C29" s="28">
        <f t="shared" si="1"/>
        <v>107</v>
      </c>
      <c r="D29" s="28">
        <v>27</v>
      </c>
      <c r="E29" s="28">
        <f>VLOOKUP(C:C, 'Total Data Set'!B:J, IF(Summary!$F$13="M", 4, 8), FALSE)</f>
        <v>0.41084900000000002</v>
      </c>
      <c r="F29" s="28">
        <f t="shared" si="2"/>
        <v>0.58915099999999998</v>
      </c>
      <c r="G29" s="28">
        <f t="shared" si="3"/>
        <v>4.564850777115376E-3</v>
      </c>
      <c r="H29" s="28">
        <f>1/(1+Summary!$O$3)^D29</f>
        <v>0.2678483190002377</v>
      </c>
      <c r="I29" s="28">
        <f>Summary!$J$13*'R12'!H29*'R12'!G30</f>
        <v>28.234025218023284</v>
      </c>
      <c r="L29" s="28" t="e">
        <f>IF(Summary!$F$13="M",VLOOKUP(C:C,#REF!,IF(B29&gt;2033,22,MATCH(B29,#REF!,0)),FALSE),VLOOKUP(C:C,#REF!,IF(B29&gt;2033,22,MATCH(B29,#REF!,0)),FALSE))</f>
        <v>#REF!</v>
      </c>
      <c r="M29" s="28" t="e">
        <f t="shared" si="4"/>
        <v>#REF!</v>
      </c>
      <c r="N29" s="28" t="e">
        <f t="shared" si="5"/>
        <v>#REF!</v>
      </c>
      <c r="O29" s="28" t="e">
        <f>Summary!$J$13*'R12'!N29*'R12'!H29</f>
        <v>#REF!</v>
      </c>
    </row>
    <row r="30" spans="2:15" ht="24" customHeight="1">
      <c r="B30" s="30">
        <f t="shared" si="0"/>
        <v>2047</v>
      </c>
      <c r="C30" s="28">
        <f t="shared" si="1"/>
        <v>108</v>
      </c>
      <c r="D30" s="28">
        <v>28</v>
      </c>
      <c r="E30" s="28">
        <f>VLOOKUP(C:C, 'Total Data Set'!B:J, IF(Summary!$F$13="M", 4, 8), FALSE)</f>
        <v>0.42911199999999999</v>
      </c>
      <c r="F30" s="28">
        <f t="shared" si="2"/>
        <v>0.57088800000000006</v>
      </c>
      <c r="G30" s="28">
        <f t="shared" si="3"/>
        <v>2.6893864001883007E-3</v>
      </c>
      <c r="H30" s="28">
        <f>1/(1+Summary!$O$3)^D30</f>
        <v>0.25509363714308358</v>
      </c>
      <c r="I30" s="28">
        <f>Summary!$J$13*'R12'!H30*'R12'!G31</f>
        <v>15.350920179682744</v>
      </c>
      <c r="L30" s="28" t="e">
        <f>IF(Summary!$F$13="M",VLOOKUP(C:C,#REF!,IF(B30&gt;2033,22,MATCH(B30,#REF!,0)),FALSE),VLOOKUP(C:C,#REF!,IF(B30&gt;2033,22,MATCH(B30,#REF!,0)),FALSE))</f>
        <v>#REF!</v>
      </c>
      <c r="M30" s="28" t="e">
        <f t="shared" si="4"/>
        <v>#REF!</v>
      </c>
      <c r="N30" s="28" t="e">
        <f t="shared" si="5"/>
        <v>#REF!</v>
      </c>
      <c r="O30" s="28" t="e">
        <f>Summary!$J$13*'R12'!N30*'R12'!H30</f>
        <v>#REF!</v>
      </c>
    </row>
    <row r="31" spans="2:15" ht="24" customHeight="1">
      <c r="B31" s="30">
        <f t="shared" si="0"/>
        <v>2048</v>
      </c>
      <c r="C31" s="28">
        <f t="shared" si="1"/>
        <v>109</v>
      </c>
      <c r="D31" s="28">
        <v>29</v>
      </c>
      <c r="E31" s="28">
        <f>VLOOKUP(C:C, 'Total Data Set'!B:J, IF(Summary!$F$13="M", 4, 8), FALSE)</f>
        <v>0.446544</v>
      </c>
      <c r="F31" s="28">
        <f t="shared" si="2"/>
        <v>0.55345599999999995</v>
      </c>
      <c r="G31" s="28">
        <f t="shared" si="3"/>
        <v>1.5353384232306988E-3</v>
      </c>
      <c r="H31" s="28">
        <f>1/(1+Summary!$O$3)^D31</f>
        <v>0.24294632108865097</v>
      </c>
      <c r="I31" s="28">
        <f>Summary!$J$13*'R12'!H31*'R12'!G32</f>
        <v>8.0914846466347523</v>
      </c>
      <c r="L31" s="28" t="e">
        <f>IF(Summary!$F$13="M",VLOOKUP(C:C,#REF!,IF(B31&gt;2033,22,MATCH(B31,#REF!,0)),FALSE),VLOOKUP(C:C,#REF!,IF(B31&gt;2033,22,MATCH(B31,#REF!,0)),FALSE))</f>
        <v>#REF!</v>
      </c>
      <c r="M31" s="28" t="e">
        <f t="shared" si="4"/>
        <v>#REF!</v>
      </c>
      <c r="N31" s="28" t="e">
        <f t="shared" si="5"/>
        <v>#REF!</v>
      </c>
      <c r="O31" s="28" t="e">
        <f>Summary!$J$13*'R12'!N31*'R12'!H31</f>
        <v>#REF!</v>
      </c>
    </row>
    <row r="32" spans="2:15" ht="24" customHeight="1">
      <c r="B32" s="30">
        <f t="shared" si="0"/>
        <v>2049</v>
      </c>
      <c r="C32" s="28">
        <f t="shared" si="1"/>
        <v>110</v>
      </c>
      <c r="D32" s="28">
        <v>30</v>
      </c>
      <c r="E32" s="28">
        <f>VLOOKUP(C:C, 'Total Data Set'!B:J, IF(Summary!$F$13="M", 4, 8), FALSE)</f>
        <v>0.463061</v>
      </c>
      <c r="F32" s="28">
        <f t="shared" si="2"/>
        <v>0.53693900000000006</v>
      </c>
      <c r="G32" s="28">
        <f t="shared" si="3"/>
        <v>8.4974226236756952E-4</v>
      </c>
      <c r="H32" s="28">
        <f>1/(1+Summary!$O$3)^D32</f>
        <v>0.23137744865585813</v>
      </c>
      <c r="I32" s="28">
        <f>Summary!$J$13*'R12'!H32*'R12'!G33</f>
        <v>4.1377463568375417</v>
      </c>
      <c r="L32" s="28" t="e">
        <f>IF(Summary!$F$13="M",VLOOKUP(C:C,#REF!,IF(B32&gt;2033,22,MATCH(B32,#REF!,0)),FALSE),VLOOKUP(C:C,#REF!,IF(B32&gt;2033,22,MATCH(B32,#REF!,0)),FALSE))</f>
        <v>#REF!</v>
      </c>
      <c r="M32" s="28" t="e">
        <f t="shared" si="4"/>
        <v>#REF!</v>
      </c>
      <c r="N32" s="28" t="e">
        <f t="shared" si="5"/>
        <v>#REF!</v>
      </c>
      <c r="O32" s="28" t="e">
        <f>Summary!$J$13*'R12'!N32*'R12'!H32</f>
        <v>#REF!</v>
      </c>
    </row>
    <row r="33" spans="2:15" ht="24" customHeight="1">
      <c r="B33" s="30">
        <f t="shared" si="0"/>
        <v>2050</v>
      </c>
      <c r="C33" s="28">
        <f t="shared" si="1"/>
        <v>111</v>
      </c>
      <c r="D33" s="28">
        <v>31</v>
      </c>
      <c r="E33" s="28">
        <f>VLOOKUP(C:C, 'Total Data Set'!B:J, IF(Summary!$F$13="M", 4, 8), FALSE)</f>
        <v>0.47860399999999997</v>
      </c>
      <c r="F33" s="28">
        <f t="shared" si="2"/>
        <v>0.52139599999999997</v>
      </c>
      <c r="G33" s="28">
        <f t="shared" si="3"/>
        <v>4.5625976061338048E-4</v>
      </c>
      <c r="H33" s="28">
        <f>1/(1+Summary!$O$3)^D33</f>
        <v>0.220359474910341</v>
      </c>
      <c r="I33" s="28">
        <f>Summary!$J$13*'R12'!H33*'R12'!G34</f>
        <v>2.0546708566377769</v>
      </c>
      <c r="L33" s="28" t="e">
        <f>IF(Summary!$F$13="M",VLOOKUP(C:C,#REF!,IF(B33&gt;2033,22,MATCH(B33,#REF!,0)),FALSE),VLOOKUP(C:C,#REF!,IF(B33&gt;2033,22,MATCH(B33,#REF!,0)),FALSE))</f>
        <v>#REF!</v>
      </c>
      <c r="M33" s="28" t="e">
        <f t="shared" si="4"/>
        <v>#REF!</v>
      </c>
      <c r="N33" s="28" t="e">
        <f t="shared" si="5"/>
        <v>#REF!</v>
      </c>
      <c r="O33" s="28" t="e">
        <f>Summary!$J$13*'R12'!N33*'R12'!H33</f>
        <v>#REF!</v>
      </c>
    </row>
    <row r="34" spans="2:15" ht="24" customHeight="1">
      <c r="B34" s="30">
        <f t="shared" si="0"/>
        <v>2051</v>
      </c>
      <c r="C34" s="28">
        <f t="shared" si="1"/>
        <v>112</v>
      </c>
      <c r="D34" s="28">
        <v>32</v>
      </c>
      <c r="E34" s="28">
        <f>VLOOKUP(C:C, 'Total Data Set'!B:J, IF(Summary!$F$13="M", 4, 8), FALSE)</f>
        <v>0.49313699999999999</v>
      </c>
      <c r="F34" s="28">
        <f t="shared" si="2"/>
        <v>0.50686300000000006</v>
      </c>
      <c r="G34" s="28">
        <f t="shared" si="3"/>
        <v>2.378920141447741E-4</v>
      </c>
      <c r="H34" s="28">
        <f>1/(1+Summary!$O$3)^D34</f>
        <v>0.20986616658127716</v>
      </c>
      <c r="I34" s="28">
        <f>Summary!$J$13*'R12'!H34*'R12'!G35</f>
        <v>0.99184441372189902</v>
      </c>
      <c r="L34" s="28" t="e">
        <f>IF(Summary!$F$13="M",VLOOKUP(C:C,#REF!,IF(B34&gt;2033,22,MATCH(B34,#REF!,0)),FALSE),VLOOKUP(C:C,#REF!,IF(B34&gt;2033,22,MATCH(B34,#REF!,0)),FALSE))</f>
        <v>#REF!</v>
      </c>
      <c r="M34" s="28" t="e">
        <f t="shared" si="4"/>
        <v>#REF!</v>
      </c>
      <c r="N34" s="28" t="e">
        <f t="shared" si="5"/>
        <v>#REF!</v>
      </c>
      <c r="O34" s="28" t="e">
        <f>Summary!$J$13*'R12'!N34*'R12'!H34</f>
        <v>#REF!</v>
      </c>
    </row>
    <row r="35" spans="2:15" ht="24" customHeight="1">
      <c r="B35" s="30">
        <f t="shared" si="0"/>
        <v>2052</v>
      </c>
      <c r="C35" s="28">
        <f t="shared" si="1"/>
        <v>113</v>
      </c>
      <c r="D35" s="28">
        <v>33</v>
      </c>
      <c r="E35" s="28">
        <f>VLOOKUP(C:C, 'Total Data Set'!B:J, IF(Summary!$F$13="M", 4, 8), FALSE)</f>
        <v>0.5</v>
      </c>
      <c r="F35" s="28">
        <f t="shared" si="2"/>
        <v>0.5</v>
      </c>
      <c r="G35" s="28">
        <f t="shared" si="3"/>
        <v>1.2057865996546265E-4</v>
      </c>
      <c r="H35" s="28">
        <f>1/(1+Summary!$O$3)^D35</f>
        <v>0.19987253960121634</v>
      </c>
      <c r="I35" s="28">
        <f>Summary!$J$13*'R12'!H35*'R12'!G36</f>
        <v>0.47230686367709473</v>
      </c>
      <c r="L35" s="28" t="e">
        <f>IF(Summary!$F$13="M",VLOOKUP(C:C,#REF!,IF(B35&gt;2033,22,MATCH(B35,#REF!,0)),FALSE),VLOOKUP(C:C,#REF!,IF(B35&gt;2033,22,MATCH(B35,#REF!,0)),FALSE))</f>
        <v>#REF!</v>
      </c>
      <c r="M35" s="28" t="e">
        <f t="shared" si="4"/>
        <v>#REF!</v>
      </c>
      <c r="N35" s="28" t="e">
        <f t="shared" si="5"/>
        <v>#REF!</v>
      </c>
      <c r="O35" s="28" t="e">
        <f>Summary!$J$13*'R12'!N35*'R12'!H35</f>
        <v>#REF!</v>
      </c>
    </row>
    <row r="36" spans="2:15" ht="24" customHeight="1">
      <c r="B36" s="30">
        <f t="shared" si="0"/>
        <v>2053</v>
      </c>
      <c r="C36" s="28">
        <f t="shared" si="1"/>
        <v>114</v>
      </c>
      <c r="D36" s="28">
        <v>34</v>
      </c>
      <c r="E36" s="28">
        <f>VLOOKUP(C:C, 'Total Data Set'!B:J, IF(Summary!$F$13="M", 4, 8), FALSE)</f>
        <v>0.5</v>
      </c>
      <c r="F36" s="28">
        <f t="shared" si="2"/>
        <v>0.5</v>
      </c>
      <c r="G36" s="28">
        <f t="shared" si="3"/>
        <v>6.0289329982731323E-5</v>
      </c>
      <c r="H36" s="28">
        <f>1/(1+Summary!$O$3)^D36</f>
        <v>0.19035479962020604</v>
      </c>
      <c r="I36" s="28">
        <f>Summary!$J$13*'R12'!H36*'R12'!G37</f>
        <v>0.22490803032242607</v>
      </c>
      <c r="L36" s="28" t="e">
        <f>IF(Summary!$F$13="M",VLOOKUP(C:C,#REF!,IF(B36&gt;2033,22,MATCH(B36,#REF!,0)),FALSE),VLOOKUP(C:C,#REF!,IF(B36&gt;2033,22,MATCH(B36,#REF!,0)),FALSE))</f>
        <v>#REF!</v>
      </c>
      <c r="M36" s="28" t="e">
        <f t="shared" si="4"/>
        <v>#REF!</v>
      </c>
      <c r="N36" s="28" t="e">
        <f t="shared" si="5"/>
        <v>#REF!</v>
      </c>
      <c r="O36" s="28" t="e">
        <f>Summary!$J$13*'R12'!N36*'R12'!H36</f>
        <v>#REF!</v>
      </c>
    </row>
    <row r="37" spans="2:15" ht="24" customHeight="1">
      <c r="B37" s="30">
        <f t="shared" si="0"/>
        <v>2054</v>
      </c>
      <c r="C37" s="28">
        <f t="shared" si="1"/>
        <v>115</v>
      </c>
      <c r="D37" s="28">
        <v>35</v>
      </c>
      <c r="E37" s="28">
        <f>VLOOKUP(C:C, 'Total Data Set'!B:J, IF(Summary!$F$13="M", 4, 8), FALSE)</f>
        <v>0.5</v>
      </c>
      <c r="F37" s="28">
        <f t="shared" si="2"/>
        <v>0.5</v>
      </c>
      <c r="G37" s="28">
        <f t="shared" si="3"/>
        <v>3.0144664991365662E-5</v>
      </c>
      <c r="H37" s="28">
        <f>1/(1+Summary!$O$3)^D37</f>
        <v>0.18129028535257716</v>
      </c>
      <c r="I37" s="28">
        <f>Summary!$J$13*'R12'!H37*'R12'!G38</f>
        <v>0.10709906205829811</v>
      </c>
      <c r="L37" s="28" t="e">
        <f>IF(Summary!$F$13="M",VLOOKUP(C:C,#REF!,IF(B37&gt;2033,22,MATCH(B37,#REF!,0)),FALSE),VLOOKUP(C:C,#REF!,IF(B37&gt;2033,22,MATCH(B37,#REF!,0)),FALSE))</f>
        <v>#REF!</v>
      </c>
      <c r="M37" s="28" t="e">
        <f t="shared" si="4"/>
        <v>#REF!</v>
      </c>
      <c r="N37" s="28" t="e">
        <f t="shared" si="5"/>
        <v>#REF!</v>
      </c>
      <c r="O37" s="28" t="e">
        <f>Summary!$J$13*'R12'!N37*'R12'!H37</f>
        <v>#REF!</v>
      </c>
    </row>
    <row r="38" spans="2:15" ht="24" customHeight="1">
      <c r="B38" s="30">
        <f t="shared" si="0"/>
        <v>2055</v>
      </c>
      <c r="C38" s="28">
        <f t="shared" si="1"/>
        <v>116</v>
      </c>
      <c r="D38" s="28">
        <v>36</v>
      </c>
      <c r="E38" s="28">
        <f>VLOOKUP(C:C, 'Total Data Set'!B:J, IF(Summary!$F$13="M", 4, 8), FALSE)</f>
        <v>0.5</v>
      </c>
      <c r="F38" s="28">
        <f t="shared" si="2"/>
        <v>0.5</v>
      </c>
      <c r="G38" s="28">
        <f t="shared" si="3"/>
        <v>1.5072332495682831E-5</v>
      </c>
      <c r="H38" s="28">
        <f>1/(1+Summary!$O$3)^D38</f>
        <v>0.17265741462150208</v>
      </c>
      <c r="I38" s="28">
        <f>Summary!$J$13*'R12'!H38*'R12'!G39</f>
        <v>5.0999553361094345E-2</v>
      </c>
      <c r="L38" s="28" t="e">
        <f>IF(Summary!$F$13="M",VLOOKUP(C:C,#REF!,IF(B38&gt;2033,22,MATCH(B38,#REF!,0)),FALSE),VLOOKUP(C:C,#REF!,IF(B38&gt;2033,22,MATCH(B38,#REF!,0)),FALSE))</f>
        <v>#REF!</v>
      </c>
      <c r="M38" s="28" t="e">
        <f t="shared" si="4"/>
        <v>#REF!</v>
      </c>
      <c r="N38" s="28" t="e">
        <f t="shared" si="5"/>
        <v>#REF!</v>
      </c>
      <c r="O38" s="28" t="e">
        <f>Summary!$J$13*'R12'!N38*'R12'!H38</f>
        <v>#REF!</v>
      </c>
    </row>
    <row r="39" spans="2:15" ht="24" customHeight="1">
      <c r="B39" s="30">
        <f t="shared" si="0"/>
        <v>2056</v>
      </c>
      <c r="C39" s="28">
        <f t="shared" si="1"/>
        <v>117</v>
      </c>
      <c r="D39" s="28">
        <v>37</v>
      </c>
      <c r="E39" s="28">
        <f>VLOOKUP(C:C, 'Total Data Set'!B:J, IF(Summary!$F$13="M", 4, 8), FALSE)</f>
        <v>0.5</v>
      </c>
      <c r="F39" s="28">
        <f t="shared" si="2"/>
        <v>0.5</v>
      </c>
      <c r="G39" s="28">
        <f t="shared" si="3"/>
        <v>7.5361662478414154E-6</v>
      </c>
      <c r="H39" s="28">
        <f>1/(1+Summary!$O$3)^D39</f>
        <v>0.1644356329728591</v>
      </c>
      <c r="I39" s="28">
        <f>Summary!$J$13*'R12'!H39*'R12'!G40</f>
        <v>2.4285501600521113E-2</v>
      </c>
      <c r="L39" s="28" t="e">
        <f>IF(Summary!$F$13="M",VLOOKUP(C:C,#REF!,IF(B39&gt;2033,22,MATCH(B39,#REF!,0)),FALSE),VLOOKUP(C:C,#REF!,IF(B39&gt;2033,22,MATCH(B39,#REF!,0)),FALSE))</f>
        <v>#REF!</v>
      </c>
      <c r="M39" s="28" t="e">
        <f t="shared" si="4"/>
        <v>#REF!</v>
      </c>
      <c r="N39" s="28" t="e">
        <f t="shared" si="5"/>
        <v>#REF!</v>
      </c>
      <c r="O39" s="28" t="e">
        <f>Summary!$J$13*'R12'!N39*'R12'!H39</f>
        <v>#REF!</v>
      </c>
    </row>
    <row r="40" spans="2:15" ht="24" customHeight="1">
      <c r="B40" s="30">
        <f t="shared" si="0"/>
        <v>2057</v>
      </c>
      <c r="C40" s="28">
        <f t="shared" si="1"/>
        <v>118</v>
      </c>
      <c r="D40" s="28">
        <v>38</v>
      </c>
      <c r="E40" s="28">
        <f>VLOOKUP(C:C, 'Total Data Set'!B:J, IF(Summary!$F$13="M", 4, 8), FALSE)</f>
        <v>0.5</v>
      </c>
      <c r="F40" s="28">
        <f t="shared" si="2"/>
        <v>0.5</v>
      </c>
      <c r="G40" s="28">
        <f t="shared" si="3"/>
        <v>3.7680831239207077E-6</v>
      </c>
      <c r="H40" s="28">
        <f>1/(1+Summary!$O$3)^D40</f>
        <v>0.15660536473605632</v>
      </c>
      <c r="I40" s="28">
        <f>Summary!$J$13*'R12'!H40*'R12'!G41</f>
        <v>1.1564524571676723E-2</v>
      </c>
      <c r="L40" s="28" t="e">
        <f>IF(Summary!$F$13="M",VLOOKUP(C:C,#REF!,IF(B40&gt;2033,22,MATCH(B40,#REF!,0)),FALSE),VLOOKUP(C:C,#REF!,IF(B40&gt;2033,22,MATCH(B40,#REF!,0)),FALSE))</f>
        <v>#REF!</v>
      </c>
      <c r="M40" s="28" t="e">
        <f t="shared" si="4"/>
        <v>#REF!</v>
      </c>
      <c r="N40" s="28" t="e">
        <f t="shared" si="5"/>
        <v>#REF!</v>
      </c>
      <c r="O40" s="28" t="e">
        <f>Summary!$J$13*'R12'!N40*'R12'!H40</f>
        <v>#REF!</v>
      </c>
    </row>
    <row r="41" spans="2:15" ht="24" customHeight="1">
      <c r="B41" s="30">
        <f t="shared" si="0"/>
        <v>2058</v>
      </c>
      <c r="C41" s="28">
        <f t="shared" si="1"/>
        <v>119</v>
      </c>
      <c r="D41" s="28">
        <v>39</v>
      </c>
      <c r="E41" s="28">
        <f>VLOOKUP(C:C, 'Total Data Set'!B:J, IF(Summary!$F$13="M", 4, 8), FALSE)</f>
        <v>0.5</v>
      </c>
      <c r="F41" s="28">
        <f t="shared" si="2"/>
        <v>0.5</v>
      </c>
      <c r="G41" s="28">
        <f t="shared" si="3"/>
        <v>1.8840415619603539E-6</v>
      </c>
      <c r="H41" s="28">
        <f>1/(1+Summary!$O$3)^D41</f>
        <v>0.14914796641529171</v>
      </c>
      <c r="I41" s="28">
        <f>Summary!$J$13*'R12'!H41*'R12'!G42</f>
        <v>5.506916462703201E-3</v>
      </c>
      <c r="L41" s="28" t="e">
        <f>IF(Summary!$F$13="M",VLOOKUP(C:C,#REF!,IF(B41&gt;2033,22,MATCH(B41,#REF!,0)),FALSE),VLOOKUP(C:C,#REF!,IF(B41&gt;2033,22,MATCH(B41,#REF!,0)),FALSE))</f>
        <v>#REF!</v>
      </c>
      <c r="M41" s="28" t="e">
        <f t="shared" si="4"/>
        <v>#REF!</v>
      </c>
      <c r="N41" s="28" t="e">
        <f t="shared" si="5"/>
        <v>#REF!</v>
      </c>
      <c r="O41" s="28" t="e">
        <f>Summary!$J$13*'R12'!N41*'R12'!H41</f>
        <v>#REF!</v>
      </c>
    </row>
    <row r="42" spans="2:15" ht="24" customHeight="1">
      <c r="B42" s="30">
        <f t="shared" si="0"/>
        <v>2059</v>
      </c>
      <c r="C42" s="28">
        <f t="shared" si="1"/>
        <v>120</v>
      </c>
      <c r="D42" s="28">
        <v>40</v>
      </c>
      <c r="E42" s="28">
        <f>VLOOKUP(C:C, 'Total Data Set'!B:J, IF(Summary!$F$13="M", 4, 8), FALSE)</f>
        <v>1</v>
      </c>
      <c r="F42" s="28">
        <f t="shared" si="2"/>
        <v>0</v>
      </c>
      <c r="G42" s="28">
        <f t="shared" si="3"/>
        <v>9.4202078098017693E-7</v>
      </c>
      <c r="H42" s="28">
        <f>1/(1+Summary!$O$3)^D42</f>
        <v>0.14204568230027784</v>
      </c>
      <c r="I42" s="28">
        <f>Summary!$J$13*'R12'!H42*'R12'!F43</f>
        <v>0</v>
      </c>
      <c r="L42" s="28" t="e">
        <f>IF(Summary!$F$13="M",VLOOKUP(C:C,#REF!,IF(B42&gt;2033,22,MATCH(B42,#REF!,0)),FALSE),VLOOKUP(C:C,#REF!,IF(B42&gt;2033,22,MATCH(B42,#REF!,0)),FALSE))</f>
        <v>#REF!</v>
      </c>
      <c r="M42" s="28" t="e">
        <f t="shared" si="4"/>
        <v>#REF!</v>
      </c>
      <c r="N42" s="28" t="e">
        <f t="shared" si="5"/>
        <v>#REF!</v>
      </c>
      <c r="O42" s="28" t="e">
        <f>Summary!$J$13*'R12'!N42*'R12'!H42</f>
        <v>#REF!</v>
      </c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40"/>
  <sheetViews>
    <sheetView topLeftCell="A40" workbookViewId="0">
      <selection activeCell="A6" sqref="A6"/>
    </sheetView>
  </sheetViews>
  <sheetFormatPr defaultColWidth="18" defaultRowHeight="24" customHeight="1"/>
  <cols>
    <col min="1" max="6" width="18" style="28"/>
    <col min="7" max="7" width="24.140625" style="28" customWidth="1"/>
    <col min="8" max="9" width="18" style="28"/>
    <col min="10" max="10" width="21.7109375" style="28" customWidth="1"/>
    <col min="11" max="16384" width="18" style="28"/>
  </cols>
  <sheetData>
    <row r="1" spans="1:16" ht="24" customHeight="1">
      <c r="A1" s="30" t="s">
        <v>69</v>
      </c>
      <c r="B1" s="30" t="s">
        <v>74</v>
      </c>
      <c r="C1" s="28" t="s">
        <v>28</v>
      </c>
      <c r="D1" s="28" t="s">
        <v>29</v>
      </c>
      <c r="E1" s="28" t="s">
        <v>30</v>
      </c>
      <c r="F1" s="28" t="s">
        <v>71</v>
      </c>
      <c r="G1" s="28" t="s">
        <v>72</v>
      </c>
      <c r="H1" s="28" t="s">
        <v>31</v>
      </c>
      <c r="I1" s="28" t="s">
        <v>32</v>
      </c>
      <c r="J1" s="28" t="s">
        <v>33</v>
      </c>
      <c r="L1" s="39" t="s">
        <v>82</v>
      </c>
      <c r="M1" s="39" t="s">
        <v>77</v>
      </c>
      <c r="N1" s="39" t="s">
        <v>78</v>
      </c>
      <c r="O1" s="39" t="s">
        <v>79</v>
      </c>
      <c r="P1" s="39" t="s">
        <v>80</v>
      </c>
    </row>
    <row r="2" spans="1:16" ht="24" customHeight="1">
      <c r="A2" s="31">
        <v>43647</v>
      </c>
      <c r="B2" s="30">
        <f>YEAR(A2)</f>
        <v>2019</v>
      </c>
      <c r="C2" s="28">
        <f>$A$4+D2</f>
        <v>82</v>
      </c>
      <c r="D2" s="28">
        <v>0</v>
      </c>
      <c r="E2" s="28">
        <f>VLOOKUP(C:C, 'Total Data Set'!B:J, IF(Summary!$F$14="M", 4, 8), FALSE)</f>
        <v>5.5525999999999999E-2</v>
      </c>
      <c r="F2" s="28">
        <f>1-E2</f>
        <v>0.94447400000000004</v>
      </c>
      <c r="G2" s="28">
        <v>1</v>
      </c>
      <c r="H2" s="28">
        <f>1/(1+Summary!$O$3)^D2</f>
        <v>1</v>
      </c>
      <c r="I2" s="28">
        <f>Summary!$J$14*'R13'!H2*'R13'!G2</f>
        <v>27014</v>
      </c>
      <c r="J2" s="28">
        <f>SUM(I2:I40)</f>
        <v>187566.53192582986</v>
      </c>
      <c r="L2" s="28" t="e">
        <f>IF(Summary!$F$14="M",VLOOKUP(C:C,#REF!,IF(B2&gt;2033,22,MATCH(B2,#REF!,0)),FALSE),VLOOKUP(C:C,#REF!,IF(B2&gt;2033,22,MATCH(B2,#REF!,0)),FALSE))</f>
        <v>#REF!</v>
      </c>
      <c r="M2" s="28" t="e">
        <f>1-L2</f>
        <v>#REF!</v>
      </c>
      <c r="N2" s="28">
        <v>1</v>
      </c>
      <c r="O2" s="28">
        <f>Summary!$J$14*'R13'!N2*'R13'!H2</f>
        <v>27014</v>
      </c>
      <c r="P2" s="28" t="e">
        <f>SUM(O2:O40)</f>
        <v>#REF!</v>
      </c>
    </row>
    <row r="3" spans="1:16" ht="24" customHeight="1">
      <c r="A3" s="28" t="s">
        <v>34</v>
      </c>
      <c r="B3" s="30">
        <f>$B2+1</f>
        <v>2020</v>
      </c>
      <c r="C3" s="28">
        <f>$A$4+D3</f>
        <v>83</v>
      </c>
      <c r="D3" s="28">
        <v>1</v>
      </c>
      <c r="E3" s="28">
        <f>VLOOKUP(C:C, 'Total Data Set'!B:J, IF(Summary!$F$14="M", 4, 8), FALSE)</f>
        <v>6.1996000000000002E-2</v>
      </c>
      <c r="F3" s="28">
        <f>1-E3</f>
        <v>0.93800399999999995</v>
      </c>
      <c r="G3" s="28">
        <f>F2</f>
        <v>0.94447400000000004</v>
      </c>
      <c r="H3" s="28">
        <f>1/(1+Summary!$O$3)^D3</f>
        <v>0.95238095238095233</v>
      </c>
      <c r="I3" s="28">
        <f>Summary!$J$14*'R13'!H3*'R13'!G3</f>
        <v>24299.067272380951</v>
      </c>
      <c r="L3" s="28" t="e">
        <f>IF(Summary!$F$14="M",VLOOKUP(C:C,#REF!,IF(B3&gt;2033,22,MATCH(B3,#REF!,0)),FALSE),VLOOKUP(C:C,#REF!,IF(B3&gt;2033,22,MATCH(B3,#REF!,0)),FALSE))</f>
        <v>#REF!</v>
      </c>
      <c r="M3" s="28" t="e">
        <f>1-L3</f>
        <v>#REF!</v>
      </c>
      <c r="N3" s="28" t="e">
        <f>N2*M2</f>
        <v>#REF!</v>
      </c>
      <c r="O3" s="28" t="e">
        <f>Summary!$J$14*'R13'!N3*'R13'!H3</f>
        <v>#REF!</v>
      </c>
    </row>
    <row r="4" spans="1:16" ht="24" customHeight="1">
      <c r="A4" s="28">
        <f>Summary!I14</f>
        <v>82</v>
      </c>
      <c r="B4" s="30">
        <f t="shared" ref="B4:B40" si="0">$B3+1</f>
        <v>2021</v>
      </c>
      <c r="C4" s="28">
        <f t="shared" ref="C4:C40" si="1">$A$4+D4</f>
        <v>84</v>
      </c>
      <c r="D4" s="28">
        <v>2</v>
      </c>
      <c r="E4" s="28">
        <f>VLOOKUP(C:C, 'Total Data Set'!B:J, IF(Summary!$F$14="M", 4, 8), FALSE)</f>
        <v>6.9290000000000004E-2</v>
      </c>
      <c r="F4" s="28">
        <f t="shared" ref="F4:F40" si="2">1-E4</f>
        <v>0.93071000000000004</v>
      </c>
      <c r="G4" s="28">
        <f t="shared" ref="G4:G40" si="3">G3*F3</f>
        <v>0.88592038989599997</v>
      </c>
      <c r="H4" s="28">
        <f>1/(1+Summary!$O$3)^D4</f>
        <v>0.90702947845804982</v>
      </c>
      <c r="I4" s="28">
        <f>Summary!$J$14*'R13'!H4*'R13'!G4</f>
        <v>21707.259331202305</v>
      </c>
      <c r="L4" s="28" t="e">
        <f>IF(Summary!$F$14="M",VLOOKUP(C:C,#REF!,IF(B4&gt;2033,22,MATCH(B4,#REF!,0)),FALSE),VLOOKUP(C:C,#REF!,IF(B4&gt;2033,22,MATCH(B4,#REF!,0)),FALSE))</f>
        <v>#REF!</v>
      </c>
      <c r="M4" s="28" t="e">
        <f t="shared" ref="M4:M40" si="4">1-L4</f>
        <v>#REF!</v>
      </c>
      <c r="N4" s="28" t="e">
        <f t="shared" ref="N4:N40" si="5">N3*M3</f>
        <v>#REF!</v>
      </c>
      <c r="O4" s="28" t="e">
        <f>Summary!$J$14*'R13'!N4*'R13'!H4</f>
        <v>#REF!</v>
      </c>
    </row>
    <row r="5" spans="1:16" ht="24" customHeight="1">
      <c r="B5" s="30">
        <f t="shared" si="0"/>
        <v>2022</v>
      </c>
      <c r="C5" s="28">
        <f t="shared" si="1"/>
        <v>85</v>
      </c>
      <c r="D5" s="28">
        <v>3</v>
      </c>
      <c r="E5" s="28">
        <f>VLOOKUP(C:C, 'Total Data Set'!B:J, IF(Summary!$F$14="M", 4, 8), FALSE)</f>
        <v>7.7496999999999996E-2</v>
      </c>
      <c r="F5" s="28">
        <f t="shared" si="2"/>
        <v>0.92250299999999996</v>
      </c>
      <c r="G5" s="28">
        <f t="shared" si="3"/>
        <v>0.82453496608010612</v>
      </c>
      <c r="H5" s="28">
        <f>1/(1+Summary!$O$3)^D5</f>
        <v>0.86383759853147601</v>
      </c>
      <c r="I5" s="28">
        <f>Summary!$J$14*'R13'!H5*'R13'!G5</f>
        <v>19241.107935374566</v>
      </c>
      <c r="L5" s="28" t="e">
        <f>IF(Summary!$F$14="M",VLOOKUP(C:C,#REF!,IF(B5&gt;2033,22,MATCH(B5,#REF!,0)),FALSE),VLOOKUP(C:C,#REF!,IF(B5&gt;2033,22,MATCH(B5,#REF!,0)),FALSE))</f>
        <v>#REF!</v>
      </c>
      <c r="M5" s="28" t="e">
        <f t="shared" si="4"/>
        <v>#REF!</v>
      </c>
      <c r="N5" s="28" t="e">
        <f t="shared" si="5"/>
        <v>#REF!</v>
      </c>
      <c r="O5" s="28" t="e">
        <f>Summary!$J$14*'R13'!N5*'R13'!H5</f>
        <v>#REF!</v>
      </c>
    </row>
    <row r="6" spans="1:16" ht="24" customHeight="1">
      <c r="B6" s="30">
        <f t="shared" si="0"/>
        <v>2023</v>
      </c>
      <c r="C6" s="28">
        <f t="shared" si="1"/>
        <v>86</v>
      </c>
      <c r="D6" s="28">
        <v>4</v>
      </c>
      <c r="E6" s="28">
        <f>VLOOKUP(C:C, 'Total Data Set'!B:J, IF(Summary!$F$14="M", 4, 8), FALSE)</f>
        <v>8.6711999999999997E-2</v>
      </c>
      <c r="F6" s="28">
        <f t="shared" si="2"/>
        <v>0.91328799999999999</v>
      </c>
      <c r="G6" s="28">
        <f t="shared" si="3"/>
        <v>0.76063597981379616</v>
      </c>
      <c r="H6" s="28">
        <f>1/(1+Summary!$O$3)^D6</f>
        <v>0.82270247479188197</v>
      </c>
      <c r="I6" s="28">
        <f>Summary!$J$14*'R13'!H6*'R13'!G6</f>
        <v>16904.74266067319</v>
      </c>
      <c r="L6" s="28" t="e">
        <f>IF(Summary!$F$14="M",VLOOKUP(C:C,#REF!,IF(B6&gt;2033,22,MATCH(B6,#REF!,0)),FALSE),VLOOKUP(C:C,#REF!,IF(B6&gt;2033,22,MATCH(B6,#REF!,0)),FALSE))</f>
        <v>#REF!</v>
      </c>
      <c r="M6" s="28" t="e">
        <f t="shared" si="4"/>
        <v>#REF!</v>
      </c>
      <c r="N6" s="28" t="e">
        <f t="shared" si="5"/>
        <v>#REF!</v>
      </c>
      <c r="O6" s="28" t="e">
        <f>Summary!$J$14*'R13'!N6*'R13'!H6</f>
        <v>#REF!</v>
      </c>
    </row>
    <row r="7" spans="1:16" ht="24" customHeight="1">
      <c r="B7" s="30">
        <f t="shared" si="0"/>
        <v>2024</v>
      </c>
      <c r="C7" s="28">
        <f t="shared" si="1"/>
        <v>87</v>
      </c>
      <c r="D7" s="28">
        <v>5</v>
      </c>
      <c r="E7" s="28">
        <f>VLOOKUP(C:C, 'Total Data Set'!B:J, IF(Summary!$F$14="M", 4, 8), FALSE)</f>
        <v>9.7037999999999999E-2</v>
      </c>
      <c r="F7" s="28">
        <f t="shared" si="2"/>
        <v>0.90296200000000004</v>
      </c>
      <c r="G7" s="28">
        <f t="shared" si="3"/>
        <v>0.69467971273218221</v>
      </c>
      <c r="H7" s="28">
        <f>1/(1+Summary!$O$3)^D7</f>
        <v>0.78352616646845896</v>
      </c>
      <c r="I7" s="28">
        <f>Summary!$J$14*'R13'!H7*'R13'!G7</f>
        <v>14703.712966743708</v>
      </c>
      <c r="L7" s="28" t="e">
        <f>IF(Summary!$F$14="M",VLOOKUP(C:C,#REF!,IF(B7&gt;2033,22,MATCH(B7,#REF!,0)),FALSE),VLOOKUP(C:C,#REF!,IF(B7&gt;2033,22,MATCH(B7,#REF!,0)),FALSE))</f>
        <v>#REF!</v>
      </c>
      <c r="M7" s="28" t="e">
        <f t="shared" si="4"/>
        <v>#REF!</v>
      </c>
      <c r="N7" s="28" t="e">
        <f t="shared" si="5"/>
        <v>#REF!</v>
      </c>
      <c r="O7" s="28" t="e">
        <f>Summary!$J$14*'R13'!N7*'R13'!H7</f>
        <v>#REF!</v>
      </c>
    </row>
    <row r="8" spans="1:16" ht="24" customHeight="1">
      <c r="B8" s="30">
        <f t="shared" si="0"/>
        <v>2025</v>
      </c>
      <c r="C8" s="28">
        <f t="shared" si="1"/>
        <v>88</v>
      </c>
      <c r="D8" s="28">
        <v>6</v>
      </c>
      <c r="E8" s="28">
        <f>VLOOKUP(C:C, 'Total Data Set'!B:J, IF(Summary!$F$14="M", 4, 8), FALSE)</f>
        <v>0.10859099999999999</v>
      </c>
      <c r="F8" s="28">
        <f t="shared" si="2"/>
        <v>0.89140900000000001</v>
      </c>
      <c r="G8" s="28">
        <f t="shared" si="3"/>
        <v>0.62726938276807676</v>
      </c>
      <c r="H8" s="28">
        <f>1/(1+Summary!$O$3)^D8</f>
        <v>0.74621539663662761</v>
      </c>
      <c r="I8" s="28">
        <f>Summary!$J$14*'R13'!H8*'R13'!G8</f>
        <v>12644.661017025554</v>
      </c>
      <c r="L8" s="28" t="e">
        <f>IF(Summary!$F$14="M",VLOOKUP(C:C,#REF!,IF(B8&gt;2033,22,MATCH(B8,#REF!,0)),FALSE),VLOOKUP(C:C,#REF!,IF(B8&gt;2033,22,MATCH(B8,#REF!,0)),FALSE))</f>
        <v>#REF!</v>
      </c>
      <c r="M8" s="28" t="e">
        <f t="shared" si="4"/>
        <v>#REF!</v>
      </c>
      <c r="N8" s="28" t="e">
        <f t="shared" si="5"/>
        <v>#REF!</v>
      </c>
      <c r="O8" s="28" t="e">
        <f>Summary!$J$14*'R13'!N8*'R13'!H8</f>
        <v>#REF!</v>
      </c>
    </row>
    <row r="9" spans="1:16" ht="24" customHeight="1">
      <c r="B9" s="30">
        <f t="shared" si="0"/>
        <v>2026</v>
      </c>
      <c r="C9" s="28">
        <f t="shared" si="1"/>
        <v>89</v>
      </c>
      <c r="D9" s="28">
        <v>7</v>
      </c>
      <c r="E9" s="28">
        <f>VLOOKUP(C:C, 'Total Data Set'!B:J, IF(Summary!$F$14="M", 4, 8), FALSE)</f>
        <v>0.121499</v>
      </c>
      <c r="F9" s="28">
        <f t="shared" si="2"/>
        <v>0.87850099999999998</v>
      </c>
      <c r="G9" s="28">
        <f t="shared" si="3"/>
        <v>0.55915357322390857</v>
      </c>
      <c r="H9" s="28">
        <f>1/(1+Summary!$O$3)^D9</f>
        <v>0.71068133013012147</v>
      </c>
      <c r="I9" s="28">
        <f>Summary!$J$14*'R13'!H9*'R13'!G9</f>
        <v>10734.823459548317</v>
      </c>
      <c r="L9" s="28" t="e">
        <f>IF(Summary!$F$14="M",VLOOKUP(C:C,#REF!,IF(B9&gt;2033,22,MATCH(B9,#REF!,0)),FALSE),VLOOKUP(C:C,#REF!,IF(B9&gt;2033,22,MATCH(B9,#REF!,0)),FALSE))</f>
        <v>#REF!</v>
      </c>
      <c r="M9" s="28" t="e">
        <f t="shared" si="4"/>
        <v>#REF!</v>
      </c>
      <c r="N9" s="28" t="e">
        <f t="shared" si="5"/>
        <v>#REF!</v>
      </c>
      <c r="O9" s="28" t="e">
        <f>Summary!$J$14*'R13'!N9*'R13'!H9</f>
        <v>#REF!</v>
      </c>
    </row>
    <row r="10" spans="1:16" ht="24" customHeight="1">
      <c r="B10" s="30">
        <f t="shared" si="0"/>
        <v>2027</v>
      </c>
      <c r="C10" s="28">
        <f t="shared" si="1"/>
        <v>90</v>
      </c>
      <c r="D10" s="28">
        <v>8</v>
      </c>
      <c r="E10" s="28">
        <f>VLOOKUP(C:C, 'Total Data Set'!B:J, IF(Summary!$F$14="M", 4, 8), FALSE)</f>
        <v>0.135908</v>
      </c>
      <c r="F10" s="28">
        <f t="shared" si="2"/>
        <v>0.86409199999999997</v>
      </c>
      <c r="G10" s="28">
        <f t="shared" si="3"/>
        <v>0.4912169732307769</v>
      </c>
      <c r="H10" s="28">
        <f>1/(1+Summary!$O$3)^D10</f>
        <v>0.67683936202868722</v>
      </c>
      <c r="I10" s="28">
        <f>Summary!$J$14*'R13'!H10*'R13'!G10</f>
        <v>8981.4791847968172</v>
      </c>
      <c r="L10" s="28" t="e">
        <f>IF(Summary!$F$14="M",VLOOKUP(C:C,#REF!,IF(B10&gt;2033,22,MATCH(B10,#REF!,0)),FALSE),VLOOKUP(C:C,#REF!,IF(B10&gt;2033,22,MATCH(B10,#REF!,0)),FALSE))</f>
        <v>#REF!</v>
      </c>
      <c r="M10" s="28" t="e">
        <f t="shared" si="4"/>
        <v>#REF!</v>
      </c>
      <c r="N10" s="28" t="e">
        <f t="shared" si="5"/>
        <v>#REF!</v>
      </c>
      <c r="O10" s="28" t="e">
        <f>Summary!$J$14*'R13'!N10*'R13'!H10</f>
        <v>#REF!</v>
      </c>
    </row>
    <row r="11" spans="1:16" ht="24" customHeight="1">
      <c r="B11" s="30">
        <f t="shared" si="0"/>
        <v>2028</v>
      </c>
      <c r="C11" s="28">
        <f t="shared" si="1"/>
        <v>91</v>
      </c>
      <c r="D11" s="28">
        <v>9</v>
      </c>
      <c r="E11" s="28">
        <f>VLOOKUP(C:C, 'Total Data Set'!B:J, IF(Summary!$F$14="M", 4, 8), FALSE)</f>
        <v>0.15132200000000001</v>
      </c>
      <c r="F11" s="28">
        <f t="shared" si="2"/>
        <v>0.84867800000000004</v>
      </c>
      <c r="G11" s="28">
        <f t="shared" si="3"/>
        <v>0.42445665683292844</v>
      </c>
      <c r="H11" s="28">
        <f>1/(1+Summary!$O$3)^D11</f>
        <v>0.64460891621779726</v>
      </c>
      <c r="I11" s="28">
        <f>Summary!$J$14*'R13'!H11*'R13'!G11</f>
        <v>7391.2612492851886</v>
      </c>
      <c r="L11" s="28" t="e">
        <f>IF(Summary!$F$14="M",VLOOKUP(C:C,#REF!,IF(B11&gt;2033,22,MATCH(B11,#REF!,0)),FALSE),VLOOKUP(C:C,#REF!,IF(B11&gt;2033,22,MATCH(B11,#REF!,0)),FALSE))</f>
        <v>#REF!</v>
      </c>
      <c r="M11" s="28" t="e">
        <f t="shared" si="4"/>
        <v>#REF!</v>
      </c>
      <c r="N11" s="28" t="e">
        <f t="shared" si="5"/>
        <v>#REF!</v>
      </c>
      <c r="O11" s="28" t="e">
        <f>Summary!$J$14*'R13'!N11*'R13'!H11</f>
        <v>#REF!</v>
      </c>
    </row>
    <row r="12" spans="1:16" ht="24" customHeight="1">
      <c r="B12" s="30">
        <f t="shared" si="0"/>
        <v>2029</v>
      </c>
      <c r="C12" s="28">
        <f t="shared" si="1"/>
        <v>92</v>
      </c>
      <c r="D12" s="28">
        <v>10</v>
      </c>
      <c r="E12" s="28">
        <f>VLOOKUP(C:C, 'Total Data Set'!B:J, IF(Summary!$F$14="M", 4, 8), FALSE)</f>
        <v>0.16742199999999999</v>
      </c>
      <c r="F12" s="28">
        <f t="shared" si="2"/>
        <v>0.83257800000000004</v>
      </c>
      <c r="G12" s="28">
        <f t="shared" si="3"/>
        <v>0.36022702660765604</v>
      </c>
      <c r="H12" s="28">
        <f>1/(1+Summary!$O$3)^D12</f>
        <v>0.61391325354075932</v>
      </c>
      <c r="I12" s="28">
        <f>Summary!$J$14*'R13'!H12*'R13'!G12</f>
        <v>5974.0960138293876</v>
      </c>
      <c r="L12" s="28" t="e">
        <f>IF(Summary!$F$14="M",VLOOKUP(C:C,#REF!,IF(B12&gt;2033,22,MATCH(B12,#REF!,0)),FALSE),VLOOKUP(C:C,#REF!,IF(B12&gt;2033,22,MATCH(B12,#REF!,0)),FALSE))</f>
        <v>#REF!</v>
      </c>
      <c r="M12" s="28" t="e">
        <f t="shared" si="4"/>
        <v>#REF!</v>
      </c>
      <c r="N12" s="28" t="e">
        <f t="shared" si="5"/>
        <v>#REF!</v>
      </c>
      <c r="O12" s="28" t="e">
        <f>Summary!$J$14*'R13'!N12*'R13'!H12</f>
        <v>#REF!</v>
      </c>
    </row>
    <row r="13" spans="1:16" ht="24" customHeight="1">
      <c r="B13" s="30">
        <f t="shared" si="0"/>
        <v>2030</v>
      </c>
      <c r="C13" s="28">
        <f t="shared" si="1"/>
        <v>93</v>
      </c>
      <c r="D13" s="28">
        <v>11</v>
      </c>
      <c r="E13" s="28">
        <f>VLOOKUP(C:C, 'Total Data Set'!B:J, IF(Summary!$F$14="M", 4, 8), FALSE)</f>
        <v>0.18403</v>
      </c>
      <c r="F13" s="28">
        <f t="shared" si="2"/>
        <v>0.81596999999999997</v>
      </c>
      <c r="G13" s="28">
        <f t="shared" si="3"/>
        <v>0.29991709735894906</v>
      </c>
      <c r="H13" s="28">
        <f>1/(1+Summary!$O$3)^D13</f>
        <v>0.5846792890864374</v>
      </c>
      <c r="I13" s="28">
        <f>Summary!$J$14*'R13'!H13*'R13'!G13</f>
        <v>4737.048486668612</v>
      </c>
      <c r="L13" s="28" t="e">
        <f>IF(Summary!$F$14="M",VLOOKUP(C:C,#REF!,IF(B13&gt;2033,22,MATCH(B13,#REF!,0)),FALSE),VLOOKUP(C:C,#REF!,IF(B13&gt;2033,22,MATCH(B13,#REF!,0)),FALSE))</f>
        <v>#REF!</v>
      </c>
      <c r="M13" s="28" t="e">
        <f t="shared" si="4"/>
        <v>#REF!</v>
      </c>
      <c r="N13" s="28" t="e">
        <f t="shared" si="5"/>
        <v>#REF!</v>
      </c>
      <c r="O13" s="28" t="e">
        <f>Summary!$J$14*'R13'!N13*'R13'!H13</f>
        <v>#REF!</v>
      </c>
    </row>
    <row r="14" spans="1:16" ht="24" customHeight="1">
      <c r="B14" s="30">
        <f t="shared" si="0"/>
        <v>2031</v>
      </c>
      <c r="C14" s="28">
        <f t="shared" si="1"/>
        <v>94</v>
      </c>
      <c r="D14" s="28">
        <v>12</v>
      </c>
      <c r="E14" s="28">
        <f>VLOOKUP(C:C, 'Total Data Set'!B:J, IF(Summary!$F$14="M", 4, 8), FALSE)</f>
        <v>0.201074</v>
      </c>
      <c r="F14" s="28">
        <f t="shared" si="2"/>
        <v>0.79892600000000003</v>
      </c>
      <c r="G14" s="28">
        <f t="shared" si="3"/>
        <v>0.24472335393198166</v>
      </c>
      <c r="H14" s="28">
        <f>1/(1+Summary!$O$3)^D14</f>
        <v>0.5568374181775595</v>
      </c>
      <c r="I14" s="28">
        <f>Summary!$J$14*'R13'!H14*'R13'!G14</f>
        <v>3681.2280511114172</v>
      </c>
      <c r="L14" s="28" t="e">
        <f>IF(Summary!$F$14="M",VLOOKUP(C:C,#REF!,IF(B14&gt;2033,22,MATCH(B14,#REF!,0)),FALSE),VLOOKUP(C:C,#REF!,IF(B14&gt;2033,22,MATCH(B14,#REF!,0)),FALSE))</f>
        <v>#REF!</v>
      </c>
      <c r="M14" s="28" t="e">
        <f t="shared" si="4"/>
        <v>#REF!</v>
      </c>
      <c r="N14" s="28" t="e">
        <f t="shared" si="5"/>
        <v>#REF!</v>
      </c>
      <c r="O14" s="28" t="e">
        <f>Summary!$J$14*'R13'!N14*'R13'!H14</f>
        <v>#REF!</v>
      </c>
    </row>
    <row r="15" spans="1:16" ht="24" customHeight="1">
      <c r="B15" s="30">
        <f t="shared" si="0"/>
        <v>2032</v>
      </c>
      <c r="C15" s="28">
        <f t="shared" si="1"/>
        <v>95</v>
      </c>
      <c r="D15" s="28">
        <v>13</v>
      </c>
      <c r="E15" s="28">
        <f>VLOOKUP(C:C, 'Total Data Set'!B:J, IF(Summary!$F$14="M", 4, 8), FALSE)</f>
        <v>0.218559</v>
      </c>
      <c r="F15" s="28">
        <f t="shared" si="2"/>
        <v>0.78144100000000005</v>
      </c>
      <c r="G15" s="28">
        <f t="shared" si="3"/>
        <v>0.19551585026346238</v>
      </c>
      <c r="H15" s="28">
        <f>1/(1+Summary!$O$3)^D15</f>
        <v>0.53032135064529462</v>
      </c>
      <c r="I15" s="28">
        <f>Summary!$J$14*'R13'!H15*'R13'!G15</f>
        <v>2800.979811392609</v>
      </c>
      <c r="L15" s="28" t="e">
        <f>IF(Summary!$F$14="M",VLOOKUP(C:C,#REF!,IF(B15&gt;2033,22,MATCH(B15,#REF!,0)),FALSE),VLOOKUP(C:C,#REF!,IF(B15&gt;2033,22,MATCH(B15,#REF!,0)),FALSE))</f>
        <v>#REF!</v>
      </c>
      <c r="M15" s="28" t="e">
        <f t="shared" si="4"/>
        <v>#REF!</v>
      </c>
      <c r="N15" s="28" t="e">
        <f t="shared" si="5"/>
        <v>#REF!</v>
      </c>
      <c r="O15" s="28" t="e">
        <f>Summary!$J$14*'R13'!N15*'R13'!H15</f>
        <v>#REF!</v>
      </c>
    </row>
    <row r="16" spans="1:16" ht="24" customHeight="1">
      <c r="B16" s="30">
        <f t="shared" si="0"/>
        <v>2033</v>
      </c>
      <c r="C16" s="28">
        <f t="shared" si="1"/>
        <v>96</v>
      </c>
      <c r="D16" s="28">
        <v>14</v>
      </c>
      <c r="E16" s="28">
        <f>VLOOKUP(C:C, 'Total Data Set'!B:J, IF(Summary!$F$14="M", 4, 8), FALSE)</f>
        <v>0.236535</v>
      </c>
      <c r="F16" s="28">
        <f t="shared" si="2"/>
        <v>0.76346500000000006</v>
      </c>
      <c r="G16" s="28">
        <f t="shared" si="3"/>
        <v>0.15278410154573033</v>
      </c>
      <c r="H16" s="28">
        <f>1/(1+Summary!$O$3)^D16</f>
        <v>0.50506795299551888</v>
      </c>
      <c r="I16" s="28">
        <f>Summary!$J$14*'R13'!H16*'R13'!G16</f>
        <v>2084.5718712328121</v>
      </c>
      <c r="L16" s="28" t="e">
        <f>IF(Summary!$F$14="M",VLOOKUP(C:C,#REF!,IF(B16&gt;2033,22,MATCH(B16,#REF!,0)),FALSE),VLOOKUP(C:C,#REF!,IF(B16&gt;2033,22,MATCH(B16,#REF!,0)),FALSE))</f>
        <v>#REF!</v>
      </c>
      <c r="M16" s="28" t="e">
        <f t="shared" si="4"/>
        <v>#REF!</v>
      </c>
      <c r="N16" s="28" t="e">
        <f t="shared" si="5"/>
        <v>#REF!</v>
      </c>
      <c r="O16" s="28" t="e">
        <f>Summary!$J$14*'R13'!N16*'R13'!H16</f>
        <v>#REF!</v>
      </c>
    </row>
    <row r="17" spans="2:15" ht="24" customHeight="1">
      <c r="B17" s="30">
        <f t="shared" si="0"/>
        <v>2034</v>
      </c>
      <c r="C17" s="28">
        <f t="shared" si="1"/>
        <v>97</v>
      </c>
      <c r="D17" s="28">
        <v>15</v>
      </c>
      <c r="E17" s="28">
        <f>VLOOKUP(C:C, 'Total Data Set'!B:J, IF(Summary!$F$14="M", 4, 8), FALSE)</f>
        <v>0.25505899999999998</v>
      </c>
      <c r="F17" s="28">
        <f t="shared" si="2"/>
        <v>0.74494100000000008</v>
      </c>
      <c r="G17" s="28">
        <f t="shared" si="3"/>
        <v>0.11664531408661101</v>
      </c>
      <c r="H17" s="28">
        <f>1/(1+Summary!$O$3)^D17</f>
        <v>0.48101709809097021</v>
      </c>
      <c r="I17" s="28">
        <f>Summary!$J$14*'R13'!H17*'R13'!G17</f>
        <v>1515.7120606388178</v>
      </c>
      <c r="L17" s="28" t="e">
        <f>IF(Summary!$F$14="M",VLOOKUP(C:C,#REF!,IF(B17&gt;2033,22,MATCH(B17,#REF!,0)),FALSE),VLOOKUP(C:C,#REF!,IF(B17&gt;2033,22,MATCH(B17,#REF!,0)),FALSE))</f>
        <v>#REF!</v>
      </c>
      <c r="M17" s="28" t="e">
        <f t="shared" si="4"/>
        <v>#REF!</v>
      </c>
      <c r="N17" s="28" t="e">
        <f t="shared" si="5"/>
        <v>#REF!</v>
      </c>
      <c r="O17" s="28" t="e">
        <f>Summary!$J$14*'R13'!N17*'R13'!H17</f>
        <v>#REF!</v>
      </c>
    </row>
    <row r="18" spans="2:15" ht="24" customHeight="1">
      <c r="B18" s="30">
        <f t="shared" si="0"/>
        <v>2035</v>
      </c>
      <c r="C18" s="28">
        <f t="shared" si="1"/>
        <v>98</v>
      </c>
      <c r="D18" s="28">
        <v>16</v>
      </c>
      <c r="E18" s="28">
        <f>VLOOKUP(C:C, 'Total Data Set'!B:J, IF(Summary!$F$14="M", 4, 8), FALSE)</f>
        <v>0.27417000000000002</v>
      </c>
      <c r="F18" s="28">
        <f t="shared" si="2"/>
        <v>0.72582999999999998</v>
      </c>
      <c r="G18" s="28">
        <f t="shared" si="3"/>
        <v>8.6893876920994095E-2</v>
      </c>
      <c r="H18" s="28">
        <f>1/(1+Summary!$O$3)^D18</f>
        <v>0.45811152199140021</v>
      </c>
      <c r="I18" s="28">
        <f>Summary!$J$14*'R13'!H18*'R13'!G18</f>
        <v>1075.3486268231825</v>
      </c>
      <c r="L18" s="28" t="e">
        <f>IF(Summary!$F$14="M",VLOOKUP(C:C,#REF!,IF(B18&gt;2033,22,MATCH(B18,#REF!,0)),FALSE),VLOOKUP(C:C,#REF!,IF(B18&gt;2033,22,MATCH(B18,#REF!,0)),FALSE))</f>
        <v>#REF!</v>
      </c>
      <c r="M18" s="28" t="e">
        <f t="shared" si="4"/>
        <v>#REF!</v>
      </c>
      <c r="N18" s="28" t="e">
        <f t="shared" si="5"/>
        <v>#REF!</v>
      </c>
      <c r="O18" s="28" t="e">
        <f>Summary!$J$14*'R13'!N18*'R13'!H18</f>
        <v>#REF!</v>
      </c>
    </row>
    <row r="19" spans="2:15" ht="24" customHeight="1">
      <c r="B19" s="30">
        <f t="shared" si="0"/>
        <v>2036</v>
      </c>
      <c r="C19" s="28">
        <f t="shared" si="1"/>
        <v>99</v>
      </c>
      <c r="D19" s="28">
        <v>17</v>
      </c>
      <c r="E19" s="28">
        <f>VLOOKUP(C:C, 'Total Data Set'!B:J, IF(Summary!$F$14="M", 4, 8), FALSE)</f>
        <v>0.293848</v>
      </c>
      <c r="F19" s="28">
        <f t="shared" si="2"/>
        <v>0.706152</v>
      </c>
      <c r="G19" s="28">
        <f t="shared" si="3"/>
        <v>6.3070182685565149E-2</v>
      </c>
      <c r="H19" s="28">
        <f>1/(1+Summary!$O$3)^D19</f>
        <v>0.43629668761085727</v>
      </c>
      <c r="I19" s="28">
        <f>Summary!$J$14*'R13'!H19*'R13'!G19</f>
        <v>743.35266076863854</v>
      </c>
      <c r="L19" s="28" t="e">
        <f>IF(Summary!$F$14="M",VLOOKUP(C:C,#REF!,IF(B19&gt;2033,22,MATCH(B19,#REF!,0)),FALSE),VLOOKUP(C:C,#REF!,IF(B19&gt;2033,22,MATCH(B19,#REF!,0)),FALSE))</f>
        <v>#REF!</v>
      </c>
      <c r="M19" s="28" t="e">
        <f t="shared" si="4"/>
        <v>#REF!</v>
      </c>
      <c r="N19" s="28" t="e">
        <f t="shared" si="5"/>
        <v>#REF!</v>
      </c>
      <c r="O19" s="28" t="e">
        <f>Summary!$J$14*'R13'!N19*'R13'!H19</f>
        <v>#REF!</v>
      </c>
    </row>
    <row r="20" spans="2:15" ht="24" customHeight="1">
      <c r="B20" s="30">
        <f t="shared" si="0"/>
        <v>2037</v>
      </c>
      <c r="C20" s="28">
        <f t="shared" si="1"/>
        <v>100</v>
      </c>
      <c r="D20" s="28">
        <v>18</v>
      </c>
      <c r="E20" s="28">
        <f>VLOOKUP(C:C, 'Total Data Set'!B:J, IF(Summary!$F$14="M", 4, 8), FALSE)</f>
        <v>0.31398799999999999</v>
      </c>
      <c r="F20" s="28">
        <f t="shared" si="2"/>
        <v>0.68601200000000007</v>
      </c>
      <c r="G20" s="28">
        <f t="shared" si="3"/>
        <v>4.4537135643777204E-2</v>
      </c>
      <c r="H20" s="28">
        <f>1/(1+Summary!$O$3)^D20</f>
        <v>0.41552065486748313</v>
      </c>
      <c r="I20" s="28">
        <f>Summary!$J$14*'R13'!H20*'R13'!G20</f>
        <v>499.92377914961497</v>
      </c>
      <c r="L20" s="28" t="e">
        <f>IF(Summary!$F$14="M",VLOOKUP(C:C,#REF!,IF(B20&gt;2033,22,MATCH(B20,#REF!,0)),FALSE),VLOOKUP(C:C,#REF!,IF(B20&gt;2033,22,MATCH(B20,#REF!,0)),FALSE))</f>
        <v>#REF!</v>
      </c>
      <c r="M20" s="28" t="e">
        <f t="shared" si="4"/>
        <v>#REF!</v>
      </c>
      <c r="N20" s="28" t="e">
        <f t="shared" si="5"/>
        <v>#REF!</v>
      </c>
      <c r="O20" s="28" t="e">
        <f>Summary!$J$14*'R13'!N20*'R13'!H20</f>
        <v>#REF!</v>
      </c>
    </row>
    <row r="21" spans="2:15" ht="24" customHeight="1">
      <c r="B21" s="30">
        <f t="shared" si="0"/>
        <v>2038</v>
      </c>
      <c r="C21" s="28">
        <f t="shared" si="1"/>
        <v>101</v>
      </c>
      <c r="D21" s="28">
        <v>19</v>
      </c>
      <c r="E21" s="28">
        <f>VLOOKUP(C:C, 'Total Data Set'!B:J, IF(Summary!$F$14="M", 4, 8), FALSE)</f>
        <v>0.33436500000000002</v>
      </c>
      <c r="F21" s="28">
        <f t="shared" si="2"/>
        <v>0.66563499999999998</v>
      </c>
      <c r="G21" s="28">
        <f t="shared" si="3"/>
        <v>3.0553009497258889E-2</v>
      </c>
      <c r="H21" s="28">
        <f>1/(1+Summary!$O$3)^D21</f>
        <v>0.39573395701665059</v>
      </c>
      <c r="I21" s="28">
        <f>Summary!$J$14*'R13'!H21*'R13'!G21</f>
        <v>326.62258245903394</v>
      </c>
      <c r="L21" s="28" t="e">
        <f>IF(Summary!$F$14="M",VLOOKUP(C:C,#REF!,IF(B21&gt;2033,22,MATCH(B21,#REF!,0)),FALSE),VLOOKUP(C:C,#REF!,IF(B21&gt;2033,22,MATCH(B21,#REF!,0)),FALSE))</f>
        <v>#REF!</v>
      </c>
      <c r="M21" s="28" t="e">
        <f t="shared" si="4"/>
        <v>#REF!</v>
      </c>
      <c r="N21" s="28" t="e">
        <f t="shared" si="5"/>
        <v>#REF!</v>
      </c>
      <c r="O21" s="28" t="e">
        <f>Summary!$J$14*'R13'!N21*'R13'!H21</f>
        <v>#REF!</v>
      </c>
    </row>
    <row r="22" spans="2:15" ht="24" customHeight="1">
      <c r="B22" s="30">
        <f t="shared" si="0"/>
        <v>2039</v>
      </c>
      <c r="C22" s="28">
        <f t="shared" si="1"/>
        <v>102</v>
      </c>
      <c r="D22" s="28">
        <v>20</v>
      </c>
      <c r="E22" s="28">
        <f>VLOOKUP(C:C, 'Total Data Set'!B:J, IF(Summary!$F$14="M", 4, 8), FALSE)</f>
        <v>0.354599</v>
      </c>
      <c r="F22" s="28">
        <f t="shared" si="2"/>
        <v>0.645401</v>
      </c>
      <c r="G22" s="28">
        <f t="shared" si="3"/>
        <v>2.033715247670792E-2</v>
      </c>
      <c r="H22" s="28">
        <f>1/(1+Summary!$O$3)^D22</f>
        <v>0.37688948287300061</v>
      </c>
      <c r="I22" s="28">
        <f>Summary!$J$14*'R13'!H22*'R13'!G22</f>
        <v>207.05849778582768</v>
      </c>
      <c r="L22" s="28" t="e">
        <f>IF(Summary!$F$14="M",VLOOKUP(C:C,#REF!,IF(B22&gt;2033,22,MATCH(B22,#REF!,0)),FALSE),VLOOKUP(C:C,#REF!,IF(B22&gt;2033,22,MATCH(B22,#REF!,0)),FALSE))</f>
        <v>#REF!</v>
      </c>
      <c r="M22" s="28" t="e">
        <f t="shared" si="4"/>
        <v>#REF!</v>
      </c>
      <c r="N22" s="28" t="e">
        <f t="shared" si="5"/>
        <v>#REF!</v>
      </c>
      <c r="O22" s="28" t="e">
        <f>Summary!$J$14*'R13'!N22*'R13'!H22</f>
        <v>#REF!</v>
      </c>
    </row>
    <row r="23" spans="2:15" ht="24" customHeight="1">
      <c r="B23" s="30">
        <f t="shared" si="0"/>
        <v>2040</v>
      </c>
      <c r="C23" s="28">
        <f t="shared" si="1"/>
        <v>103</v>
      </c>
      <c r="D23" s="28">
        <v>21</v>
      </c>
      <c r="E23" s="28">
        <f>VLOOKUP(C:C, 'Total Data Set'!B:J, IF(Summary!$F$14="M", 4, 8), FALSE)</f>
        <v>0.37452400000000002</v>
      </c>
      <c r="F23" s="28">
        <f t="shared" si="2"/>
        <v>0.62547599999999992</v>
      </c>
      <c r="G23" s="28">
        <f t="shared" si="3"/>
        <v>1.3125618545619768E-2</v>
      </c>
      <c r="H23" s="28">
        <f>1/(1+Summary!$O$3)^D23</f>
        <v>0.35894236464095297</v>
      </c>
      <c r="I23" s="28">
        <f>Summary!$J$14*'R13'!H23*'R13'!G23</f>
        <v>127.27215383759142</v>
      </c>
      <c r="L23" s="28" t="e">
        <f>IF(Summary!$F$14="M",VLOOKUP(C:C,#REF!,IF(B23&gt;2033,22,MATCH(B23,#REF!,0)),FALSE),VLOOKUP(C:C,#REF!,IF(B23&gt;2033,22,MATCH(B23,#REF!,0)),FALSE))</f>
        <v>#REF!</v>
      </c>
      <c r="M23" s="28" t="e">
        <f t="shared" si="4"/>
        <v>#REF!</v>
      </c>
      <c r="N23" s="28" t="e">
        <f t="shared" si="5"/>
        <v>#REF!</v>
      </c>
      <c r="O23" s="28" t="e">
        <f>Summary!$J$14*'R13'!N23*'R13'!H23</f>
        <v>#REF!</v>
      </c>
    </row>
    <row r="24" spans="2:15" ht="24" customHeight="1">
      <c r="B24" s="30">
        <f t="shared" si="0"/>
        <v>2041</v>
      </c>
      <c r="C24" s="28">
        <f t="shared" si="1"/>
        <v>104</v>
      </c>
      <c r="D24" s="28">
        <v>22</v>
      </c>
      <c r="E24" s="28">
        <f>VLOOKUP(C:C, 'Total Data Set'!B:J, IF(Summary!$F$14="M", 4, 8), FALSE)</f>
        <v>0.393982</v>
      </c>
      <c r="F24" s="28">
        <f t="shared" si="2"/>
        <v>0.60601799999999995</v>
      </c>
      <c r="G24" s="28">
        <f t="shared" si="3"/>
        <v>8.2097593854400693E-3</v>
      </c>
      <c r="H24" s="28">
        <f>1/(1+Summary!$O$3)^D24</f>
        <v>0.3418498710866219</v>
      </c>
      <c r="I24" s="28">
        <f>Summary!$J$14*'R13'!H24*'R13'!G24</f>
        <v>75.814931136877448</v>
      </c>
      <c r="L24" s="28" t="e">
        <f>IF(Summary!$F$14="M",VLOOKUP(C:C,#REF!,IF(B24&gt;2033,22,MATCH(B24,#REF!,0)),FALSE),VLOOKUP(C:C,#REF!,IF(B24&gt;2033,22,MATCH(B24,#REF!,0)),FALSE))</f>
        <v>#REF!</v>
      </c>
      <c r="M24" s="28" t="e">
        <f t="shared" si="4"/>
        <v>#REF!</v>
      </c>
      <c r="N24" s="28" t="e">
        <f t="shared" si="5"/>
        <v>#REF!</v>
      </c>
      <c r="O24" s="28" t="e">
        <f>Summary!$J$14*'R13'!N24*'R13'!H24</f>
        <v>#REF!</v>
      </c>
    </row>
    <row r="25" spans="2:15" ht="24" customHeight="1">
      <c r="B25" s="30">
        <f t="shared" si="0"/>
        <v>2042</v>
      </c>
      <c r="C25" s="28">
        <f t="shared" si="1"/>
        <v>105</v>
      </c>
      <c r="D25" s="28">
        <v>23</v>
      </c>
      <c r="E25" s="28">
        <f>VLOOKUP(C:C, 'Total Data Set'!B:J, IF(Summary!$F$14="M", 4, 8), FALSE)</f>
        <v>0.412831</v>
      </c>
      <c r="F25" s="28">
        <f t="shared" si="2"/>
        <v>0.58716900000000005</v>
      </c>
      <c r="G25" s="28">
        <f t="shared" si="3"/>
        <v>4.9752619632456195E-3</v>
      </c>
      <c r="H25" s="28">
        <f>1/(1+Summary!$O$3)^D25</f>
        <v>0.32557130579678267</v>
      </c>
      <c r="I25" s="28">
        <f>Summary!$J$14*'R13'!H25*'R13'!G25</f>
        <v>43.757345654960176</v>
      </c>
      <c r="L25" s="28" t="e">
        <f>IF(Summary!$F$14="M",VLOOKUP(C:C,#REF!,IF(B25&gt;2033,22,MATCH(B25,#REF!,0)),FALSE),VLOOKUP(C:C,#REF!,IF(B25&gt;2033,22,MATCH(B25,#REF!,0)),FALSE))</f>
        <v>#REF!</v>
      </c>
      <c r="M25" s="28" t="e">
        <f t="shared" si="4"/>
        <v>#REF!</v>
      </c>
      <c r="N25" s="28" t="e">
        <f t="shared" si="5"/>
        <v>#REF!</v>
      </c>
      <c r="O25" s="28" t="e">
        <f>Summary!$J$14*'R13'!N25*'R13'!H25</f>
        <v>#REF!</v>
      </c>
    </row>
    <row r="26" spans="2:15" ht="24" customHeight="1">
      <c r="B26" s="30">
        <f t="shared" si="0"/>
        <v>2043</v>
      </c>
      <c r="C26" s="28">
        <f t="shared" si="1"/>
        <v>106</v>
      </c>
      <c r="D26" s="28">
        <v>24</v>
      </c>
      <c r="E26" s="28">
        <f>VLOOKUP(C:C, 'Total Data Set'!B:J, IF(Summary!$F$14="M", 4, 8), FALSE)</f>
        <v>0.430946</v>
      </c>
      <c r="F26" s="28">
        <f t="shared" si="2"/>
        <v>0.56905399999999995</v>
      </c>
      <c r="G26" s="28">
        <f t="shared" si="3"/>
        <v>2.9213195916969674E-3</v>
      </c>
      <c r="H26" s="28">
        <f>1/(1+Summary!$O$3)^D26</f>
        <v>0.31006791028265024</v>
      </c>
      <c r="I26" s="28">
        <f>Summary!$J$14*'R13'!H26*'R13'!G26</f>
        <v>24.469482753216493</v>
      </c>
      <c r="L26" s="28" t="e">
        <f>IF(Summary!$F$14="M",VLOOKUP(C:C,#REF!,IF(B26&gt;2033,22,MATCH(B26,#REF!,0)),FALSE),VLOOKUP(C:C,#REF!,IF(B26&gt;2033,22,MATCH(B26,#REF!,0)),FALSE))</f>
        <v>#REF!</v>
      </c>
      <c r="M26" s="28" t="e">
        <f t="shared" si="4"/>
        <v>#REF!</v>
      </c>
      <c r="N26" s="28" t="e">
        <f t="shared" si="5"/>
        <v>#REF!</v>
      </c>
      <c r="O26" s="28" t="e">
        <f>Summary!$J$14*'R13'!N26*'R13'!H26</f>
        <v>#REF!</v>
      </c>
    </row>
    <row r="27" spans="2:15" ht="24" customHeight="1">
      <c r="B27" s="30">
        <f t="shared" si="0"/>
        <v>2044</v>
      </c>
      <c r="C27" s="28">
        <f t="shared" si="1"/>
        <v>107</v>
      </c>
      <c r="D27" s="28">
        <v>25</v>
      </c>
      <c r="E27" s="28">
        <f>VLOOKUP(C:C, 'Total Data Set'!B:J, IF(Summary!$F$14="M", 4, 8), FALSE)</f>
        <v>0.44822699999999999</v>
      </c>
      <c r="F27" s="28">
        <f t="shared" si="2"/>
        <v>0.55177300000000007</v>
      </c>
      <c r="G27" s="28">
        <f t="shared" si="3"/>
        <v>1.6623885989335259E-3</v>
      </c>
      <c r="H27" s="28">
        <f>1/(1+Summary!$O$3)^D27</f>
        <v>0.29530277169776209</v>
      </c>
      <c r="I27" s="28">
        <f>Summary!$J$14*'R13'!H27*'R13'!G27</f>
        <v>13.261387655856053</v>
      </c>
      <c r="L27" s="28" t="e">
        <f>IF(Summary!$F$14="M",VLOOKUP(C:C,#REF!,IF(B27&gt;2033,22,MATCH(B27,#REF!,0)),FALSE),VLOOKUP(C:C,#REF!,IF(B27&gt;2033,22,MATCH(B27,#REF!,0)),FALSE))</f>
        <v>#REF!</v>
      </c>
      <c r="M27" s="28" t="e">
        <f t="shared" si="4"/>
        <v>#REF!</v>
      </c>
      <c r="N27" s="28" t="e">
        <f t="shared" si="5"/>
        <v>#REF!</v>
      </c>
      <c r="O27" s="28" t="e">
        <f>Summary!$J$14*'R13'!N27*'R13'!H27</f>
        <v>#REF!</v>
      </c>
    </row>
    <row r="28" spans="2:15" ht="24" customHeight="1">
      <c r="B28" s="30">
        <f t="shared" si="0"/>
        <v>2045</v>
      </c>
      <c r="C28" s="28">
        <f t="shared" si="1"/>
        <v>108</v>
      </c>
      <c r="D28" s="28">
        <v>26</v>
      </c>
      <c r="E28" s="28">
        <f>VLOOKUP(C:C, 'Total Data Set'!B:J, IF(Summary!$F$14="M", 4, 8), FALSE)</f>
        <v>0.464592</v>
      </c>
      <c r="F28" s="28">
        <f t="shared" si="2"/>
        <v>0.535408</v>
      </c>
      <c r="G28" s="28">
        <f t="shared" si="3"/>
        <v>9.1726114439934854E-4</v>
      </c>
      <c r="H28" s="28">
        <f>1/(1+Summary!$O$3)^D28</f>
        <v>0.28124073495024959</v>
      </c>
      <c r="I28" s="28">
        <f>Summary!$J$14*'R13'!H28*'R13'!G28</f>
        <v>6.9688339533663459</v>
      </c>
      <c r="L28" s="28" t="e">
        <f>IF(Summary!$F$14="M",VLOOKUP(C:C,#REF!,IF(B28&gt;2033,22,MATCH(B28,#REF!,0)),FALSE),VLOOKUP(C:C,#REF!,IF(B28&gt;2033,22,MATCH(B28,#REF!,0)),FALSE))</f>
        <v>#REF!</v>
      </c>
      <c r="M28" s="28" t="e">
        <f t="shared" si="4"/>
        <v>#REF!</v>
      </c>
      <c r="N28" s="28" t="e">
        <f t="shared" si="5"/>
        <v>#REF!</v>
      </c>
      <c r="O28" s="28" t="e">
        <f>Summary!$J$14*'R13'!N28*'R13'!H28</f>
        <v>#REF!</v>
      </c>
    </row>
    <row r="29" spans="2:15" ht="24" customHeight="1">
      <c r="B29" s="30">
        <f t="shared" si="0"/>
        <v>2046</v>
      </c>
      <c r="C29" s="28">
        <f t="shared" si="1"/>
        <v>109</v>
      </c>
      <c r="D29" s="28">
        <v>27</v>
      </c>
      <c r="E29" s="28">
        <f>VLOOKUP(C:C, 'Total Data Set'!B:J, IF(Summary!$F$14="M", 4, 8), FALSE)</f>
        <v>0.479987</v>
      </c>
      <c r="F29" s="28">
        <f t="shared" si="2"/>
        <v>0.52001300000000006</v>
      </c>
      <c r="G29" s="28">
        <f t="shared" si="3"/>
        <v>4.9110895480056638E-4</v>
      </c>
      <c r="H29" s="28">
        <f>1/(1+Summary!$O$3)^D29</f>
        <v>0.2678483190002377</v>
      </c>
      <c r="I29" s="28">
        <f>Summary!$J$14*'R13'!H29*'R13'!G29</f>
        <v>3.5534947136228263</v>
      </c>
      <c r="L29" s="28" t="e">
        <f>IF(Summary!$F$14="M",VLOOKUP(C:C,#REF!,IF(B29&gt;2033,22,MATCH(B29,#REF!,0)),FALSE),VLOOKUP(C:C,#REF!,IF(B29&gt;2033,22,MATCH(B29,#REF!,0)),FALSE))</f>
        <v>#REF!</v>
      </c>
      <c r="M29" s="28" t="e">
        <f t="shared" si="4"/>
        <v>#REF!</v>
      </c>
      <c r="N29" s="28" t="e">
        <f t="shared" si="5"/>
        <v>#REF!</v>
      </c>
      <c r="O29" s="28" t="e">
        <f>Summary!$J$14*'R13'!N29*'R13'!H29</f>
        <v>#REF!</v>
      </c>
    </row>
    <row r="30" spans="2:15" ht="24" customHeight="1">
      <c r="B30" s="30">
        <f t="shared" si="0"/>
        <v>2047</v>
      </c>
      <c r="C30" s="28">
        <f t="shared" si="1"/>
        <v>110</v>
      </c>
      <c r="D30" s="28">
        <v>28</v>
      </c>
      <c r="E30" s="28">
        <f>VLOOKUP(C:C, 'Total Data Set'!B:J, IF(Summary!$F$14="M", 4, 8), FALSE)</f>
        <v>0.49437599999999998</v>
      </c>
      <c r="F30" s="28">
        <f t="shared" si="2"/>
        <v>0.50562400000000007</v>
      </c>
      <c r="G30" s="28">
        <f t="shared" si="3"/>
        <v>2.5538304091270696E-4</v>
      </c>
      <c r="H30" s="28">
        <f>1/(1+Summary!$O$3)^D30</f>
        <v>0.25509363714308358</v>
      </c>
      <c r="I30" s="28">
        <f>Summary!$J$14*'R13'!H30*'R13'!G30</f>
        <v>1.7598699490620453</v>
      </c>
      <c r="L30" s="28" t="e">
        <f>IF(Summary!$F$14="M",VLOOKUP(C:C,#REF!,IF(B30&gt;2033,22,MATCH(B30,#REF!,0)),FALSE),VLOOKUP(C:C,#REF!,IF(B30&gt;2033,22,MATCH(B30,#REF!,0)),FALSE))</f>
        <v>#REF!</v>
      </c>
      <c r="M30" s="28" t="e">
        <f t="shared" si="4"/>
        <v>#REF!</v>
      </c>
      <c r="N30" s="28" t="e">
        <f t="shared" si="5"/>
        <v>#REF!</v>
      </c>
      <c r="O30" s="28" t="e">
        <f>Summary!$J$14*'R13'!N30*'R13'!H30</f>
        <v>#REF!</v>
      </c>
    </row>
    <row r="31" spans="2:15" ht="24" customHeight="1">
      <c r="B31" s="30">
        <f t="shared" si="0"/>
        <v>2048</v>
      </c>
      <c r="C31" s="28">
        <f t="shared" si="1"/>
        <v>111</v>
      </c>
      <c r="D31" s="28">
        <v>29</v>
      </c>
      <c r="E31" s="28">
        <f>VLOOKUP(C:C, 'Total Data Set'!B:J, IF(Summary!$F$14="M", 4, 8), FALSE)</f>
        <v>0.5</v>
      </c>
      <c r="F31" s="28">
        <f t="shared" si="2"/>
        <v>0.5</v>
      </c>
      <c r="G31" s="28">
        <f t="shared" si="3"/>
        <v>1.2912779467844657E-4</v>
      </c>
      <c r="H31" s="28">
        <f>1/(1+Summary!$O$3)^D31</f>
        <v>0.24294632108865097</v>
      </c>
      <c r="I31" s="28">
        <f>Summary!$J$14*'R13'!H31*'R13'!G31</f>
        <v>0.84745950773766432</v>
      </c>
      <c r="L31" s="28" t="e">
        <f>IF(Summary!$F$14="M",VLOOKUP(C:C,#REF!,IF(B31&gt;2033,22,MATCH(B31,#REF!,0)),FALSE),VLOOKUP(C:C,#REF!,IF(B31&gt;2033,22,MATCH(B31,#REF!,0)),FALSE))</f>
        <v>#REF!</v>
      </c>
      <c r="M31" s="28" t="e">
        <f t="shared" si="4"/>
        <v>#REF!</v>
      </c>
      <c r="N31" s="28" t="e">
        <f t="shared" si="5"/>
        <v>#REF!</v>
      </c>
      <c r="O31" s="28" t="e">
        <f>Summary!$J$14*'R13'!N31*'R13'!H31</f>
        <v>#REF!</v>
      </c>
    </row>
    <row r="32" spans="2:15" ht="24" customHeight="1">
      <c r="B32" s="30">
        <f t="shared" si="0"/>
        <v>2049</v>
      </c>
      <c r="C32" s="28">
        <f t="shared" si="1"/>
        <v>112</v>
      </c>
      <c r="D32" s="28">
        <v>30</v>
      </c>
      <c r="E32" s="28">
        <f>VLOOKUP(C:C, 'Total Data Set'!B:J, IF(Summary!$F$14="M", 4, 8), FALSE)</f>
        <v>0.5</v>
      </c>
      <c r="F32" s="28">
        <f t="shared" si="2"/>
        <v>0.5</v>
      </c>
      <c r="G32" s="28">
        <f t="shared" si="3"/>
        <v>6.4563897339223284E-5</v>
      </c>
      <c r="H32" s="28">
        <f>1/(1+Summary!$O$3)^D32</f>
        <v>0.23137744865585813</v>
      </c>
      <c r="I32" s="28">
        <f>Summary!$J$14*'R13'!H32*'R13'!G32</f>
        <v>0.40355214654174498</v>
      </c>
      <c r="L32" s="28" t="e">
        <f>IF(Summary!$F$14="M",VLOOKUP(C:C,#REF!,IF(B32&gt;2033,22,MATCH(B32,#REF!,0)),FALSE),VLOOKUP(C:C,#REF!,IF(B32&gt;2033,22,MATCH(B32,#REF!,0)),FALSE))</f>
        <v>#REF!</v>
      </c>
      <c r="M32" s="28" t="e">
        <f t="shared" si="4"/>
        <v>#REF!</v>
      </c>
      <c r="N32" s="28" t="e">
        <f t="shared" si="5"/>
        <v>#REF!</v>
      </c>
      <c r="O32" s="28" t="e">
        <f>Summary!$J$14*'R13'!N32*'R13'!H32</f>
        <v>#REF!</v>
      </c>
    </row>
    <row r="33" spans="2:15" ht="24" customHeight="1">
      <c r="B33" s="30">
        <f t="shared" si="0"/>
        <v>2050</v>
      </c>
      <c r="C33" s="28">
        <f t="shared" si="1"/>
        <v>113</v>
      </c>
      <c r="D33" s="28">
        <v>31</v>
      </c>
      <c r="E33" s="28">
        <f>VLOOKUP(C:C, 'Total Data Set'!B:J, IF(Summary!$F$14="M", 4, 8), FALSE)</f>
        <v>0.5</v>
      </c>
      <c r="F33" s="28">
        <f t="shared" si="2"/>
        <v>0.5</v>
      </c>
      <c r="G33" s="28">
        <f t="shared" si="3"/>
        <v>3.2281948669611642E-5</v>
      </c>
      <c r="H33" s="28">
        <f>1/(1+Summary!$O$3)^D33</f>
        <v>0.220359474910341</v>
      </c>
      <c r="I33" s="28">
        <f>Summary!$J$14*'R13'!H33*'R13'!G33</f>
        <v>0.1921676888294023</v>
      </c>
      <c r="L33" s="28" t="e">
        <f>IF(Summary!$F$14="M",VLOOKUP(C:C,#REF!,IF(B33&gt;2033,22,MATCH(B33,#REF!,0)),FALSE),VLOOKUP(C:C,#REF!,IF(B33&gt;2033,22,MATCH(B33,#REF!,0)),FALSE))</f>
        <v>#REF!</v>
      </c>
      <c r="M33" s="28" t="e">
        <f t="shared" si="4"/>
        <v>#REF!</v>
      </c>
      <c r="N33" s="28" t="e">
        <f t="shared" si="5"/>
        <v>#REF!</v>
      </c>
      <c r="O33" s="28" t="e">
        <f>Summary!$J$14*'R13'!N33*'R13'!H33</f>
        <v>#REF!</v>
      </c>
    </row>
    <row r="34" spans="2:15" ht="24" customHeight="1">
      <c r="B34" s="30">
        <f t="shared" si="0"/>
        <v>2051</v>
      </c>
      <c r="C34" s="28">
        <f t="shared" si="1"/>
        <v>114</v>
      </c>
      <c r="D34" s="28">
        <v>32</v>
      </c>
      <c r="E34" s="28">
        <f>VLOOKUP(C:C, 'Total Data Set'!B:J, IF(Summary!$F$14="M", 4, 8), FALSE)</f>
        <v>0.5</v>
      </c>
      <c r="F34" s="28">
        <f t="shared" si="2"/>
        <v>0.5</v>
      </c>
      <c r="G34" s="28">
        <f t="shared" si="3"/>
        <v>1.6140974334805821E-5</v>
      </c>
      <c r="H34" s="28">
        <f>1/(1+Summary!$O$3)^D34</f>
        <v>0.20986616658127716</v>
      </c>
      <c r="I34" s="28">
        <f>Summary!$J$14*'R13'!H34*'R13'!G34</f>
        <v>9.1508423252096349E-2</v>
      </c>
      <c r="L34" s="28" t="e">
        <f>IF(Summary!$F$14="M",VLOOKUP(C:C,#REF!,IF(B34&gt;2033,22,MATCH(B34,#REF!,0)),FALSE),VLOOKUP(C:C,#REF!,IF(B34&gt;2033,22,MATCH(B34,#REF!,0)),FALSE))</f>
        <v>#REF!</v>
      </c>
      <c r="M34" s="28" t="e">
        <f t="shared" si="4"/>
        <v>#REF!</v>
      </c>
      <c r="N34" s="28" t="e">
        <f t="shared" si="5"/>
        <v>#REF!</v>
      </c>
      <c r="O34" s="28" t="e">
        <f>Summary!$J$14*'R13'!N34*'R13'!H34</f>
        <v>#REF!</v>
      </c>
    </row>
    <row r="35" spans="2:15" ht="24" customHeight="1">
      <c r="B35" s="30">
        <f t="shared" si="0"/>
        <v>2052</v>
      </c>
      <c r="C35" s="28">
        <f t="shared" si="1"/>
        <v>115</v>
      </c>
      <c r="D35" s="28">
        <v>33</v>
      </c>
      <c r="E35" s="28">
        <f>VLOOKUP(C:C, 'Total Data Set'!B:J, IF(Summary!$F$14="M", 4, 8), FALSE)</f>
        <v>0.5</v>
      </c>
      <c r="F35" s="28">
        <f t="shared" si="2"/>
        <v>0.5</v>
      </c>
      <c r="G35" s="28">
        <f t="shared" si="3"/>
        <v>8.0704871674029105E-6</v>
      </c>
      <c r="H35" s="28">
        <f>1/(1+Summary!$O$3)^D35</f>
        <v>0.19987253960121634</v>
      </c>
      <c r="I35" s="28">
        <f>Summary!$J$14*'R13'!H35*'R13'!G35</f>
        <v>4.3575439643855407E-2</v>
      </c>
      <c r="L35" s="28" t="e">
        <f>IF(Summary!$F$14="M",VLOOKUP(C:C,#REF!,IF(B35&gt;2033,22,MATCH(B35,#REF!,0)),FALSE),VLOOKUP(C:C,#REF!,IF(B35&gt;2033,22,MATCH(B35,#REF!,0)),FALSE))</f>
        <v>#REF!</v>
      </c>
      <c r="M35" s="28" t="e">
        <f t="shared" si="4"/>
        <v>#REF!</v>
      </c>
      <c r="N35" s="28" t="e">
        <f t="shared" si="5"/>
        <v>#REF!</v>
      </c>
      <c r="O35" s="28" t="e">
        <f>Summary!$J$14*'R13'!N35*'R13'!H35</f>
        <v>#REF!</v>
      </c>
    </row>
    <row r="36" spans="2:15" ht="24" customHeight="1">
      <c r="B36" s="30">
        <f t="shared" si="0"/>
        <v>2053</v>
      </c>
      <c r="C36" s="28">
        <f t="shared" si="1"/>
        <v>116</v>
      </c>
      <c r="D36" s="28">
        <v>34</v>
      </c>
      <c r="E36" s="28">
        <f>VLOOKUP(C:C, 'Total Data Set'!B:J, IF(Summary!$F$14="M", 4, 8), FALSE)</f>
        <v>0.5</v>
      </c>
      <c r="F36" s="28">
        <f t="shared" si="2"/>
        <v>0.5</v>
      </c>
      <c r="G36" s="28">
        <f t="shared" si="3"/>
        <v>4.0352435837014552E-6</v>
      </c>
      <c r="H36" s="28">
        <f>1/(1+Summary!$O$3)^D36</f>
        <v>0.19035479962020604</v>
      </c>
      <c r="I36" s="28">
        <f>Summary!$J$14*'R13'!H36*'R13'!G36</f>
        <v>2.0750209354216859E-2</v>
      </c>
      <c r="L36" s="28" t="e">
        <f>IF(Summary!$F$14="M",VLOOKUP(C:C,#REF!,IF(B36&gt;2033,22,MATCH(B36,#REF!,0)),FALSE),VLOOKUP(C:C,#REF!,IF(B36&gt;2033,22,MATCH(B36,#REF!,0)),FALSE))</f>
        <v>#REF!</v>
      </c>
      <c r="M36" s="28" t="e">
        <f t="shared" si="4"/>
        <v>#REF!</v>
      </c>
      <c r="N36" s="28" t="e">
        <f t="shared" si="5"/>
        <v>#REF!</v>
      </c>
      <c r="O36" s="28" t="e">
        <f>Summary!$J$14*'R13'!N36*'R13'!H36</f>
        <v>#REF!</v>
      </c>
    </row>
    <row r="37" spans="2:15" ht="24" customHeight="1">
      <c r="B37" s="30">
        <f t="shared" si="0"/>
        <v>2054</v>
      </c>
      <c r="C37" s="28">
        <f t="shared" si="1"/>
        <v>117</v>
      </c>
      <c r="D37" s="28">
        <v>35</v>
      </c>
      <c r="E37" s="28">
        <f>VLOOKUP(C:C, 'Total Data Set'!B:J, IF(Summary!$F$14="M", 4, 8), FALSE)</f>
        <v>0.5</v>
      </c>
      <c r="F37" s="28">
        <f t="shared" si="2"/>
        <v>0.5</v>
      </c>
      <c r="G37" s="28">
        <f t="shared" si="3"/>
        <v>2.0176217918507276E-6</v>
      </c>
      <c r="H37" s="28">
        <f>1/(1+Summary!$O$3)^D37</f>
        <v>0.18129028535257716</v>
      </c>
      <c r="I37" s="28">
        <f>Summary!$J$14*'R13'!H37*'R13'!G37</f>
        <v>9.8810520734365984E-3</v>
      </c>
      <c r="L37" s="28" t="e">
        <f>IF(Summary!$F$14="M",VLOOKUP(C:C,#REF!,IF(B37&gt;2033,22,MATCH(B37,#REF!,0)),FALSE),VLOOKUP(C:C,#REF!,IF(B37&gt;2033,22,MATCH(B37,#REF!,0)),FALSE))</f>
        <v>#REF!</v>
      </c>
      <c r="M37" s="28" t="e">
        <f t="shared" si="4"/>
        <v>#REF!</v>
      </c>
      <c r="N37" s="28" t="e">
        <f t="shared" si="5"/>
        <v>#REF!</v>
      </c>
      <c r="O37" s="28" t="e">
        <f>Summary!$J$14*'R13'!N37*'R13'!H37</f>
        <v>#REF!</v>
      </c>
    </row>
    <row r="38" spans="2:15" ht="24" customHeight="1">
      <c r="B38" s="30">
        <f t="shared" si="0"/>
        <v>2055</v>
      </c>
      <c r="C38" s="28">
        <f t="shared" si="1"/>
        <v>118</v>
      </c>
      <c r="D38" s="28">
        <v>36</v>
      </c>
      <c r="E38" s="28">
        <f>VLOOKUP(C:C, 'Total Data Set'!B:J, IF(Summary!$F$14="M", 4, 8), FALSE)</f>
        <v>0.5</v>
      </c>
      <c r="F38" s="28">
        <f t="shared" si="2"/>
        <v>0.5</v>
      </c>
      <c r="G38" s="28">
        <f t="shared" si="3"/>
        <v>1.0088108959253638E-6</v>
      </c>
      <c r="H38" s="28">
        <f>1/(1+Summary!$O$3)^D38</f>
        <v>0.17265741462150208</v>
      </c>
      <c r="I38" s="28">
        <f>Summary!$J$14*'R13'!H38*'R13'!G38</f>
        <v>4.7052628921126676E-3</v>
      </c>
      <c r="L38" s="28" t="e">
        <f>IF(Summary!$F$14="M",VLOOKUP(C:C,#REF!,IF(B38&gt;2033,22,MATCH(B38,#REF!,0)),FALSE),VLOOKUP(C:C,#REF!,IF(B38&gt;2033,22,MATCH(B38,#REF!,0)),FALSE))</f>
        <v>#REF!</v>
      </c>
      <c r="M38" s="28" t="e">
        <f t="shared" si="4"/>
        <v>#REF!</v>
      </c>
      <c r="N38" s="28" t="e">
        <f t="shared" si="5"/>
        <v>#REF!</v>
      </c>
      <c r="O38" s="28" t="e">
        <f>Summary!$J$14*'R13'!N38*'R13'!H38</f>
        <v>#REF!</v>
      </c>
    </row>
    <row r="39" spans="2:15" ht="24" customHeight="1">
      <c r="B39" s="30">
        <f t="shared" si="0"/>
        <v>2056</v>
      </c>
      <c r="C39" s="28">
        <f t="shared" si="1"/>
        <v>119</v>
      </c>
      <c r="D39" s="28">
        <v>37</v>
      </c>
      <c r="E39" s="28">
        <f>VLOOKUP(C:C, 'Total Data Set'!B:J, IF(Summary!$F$14="M", 4, 8), FALSE)</f>
        <v>0.5</v>
      </c>
      <c r="F39" s="28">
        <f t="shared" si="2"/>
        <v>0.5</v>
      </c>
      <c r="G39" s="28">
        <f t="shared" si="3"/>
        <v>5.0440544796268191E-7</v>
      </c>
      <c r="H39" s="28">
        <f>1/(1+Summary!$O$3)^D39</f>
        <v>0.1644356329728591</v>
      </c>
      <c r="I39" s="28">
        <f>Summary!$J$14*'R13'!H39*'R13'!G39</f>
        <v>2.2406013771965076E-3</v>
      </c>
      <c r="L39" s="28" t="e">
        <f>IF(Summary!$F$14="M",VLOOKUP(C:C,#REF!,IF(B39&gt;2033,22,MATCH(B39,#REF!,0)),FALSE),VLOOKUP(C:C,#REF!,IF(B39&gt;2033,22,MATCH(B39,#REF!,0)),FALSE))</f>
        <v>#REF!</v>
      </c>
      <c r="M39" s="28" t="e">
        <f t="shared" si="4"/>
        <v>#REF!</v>
      </c>
      <c r="N39" s="28" t="e">
        <f t="shared" si="5"/>
        <v>#REF!</v>
      </c>
      <c r="O39" s="28" t="e">
        <f>Summary!$J$14*'R13'!N39*'R13'!H39</f>
        <v>#REF!</v>
      </c>
    </row>
    <row r="40" spans="2:15" ht="24" customHeight="1">
      <c r="B40" s="30">
        <f t="shared" si="0"/>
        <v>2057</v>
      </c>
      <c r="C40" s="28">
        <f t="shared" si="1"/>
        <v>120</v>
      </c>
      <c r="D40" s="28">
        <v>38</v>
      </c>
      <c r="E40" s="28">
        <f>VLOOKUP(C:C, 'Total Data Set'!B:J, IF(Summary!$F$14="M", 4, 8), FALSE)</f>
        <v>1</v>
      </c>
      <c r="F40" s="28">
        <f t="shared" si="2"/>
        <v>0</v>
      </c>
      <c r="G40" s="28">
        <f t="shared" si="3"/>
        <v>2.5220272398134095E-7</v>
      </c>
      <c r="H40" s="28">
        <f>1/(1+Summary!$O$3)^D40</f>
        <v>0.15660536473605632</v>
      </c>
      <c r="I40" s="28">
        <f>Summary!$J$14*'R13'!H40*'R13'!G40</f>
        <v>1.0669530367602418E-3</v>
      </c>
      <c r="L40" s="28" t="e">
        <f>IF(Summary!$F$14="M",VLOOKUP(C:C,#REF!,IF(B40&gt;2033,22,MATCH(B40,#REF!,0)),FALSE),VLOOKUP(C:C,#REF!,IF(B40&gt;2033,22,MATCH(B40,#REF!,0)),FALSE))</f>
        <v>#REF!</v>
      </c>
      <c r="M40" s="28" t="e">
        <f t="shared" si="4"/>
        <v>#REF!</v>
      </c>
      <c r="N40" s="28" t="e">
        <f t="shared" si="5"/>
        <v>#REF!</v>
      </c>
      <c r="O40" s="28" t="e">
        <f>Summary!$J$14*'R13'!N40*'R13'!H40</f>
        <v>#REF!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37"/>
  <sheetViews>
    <sheetView topLeftCell="A30" workbookViewId="0">
      <selection activeCell="A6" sqref="A6"/>
    </sheetView>
  </sheetViews>
  <sheetFormatPr defaultColWidth="18" defaultRowHeight="24" customHeight="1"/>
  <cols>
    <col min="1" max="6" width="18" style="28"/>
    <col min="7" max="7" width="23.140625" style="28" customWidth="1"/>
    <col min="8" max="9" width="18" style="28"/>
    <col min="10" max="10" width="21.7109375" style="28" customWidth="1"/>
    <col min="11" max="16384" width="18" style="28"/>
  </cols>
  <sheetData>
    <row r="1" spans="1:16" ht="24" customHeight="1">
      <c r="A1" s="30" t="s">
        <v>69</v>
      </c>
      <c r="B1" s="30" t="s">
        <v>74</v>
      </c>
      <c r="C1" s="28" t="s">
        <v>28</v>
      </c>
      <c r="D1" s="28" t="s">
        <v>29</v>
      </c>
      <c r="E1" s="28" t="s">
        <v>30</v>
      </c>
      <c r="F1" s="28" t="s">
        <v>71</v>
      </c>
      <c r="G1" s="28" t="s">
        <v>72</v>
      </c>
      <c r="H1" s="28" t="s">
        <v>31</v>
      </c>
      <c r="I1" s="28" t="s">
        <v>32</v>
      </c>
      <c r="J1" s="28" t="s">
        <v>33</v>
      </c>
      <c r="L1" s="39" t="s">
        <v>82</v>
      </c>
      <c r="M1" s="39" t="s">
        <v>77</v>
      </c>
      <c r="N1" s="39" t="s">
        <v>78</v>
      </c>
      <c r="O1" s="39" t="s">
        <v>79</v>
      </c>
      <c r="P1" s="39" t="s">
        <v>80</v>
      </c>
    </row>
    <row r="2" spans="1:16" ht="24" customHeight="1">
      <c r="A2" s="31">
        <v>43647</v>
      </c>
      <c r="B2" s="30">
        <f>YEAR(A2)</f>
        <v>2019</v>
      </c>
      <c r="C2" s="28">
        <f>$A$4+D2</f>
        <v>85</v>
      </c>
      <c r="D2" s="28">
        <v>0</v>
      </c>
      <c r="E2" s="28">
        <f>VLOOKUP(C:C, 'Total Data Set'!B:J, IF(Summary!$F$15="M", 4, 8), FALSE)</f>
        <v>7.7496999999999996E-2</v>
      </c>
      <c r="F2" s="28">
        <f>1-E2</f>
        <v>0.92250299999999996</v>
      </c>
      <c r="G2" s="28">
        <v>1</v>
      </c>
      <c r="H2" s="28">
        <f>1/(1+Summary!$O$3)^D2</f>
        <v>1</v>
      </c>
      <c r="I2" s="28">
        <f>Summary!$J$15*'R14'!H2*'R14'!G2</f>
        <v>40612</v>
      </c>
      <c r="J2" s="28">
        <f>SUM(I2:I38)</f>
        <v>241771.44612314744</v>
      </c>
      <c r="L2" s="28" t="e">
        <f>IF(Summary!$F$15="M",VLOOKUP(C:C,#REF!,IF(B2&gt;2033,22,MATCH(B2,#REF!,0)),FALSE),VLOOKUP(C:C,#REF!,IF(B2&gt;2033,22,MATCH(B2,#REF!,0)),FALSE))</f>
        <v>#REF!</v>
      </c>
      <c r="M2" s="28" t="e">
        <f>1-L2</f>
        <v>#REF!</v>
      </c>
      <c r="N2" s="28">
        <v>1</v>
      </c>
      <c r="O2" s="28">
        <f>Summary!$J$15*'R14'!N2*'R14'!H2</f>
        <v>40612</v>
      </c>
      <c r="P2" s="28" t="e">
        <f>SUM(O2:O37)</f>
        <v>#REF!</v>
      </c>
    </row>
    <row r="3" spans="1:16" ht="24" customHeight="1">
      <c r="A3" s="28" t="s">
        <v>34</v>
      </c>
      <c r="B3" s="30">
        <f>$B2+1</f>
        <v>2020</v>
      </c>
      <c r="C3" s="28">
        <f>$A$4+D3</f>
        <v>86</v>
      </c>
      <c r="D3" s="28">
        <v>1</v>
      </c>
      <c r="E3" s="28">
        <f>VLOOKUP(C:C, 'Total Data Set'!B:J, IF(Summary!$F$15="M", 4, 8), FALSE)</f>
        <v>8.6711999999999997E-2</v>
      </c>
      <c r="F3" s="28">
        <f>1-E3</f>
        <v>0.91328799999999999</v>
      </c>
      <c r="G3" s="28">
        <f>F2</f>
        <v>0.92250299999999996</v>
      </c>
      <c r="H3" s="28">
        <f>1/(1+Summary!$O$3)^D3</f>
        <v>0.95238095238095233</v>
      </c>
      <c r="I3" s="28">
        <f>Summary!$J$15*'R14'!H3*'R14'!G3</f>
        <v>35680.658891428568</v>
      </c>
      <c r="L3" s="28" t="e">
        <f>IF(Summary!$F$15="M",VLOOKUP(C:C,#REF!,IF(B3&gt;2033,22,MATCH(B3,#REF!,0)),FALSE),VLOOKUP(C:C,#REF!,IF(B3&gt;2033,22,MATCH(B3,#REF!,0)),FALSE))</f>
        <v>#REF!</v>
      </c>
      <c r="M3" s="28" t="e">
        <f>1-L3</f>
        <v>#REF!</v>
      </c>
      <c r="N3" s="28" t="e">
        <f>N2*M2</f>
        <v>#REF!</v>
      </c>
      <c r="O3" s="28" t="e">
        <f>Summary!$J$15*'R14'!N3*'R14'!H3</f>
        <v>#REF!</v>
      </c>
    </row>
    <row r="4" spans="1:16" ht="24" customHeight="1">
      <c r="A4" s="28">
        <f>Summary!I15</f>
        <v>85</v>
      </c>
      <c r="B4" s="30">
        <f t="shared" ref="B4:B37" si="0">$B3+1</f>
        <v>2021</v>
      </c>
      <c r="C4" s="28">
        <f t="shared" ref="C4:C37" si="1">$A$4+D4</f>
        <v>87</v>
      </c>
      <c r="D4" s="28">
        <v>2</v>
      </c>
      <c r="E4" s="28">
        <f>VLOOKUP(C:C, 'Total Data Set'!B:J, IF(Summary!$F$15="M", 4, 8), FALSE)</f>
        <v>9.7037999999999999E-2</v>
      </c>
      <c r="F4" s="28">
        <f t="shared" ref="F4:F37" si="2">1-E4</f>
        <v>0.90296200000000004</v>
      </c>
      <c r="G4" s="28">
        <f t="shared" ref="G4:G37" si="3">G3*F3</f>
        <v>0.84251091986399995</v>
      </c>
      <c r="H4" s="28">
        <f>1/(1+Summary!$O$3)^D4</f>
        <v>0.90702947845804982</v>
      </c>
      <c r="I4" s="28">
        <f>Summary!$J$15*'R14'!H4*'R14'!G4</f>
        <v>31034.969140604775</v>
      </c>
      <c r="L4" s="28" t="e">
        <f>IF(Summary!$F$15="M",VLOOKUP(C:C,#REF!,IF(B4&gt;2033,22,MATCH(B4,#REF!,0)),FALSE),VLOOKUP(C:C,#REF!,IF(B4&gt;2033,22,MATCH(B4,#REF!,0)),FALSE))</f>
        <v>#REF!</v>
      </c>
      <c r="M4" s="28" t="e">
        <f t="shared" ref="M4:M37" si="4">1-L4</f>
        <v>#REF!</v>
      </c>
      <c r="N4" s="28" t="e">
        <f t="shared" ref="N4:N37" si="5">N3*M3</f>
        <v>#REF!</v>
      </c>
      <c r="O4" s="28" t="e">
        <f>Summary!$J$15*'R14'!N4*'R14'!H4</f>
        <v>#REF!</v>
      </c>
    </row>
    <row r="5" spans="1:16" ht="24" customHeight="1">
      <c r="B5" s="30">
        <f t="shared" si="0"/>
        <v>2022</v>
      </c>
      <c r="C5" s="28">
        <f t="shared" si="1"/>
        <v>88</v>
      </c>
      <c r="D5" s="28">
        <v>3</v>
      </c>
      <c r="E5" s="28">
        <f>VLOOKUP(C:C, 'Total Data Set'!B:J, IF(Summary!$F$15="M", 4, 8), FALSE)</f>
        <v>0.10859099999999999</v>
      </c>
      <c r="F5" s="28">
        <f t="shared" si="2"/>
        <v>0.89140900000000001</v>
      </c>
      <c r="G5" s="28">
        <f t="shared" si="3"/>
        <v>0.7607553452222372</v>
      </c>
      <c r="H5" s="28">
        <f>1/(1+Summary!$O$3)^D5</f>
        <v>0.86383759853147601</v>
      </c>
      <c r="I5" s="28">
        <f>Summary!$J$15*'R14'!H5*'R14'!G5</f>
        <v>26688.950290608351</v>
      </c>
      <c r="L5" s="28" t="e">
        <f>IF(Summary!$F$15="M",VLOOKUP(C:C,#REF!,IF(B5&gt;2033,22,MATCH(B5,#REF!,0)),FALSE),VLOOKUP(C:C,#REF!,IF(B5&gt;2033,22,MATCH(B5,#REF!,0)),FALSE))</f>
        <v>#REF!</v>
      </c>
      <c r="M5" s="28" t="e">
        <f t="shared" si="4"/>
        <v>#REF!</v>
      </c>
      <c r="N5" s="28" t="e">
        <f t="shared" si="5"/>
        <v>#REF!</v>
      </c>
      <c r="O5" s="28" t="e">
        <f>Summary!$J$15*'R14'!N5*'R14'!H5</f>
        <v>#REF!</v>
      </c>
    </row>
    <row r="6" spans="1:16" ht="24" customHeight="1">
      <c r="B6" s="30">
        <f t="shared" si="0"/>
        <v>2023</v>
      </c>
      <c r="C6" s="28">
        <f t="shared" si="1"/>
        <v>89</v>
      </c>
      <c r="D6" s="28">
        <v>4</v>
      </c>
      <c r="E6" s="28">
        <f>VLOOKUP(C:C, 'Total Data Set'!B:J, IF(Summary!$F$15="M", 4, 8), FALSE)</f>
        <v>0.121499</v>
      </c>
      <c r="F6" s="28">
        <f t="shared" si="2"/>
        <v>0.87850099999999998</v>
      </c>
      <c r="G6" s="28">
        <f t="shared" si="3"/>
        <v>0.6781441615292092</v>
      </c>
      <c r="H6" s="28">
        <f>1/(1+Summary!$O$3)^D6</f>
        <v>0.82270247479188197</v>
      </c>
      <c r="I6" s="28">
        <f>Summary!$J$15*'R14'!H6*'R14'!G6</f>
        <v>22657.876656762764</v>
      </c>
      <c r="L6" s="28" t="e">
        <f>IF(Summary!$F$15="M",VLOOKUP(C:C,#REF!,IF(B6&gt;2033,22,MATCH(B6,#REF!,0)),FALSE),VLOOKUP(C:C,#REF!,IF(B6&gt;2033,22,MATCH(B6,#REF!,0)),FALSE))</f>
        <v>#REF!</v>
      </c>
      <c r="M6" s="28" t="e">
        <f t="shared" si="4"/>
        <v>#REF!</v>
      </c>
      <c r="N6" s="28" t="e">
        <f t="shared" si="5"/>
        <v>#REF!</v>
      </c>
      <c r="O6" s="28" t="e">
        <f>Summary!$J$15*'R14'!N6*'R14'!H6</f>
        <v>#REF!</v>
      </c>
    </row>
    <row r="7" spans="1:16" ht="24" customHeight="1">
      <c r="B7" s="30">
        <f t="shared" si="0"/>
        <v>2024</v>
      </c>
      <c r="C7" s="28">
        <f t="shared" si="1"/>
        <v>90</v>
      </c>
      <c r="D7" s="28">
        <v>5</v>
      </c>
      <c r="E7" s="28">
        <f>VLOOKUP(C:C, 'Total Data Set'!B:J, IF(Summary!$F$15="M", 4, 8), FALSE)</f>
        <v>0.135908</v>
      </c>
      <c r="F7" s="28">
        <f t="shared" si="2"/>
        <v>0.86409199999999997</v>
      </c>
      <c r="G7" s="28">
        <f t="shared" si="3"/>
        <v>0.59575032404757178</v>
      </c>
      <c r="H7" s="28">
        <f>1/(1+Summary!$O$3)^D7</f>
        <v>0.78352616646845896</v>
      </c>
      <c r="I7" s="28">
        <f>Summary!$J$15*'R14'!H7*'R14'!G7</f>
        <v>18957.111715088326</v>
      </c>
      <c r="L7" s="28" t="e">
        <f>IF(Summary!$F$15="M",VLOOKUP(C:C,#REF!,IF(B7&gt;2033,22,MATCH(B7,#REF!,0)),FALSE),VLOOKUP(C:C,#REF!,IF(B7&gt;2033,22,MATCH(B7,#REF!,0)),FALSE))</f>
        <v>#REF!</v>
      </c>
      <c r="M7" s="28" t="e">
        <f t="shared" si="4"/>
        <v>#REF!</v>
      </c>
      <c r="N7" s="28" t="e">
        <f t="shared" si="5"/>
        <v>#REF!</v>
      </c>
      <c r="O7" s="28" t="e">
        <f>Summary!$J$15*'R14'!N7*'R14'!H7</f>
        <v>#REF!</v>
      </c>
    </row>
    <row r="8" spans="1:16" ht="24" customHeight="1">
      <c r="B8" s="30">
        <f t="shared" si="0"/>
        <v>2025</v>
      </c>
      <c r="C8" s="28">
        <f t="shared" si="1"/>
        <v>91</v>
      </c>
      <c r="D8" s="28">
        <v>6</v>
      </c>
      <c r="E8" s="28">
        <f>VLOOKUP(C:C, 'Total Data Set'!B:J, IF(Summary!$F$15="M", 4, 8), FALSE)</f>
        <v>0.15132200000000001</v>
      </c>
      <c r="F8" s="28">
        <f t="shared" si="2"/>
        <v>0.84867800000000004</v>
      </c>
      <c r="G8" s="28">
        <f t="shared" si="3"/>
        <v>0.51478308900691438</v>
      </c>
      <c r="H8" s="28">
        <f>1/(1+Summary!$O$3)^D8</f>
        <v>0.74621539663662761</v>
      </c>
      <c r="I8" s="28">
        <f>Summary!$J$15*'R14'!H8*'R14'!G8</f>
        <v>15600.655786775334</v>
      </c>
      <c r="L8" s="28" t="e">
        <f>IF(Summary!$F$15="M",VLOOKUP(C:C,#REF!,IF(B8&gt;2033,22,MATCH(B8,#REF!,0)),FALSE),VLOOKUP(C:C,#REF!,IF(B8&gt;2033,22,MATCH(B8,#REF!,0)),FALSE))</f>
        <v>#REF!</v>
      </c>
      <c r="M8" s="28" t="e">
        <f t="shared" si="4"/>
        <v>#REF!</v>
      </c>
      <c r="N8" s="28" t="e">
        <f t="shared" si="5"/>
        <v>#REF!</v>
      </c>
      <c r="O8" s="28" t="e">
        <f>Summary!$J$15*'R14'!N8*'R14'!H8</f>
        <v>#REF!</v>
      </c>
    </row>
    <row r="9" spans="1:16" ht="24" customHeight="1">
      <c r="B9" s="30">
        <f t="shared" si="0"/>
        <v>2026</v>
      </c>
      <c r="C9" s="28">
        <f t="shared" si="1"/>
        <v>92</v>
      </c>
      <c r="D9" s="28">
        <v>7</v>
      </c>
      <c r="E9" s="28">
        <f>VLOOKUP(C:C, 'Total Data Set'!B:J, IF(Summary!$F$15="M", 4, 8), FALSE)</f>
        <v>0.16742199999999999</v>
      </c>
      <c r="F9" s="28">
        <f t="shared" si="2"/>
        <v>0.83257800000000004</v>
      </c>
      <c r="G9" s="28">
        <f t="shared" si="3"/>
        <v>0.43688508241221014</v>
      </c>
      <c r="H9" s="28">
        <f>1/(1+Summary!$O$3)^D9</f>
        <v>0.71068133013012147</v>
      </c>
      <c r="I9" s="28">
        <f>Summary!$J$15*'R14'!H9*'R14'!G9</f>
        <v>12609.460335056112</v>
      </c>
      <c r="L9" s="28" t="e">
        <f>IF(Summary!$F$15="M",VLOOKUP(C:C,#REF!,IF(B9&gt;2033,22,MATCH(B9,#REF!,0)),FALSE),VLOOKUP(C:C,#REF!,IF(B9&gt;2033,22,MATCH(B9,#REF!,0)),FALSE))</f>
        <v>#REF!</v>
      </c>
      <c r="M9" s="28" t="e">
        <f t="shared" si="4"/>
        <v>#REF!</v>
      </c>
      <c r="N9" s="28" t="e">
        <f t="shared" si="5"/>
        <v>#REF!</v>
      </c>
      <c r="O9" s="28" t="e">
        <f>Summary!$J$15*'R14'!N9*'R14'!H9</f>
        <v>#REF!</v>
      </c>
    </row>
    <row r="10" spans="1:16" ht="24" customHeight="1">
      <c r="B10" s="30">
        <f t="shared" si="0"/>
        <v>2027</v>
      </c>
      <c r="C10" s="28">
        <f t="shared" si="1"/>
        <v>93</v>
      </c>
      <c r="D10" s="28">
        <v>8</v>
      </c>
      <c r="E10" s="28">
        <f>VLOOKUP(C:C, 'Total Data Set'!B:J, IF(Summary!$F$15="M", 4, 8), FALSE)</f>
        <v>0.18403</v>
      </c>
      <c r="F10" s="28">
        <f t="shared" si="2"/>
        <v>0.81596999999999997</v>
      </c>
      <c r="G10" s="28">
        <f t="shared" si="3"/>
        <v>0.36374090814459309</v>
      </c>
      <c r="H10" s="28">
        <f>1/(1+Summary!$O$3)^D10</f>
        <v>0.67683936202868722</v>
      </c>
      <c r="I10" s="28">
        <f>Summary!$J$15*'R14'!H10*'R14'!G10</f>
        <v>9998.4373969908083</v>
      </c>
      <c r="L10" s="28" t="e">
        <f>IF(Summary!$F$15="M",VLOOKUP(C:C,#REF!,IF(B10&gt;2033,22,MATCH(B10,#REF!,0)),FALSE),VLOOKUP(C:C,#REF!,IF(B10&gt;2033,22,MATCH(B10,#REF!,0)),FALSE))</f>
        <v>#REF!</v>
      </c>
      <c r="M10" s="28" t="e">
        <f t="shared" si="4"/>
        <v>#REF!</v>
      </c>
      <c r="N10" s="28" t="e">
        <f t="shared" si="5"/>
        <v>#REF!</v>
      </c>
      <c r="O10" s="28" t="e">
        <f>Summary!$J$15*'R14'!N10*'R14'!H10</f>
        <v>#REF!</v>
      </c>
    </row>
    <row r="11" spans="1:16" ht="24" customHeight="1">
      <c r="B11" s="30">
        <f t="shared" si="0"/>
        <v>2028</v>
      </c>
      <c r="C11" s="28">
        <f t="shared" si="1"/>
        <v>94</v>
      </c>
      <c r="D11" s="28">
        <v>9</v>
      </c>
      <c r="E11" s="28">
        <f>VLOOKUP(C:C, 'Total Data Set'!B:J, IF(Summary!$F$15="M", 4, 8), FALSE)</f>
        <v>0.201074</v>
      </c>
      <c r="F11" s="28">
        <f t="shared" si="2"/>
        <v>0.79892600000000003</v>
      </c>
      <c r="G11" s="28">
        <f t="shared" si="3"/>
        <v>0.29680166881874359</v>
      </c>
      <c r="H11" s="28">
        <f>1/(1+Summary!$O$3)^D11</f>
        <v>0.64460891621779726</v>
      </c>
      <c r="I11" s="28">
        <f>Summary!$J$15*'R14'!H11*'R14'!G11</f>
        <v>7769.9285360215126</v>
      </c>
      <c r="L11" s="28" t="e">
        <f>IF(Summary!$F$15="M",VLOOKUP(C:C,#REF!,IF(B11&gt;2033,22,MATCH(B11,#REF!,0)),FALSE),VLOOKUP(C:C,#REF!,IF(B11&gt;2033,22,MATCH(B11,#REF!,0)),FALSE))</f>
        <v>#REF!</v>
      </c>
      <c r="M11" s="28" t="e">
        <f t="shared" si="4"/>
        <v>#REF!</v>
      </c>
      <c r="N11" s="28" t="e">
        <f t="shared" si="5"/>
        <v>#REF!</v>
      </c>
      <c r="O11" s="28" t="e">
        <f>Summary!$J$15*'R14'!N11*'R14'!H11</f>
        <v>#REF!</v>
      </c>
    </row>
    <row r="12" spans="1:16" ht="24" customHeight="1">
      <c r="B12" s="30">
        <f t="shared" si="0"/>
        <v>2029</v>
      </c>
      <c r="C12" s="28">
        <f t="shared" si="1"/>
        <v>95</v>
      </c>
      <c r="D12" s="28">
        <v>10</v>
      </c>
      <c r="E12" s="28">
        <f>VLOOKUP(C:C, 'Total Data Set'!B:J, IF(Summary!$F$15="M", 4, 8), FALSE)</f>
        <v>0.218559</v>
      </c>
      <c r="F12" s="28">
        <f t="shared" si="2"/>
        <v>0.78144100000000005</v>
      </c>
      <c r="G12" s="28">
        <f t="shared" si="3"/>
        <v>0.23712257006268356</v>
      </c>
      <c r="H12" s="28">
        <f>1/(1+Summary!$O$3)^D12</f>
        <v>0.61391325354075932</v>
      </c>
      <c r="I12" s="28">
        <f>Summary!$J$15*'R14'!H12*'R14'!G12</f>
        <v>5911.9980243519267</v>
      </c>
      <c r="L12" s="28" t="e">
        <f>IF(Summary!$F$15="M",VLOOKUP(C:C,#REF!,IF(B12&gt;2033,22,MATCH(B12,#REF!,0)),FALSE),VLOOKUP(C:C,#REF!,IF(B12&gt;2033,22,MATCH(B12,#REF!,0)),FALSE))</f>
        <v>#REF!</v>
      </c>
      <c r="M12" s="28" t="e">
        <f t="shared" si="4"/>
        <v>#REF!</v>
      </c>
      <c r="N12" s="28" t="e">
        <f t="shared" si="5"/>
        <v>#REF!</v>
      </c>
      <c r="O12" s="28" t="e">
        <f>Summary!$J$15*'R14'!N12*'R14'!H12</f>
        <v>#REF!</v>
      </c>
    </row>
    <row r="13" spans="1:16" ht="24" customHeight="1">
      <c r="B13" s="30">
        <f t="shared" si="0"/>
        <v>2030</v>
      </c>
      <c r="C13" s="28">
        <f t="shared" si="1"/>
        <v>96</v>
      </c>
      <c r="D13" s="28">
        <v>11</v>
      </c>
      <c r="E13" s="28">
        <f>VLOOKUP(C:C, 'Total Data Set'!B:J, IF(Summary!$F$15="M", 4, 8), FALSE)</f>
        <v>0.236535</v>
      </c>
      <c r="F13" s="28">
        <f t="shared" si="2"/>
        <v>0.76346500000000006</v>
      </c>
      <c r="G13" s="28">
        <f t="shared" si="3"/>
        <v>0.18529729827235353</v>
      </c>
      <c r="H13" s="28">
        <f>1/(1+Summary!$O$3)^D13</f>
        <v>0.5846792890864374</v>
      </c>
      <c r="I13" s="28">
        <f>Summary!$J$15*'R14'!H13*'R14'!G13</f>
        <v>4399.8834744262804</v>
      </c>
      <c r="L13" s="28" t="e">
        <f>IF(Summary!$F$15="M",VLOOKUP(C:C,#REF!,IF(B13&gt;2033,22,MATCH(B13,#REF!,0)),FALSE),VLOOKUP(C:C,#REF!,IF(B13&gt;2033,22,MATCH(B13,#REF!,0)),FALSE))</f>
        <v>#REF!</v>
      </c>
      <c r="M13" s="28" t="e">
        <f t="shared" si="4"/>
        <v>#REF!</v>
      </c>
      <c r="N13" s="28" t="e">
        <f t="shared" si="5"/>
        <v>#REF!</v>
      </c>
      <c r="O13" s="28" t="e">
        <f>Summary!$J$15*'R14'!N13*'R14'!H13</f>
        <v>#REF!</v>
      </c>
    </row>
    <row r="14" spans="1:16" ht="24" customHeight="1">
      <c r="B14" s="30">
        <f t="shared" si="0"/>
        <v>2031</v>
      </c>
      <c r="C14" s="28">
        <f t="shared" si="1"/>
        <v>97</v>
      </c>
      <c r="D14" s="28">
        <v>12</v>
      </c>
      <c r="E14" s="28">
        <f>VLOOKUP(C:C, 'Total Data Set'!B:J, IF(Summary!$F$15="M", 4, 8), FALSE)</f>
        <v>0.25505899999999998</v>
      </c>
      <c r="F14" s="28">
        <f t="shared" si="2"/>
        <v>0.74494100000000008</v>
      </c>
      <c r="G14" s="28">
        <f t="shared" si="3"/>
        <v>0.1414680018255024</v>
      </c>
      <c r="H14" s="28">
        <f>1/(1+Summary!$O$3)^D14</f>
        <v>0.5568374181775595</v>
      </c>
      <c r="I14" s="28">
        <f>Summary!$J$15*'R14'!H14*'R14'!G14</f>
        <v>3199.197177907487</v>
      </c>
      <c r="L14" s="28" t="e">
        <f>IF(Summary!$F$15="M",VLOOKUP(C:C,#REF!,IF(B14&gt;2033,22,MATCH(B14,#REF!,0)),FALSE),VLOOKUP(C:C,#REF!,IF(B14&gt;2033,22,MATCH(B14,#REF!,0)),FALSE))</f>
        <v>#REF!</v>
      </c>
      <c r="M14" s="28" t="e">
        <f t="shared" si="4"/>
        <v>#REF!</v>
      </c>
      <c r="N14" s="28" t="e">
        <f t="shared" si="5"/>
        <v>#REF!</v>
      </c>
      <c r="O14" s="28" t="e">
        <f>Summary!$J$15*'R14'!N14*'R14'!H14</f>
        <v>#REF!</v>
      </c>
    </row>
    <row r="15" spans="1:16" ht="24" customHeight="1">
      <c r="B15" s="30">
        <f t="shared" si="0"/>
        <v>2032</v>
      </c>
      <c r="C15" s="28">
        <f t="shared" si="1"/>
        <v>98</v>
      </c>
      <c r="D15" s="28">
        <v>13</v>
      </c>
      <c r="E15" s="28">
        <f>VLOOKUP(C:C, 'Total Data Set'!B:J, IF(Summary!$F$15="M", 4, 8), FALSE)</f>
        <v>0.27417000000000002</v>
      </c>
      <c r="F15" s="28">
        <f t="shared" si="2"/>
        <v>0.72582999999999998</v>
      </c>
      <c r="G15" s="28">
        <f t="shared" si="3"/>
        <v>0.10538531474789159</v>
      </c>
      <c r="H15" s="28">
        <f>1/(1+Summary!$O$3)^D15</f>
        <v>0.53032135064529462</v>
      </c>
      <c r="I15" s="28">
        <f>Summary!$J$15*'R14'!H15*'R14'!G15</f>
        <v>2269.7268046738864</v>
      </c>
      <c r="L15" s="28" t="e">
        <f>IF(Summary!$F$15="M",VLOOKUP(C:C,#REF!,IF(B15&gt;2033,22,MATCH(B15,#REF!,0)),FALSE),VLOOKUP(C:C,#REF!,IF(B15&gt;2033,22,MATCH(B15,#REF!,0)),FALSE))</f>
        <v>#REF!</v>
      </c>
      <c r="M15" s="28" t="e">
        <f t="shared" si="4"/>
        <v>#REF!</v>
      </c>
      <c r="N15" s="28" t="e">
        <f t="shared" si="5"/>
        <v>#REF!</v>
      </c>
      <c r="O15" s="28" t="e">
        <f>Summary!$J$15*'R14'!N15*'R14'!H15</f>
        <v>#REF!</v>
      </c>
    </row>
    <row r="16" spans="1:16" ht="24" customHeight="1">
      <c r="B16" s="30">
        <f t="shared" si="0"/>
        <v>2033</v>
      </c>
      <c r="C16" s="28">
        <f t="shared" si="1"/>
        <v>99</v>
      </c>
      <c r="D16" s="28">
        <v>14</v>
      </c>
      <c r="E16" s="28">
        <f>VLOOKUP(C:C, 'Total Data Set'!B:J, IF(Summary!$F$15="M", 4, 8), FALSE)</f>
        <v>0.293848</v>
      </c>
      <c r="F16" s="28">
        <f t="shared" si="2"/>
        <v>0.706152</v>
      </c>
      <c r="G16" s="28">
        <f t="shared" si="3"/>
        <v>7.6491823003462148E-2</v>
      </c>
      <c r="H16" s="28">
        <f>1/(1+Summary!$O$3)^D16</f>
        <v>0.50506795299551888</v>
      </c>
      <c r="I16" s="28">
        <f>Summary!$J$15*'R14'!H16*'R14'!G16</f>
        <v>1568.9864825109023</v>
      </c>
      <c r="L16" s="28" t="e">
        <f>IF(Summary!$F$15="M",VLOOKUP(C:C,#REF!,IF(B16&gt;2033,22,MATCH(B16,#REF!,0)),FALSE),VLOOKUP(C:C,#REF!,IF(B16&gt;2033,22,MATCH(B16,#REF!,0)),FALSE))</f>
        <v>#REF!</v>
      </c>
      <c r="M16" s="28" t="e">
        <f t="shared" si="4"/>
        <v>#REF!</v>
      </c>
      <c r="N16" s="28" t="e">
        <f t="shared" si="5"/>
        <v>#REF!</v>
      </c>
      <c r="O16" s="28" t="e">
        <f>Summary!$J$15*'R14'!N16*'R14'!H16</f>
        <v>#REF!</v>
      </c>
    </row>
    <row r="17" spans="2:15" ht="24" customHeight="1">
      <c r="B17" s="30">
        <f t="shared" si="0"/>
        <v>2034</v>
      </c>
      <c r="C17" s="28">
        <f t="shared" si="1"/>
        <v>100</v>
      </c>
      <c r="D17" s="28">
        <v>15</v>
      </c>
      <c r="E17" s="28">
        <f>VLOOKUP(C:C, 'Total Data Set'!B:J, IF(Summary!$F$15="M", 4, 8), FALSE)</f>
        <v>0.31398799999999999</v>
      </c>
      <c r="F17" s="28">
        <f t="shared" si="2"/>
        <v>0.68601200000000007</v>
      </c>
      <c r="G17" s="28">
        <f t="shared" si="3"/>
        <v>5.4014853797540806E-2</v>
      </c>
      <c r="H17" s="28">
        <f>1/(1+Summary!$O$3)^D17</f>
        <v>0.48101709809097021</v>
      </c>
      <c r="I17" s="28">
        <f>Summary!$J$15*'R14'!H17*'R14'!G17</f>
        <v>1055.1837548552746</v>
      </c>
      <c r="L17" s="28" t="e">
        <f>IF(Summary!$F$15="M",VLOOKUP(C:C,#REF!,IF(B17&gt;2033,22,MATCH(B17,#REF!,0)),FALSE),VLOOKUP(C:C,#REF!,IF(B17&gt;2033,22,MATCH(B17,#REF!,0)),FALSE))</f>
        <v>#REF!</v>
      </c>
      <c r="M17" s="28" t="e">
        <f t="shared" si="4"/>
        <v>#REF!</v>
      </c>
      <c r="N17" s="28" t="e">
        <f t="shared" si="5"/>
        <v>#REF!</v>
      </c>
      <c r="O17" s="28" t="e">
        <f>Summary!$J$15*'R14'!N17*'R14'!H17</f>
        <v>#REF!</v>
      </c>
    </row>
    <row r="18" spans="2:15" ht="24" customHeight="1">
      <c r="B18" s="30">
        <f t="shared" si="0"/>
        <v>2035</v>
      </c>
      <c r="C18" s="28">
        <f t="shared" si="1"/>
        <v>101</v>
      </c>
      <c r="D18" s="28">
        <v>16</v>
      </c>
      <c r="E18" s="28">
        <f>VLOOKUP(C:C, 'Total Data Set'!B:J, IF(Summary!$F$15="M", 4, 8), FALSE)</f>
        <v>0.33436500000000002</v>
      </c>
      <c r="F18" s="28">
        <f t="shared" si="2"/>
        <v>0.66563499999999998</v>
      </c>
      <c r="G18" s="28">
        <f t="shared" si="3"/>
        <v>3.7054837883358567E-2</v>
      </c>
      <c r="H18" s="28">
        <f>1/(1+Summary!$O$3)^D18</f>
        <v>0.45811152199140021</v>
      </c>
      <c r="I18" s="28">
        <f>Summary!$J$15*'R14'!H18*'R14'!G18</f>
        <v>689.39877908169228</v>
      </c>
      <c r="L18" s="28" t="e">
        <f>IF(Summary!$F$15="M",VLOOKUP(C:C,#REF!,IF(B18&gt;2033,22,MATCH(B18,#REF!,0)),FALSE),VLOOKUP(C:C,#REF!,IF(B18&gt;2033,22,MATCH(B18,#REF!,0)),FALSE))</f>
        <v>#REF!</v>
      </c>
      <c r="M18" s="28" t="e">
        <f t="shared" si="4"/>
        <v>#REF!</v>
      </c>
      <c r="N18" s="28" t="e">
        <f t="shared" si="5"/>
        <v>#REF!</v>
      </c>
      <c r="O18" s="28" t="e">
        <f>Summary!$J$15*'R14'!N18*'R14'!H18</f>
        <v>#REF!</v>
      </c>
    </row>
    <row r="19" spans="2:15" ht="24" customHeight="1">
      <c r="B19" s="30">
        <f t="shared" si="0"/>
        <v>2036</v>
      </c>
      <c r="C19" s="28">
        <f t="shared" si="1"/>
        <v>102</v>
      </c>
      <c r="D19" s="28">
        <v>17</v>
      </c>
      <c r="E19" s="28">
        <f>VLOOKUP(C:C, 'Total Data Set'!B:J, IF(Summary!$F$15="M", 4, 8), FALSE)</f>
        <v>0.354599</v>
      </c>
      <c r="F19" s="28">
        <f t="shared" si="2"/>
        <v>0.645401</v>
      </c>
      <c r="G19" s="28">
        <f t="shared" si="3"/>
        <v>2.4664997014489379E-2</v>
      </c>
      <c r="H19" s="28">
        <f>1/(1+Summary!$O$3)^D19</f>
        <v>0.43629668761085727</v>
      </c>
      <c r="I19" s="28">
        <f>Summary!$J$15*'R14'!H19*'R14'!G19</f>
        <v>437.03614887051629</v>
      </c>
      <c r="L19" s="28" t="e">
        <f>IF(Summary!$F$15="M",VLOOKUP(C:C,#REF!,IF(B19&gt;2033,22,MATCH(B19,#REF!,0)),FALSE),VLOOKUP(C:C,#REF!,IF(B19&gt;2033,22,MATCH(B19,#REF!,0)),FALSE))</f>
        <v>#REF!</v>
      </c>
      <c r="M19" s="28" t="e">
        <f t="shared" si="4"/>
        <v>#REF!</v>
      </c>
      <c r="N19" s="28" t="e">
        <f t="shared" si="5"/>
        <v>#REF!</v>
      </c>
      <c r="O19" s="28" t="e">
        <f>Summary!$J$15*'R14'!N19*'R14'!H19</f>
        <v>#REF!</v>
      </c>
    </row>
    <row r="20" spans="2:15" ht="24" customHeight="1">
      <c r="B20" s="30">
        <f t="shared" si="0"/>
        <v>2037</v>
      </c>
      <c r="C20" s="28">
        <f t="shared" si="1"/>
        <v>103</v>
      </c>
      <c r="D20" s="28">
        <v>18</v>
      </c>
      <c r="E20" s="28">
        <f>VLOOKUP(C:C, 'Total Data Set'!B:J, IF(Summary!$F$15="M", 4, 8), FALSE)</f>
        <v>0.37452400000000002</v>
      </c>
      <c r="F20" s="28">
        <f t="shared" si="2"/>
        <v>0.62547599999999992</v>
      </c>
      <c r="G20" s="28">
        <f t="shared" si="3"/>
        <v>1.5918813738148459E-2</v>
      </c>
      <c r="H20" s="28">
        <f>1/(1+Summary!$O$3)^D20</f>
        <v>0.41552065486748313</v>
      </c>
      <c r="I20" s="28">
        <f>Summary!$J$15*'R14'!H20*'R14'!G20</f>
        <v>268.63196906398105</v>
      </c>
      <c r="L20" s="28" t="e">
        <f>IF(Summary!$F$15="M",VLOOKUP(C:C,#REF!,IF(B20&gt;2033,22,MATCH(B20,#REF!,0)),FALSE),VLOOKUP(C:C,#REF!,IF(B20&gt;2033,22,MATCH(B20,#REF!,0)),FALSE))</f>
        <v>#REF!</v>
      </c>
      <c r="M20" s="28" t="e">
        <f t="shared" si="4"/>
        <v>#REF!</v>
      </c>
      <c r="N20" s="28" t="e">
        <f t="shared" si="5"/>
        <v>#REF!</v>
      </c>
      <c r="O20" s="28" t="e">
        <f>Summary!$J$15*'R14'!N20*'R14'!H20</f>
        <v>#REF!</v>
      </c>
    </row>
    <row r="21" spans="2:15" ht="24" customHeight="1">
      <c r="B21" s="30">
        <f t="shared" si="0"/>
        <v>2038</v>
      </c>
      <c r="C21" s="28">
        <f t="shared" si="1"/>
        <v>104</v>
      </c>
      <c r="D21" s="28">
        <v>19</v>
      </c>
      <c r="E21" s="28">
        <f>VLOOKUP(C:C, 'Total Data Set'!B:J, IF(Summary!$F$15="M", 4, 8), FALSE)</f>
        <v>0.393982</v>
      </c>
      <c r="F21" s="28">
        <f t="shared" si="2"/>
        <v>0.60601799999999995</v>
      </c>
      <c r="G21" s="28">
        <f t="shared" si="3"/>
        <v>9.9568359416821444E-3</v>
      </c>
      <c r="H21" s="28">
        <f>1/(1+Summary!$O$3)^D21</f>
        <v>0.39573395701665059</v>
      </c>
      <c r="I21" s="28">
        <f>Summary!$J$15*'R14'!H21*'R14'!G21</f>
        <v>160.02176141167863</v>
      </c>
      <c r="L21" s="28" t="e">
        <f>IF(Summary!$F$15="M",VLOOKUP(C:C,#REF!,IF(B21&gt;2033,22,MATCH(B21,#REF!,0)),FALSE),VLOOKUP(C:C,#REF!,IF(B21&gt;2033,22,MATCH(B21,#REF!,0)),FALSE))</f>
        <v>#REF!</v>
      </c>
      <c r="M21" s="28" t="e">
        <f t="shared" si="4"/>
        <v>#REF!</v>
      </c>
      <c r="N21" s="28" t="e">
        <f t="shared" si="5"/>
        <v>#REF!</v>
      </c>
      <c r="O21" s="28" t="e">
        <f>Summary!$J$15*'R14'!N21*'R14'!H21</f>
        <v>#REF!</v>
      </c>
    </row>
    <row r="22" spans="2:15" ht="24" customHeight="1">
      <c r="B22" s="30">
        <f t="shared" si="0"/>
        <v>2039</v>
      </c>
      <c r="C22" s="28">
        <f t="shared" si="1"/>
        <v>105</v>
      </c>
      <c r="D22" s="28">
        <v>20</v>
      </c>
      <c r="E22" s="28">
        <f>VLOOKUP(C:C, 'Total Data Set'!B:J, IF(Summary!$F$15="M", 4, 8), FALSE)</f>
        <v>0.412831</v>
      </c>
      <c r="F22" s="28">
        <f t="shared" si="2"/>
        <v>0.58716900000000005</v>
      </c>
      <c r="G22" s="28">
        <f t="shared" si="3"/>
        <v>6.0340218037063294E-3</v>
      </c>
      <c r="H22" s="28">
        <f>1/(1+Summary!$O$3)^D22</f>
        <v>0.37688948287300061</v>
      </c>
      <c r="I22" s="28">
        <f>Summary!$J$15*'R14'!H22*'R14'!G22</f>
        <v>92.358159816364449</v>
      </c>
      <c r="L22" s="28" t="e">
        <f>IF(Summary!$F$15="M",VLOOKUP(C:C,#REF!,IF(B22&gt;2033,22,MATCH(B22,#REF!,0)),FALSE),VLOOKUP(C:C,#REF!,IF(B22&gt;2033,22,MATCH(B22,#REF!,0)),FALSE))</f>
        <v>#REF!</v>
      </c>
      <c r="M22" s="28" t="e">
        <f t="shared" si="4"/>
        <v>#REF!</v>
      </c>
      <c r="N22" s="28" t="e">
        <f t="shared" si="5"/>
        <v>#REF!</v>
      </c>
      <c r="O22" s="28" t="e">
        <f>Summary!$J$15*'R14'!N22*'R14'!H22</f>
        <v>#REF!</v>
      </c>
    </row>
    <row r="23" spans="2:15" ht="24" customHeight="1">
      <c r="B23" s="30">
        <f t="shared" si="0"/>
        <v>2040</v>
      </c>
      <c r="C23" s="28">
        <f t="shared" si="1"/>
        <v>106</v>
      </c>
      <c r="D23" s="28">
        <v>21</v>
      </c>
      <c r="E23" s="28">
        <f>VLOOKUP(C:C, 'Total Data Set'!B:J, IF(Summary!$F$15="M", 4, 8), FALSE)</f>
        <v>0.430946</v>
      </c>
      <c r="F23" s="28">
        <f t="shared" si="2"/>
        <v>0.56905399999999995</v>
      </c>
      <c r="G23" s="28">
        <f t="shared" si="3"/>
        <v>3.5429905484604422E-3</v>
      </c>
      <c r="H23" s="28">
        <f>1/(1+Summary!$O$3)^D23</f>
        <v>0.35894236464095297</v>
      </c>
      <c r="I23" s="28">
        <f>Summary!$J$15*'R14'!H23*'R14'!G23</f>
        <v>51.64747461068086</v>
      </c>
      <c r="L23" s="28" t="e">
        <f>IF(Summary!$F$15="M",VLOOKUP(C:C,#REF!,IF(B23&gt;2033,22,MATCH(B23,#REF!,0)),FALSE),VLOOKUP(C:C,#REF!,IF(B23&gt;2033,22,MATCH(B23,#REF!,0)),FALSE))</f>
        <v>#REF!</v>
      </c>
      <c r="M23" s="28" t="e">
        <f t="shared" si="4"/>
        <v>#REF!</v>
      </c>
      <c r="N23" s="28" t="e">
        <f t="shared" si="5"/>
        <v>#REF!</v>
      </c>
      <c r="O23" s="28" t="e">
        <f>Summary!$J$15*'R14'!N23*'R14'!H23</f>
        <v>#REF!</v>
      </c>
    </row>
    <row r="24" spans="2:15" ht="24" customHeight="1">
      <c r="B24" s="30">
        <f t="shared" si="0"/>
        <v>2041</v>
      </c>
      <c r="C24" s="28">
        <f t="shared" si="1"/>
        <v>107</v>
      </c>
      <c r="D24" s="28">
        <v>22</v>
      </c>
      <c r="E24" s="28">
        <f>VLOOKUP(C:C, 'Total Data Set'!B:J, IF(Summary!$F$15="M", 4, 8), FALSE)</f>
        <v>0.44822699999999999</v>
      </c>
      <c r="F24" s="28">
        <f t="shared" si="2"/>
        <v>0.55177300000000007</v>
      </c>
      <c r="G24" s="28">
        <f t="shared" si="3"/>
        <v>2.0161529435636081E-3</v>
      </c>
      <c r="H24" s="28">
        <f>1/(1+Summary!$O$3)^D24</f>
        <v>0.3418498710866219</v>
      </c>
      <c r="I24" s="28">
        <f>Summary!$J$15*'R14'!H24*'R14'!G24</f>
        <v>27.990668587720364</v>
      </c>
      <c r="L24" s="28" t="e">
        <f>IF(Summary!$F$15="M",VLOOKUP(C:C,#REF!,IF(B24&gt;2033,22,MATCH(B24,#REF!,0)),FALSE),VLOOKUP(C:C,#REF!,IF(B24&gt;2033,22,MATCH(B24,#REF!,0)),FALSE))</f>
        <v>#REF!</v>
      </c>
      <c r="M24" s="28" t="e">
        <f t="shared" si="4"/>
        <v>#REF!</v>
      </c>
      <c r="N24" s="28" t="e">
        <f t="shared" si="5"/>
        <v>#REF!</v>
      </c>
      <c r="O24" s="28" t="e">
        <f>Summary!$J$15*'R14'!N24*'R14'!H24</f>
        <v>#REF!</v>
      </c>
    </row>
    <row r="25" spans="2:15" ht="24" customHeight="1">
      <c r="B25" s="30">
        <f t="shared" si="0"/>
        <v>2042</v>
      </c>
      <c r="C25" s="28">
        <f t="shared" si="1"/>
        <v>108</v>
      </c>
      <c r="D25" s="28">
        <v>23</v>
      </c>
      <c r="E25" s="28">
        <f>VLOOKUP(C:C, 'Total Data Set'!B:J, IF(Summary!$F$15="M", 4, 8), FALSE)</f>
        <v>0.464592</v>
      </c>
      <c r="F25" s="28">
        <f t="shared" si="2"/>
        <v>0.535408</v>
      </c>
      <c r="G25" s="28">
        <f t="shared" si="3"/>
        <v>1.1124587581289229E-3</v>
      </c>
      <c r="H25" s="28">
        <f>1/(1+Summary!$O$3)^D25</f>
        <v>0.32557130579678267</v>
      </c>
      <c r="I25" s="28">
        <f>Summary!$J$15*'R14'!H25*'R14'!G25</f>
        <v>14.709043027287835</v>
      </c>
      <c r="L25" s="28" t="e">
        <f>IF(Summary!$F$15="M",VLOOKUP(C:C,#REF!,IF(B25&gt;2033,22,MATCH(B25,#REF!,0)),FALSE),VLOOKUP(C:C,#REF!,IF(B25&gt;2033,22,MATCH(B25,#REF!,0)),FALSE))</f>
        <v>#REF!</v>
      </c>
      <c r="M25" s="28" t="e">
        <f t="shared" si="4"/>
        <v>#REF!</v>
      </c>
      <c r="N25" s="28" t="e">
        <f t="shared" si="5"/>
        <v>#REF!</v>
      </c>
      <c r="O25" s="28" t="e">
        <f>Summary!$J$15*'R14'!N25*'R14'!H25</f>
        <v>#REF!</v>
      </c>
    </row>
    <row r="26" spans="2:15" ht="24" customHeight="1">
      <c r="B26" s="30">
        <f t="shared" si="0"/>
        <v>2043</v>
      </c>
      <c r="C26" s="28">
        <f t="shared" si="1"/>
        <v>109</v>
      </c>
      <c r="D26" s="28">
        <v>24</v>
      </c>
      <c r="E26" s="28">
        <f>VLOOKUP(C:C, 'Total Data Set'!B:J, IF(Summary!$F$15="M", 4, 8), FALSE)</f>
        <v>0.479987</v>
      </c>
      <c r="F26" s="28">
        <f t="shared" si="2"/>
        <v>0.52001300000000006</v>
      </c>
      <c r="G26" s="28">
        <f t="shared" si="3"/>
        <v>5.9561931877229039E-4</v>
      </c>
      <c r="H26" s="28">
        <f>1/(1+Summary!$O$3)^D26</f>
        <v>0.31006791028265024</v>
      </c>
      <c r="I26" s="28">
        <f>Summary!$J$15*'R14'!H26*'R14'!G26</f>
        <v>7.5003231515753601</v>
      </c>
      <c r="L26" s="28" t="e">
        <f>IF(Summary!$F$15="M",VLOOKUP(C:C,#REF!,IF(B26&gt;2033,22,MATCH(B26,#REF!,0)),FALSE),VLOOKUP(C:C,#REF!,IF(B26&gt;2033,22,MATCH(B26,#REF!,0)),FALSE))</f>
        <v>#REF!</v>
      </c>
      <c r="M26" s="28" t="e">
        <f t="shared" si="4"/>
        <v>#REF!</v>
      </c>
      <c r="N26" s="28" t="e">
        <f t="shared" si="5"/>
        <v>#REF!</v>
      </c>
      <c r="O26" s="28" t="e">
        <f>Summary!$J$15*'R14'!N26*'R14'!H26</f>
        <v>#REF!</v>
      </c>
    </row>
    <row r="27" spans="2:15" ht="24" customHeight="1">
      <c r="B27" s="30">
        <f t="shared" si="0"/>
        <v>2044</v>
      </c>
      <c r="C27" s="28">
        <f t="shared" si="1"/>
        <v>110</v>
      </c>
      <c r="D27" s="28">
        <v>25</v>
      </c>
      <c r="E27" s="28">
        <f>VLOOKUP(C:C, 'Total Data Set'!B:J, IF(Summary!$F$15="M", 4, 8), FALSE)</f>
        <v>0.49437599999999998</v>
      </c>
      <c r="F27" s="28">
        <f t="shared" si="2"/>
        <v>0.50562400000000007</v>
      </c>
      <c r="G27" s="28">
        <f t="shared" si="3"/>
        <v>3.0972978881273509E-4</v>
      </c>
      <c r="H27" s="28">
        <f>1/(1+Summary!$O$3)^D27</f>
        <v>0.29530277169776209</v>
      </c>
      <c r="I27" s="28">
        <f>Summary!$J$15*'R14'!H27*'R14'!G27</f>
        <v>3.7145386124001498</v>
      </c>
      <c r="L27" s="28" t="e">
        <f>IF(Summary!$F$15="M",VLOOKUP(C:C,#REF!,IF(B27&gt;2033,22,MATCH(B27,#REF!,0)),FALSE),VLOOKUP(C:C,#REF!,IF(B27&gt;2033,22,MATCH(B27,#REF!,0)),FALSE))</f>
        <v>#REF!</v>
      </c>
      <c r="M27" s="28" t="e">
        <f t="shared" si="4"/>
        <v>#REF!</v>
      </c>
      <c r="N27" s="28" t="e">
        <f t="shared" si="5"/>
        <v>#REF!</v>
      </c>
      <c r="O27" s="28" t="e">
        <f>Summary!$J$15*'R14'!N27*'R14'!H27</f>
        <v>#REF!</v>
      </c>
    </row>
    <row r="28" spans="2:15" ht="24" customHeight="1">
      <c r="B28" s="30">
        <f t="shared" si="0"/>
        <v>2045</v>
      </c>
      <c r="C28" s="28">
        <f t="shared" si="1"/>
        <v>111</v>
      </c>
      <c r="D28" s="28">
        <v>26</v>
      </c>
      <c r="E28" s="28">
        <f>VLOOKUP(C:C, 'Total Data Set'!B:J, IF(Summary!$F$15="M", 4, 8), FALSE)</f>
        <v>0.5</v>
      </c>
      <c r="F28" s="28">
        <f t="shared" si="2"/>
        <v>0.5</v>
      </c>
      <c r="G28" s="28">
        <f t="shared" si="3"/>
        <v>1.5660681473865038E-4</v>
      </c>
      <c r="H28" s="28">
        <f>1/(1+Summary!$O$3)^D28</f>
        <v>0.28124073495024959</v>
      </c>
      <c r="I28" s="28">
        <f>Summary!$J$15*'R14'!H28*'R14'!G28</f>
        <v>1.7887236870059178</v>
      </c>
      <c r="L28" s="28" t="e">
        <f>IF(Summary!$F$15="M",VLOOKUP(C:C,#REF!,IF(B28&gt;2033,22,MATCH(B28,#REF!,0)),FALSE),VLOOKUP(C:C,#REF!,IF(B28&gt;2033,22,MATCH(B28,#REF!,0)),FALSE))</f>
        <v>#REF!</v>
      </c>
      <c r="M28" s="28" t="e">
        <f t="shared" si="4"/>
        <v>#REF!</v>
      </c>
      <c r="N28" s="28" t="e">
        <f t="shared" si="5"/>
        <v>#REF!</v>
      </c>
      <c r="O28" s="28" t="e">
        <f>Summary!$J$15*'R14'!N28*'R14'!H28</f>
        <v>#REF!</v>
      </c>
    </row>
    <row r="29" spans="2:15" ht="24" customHeight="1">
      <c r="B29" s="30">
        <f t="shared" si="0"/>
        <v>2046</v>
      </c>
      <c r="C29" s="28">
        <f t="shared" si="1"/>
        <v>112</v>
      </c>
      <c r="D29" s="28">
        <v>27</v>
      </c>
      <c r="E29" s="28">
        <f>VLOOKUP(C:C, 'Total Data Set'!B:J, IF(Summary!$F$15="M", 4, 8), FALSE)</f>
        <v>0.5</v>
      </c>
      <c r="F29" s="28">
        <f t="shared" si="2"/>
        <v>0.5</v>
      </c>
      <c r="G29" s="28">
        <f t="shared" si="3"/>
        <v>7.8303407369325188E-5</v>
      </c>
      <c r="H29" s="28">
        <f>1/(1+Summary!$O$3)^D29</f>
        <v>0.2678483190002377</v>
      </c>
      <c r="I29" s="28">
        <f>Summary!$J$15*'R14'!H29*'R14'!G29</f>
        <v>0.8517731842885321</v>
      </c>
      <c r="L29" s="28" t="e">
        <f>IF(Summary!$F$15="M",VLOOKUP(C:C,#REF!,IF(B29&gt;2033,22,MATCH(B29,#REF!,0)),FALSE),VLOOKUP(C:C,#REF!,IF(B29&gt;2033,22,MATCH(B29,#REF!,0)),FALSE))</f>
        <v>#REF!</v>
      </c>
      <c r="M29" s="28" t="e">
        <f t="shared" si="4"/>
        <v>#REF!</v>
      </c>
      <c r="N29" s="28" t="e">
        <f t="shared" si="5"/>
        <v>#REF!</v>
      </c>
      <c r="O29" s="28" t="e">
        <f>Summary!$J$15*'R14'!N29*'R14'!H29</f>
        <v>#REF!</v>
      </c>
    </row>
    <row r="30" spans="2:15" ht="24" customHeight="1">
      <c r="B30" s="30">
        <f t="shared" si="0"/>
        <v>2047</v>
      </c>
      <c r="C30" s="28">
        <f t="shared" si="1"/>
        <v>113</v>
      </c>
      <c r="D30" s="28">
        <v>28</v>
      </c>
      <c r="E30" s="28">
        <f>VLOOKUP(C:C, 'Total Data Set'!B:J, IF(Summary!$F$15="M", 4, 8), FALSE)</f>
        <v>0.5</v>
      </c>
      <c r="F30" s="28">
        <f t="shared" si="2"/>
        <v>0.5</v>
      </c>
      <c r="G30" s="28">
        <f t="shared" si="3"/>
        <v>3.9151703684662594E-5</v>
      </c>
      <c r="H30" s="28">
        <f>1/(1+Summary!$O$3)^D30</f>
        <v>0.25509363714308358</v>
      </c>
      <c r="I30" s="28">
        <f>Summary!$J$15*'R14'!H30*'R14'!G30</f>
        <v>0.40560627823263445</v>
      </c>
      <c r="L30" s="28" t="e">
        <f>IF(Summary!$F$15="M",VLOOKUP(C:C,#REF!,IF(B30&gt;2033,22,MATCH(B30,#REF!,0)),FALSE),VLOOKUP(C:C,#REF!,IF(B30&gt;2033,22,MATCH(B30,#REF!,0)),FALSE))</f>
        <v>#REF!</v>
      </c>
      <c r="M30" s="28" t="e">
        <f t="shared" si="4"/>
        <v>#REF!</v>
      </c>
      <c r="N30" s="28" t="e">
        <f t="shared" si="5"/>
        <v>#REF!</v>
      </c>
      <c r="O30" s="28" t="e">
        <f>Summary!$J$15*'R14'!N30*'R14'!H30</f>
        <v>#REF!</v>
      </c>
    </row>
    <row r="31" spans="2:15" ht="24" customHeight="1">
      <c r="B31" s="30">
        <f t="shared" si="0"/>
        <v>2048</v>
      </c>
      <c r="C31" s="28">
        <f t="shared" si="1"/>
        <v>114</v>
      </c>
      <c r="D31" s="28">
        <v>29</v>
      </c>
      <c r="E31" s="28">
        <f>VLOOKUP(C:C, 'Total Data Set'!B:J, IF(Summary!$F$15="M", 4, 8), FALSE)</f>
        <v>0.5</v>
      </c>
      <c r="F31" s="28">
        <f t="shared" si="2"/>
        <v>0.5</v>
      </c>
      <c r="G31" s="28">
        <f t="shared" si="3"/>
        <v>1.9575851842331297E-5</v>
      </c>
      <c r="H31" s="28">
        <f>1/(1+Summary!$O$3)^D31</f>
        <v>0.24294632108865097</v>
      </c>
      <c r="I31" s="28">
        <f>Summary!$J$15*'R14'!H31*'R14'!G31</f>
        <v>0.19314584677744492</v>
      </c>
      <c r="L31" s="28" t="e">
        <f>IF(Summary!$F$15="M",VLOOKUP(C:C,#REF!,IF(B31&gt;2033,22,MATCH(B31,#REF!,0)),FALSE),VLOOKUP(C:C,#REF!,IF(B31&gt;2033,22,MATCH(B31,#REF!,0)),FALSE))</f>
        <v>#REF!</v>
      </c>
      <c r="M31" s="28" t="e">
        <f t="shared" si="4"/>
        <v>#REF!</v>
      </c>
      <c r="N31" s="28" t="e">
        <f t="shared" si="5"/>
        <v>#REF!</v>
      </c>
      <c r="O31" s="28" t="e">
        <f>Summary!$J$15*'R14'!N31*'R14'!H31</f>
        <v>#REF!</v>
      </c>
    </row>
    <row r="32" spans="2:15" ht="24" customHeight="1">
      <c r="B32" s="30">
        <f t="shared" si="0"/>
        <v>2049</v>
      </c>
      <c r="C32" s="28">
        <f t="shared" si="1"/>
        <v>115</v>
      </c>
      <c r="D32" s="28">
        <v>30</v>
      </c>
      <c r="E32" s="28">
        <f>VLOOKUP(C:C, 'Total Data Set'!B:J, IF(Summary!$F$15="M", 4, 8), FALSE)</f>
        <v>0.5</v>
      </c>
      <c r="F32" s="28">
        <f t="shared" si="2"/>
        <v>0.5</v>
      </c>
      <c r="G32" s="28">
        <f t="shared" si="3"/>
        <v>9.7879259211656485E-6</v>
      </c>
      <c r="H32" s="28">
        <f>1/(1+Summary!$O$3)^D32</f>
        <v>0.23137744865585813</v>
      </c>
      <c r="I32" s="28">
        <f>Summary!$J$15*'R14'!H32*'R14'!G32</f>
        <v>9.1974212751164269E-2</v>
      </c>
      <c r="L32" s="28" t="e">
        <f>IF(Summary!$F$15="M",VLOOKUP(C:C,#REF!,IF(B32&gt;2033,22,MATCH(B32,#REF!,0)),FALSE),VLOOKUP(C:C,#REF!,IF(B32&gt;2033,22,MATCH(B32,#REF!,0)),FALSE))</f>
        <v>#REF!</v>
      </c>
      <c r="M32" s="28" t="e">
        <f t="shared" si="4"/>
        <v>#REF!</v>
      </c>
      <c r="N32" s="28" t="e">
        <f t="shared" si="5"/>
        <v>#REF!</v>
      </c>
      <c r="O32" s="28" t="e">
        <f>Summary!$J$15*'R14'!N32*'R14'!H32</f>
        <v>#REF!</v>
      </c>
    </row>
    <row r="33" spans="2:15" ht="24" customHeight="1">
      <c r="B33" s="30">
        <f t="shared" si="0"/>
        <v>2050</v>
      </c>
      <c r="C33" s="28">
        <f t="shared" si="1"/>
        <v>116</v>
      </c>
      <c r="D33" s="28">
        <v>31</v>
      </c>
      <c r="E33" s="28">
        <f>VLOOKUP(C:C, 'Total Data Set'!B:J, IF(Summary!$F$15="M", 4, 8), FALSE)</f>
        <v>0.5</v>
      </c>
      <c r="F33" s="28">
        <f t="shared" si="2"/>
        <v>0.5</v>
      </c>
      <c r="G33" s="28">
        <f t="shared" si="3"/>
        <v>4.8939629605828243E-6</v>
      </c>
      <c r="H33" s="28">
        <f>1/(1+Summary!$O$3)^D33</f>
        <v>0.220359474910341</v>
      </c>
      <c r="I33" s="28">
        <f>Summary!$J$15*'R14'!H33*'R14'!G33</f>
        <v>4.3797244167221076E-2</v>
      </c>
      <c r="L33" s="28" t="e">
        <f>IF(Summary!$F$15="M",VLOOKUP(C:C,#REF!,IF(B33&gt;2033,22,MATCH(B33,#REF!,0)),FALSE),VLOOKUP(C:C,#REF!,IF(B33&gt;2033,22,MATCH(B33,#REF!,0)),FALSE))</f>
        <v>#REF!</v>
      </c>
      <c r="M33" s="28" t="e">
        <f t="shared" si="4"/>
        <v>#REF!</v>
      </c>
      <c r="N33" s="28" t="e">
        <f t="shared" si="5"/>
        <v>#REF!</v>
      </c>
      <c r="O33" s="28" t="e">
        <f>Summary!$J$15*'R14'!N33*'R14'!H33</f>
        <v>#REF!</v>
      </c>
    </row>
    <row r="34" spans="2:15" ht="24" customHeight="1">
      <c r="B34" s="30">
        <f t="shared" si="0"/>
        <v>2051</v>
      </c>
      <c r="C34" s="28">
        <f t="shared" si="1"/>
        <v>117</v>
      </c>
      <c r="D34" s="28">
        <v>32</v>
      </c>
      <c r="E34" s="28">
        <f>VLOOKUP(C:C, 'Total Data Set'!B:J, IF(Summary!$F$15="M", 4, 8), FALSE)</f>
        <v>0.5</v>
      </c>
      <c r="F34" s="28">
        <f t="shared" si="2"/>
        <v>0.5</v>
      </c>
      <c r="G34" s="28">
        <f t="shared" si="3"/>
        <v>2.4469814802914121E-6</v>
      </c>
      <c r="H34" s="28">
        <f>1/(1+Summary!$O$3)^D34</f>
        <v>0.20986616658127716</v>
      </c>
      <c r="I34" s="28">
        <f>Summary!$J$15*'R14'!H34*'R14'!G34</f>
        <v>2.0855830555819563E-2</v>
      </c>
      <c r="L34" s="28" t="e">
        <f>IF(Summary!$F$15="M",VLOOKUP(C:C,#REF!,IF(B34&gt;2033,22,MATCH(B34,#REF!,0)),FALSE),VLOOKUP(C:C,#REF!,IF(B34&gt;2033,22,MATCH(B34,#REF!,0)),FALSE))</f>
        <v>#REF!</v>
      </c>
      <c r="M34" s="28" t="e">
        <f t="shared" si="4"/>
        <v>#REF!</v>
      </c>
      <c r="N34" s="28" t="e">
        <f t="shared" si="5"/>
        <v>#REF!</v>
      </c>
      <c r="O34" s="28" t="e">
        <f>Summary!$J$15*'R14'!N34*'R14'!H34</f>
        <v>#REF!</v>
      </c>
    </row>
    <row r="35" spans="2:15" ht="24" customHeight="1">
      <c r="B35" s="30">
        <f t="shared" si="0"/>
        <v>2052</v>
      </c>
      <c r="C35" s="28">
        <f>$A$4+D35</f>
        <v>118</v>
      </c>
      <c r="D35" s="28">
        <v>33</v>
      </c>
      <c r="E35" s="28">
        <f>VLOOKUP(C:C, 'Total Data Set'!B:J, IF(Summary!$F$15="M", 4, 8), FALSE)</f>
        <v>0.5</v>
      </c>
      <c r="F35" s="28">
        <f>1-E35</f>
        <v>0.5</v>
      </c>
      <c r="G35" s="28">
        <f t="shared" si="3"/>
        <v>1.2234907401457061E-6</v>
      </c>
      <c r="H35" s="28">
        <f>1/(1+Summary!$O$3)^D35</f>
        <v>0.19987253960121634</v>
      </c>
      <c r="I35" s="28">
        <f>Summary!$J$15*'R14'!H35*'R14'!G35</f>
        <v>9.9313478837235996E-3</v>
      </c>
      <c r="L35" s="28" t="e">
        <f>IF(Summary!$F$15="M",VLOOKUP(C:C,#REF!,IF(B35&gt;2033,22,MATCH(B35,#REF!,0)),FALSE),VLOOKUP(C:C,#REF!,IF(B35&gt;2033,22,MATCH(B35,#REF!,0)),FALSE))</f>
        <v>#REF!</v>
      </c>
      <c r="M35" s="28" t="e">
        <f t="shared" si="4"/>
        <v>#REF!</v>
      </c>
      <c r="N35" s="28" t="e">
        <f t="shared" si="5"/>
        <v>#REF!</v>
      </c>
      <c r="O35" s="28" t="e">
        <f>Summary!$J$15*'R14'!N35*'R14'!H35</f>
        <v>#REF!</v>
      </c>
    </row>
    <row r="36" spans="2:15" ht="24" customHeight="1">
      <c r="B36" s="30">
        <f t="shared" si="0"/>
        <v>2053</v>
      </c>
      <c r="C36" s="28">
        <f t="shared" si="1"/>
        <v>119</v>
      </c>
      <c r="D36" s="28">
        <v>34</v>
      </c>
      <c r="E36" s="28">
        <f>VLOOKUP(C:C, 'Total Data Set'!B:J, IF(Summary!$F$15="M", 4, 8), FALSE)</f>
        <v>0.5</v>
      </c>
      <c r="F36" s="28">
        <f t="shared" si="2"/>
        <v>0.5</v>
      </c>
      <c r="G36" s="28">
        <f t="shared" si="3"/>
        <v>6.1174537007285303E-7</v>
      </c>
      <c r="H36" s="28">
        <f>1/(1+Summary!$O$3)^D36</f>
        <v>0.19035479962020604</v>
      </c>
      <c r="I36" s="28">
        <f>Summary!$J$15*'R14'!H36*'R14'!G36</f>
        <v>4.7292132779636186E-3</v>
      </c>
      <c r="L36" s="28" t="e">
        <f>IF(Summary!$F$15="M",VLOOKUP(C:C,#REF!,IF(B36&gt;2033,22,MATCH(B36,#REF!,0)),FALSE),VLOOKUP(C:C,#REF!,IF(B36&gt;2033,22,MATCH(B36,#REF!,0)),FALSE))</f>
        <v>#REF!</v>
      </c>
      <c r="M36" s="28" t="e">
        <f t="shared" si="4"/>
        <v>#REF!</v>
      </c>
      <c r="N36" s="28" t="e">
        <f t="shared" si="5"/>
        <v>#REF!</v>
      </c>
      <c r="O36" s="28" t="e">
        <f>Summary!$J$15*'R14'!N36*'R14'!H36</f>
        <v>#REF!</v>
      </c>
    </row>
    <row r="37" spans="2:15" ht="24" customHeight="1">
      <c r="B37" s="30">
        <f t="shared" si="0"/>
        <v>2054</v>
      </c>
      <c r="C37" s="28">
        <f t="shared" si="1"/>
        <v>120</v>
      </c>
      <c r="D37" s="28">
        <v>35</v>
      </c>
      <c r="E37" s="28">
        <f>VLOOKUP(C:C, 'Total Data Set'!B:J, IF(Summary!$F$15="M", 4, 8), FALSE)</f>
        <v>1</v>
      </c>
      <c r="F37" s="28">
        <f t="shared" si="2"/>
        <v>0</v>
      </c>
      <c r="G37" s="28">
        <f t="shared" si="3"/>
        <v>3.0587268503642652E-7</v>
      </c>
      <c r="H37" s="28">
        <f>1/(1+Summary!$O$3)^D37</f>
        <v>0.18129028535257716</v>
      </c>
      <c r="I37" s="28">
        <f>Summary!$J$15*'R14'!H37*'R14'!G37</f>
        <v>2.2520063228398182E-3</v>
      </c>
      <c r="L37" s="28" t="e">
        <f>IF(Summary!$F$15="M",VLOOKUP(C:C,#REF!,IF(B37&gt;2033,22,MATCH(B37,#REF!,0)),FALSE),VLOOKUP(C:C,#REF!,IF(B37&gt;2033,22,MATCH(B37,#REF!,0)),FALSE))</f>
        <v>#REF!</v>
      </c>
      <c r="M37" s="28" t="e">
        <f t="shared" si="4"/>
        <v>#REF!</v>
      </c>
      <c r="N37" s="28" t="e">
        <f t="shared" si="5"/>
        <v>#REF!</v>
      </c>
      <c r="O37" s="28" t="e">
        <f>Summary!$J$15*'R14'!N37*'R14'!H37</f>
        <v>#REF!</v>
      </c>
    </row>
  </sheetData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35"/>
  <sheetViews>
    <sheetView topLeftCell="B28" workbookViewId="0">
      <selection activeCell="A6" sqref="A6"/>
    </sheetView>
  </sheetViews>
  <sheetFormatPr defaultColWidth="18" defaultRowHeight="24" customHeight="1"/>
  <cols>
    <col min="1" max="6" width="18" style="28"/>
    <col min="7" max="7" width="24.7109375" style="28" customWidth="1"/>
    <col min="8" max="9" width="18" style="28"/>
    <col min="10" max="10" width="21.7109375" style="28" customWidth="1"/>
    <col min="11" max="16384" width="18" style="28"/>
  </cols>
  <sheetData>
    <row r="1" spans="1:16" ht="24" customHeight="1">
      <c r="A1" s="30" t="s">
        <v>69</v>
      </c>
      <c r="B1" s="30" t="s">
        <v>74</v>
      </c>
      <c r="C1" s="28" t="s">
        <v>28</v>
      </c>
      <c r="D1" s="28" t="s">
        <v>29</v>
      </c>
      <c r="E1" s="28" t="s">
        <v>30</v>
      </c>
      <c r="F1" s="28" t="s">
        <v>71</v>
      </c>
      <c r="G1" s="28" t="s">
        <v>72</v>
      </c>
      <c r="H1" s="28" t="s">
        <v>31</v>
      </c>
      <c r="I1" s="28" t="s">
        <v>32</v>
      </c>
      <c r="J1" s="28" t="s">
        <v>33</v>
      </c>
      <c r="L1" s="39" t="s">
        <v>82</v>
      </c>
      <c r="M1" s="39" t="s">
        <v>77</v>
      </c>
      <c r="N1" s="39" t="s">
        <v>78</v>
      </c>
      <c r="O1" s="39" t="s">
        <v>79</v>
      </c>
      <c r="P1" s="39" t="s">
        <v>80</v>
      </c>
    </row>
    <row r="2" spans="1:16" ht="24" customHeight="1">
      <c r="A2" s="31">
        <v>43647</v>
      </c>
      <c r="B2" s="30">
        <f>YEAR(A2)</f>
        <v>2019</v>
      </c>
      <c r="C2" s="28">
        <f>$A$4+D2</f>
        <v>87</v>
      </c>
      <c r="D2" s="28">
        <v>0</v>
      </c>
      <c r="E2" s="28">
        <f>VLOOKUP(C:C, 'Total Data Set'!B:J, IF(Summary!$F$16="M", 4, 8), FALSE)</f>
        <v>9.7037999999999999E-2</v>
      </c>
      <c r="F2" s="28">
        <f>1-E2</f>
        <v>0.90296200000000004</v>
      </c>
      <c r="G2" s="28">
        <v>1</v>
      </c>
      <c r="H2" s="28">
        <f>1/(1+Summary!$O$3)^D2</f>
        <v>1</v>
      </c>
      <c r="I2" s="28">
        <f>Summary!$J$16*'R15'!H2*'R15'!G2</f>
        <v>21077</v>
      </c>
      <c r="J2" s="28">
        <f>SUM(I2:I35)</f>
        <v>112382.78932005317</v>
      </c>
      <c r="L2" s="28" t="e">
        <f>IF(Summary!$F$16="M",VLOOKUP(C:C,#REF!,IF(B2&gt;2033,22,MATCH(B2,#REF!,0)),FALSE),VLOOKUP(C:C,#REF!,IF(B2&gt;2033,22,MATCH(B2,#REF!,0)),FALSE))</f>
        <v>#REF!</v>
      </c>
      <c r="M2" s="28" t="e">
        <f>1-L2</f>
        <v>#REF!</v>
      </c>
      <c r="N2" s="28">
        <v>1</v>
      </c>
      <c r="O2" s="28">
        <f>Summary!$J$16*'R15'!N2*'R15'!H2</f>
        <v>21077</v>
      </c>
      <c r="P2" s="28" t="e">
        <f>SUM(O2:O35)</f>
        <v>#REF!</v>
      </c>
    </row>
    <row r="3" spans="1:16" ht="24" customHeight="1">
      <c r="A3" s="28" t="s">
        <v>34</v>
      </c>
      <c r="B3" s="30">
        <f>$B2+1</f>
        <v>2020</v>
      </c>
      <c r="C3" s="28">
        <f>$A$4+D3</f>
        <v>88</v>
      </c>
      <c r="D3" s="28">
        <v>1</v>
      </c>
      <c r="E3" s="28">
        <f>VLOOKUP(C:C, 'Total Data Set'!B:J, IF(Summary!$F$16="M", 4, 8), FALSE)</f>
        <v>0.10859099999999999</v>
      </c>
      <c r="F3" s="28">
        <f>1-E3</f>
        <v>0.89140900000000001</v>
      </c>
      <c r="G3" s="28">
        <f>F2</f>
        <v>0.90296200000000004</v>
      </c>
      <c r="H3" s="28">
        <f>1/(1+Summary!$O$3)^D3</f>
        <v>0.95238095238095233</v>
      </c>
      <c r="I3" s="28">
        <f>Summary!$J$16*'R15'!H3*'R15'!G3</f>
        <v>18125.457213333331</v>
      </c>
      <c r="L3" s="28" t="e">
        <f>IF(Summary!$F$16="M",VLOOKUP(C:C,#REF!,IF(B3&gt;2033,22,MATCH(B3,#REF!,0)),FALSE),VLOOKUP(C:C,#REF!,IF(B3&gt;2033,22,MATCH(B3,#REF!,0)),FALSE))</f>
        <v>#REF!</v>
      </c>
      <c r="M3" s="28" t="e">
        <f>1-L3</f>
        <v>#REF!</v>
      </c>
      <c r="N3" s="28" t="e">
        <f>N2*M2</f>
        <v>#REF!</v>
      </c>
      <c r="O3" s="28" t="e">
        <f>Summary!$J$16*'R15'!N3*'R15'!H3</f>
        <v>#REF!</v>
      </c>
    </row>
    <row r="4" spans="1:16" ht="24" customHeight="1">
      <c r="A4" s="28">
        <f>Summary!I16</f>
        <v>87</v>
      </c>
      <c r="B4" s="30">
        <f t="shared" ref="B4:B35" si="0">$B3+1</f>
        <v>2021</v>
      </c>
      <c r="C4" s="28">
        <f t="shared" ref="C4:C35" si="1">$A$4+D4</f>
        <v>89</v>
      </c>
      <c r="D4" s="28">
        <v>2</v>
      </c>
      <c r="E4" s="28">
        <f>VLOOKUP(C:C, 'Total Data Set'!B:J, IF(Summary!$F$16="M", 4, 8), FALSE)</f>
        <v>0.121499</v>
      </c>
      <c r="F4" s="28">
        <f t="shared" ref="F4:F35" si="2">1-E4</f>
        <v>0.87850099999999998</v>
      </c>
      <c r="G4" s="28">
        <f t="shared" ref="G4:G35" si="3">G3*F3</f>
        <v>0.80490845345799999</v>
      </c>
      <c r="H4" s="28">
        <f>1/(1+Summary!$O$3)^D4</f>
        <v>0.90702947845804982</v>
      </c>
      <c r="I4" s="28">
        <f>Summary!$J$16*'R15'!H4*'R15'!G4</f>
        <v>15387.805418171667</v>
      </c>
      <c r="L4" s="28" t="e">
        <f>IF(Summary!$F$16="M",VLOOKUP(C:C,#REF!,IF(B4&gt;2033,22,MATCH(B4,#REF!,0)),FALSE),VLOOKUP(C:C,#REF!,IF(B4&gt;2033,22,MATCH(B4,#REF!,0)),FALSE))</f>
        <v>#REF!</v>
      </c>
      <c r="M4" s="28" t="e">
        <f t="shared" ref="M4:M35" si="4">1-L4</f>
        <v>#REF!</v>
      </c>
      <c r="N4" s="28" t="e">
        <f t="shared" ref="N4:N35" si="5">N3*M3</f>
        <v>#REF!</v>
      </c>
      <c r="O4" s="28" t="e">
        <f>Summary!$J$16*'R15'!N4*'R15'!H4</f>
        <v>#REF!</v>
      </c>
    </row>
    <row r="5" spans="1:16" ht="24" customHeight="1">
      <c r="B5" s="30">
        <f t="shared" si="0"/>
        <v>2022</v>
      </c>
      <c r="C5" s="28">
        <f t="shared" si="1"/>
        <v>90</v>
      </c>
      <c r="D5" s="28">
        <v>3</v>
      </c>
      <c r="E5" s="28">
        <f>VLOOKUP(C:C, 'Total Data Set'!B:J, IF(Summary!$F$16="M", 4, 8), FALSE)</f>
        <v>0.135908</v>
      </c>
      <c r="F5" s="28">
        <f t="shared" si="2"/>
        <v>0.86409199999999997</v>
      </c>
      <c r="G5" s="28">
        <f t="shared" si="3"/>
        <v>0.70711288127130645</v>
      </c>
      <c r="H5" s="28">
        <f>1/(1+Summary!$O$3)^D5</f>
        <v>0.86383759853147601</v>
      </c>
      <c r="I5" s="28">
        <f>Summary!$J$16*'R15'!H5*'R15'!G5</f>
        <v>12874.478521589743</v>
      </c>
      <c r="L5" s="28" t="e">
        <f>IF(Summary!$F$16="M",VLOOKUP(C:C,#REF!,IF(B5&gt;2033,22,MATCH(B5,#REF!,0)),FALSE),VLOOKUP(C:C,#REF!,IF(B5&gt;2033,22,MATCH(B5,#REF!,0)),FALSE))</f>
        <v>#REF!</v>
      </c>
      <c r="M5" s="28" t="e">
        <f t="shared" si="4"/>
        <v>#REF!</v>
      </c>
      <c r="N5" s="28" t="e">
        <f t="shared" si="5"/>
        <v>#REF!</v>
      </c>
      <c r="O5" s="28" t="e">
        <f>Summary!$J$16*'R15'!N5*'R15'!H5</f>
        <v>#REF!</v>
      </c>
    </row>
    <row r="6" spans="1:16" ht="24" customHeight="1">
      <c r="B6" s="30">
        <f t="shared" si="0"/>
        <v>2023</v>
      </c>
      <c r="C6" s="28">
        <f t="shared" si="1"/>
        <v>91</v>
      </c>
      <c r="D6" s="28">
        <v>4</v>
      </c>
      <c r="E6" s="28">
        <f>VLOOKUP(C:C, 'Total Data Set'!B:J, IF(Summary!$F$16="M", 4, 8), FALSE)</f>
        <v>0.15132200000000001</v>
      </c>
      <c r="F6" s="28">
        <f t="shared" si="2"/>
        <v>0.84867800000000004</v>
      </c>
      <c r="G6" s="28">
        <f t="shared" si="3"/>
        <v>0.61101058380348572</v>
      </c>
      <c r="H6" s="28">
        <f>1/(1+Summary!$O$3)^D6</f>
        <v>0.82270247479188197</v>
      </c>
      <c r="I6" s="28">
        <f>Summary!$J$16*'R15'!H6*'R15'!G6</f>
        <v>10594.98466159764</v>
      </c>
      <c r="L6" s="28" t="e">
        <f>IF(Summary!$F$16="M",VLOOKUP(C:C,#REF!,IF(B6&gt;2033,22,MATCH(B6,#REF!,0)),FALSE),VLOOKUP(C:C,#REF!,IF(B6&gt;2033,22,MATCH(B6,#REF!,0)),FALSE))</f>
        <v>#REF!</v>
      </c>
      <c r="M6" s="28" t="e">
        <f t="shared" si="4"/>
        <v>#REF!</v>
      </c>
      <c r="N6" s="28" t="e">
        <f t="shared" si="5"/>
        <v>#REF!</v>
      </c>
      <c r="O6" s="28" t="e">
        <f>Summary!$J$16*'R15'!N6*'R15'!H6</f>
        <v>#REF!</v>
      </c>
    </row>
    <row r="7" spans="1:16" ht="24" customHeight="1">
      <c r="B7" s="30">
        <f t="shared" si="0"/>
        <v>2024</v>
      </c>
      <c r="C7" s="28">
        <f t="shared" si="1"/>
        <v>92</v>
      </c>
      <c r="D7" s="28">
        <v>5</v>
      </c>
      <c r="E7" s="28">
        <f>VLOOKUP(C:C, 'Total Data Set'!B:J, IF(Summary!$F$16="M", 4, 8), FALSE)</f>
        <v>0.16742199999999999</v>
      </c>
      <c r="F7" s="28">
        <f t="shared" si="2"/>
        <v>0.83257800000000004</v>
      </c>
      <c r="G7" s="28">
        <f t="shared" si="3"/>
        <v>0.51855124024117472</v>
      </c>
      <c r="H7" s="28">
        <f>1/(1+Summary!$O$3)^D7</f>
        <v>0.78352616646845896</v>
      </c>
      <c r="I7" s="28">
        <f>Summary!$J$16*'R15'!H7*'R15'!G7</f>
        <v>8563.5527548908231</v>
      </c>
      <c r="L7" s="28" t="e">
        <f>IF(Summary!$F$16="M",VLOOKUP(C:C,#REF!,IF(B7&gt;2033,22,MATCH(B7,#REF!,0)),FALSE),VLOOKUP(C:C,#REF!,IF(B7&gt;2033,22,MATCH(B7,#REF!,0)),FALSE))</f>
        <v>#REF!</v>
      </c>
      <c r="M7" s="28" t="e">
        <f t="shared" si="4"/>
        <v>#REF!</v>
      </c>
      <c r="N7" s="28" t="e">
        <f t="shared" si="5"/>
        <v>#REF!</v>
      </c>
      <c r="O7" s="28" t="e">
        <f>Summary!$J$16*'R15'!N7*'R15'!H7</f>
        <v>#REF!</v>
      </c>
    </row>
    <row r="8" spans="1:16" ht="24" customHeight="1">
      <c r="B8" s="30">
        <f t="shared" si="0"/>
        <v>2025</v>
      </c>
      <c r="C8" s="28">
        <f t="shared" si="1"/>
        <v>93</v>
      </c>
      <c r="D8" s="28">
        <v>6</v>
      </c>
      <c r="E8" s="28">
        <f>VLOOKUP(C:C, 'Total Data Set'!B:J, IF(Summary!$F$16="M", 4, 8), FALSE)</f>
        <v>0.18403</v>
      </c>
      <c r="F8" s="28">
        <f t="shared" si="2"/>
        <v>0.81596999999999997</v>
      </c>
      <c r="G8" s="28">
        <f t="shared" si="3"/>
        <v>0.43173435449751679</v>
      </c>
      <c r="H8" s="28">
        <f>1/(1+Summary!$O$3)^D8</f>
        <v>0.74621539663662761</v>
      </c>
      <c r="I8" s="28">
        <f>Summary!$J$16*'R15'!H8*'R15'!G8</f>
        <v>6790.3101195823738</v>
      </c>
      <c r="L8" s="28" t="e">
        <f>IF(Summary!$F$16="M",VLOOKUP(C:C,#REF!,IF(B8&gt;2033,22,MATCH(B8,#REF!,0)),FALSE),VLOOKUP(C:C,#REF!,IF(B8&gt;2033,22,MATCH(B8,#REF!,0)),FALSE))</f>
        <v>#REF!</v>
      </c>
      <c r="M8" s="28" t="e">
        <f t="shared" si="4"/>
        <v>#REF!</v>
      </c>
      <c r="N8" s="28" t="e">
        <f t="shared" si="5"/>
        <v>#REF!</v>
      </c>
      <c r="O8" s="28" t="e">
        <f>Summary!$J$16*'R15'!N8*'R15'!H8</f>
        <v>#REF!</v>
      </c>
    </row>
    <row r="9" spans="1:16" ht="24" customHeight="1">
      <c r="B9" s="30">
        <f t="shared" si="0"/>
        <v>2026</v>
      </c>
      <c r="C9" s="28">
        <f t="shared" si="1"/>
        <v>94</v>
      </c>
      <c r="D9" s="28">
        <v>7</v>
      </c>
      <c r="E9" s="28">
        <f>VLOOKUP(C:C, 'Total Data Set'!B:J, IF(Summary!$F$16="M", 4, 8), FALSE)</f>
        <v>0.201074</v>
      </c>
      <c r="F9" s="28">
        <f t="shared" si="2"/>
        <v>0.79892600000000003</v>
      </c>
      <c r="G9" s="28">
        <f t="shared" si="3"/>
        <v>0.35228228123933875</v>
      </c>
      <c r="H9" s="28">
        <f>1/(1+Summary!$O$3)^D9</f>
        <v>0.71068133013012147</v>
      </c>
      <c r="I9" s="28">
        <f>Summary!$J$16*'R15'!H9*'R15'!G9</f>
        <v>5276.8469983577406</v>
      </c>
      <c r="L9" s="28" t="e">
        <f>IF(Summary!$F$16="M",VLOOKUP(C:C,#REF!,IF(B9&gt;2033,22,MATCH(B9,#REF!,0)),FALSE),VLOOKUP(C:C,#REF!,IF(B9&gt;2033,22,MATCH(B9,#REF!,0)),FALSE))</f>
        <v>#REF!</v>
      </c>
      <c r="M9" s="28" t="e">
        <f t="shared" si="4"/>
        <v>#REF!</v>
      </c>
      <c r="N9" s="28" t="e">
        <f t="shared" si="5"/>
        <v>#REF!</v>
      </c>
      <c r="O9" s="28" t="e">
        <f>Summary!$J$16*'R15'!N9*'R15'!H9</f>
        <v>#REF!</v>
      </c>
    </row>
    <row r="10" spans="1:16" ht="24" customHeight="1">
      <c r="B10" s="30">
        <f t="shared" si="0"/>
        <v>2027</v>
      </c>
      <c r="C10" s="28">
        <f t="shared" si="1"/>
        <v>95</v>
      </c>
      <c r="D10" s="28">
        <v>8</v>
      </c>
      <c r="E10" s="28">
        <f>VLOOKUP(C:C, 'Total Data Set'!B:J, IF(Summary!$F$16="M", 4, 8), FALSE)</f>
        <v>0.218559</v>
      </c>
      <c r="F10" s="28">
        <f t="shared" si="2"/>
        <v>0.78144100000000005</v>
      </c>
      <c r="G10" s="28">
        <f t="shared" si="3"/>
        <v>0.28144747382141994</v>
      </c>
      <c r="H10" s="28">
        <f>1/(1+Summary!$O$3)^D10</f>
        <v>0.67683936202868722</v>
      </c>
      <c r="I10" s="28">
        <f>Summary!$J$16*'R15'!H10*'R15'!G10</f>
        <v>4015.0573952475784</v>
      </c>
      <c r="L10" s="28" t="e">
        <f>IF(Summary!$F$16="M",VLOOKUP(C:C,#REF!,IF(B10&gt;2033,22,MATCH(B10,#REF!,0)),FALSE),VLOOKUP(C:C,#REF!,IF(B10&gt;2033,22,MATCH(B10,#REF!,0)),FALSE))</f>
        <v>#REF!</v>
      </c>
      <c r="M10" s="28" t="e">
        <f t="shared" si="4"/>
        <v>#REF!</v>
      </c>
      <c r="N10" s="28" t="e">
        <f t="shared" si="5"/>
        <v>#REF!</v>
      </c>
      <c r="O10" s="28" t="e">
        <f>Summary!$J$16*'R15'!N10*'R15'!H10</f>
        <v>#REF!</v>
      </c>
    </row>
    <row r="11" spans="1:16" ht="24" customHeight="1">
      <c r="B11" s="30">
        <f t="shared" si="0"/>
        <v>2028</v>
      </c>
      <c r="C11" s="28">
        <f t="shared" si="1"/>
        <v>96</v>
      </c>
      <c r="D11" s="28">
        <v>9</v>
      </c>
      <c r="E11" s="28">
        <f>VLOOKUP(C:C, 'Total Data Set'!B:J, IF(Summary!$F$16="M", 4, 8), FALSE)</f>
        <v>0.236535</v>
      </c>
      <c r="F11" s="28">
        <f t="shared" si="2"/>
        <v>0.76346500000000006</v>
      </c>
      <c r="G11" s="28">
        <f t="shared" si="3"/>
        <v>0.21993459539048424</v>
      </c>
      <c r="H11" s="28">
        <f>1/(1+Summary!$O$3)^D11</f>
        <v>0.64460891621779726</v>
      </c>
      <c r="I11" s="28">
        <f>Summary!$J$16*'R15'!H11*'R15'!G11</f>
        <v>2988.1242533330119</v>
      </c>
      <c r="L11" s="28" t="e">
        <f>IF(Summary!$F$16="M",VLOOKUP(C:C,#REF!,IF(B11&gt;2033,22,MATCH(B11,#REF!,0)),FALSE),VLOOKUP(C:C,#REF!,IF(B11&gt;2033,22,MATCH(B11,#REF!,0)),FALSE))</f>
        <v>#REF!</v>
      </c>
      <c r="M11" s="28" t="e">
        <f t="shared" si="4"/>
        <v>#REF!</v>
      </c>
      <c r="N11" s="28" t="e">
        <f t="shared" si="5"/>
        <v>#REF!</v>
      </c>
      <c r="O11" s="28" t="e">
        <f>Summary!$J$16*'R15'!N11*'R15'!H11</f>
        <v>#REF!</v>
      </c>
    </row>
    <row r="12" spans="1:16" ht="24" customHeight="1">
      <c r="B12" s="30">
        <f t="shared" si="0"/>
        <v>2029</v>
      </c>
      <c r="C12" s="28">
        <f t="shared" si="1"/>
        <v>97</v>
      </c>
      <c r="D12" s="28">
        <v>10</v>
      </c>
      <c r="E12" s="28">
        <f>VLOOKUP(C:C, 'Total Data Set'!B:J, IF(Summary!$F$16="M", 4, 8), FALSE)</f>
        <v>0.25505899999999998</v>
      </c>
      <c r="F12" s="28">
        <f t="shared" si="2"/>
        <v>0.74494100000000008</v>
      </c>
      <c r="G12" s="28">
        <f t="shared" si="3"/>
        <v>0.16791236586979608</v>
      </c>
      <c r="H12" s="28">
        <f>1/(1+Summary!$O$3)^D12</f>
        <v>0.61391325354075932</v>
      </c>
      <c r="I12" s="28">
        <f>Summary!$J$16*'R15'!H12*'R15'!G12</f>
        <v>2172.6936029246558</v>
      </c>
      <c r="L12" s="28" t="e">
        <f>IF(Summary!$F$16="M",VLOOKUP(C:C,#REF!,IF(B12&gt;2033,22,MATCH(B12,#REF!,0)),FALSE),VLOOKUP(C:C,#REF!,IF(B12&gt;2033,22,MATCH(B12,#REF!,0)),FALSE))</f>
        <v>#REF!</v>
      </c>
      <c r="M12" s="28" t="e">
        <f t="shared" si="4"/>
        <v>#REF!</v>
      </c>
      <c r="N12" s="28" t="e">
        <f t="shared" si="5"/>
        <v>#REF!</v>
      </c>
      <c r="O12" s="28" t="e">
        <f>Summary!$J$16*'R15'!N12*'R15'!H12</f>
        <v>#REF!</v>
      </c>
    </row>
    <row r="13" spans="1:16" ht="24" customHeight="1">
      <c r="B13" s="30">
        <f t="shared" si="0"/>
        <v>2030</v>
      </c>
      <c r="C13" s="28">
        <f t="shared" si="1"/>
        <v>98</v>
      </c>
      <c r="D13" s="28">
        <v>11</v>
      </c>
      <c r="E13" s="28">
        <f>VLOOKUP(C:C, 'Total Data Set'!B:J, IF(Summary!$F$16="M", 4, 8), FALSE)</f>
        <v>0.27417000000000002</v>
      </c>
      <c r="F13" s="28">
        <f t="shared" si="2"/>
        <v>0.72582999999999998</v>
      </c>
      <c r="G13" s="28">
        <f t="shared" si="3"/>
        <v>0.12508480574341177</v>
      </c>
      <c r="H13" s="28">
        <f>1/(1+Summary!$O$3)^D13</f>
        <v>0.5846792890864374</v>
      </c>
      <c r="I13" s="28">
        <f>Summary!$J$16*'R15'!H13*'R15'!G13</f>
        <v>1541.4557573869486</v>
      </c>
      <c r="L13" s="28" t="e">
        <f>IF(Summary!$F$16="M",VLOOKUP(C:C,#REF!,IF(B13&gt;2033,22,MATCH(B13,#REF!,0)),FALSE),VLOOKUP(C:C,#REF!,IF(B13&gt;2033,22,MATCH(B13,#REF!,0)),FALSE))</f>
        <v>#REF!</v>
      </c>
      <c r="M13" s="28" t="e">
        <f t="shared" si="4"/>
        <v>#REF!</v>
      </c>
      <c r="N13" s="28" t="e">
        <f t="shared" si="5"/>
        <v>#REF!</v>
      </c>
      <c r="O13" s="28" t="e">
        <f>Summary!$J$16*'R15'!N13*'R15'!H13</f>
        <v>#REF!</v>
      </c>
    </row>
    <row r="14" spans="1:16" ht="24" customHeight="1">
      <c r="B14" s="30">
        <f t="shared" si="0"/>
        <v>2031</v>
      </c>
      <c r="C14" s="28">
        <f t="shared" si="1"/>
        <v>99</v>
      </c>
      <c r="D14" s="28">
        <v>12</v>
      </c>
      <c r="E14" s="28">
        <f>VLOOKUP(C:C, 'Total Data Set'!B:J, IF(Summary!$F$16="M", 4, 8), FALSE)</f>
        <v>0.293848</v>
      </c>
      <c r="F14" s="28">
        <f t="shared" si="2"/>
        <v>0.706152</v>
      </c>
      <c r="G14" s="28">
        <f t="shared" si="3"/>
        <v>9.0790304552740564E-2</v>
      </c>
      <c r="H14" s="28">
        <f>1/(1+Summary!$O$3)^D14</f>
        <v>0.5568374181775595</v>
      </c>
      <c r="I14" s="28">
        <f>Summary!$J$16*'R15'!H14*'R15'!G14</f>
        <v>1065.5569832230181</v>
      </c>
      <c r="L14" s="28" t="e">
        <f>IF(Summary!$F$16="M",VLOOKUP(C:C,#REF!,IF(B14&gt;2033,22,MATCH(B14,#REF!,0)),FALSE),VLOOKUP(C:C,#REF!,IF(B14&gt;2033,22,MATCH(B14,#REF!,0)),FALSE))</f>
        <v>#REF!</v>
      </c>
      <c r="M14" s="28" t="e">
        <f t="shared" si="4"/>
        <v>#REF!</v>
      </c>
      <c r="N14" s="28" t="e">
        <f t="shared" si="5"/>
        <v>#REF!</v>
      </c>
      <c r="O14" s="28" t="e">
        <f>Summary!$J$16*'R15'!N14*'R15'!H14</f>
        <v>#REF!</v>
      </c>
    </row>
    <row r="15" spans="1:16" ht="24" customHeight="1">
      <c r="B15" s="30">
        <f t="shared" si="0"/>
        <v>2032</v>
      </c>
      <c r="C15" s="28">
        <f t="shared" si="1"/>
        <v>100</v>
      </c>
      <c r="D15" s="28">
        <v>13</v>
      </c>
      <c r="E15" s="28">
        <f>VLOOKUP(C:C, 'Total Data Set'!B:J, IF(Summary!$F$16="M", 4, 8), FALSE)</f>
        <v>0.31398799999999999</v>
      </c>
      <c r="F15" s="28">
        <f t="shared" si="2"/>
        <v>0.68601200000000007</v>
      </c>
      <c r="G15" s="28">
        <f t="shared" si="3"/>
        <v>6.411175514052686E-2</v>
      </c>
      <c r="H15" s="28">
        <f>1/(1+Summary!$O$3)^D15</f>
        <v>0.53032135064529462</v>
      </c>
      <c r="I15" s="28">
        <f>Summary!$J$16*'R15'!H15*'R15'!G15</f>
        <v>716.6144712541909</v>
      </c>
      <c r="L15" s="28" t="e">
        <f>IF(Summary!$F$16="M",VLOOKUP(C:C,#REF!,IF(B15&gt;2033,22,MATCH(B15,#REF!,0)),FALSE),VLOOKUP(C:C,#REF!,IF(B15&gt;2033,22,MATCH(B15,#REF!,0)),FALSE))</f>
        <v>#REF!</v>
      </c>
      <c r="M15" s="28" t="e">
        <f t="shared" si="4"/>
        <v>#REF!</v>
      </c>
      <c r="N15" s="28" t="e">
        <f t="shared" si="5"/>
        <v>#REF!</v>
      </c>
      <c r="O15" s="28" t="e">
        <f>Summary!$J$16*'R15'!N15*'R15'!H15</f>
        <v>#REF!</v>
      </c>
    </row>
    <row r="16" spans="1:16" ht="24" customHeight="1">
      <c r="B16" s="30">
        <f t="shared" si="0"/>
        <v>2033</v>
      </c>
      <c r="C16" s="28">
        <f t="shared" si="1"/>
        <v>101</v>
      </c>
      <c r="D16" s="28">
        <v>14</v>
      </c>
      <c r="E16" s="28">
        <f>VLOOKUP(C:C, 'Total Data Set'!B:J, IF(Summary!$F$16="M", 4, 8), FALSE)</f>
        <v>0.33436500000000002</v>
      </c>
      <c r="F16" s="28">
        <f t="shared" si="2"/>
        <v>0.66563499999999998</v>
      </c>
      <c r="G16" s="28">
        <f t="shared" si="3"/>
        <v>4.3981433367463116E-2</v>
      </c>
      <c r="H16" s="28">
        <f>1/(1+Summary!$O$3)^D16</f>
        <v>0.50506795299551888</v>
      </c>
      <c r="I16" s="28">
        <f>Summary!$J$16*'R15'!H16*'R15'!G16</f>
        <v>468.19631109907647</v>
      </c>
      <c r="L16" s="28" t="e">
        <f>IF(Summary!$F$16="M",VLOOKUP(C:C,#REF!,IF(B16&gt;2033,22,MATCH(B16,#REF!,0)),FALSE),VLOOKUP(C:C,#REF!,IF(B16&gt;2033,22,MATCH(B16,#REF!,0)),FALSE))</f>
        <v>#REF!</v>
      </c>
      <c r="M16" s="28" t="e">
        <f t="shared" si="4"/>
        <v>#REF!</v>
      </c>
      <c r="N16" s="28" t="e">
        <f t="shared" si="5"/>
        <v>#REF!</v>
      </c>
      <c r="O16" s="28" t="e">
        <f>Summary!$J$16*'R15'!N16*'R15'!H16</f>
        <v>#REF!</v>
      </c>
    </row>
    <row r="17" spans="2:15" ht="24" customHeight="1">
      <c r="B17" s="30">
        <f t="shared" si="0"/>
        <v>2034</v>
      </c>
      <c r="C17" s="28">
        <f t="shared" si="1"/>
        <v>102</v>
      </c>
      <c r="D17" s="28">
        <v>15</v>
      </c>
      <c r="E17" s="28">
        <f>VLOOKUP(C:C, 'Total Data Set'!B:J, IF(Summary!$F$16="M", 4, 8), FALSE)</f>
        <v>0.354599</v>
      </c>
      <c r="F17" s="28">
        <f t="shared" si="2"/>
        <v>0.645401</v>
      </c>
      <c r="G17" s="28">
        <f t="shared" si="3"/>
        <v>2.9275581399551311E-2</v>
      </c>
      <c r="H17" s="28">
        <f>1/(1+Summary!$O$3)^D17</f>
        <v>0.48101709809097021</v>
      </c>
      <c r="I17" s="28">
        <f>Summary!$J$16*'R15'!H17*'R15'!G17</f>
        <v>296.8074776556511</v>
      </c>
      <c r="L17" s="28" t="e">
        <f>IF(Summary!$F$16="M",VLOOKUP(C:C,#REF!,IF(B17&gt;2033,22,MATCH(B17,#REF!,0)),FALSE),VLOOKUP(C:C,#REF!,IF(B17&gt;2033,22,MATCH(B17,#REF!,0)),FALSE))</f>
        <v>#REF!</v>
      </c>
      <c r="M17" s="28" t="e">
        <f t="shared" si="4"/>
        <v>#REF!</v>
      </c>
      <c r="N17" s="28" t="e">
        <f t="shared" si="5"/>
        <v>#REF!</v>
      </c>
      <c r="O17" s="28" t="e">
        <f>Summary!$J$16*'R15'!N17*'R15'!H17</f>
        <v>#REF!</v>
      </c>
    </row>
    <row r="18" spans="2:15" ht="24" customHeight="1">
      <c r="B18" s="30">
        <f t="shared" si="0"/>
        <v>2035</v>
      </c>
      <c r="C18" s="28">
        <f t="shared" si="1"/>
        <v>103</v>
      </c>
      <c r="D18" s="28">
        <v>16</v>
      </c>
      <c r="E18" s="28">
        <f>VLOOKUP(C:C, 'Total Data Set'!B:J, IF(Summary!$F$16="M", 4, 8), FALSE)</f>
        <v>0.37452400000000002</v>
      </c>
      <c r="F18" s="28">
        <f t="shared" si="2"/>
        <v>0.62547599999999992</v>
      </c>
      <c r="G18" s="28">
        <f t="shared" si="3"/>
        <v>1.8894489510851816E-2</v>
      </c>
      <c r="H18" s="28">
        <f>1/(1+Summary!$O$3)^D18</f>
        <v>0.45811152199140021</v>
      </c>
      <c r="I18" s="28">
        <f>Summary!$J$16*'R15'!H18*'R15'!G18</f>
        <v>182.43794560612847</v>
      </c>
      <c r="L18" s="28" t="e">
        <f>IF(Summary!$F$16="M",VLOOKUP(C:C,#REF!,IF(B18&gt;2033,22,MATCH(B18,#REF!,0)),FALSE),VLOOKUP(C:C,#REF!,IF(B18&gt;2033,22,MATCH(B18,#REF!,0)),FALSE))</f>
        <v>#REF!</v>
      </c>
      <c r="M18" s="28" t="e">
        <f t="shared" si="4"/>
        <v>#REF!</v>
      </c>
      <c r="N18" s="28" t="e">
        <f t="shared" si="5"/>
        <v>#REF!</v>
      </c>
      <c r="O18" s="28" t="e">
        <f>Summary!$J$16*'R15'!N18*'R15'!H18</f>
        <v>#REF!</v>
      </c>
    </row>
    <row r="19" spans="2:15" ht="24" customHeight="1">
      <c r="B19" s="30">
        <f t="shared" si="0"/>
        <v>2036</v>
      </c>
      <c r="C19" s="28">
        <f t="shared" si="1"/>
        <v>104</v>
      </c>
      <c r="D19" s="28">
        <v>17</v>
      </c>
      <c r="E19" s="28">
        <f>VLOOKUP(C:C, 'Total Data Set'!B:J, IF(Summary!$F$16="M", 4, 8), FALSE)</f>
        <v>0.393982</v>
      </c>
      <c r="F19" s="28">
        <f t="shared" si="2"/>
        <v>0.60601799999999995</v>
      </c>
      <c r="G19" s="28">
        <f t="shared" si="3"/>
        <v>1.181804972128955E-2</v>
      </c>
      <c r="H19" s="28">
        <f>1/(1+Summary!$O$3)^D19</f>
        <v>0.43629668761085727</v>
      </c>
      <c r="I19" s="28">
        <f>Summary!$J$16*'R15'!H19*'R15'!G19</f>
        <v>108.67672044375122</v>
      </c>
      <c r="L19" s="28" t="e">
        <f>IF(Summary!$F$16="M",VLOOKUP(C:C,#REF!,IF(B19&gt;2033,22,MATCH(B19,#REF!,0)),FALSE),VLOOKUP(C:C,#REF!,IF(B19&gt;2033,22,MATCH(B19,#REF!,0)),FALSE))</f>
        <v>#REF!</v>
      </c>
      <c r="M19" s="28" t="e">
        <f t="shared" si="4"/>
        <v>#REF!</v>
      </c>
      <c r="N19" s="28" t="e">
        <f t="shared" si="5"/>
        <v>#REF!</v>
      </c>
      <c r="O19" s="28" t="e">
        <f>Summary!$J$16*'R15'!N19*'R15'!H19</f>
        <v>#REF!</v>
      </c>
    </row>
    <row r="20" spans="2:15" ht="24" customHeight="1">
      <c r="B20" s="30">
        <f t="shared" si="0"/>
        <v>2037</v>
      </c>
      <c r="C20" s="28">
        <f t="shared" si="1"/>
        <v>105</v>
      </c>
      <c r="D20" s="28">
        <v>18</v>
      </c>
      <c r="E20" s="28">
        <f>VLOOKUP(C:C, 'Total Data Set'!B:J, IF(Summary!$F$16="M", 4, 8), FALSE)</f>
        <v>0.412831</v>
      </c>
      <c r="F20" s="28">
        <f t="shared" si="2"/>
        <v>0.58716900000000005</v>
      </c>
      <c r="G20" s="28">
        <f t="shared" si="3"/>
        <v>7.1619508559964493E-3</v>
      </c>
      <c r="H20" s="28">
        <f>1/(1+Summary!$O$3)^D20</f>
        <v>0.41552065486748313</v>
      </c>
      <c r="I20" s="28">
        <f>Summary!$J$16*'R15'!H20*'R15'!G20</f>
        <v>62.723855971315452</v>
      </c>
      <c r="L20" s="28" t="e">
        <f>IF(Summary!$F$16="M",VLOOKUP(C:C,#REF!,IF(B20&gt;2033,22,MATCH(B20,#REF!,0)),FALSE),VLOOKUP(C:C,#REF!,IF(B20&gt;2033,22,MATCH(B20,#REF!,0)),FALSE))</f>
        <v>#REF!</v>
      </c>
      <c r="M20" s="28" t="e">
        <f t="shared" si="4"/>
        <v>#REF!</v>
      </c>
      <c r="N20" s="28" t="e">
        <f t="shared" si="5"/>
        <v>#REF!</v>
      </c>
      <c r="O20" s="28" t="e">
        <f>Summary!$J$16*'R15'!N20*'R15'!H20</f>
        <v>#REF!</v>
      </c>
    </row>
    <row r="21" spans="2:15" ht="24" customHeight="1">
      <c r="B21" s="30">
        <f t="shared" si="0"/>
        <v>2038</v>
      </c>
      <c r="C21" s="28">
        <f t="shared" si="1"/>
        <v>106</v>
      </c>
      <c r="D21" s="28">
        <v>19</v>
      </c>
      <c r="E21" s="28">
        <f>VLOOKUP(C:C, 'Total Data Set'!B:J, IF(Summary!$F$16="M", 4, 8), FALSE)</f>
        <v>0.430946</v>
      </c>
      <c r="F21" s="28">
        <f t="shared" si="2"/>
        <v>0.56905399999999995</v>
      </c>
      <c r="G21" s="28">
        <f t="shared" si="3"/>
        <v>4.2052755221645794E-3</v>
      </c>
      <c r="H21" s="28">
        <f>1/(1+Summary!$O$3)^D21</f>
        <v>0.39573395701665059</v>
      </c>
      <c r="I21" s="28">
        <f>Summary!$J$16*'R15'!H21*'R15'!G21</f>
        <v>35.075717892210783</v>
      </c>
      <c r="L21" s="28" t="e">
        <f>IF(Summary!$F$16="M",VLOOKUP(C:C,#REF!,IF(B21&gt;2033,22,MATCH(B21,#REF!,0)),FALSE),VLOOKUP(C:C,#REF!,IF(B21&gt;2033,22,MATCH(B21,#REF!,0)),FALSE))</f>
        <v>#REF!</v>
      </c>
      <c r="M21" s="28" t="e">
        <f t="shared" si="4"/>
        <v>#REF!</v>
      </c>
      <c r="N21" s="28" t="e">
        <f t="shared" si="5"/>
        <v>#REF!</v>
      </c>
      <c r="O21" s="28" t="e">
        <f>Summary!$J$16*'R15'!N21*'R15'!H21</f>
        <v>#REF!</v>
      </c>
    </row>
    <row r="22" spans="2:15" ht="24" customHeight="1">
      <c r="B22" s="30">
        <f t="shared" si="0"/>
        <v>2039</v>
      </c>
      <c r="C22" s="28">
        <f t="shared" si="1"/>
        <v>107</v>
      </c>
      <c r="D22" s="28">
        <v>20</v>
      </c>
      <c r="E22" s="28">
        <f>VLOOKUP(C:C, 'Total Data Set'!B:J, IF(Summary!$F$16="M", 4, 8), FALSE)</f>
        <v>0.44822699999999999</v>
      </c>
      <c r="F22" s="28">
        <f t="shared" si="2"/>
        <v>0.55177300000000007</v>
      </c>
      <c r="G22" s="28">
        <f t="shared" si="3"/>
        <v>2.3930288569898425E-3</v>
      </c>
      <c r="H22" s="28">
        <f>1/(1+Summary!$O$3)^D22</f>
        <v>0.37688948287300061</v>
      </c>
      <c r="I22" s="28">
        <f>Summary!$J$16*'R15'!H22*'R15'!G22</f>
        <v>19.009502447080113</v>
      </c>
      <c r="L22" s="28" t="e">
        <f>IF(Summary!$F$16="M",VLOOKUP(C:C,#REF!,IF(B22&gt;2033,22,MATCH(B22,#REF!,0)),FALSE),VLOOKUP(C:C,#REF!,IF(B22&gt;2033,22,MATCH(B22,#REF!,0)),FALSE))</f>
        <v>#REF!</v>
      </c>
      <c r="M22" s="28" t="e">
        <f t="shared" si="4"/>
        <v>#REF!</v>
      </c>
      <c r="N22" s="28" t="e">
        <f t="shared" si="5"/>
        <v>#REF!</v>
      </c>
      <c r="O22" s="28" t="e">
        <f>Summary!$J$16*'R15'!N22*'R15'!H22</f>
        <v>#REF!</v>
      </c>
    </row>
    <row r="23" spans="2:15" ht="24" customHeight="1">
      <c r="B23" s="30">
        <f t="shared" si="0"/>
        <v>2040</v>
      </c>
      <c r="C23" s="28">
        <f t="shared" si="1"/>
        <v>108</v>
      </c>
      <c r="D23" s="28">
        <v>21</v>
      </c>
      <c r="E23" s="28">
        <f>VLOOKUP(C:C, 'Total Data Set'!B:J, IF(Summary!$F$16="M", 4, 8), FALSE)</f>
        <v>0.464592</v>
      </c>
      <c r="F23" s="28">
        <f t="shared" si="2"/>
        <v>0.535408</v>
      </c>
      <c r="G23" s="28">
        <f t="shared" si="3"/>
        <v>1.3204087115078565E-3</v>
      </c>
      <c r="H23" s="28">
        <f>1/(1+Summary!$O$3)^D23</f>
        <v>0.35894236464095297</v>
      </c>
      <c r="I23" s="28">
        <f>Summary!$J$16*'R15'!H23*'R15'!G23</f>
        <v>9.9894573273645104</v>
      </c>
      <c r="L23" s="28" t="e">
        <f>IF(Summary!$F$16="M",VLOOKUP(C:C,#REF!,IF(B23&gt;2033,22,MATCH(B23,#REF!,0)),FALSE),VLOOKUP(C:C,#REF!,IF(B23&gt;2033,22,MATCH(B23,#REF!,0)),FALSE))</f>
        <v>#REF!</v>
      </c>
      <c r="M23" s="28" t="e">
        <f t="shared" si="4"/>
        <v>#REF!</v>
      </c>
      <c r="N23" s="28" t="e">
        <f t="shared" si="5"/>
        <v>#REF!</v>
      </c>
      <c r="O23" s="28" t="e">
        <f>Summary!$J$16*'R15'!N23*'R15'!H23</f>
        <v>#REF!</v>
      </c>
    </row>
    <row r="24" spans="2:15" ht="24" customHeight="1">
      <c r="B24" s="30">
        <f t="shared" si="0"/>
        <v>2041</v>
      </c>
      <c r="C24" s="28">
        <f t="shared" si="1"/>
        <v>109</v>
      </c>
      <c r="D24" s="28">
        <v>22</v>
      </c>
      <c r="E24" s="28">
        <f>VLOOKUP(C:C, 'Total Data Set'!B:J, IF(Summary!$F$16="M", 4, 8), FALSE)</f>
        <v>0.479987</v>
      </c>
      <c r="F24" s="28">
        <f t="shared" si="2"/>
        <v>0.52001300000000006</v>
      </c>
      <c r="G24" s="28">
        <f t="shared" si="3"/>
        <v>7.0695738741099838E-4</v>
      </c>
      <c r="H24" s="28">
        <f>1/(1+Summary!$O$3)^D24</f>
        <v>0.3418498710866219</v>
      </c>
      <c r="I24" s="28">
        <f>Summary!$J$16*'R15'!H24*'R15'!G24</f>
        <v>5.0937479702186454</v>
      </c>
      <c r="L24" s="28" t="e">
        <f>IF(Summary!$F$16="M",VLOOKUP(C:C,#REF!,IF(B24&gt;2033,22,MATCH(B24,#REF!,0)),FALSE),VLOOKUP(C:C,#REF!,IF(B24&gt;2033,22,MATCH(B24,#REF!,0)),FALSE))</f>
        <v>#REF!</v>
      </c>
      <c r="M24" s="28" t="e">
        <f t="shared" si="4"/>
        <v>#REF!</v>
      </c>
      <c r="N24" s="28" t="e">
        <f t="shared" si="5"/>
        <v>#REF!</v>
      </c>
      <c r="O24" s="28" t="e">
        <f>Summary!$J$16*'R15'!N24*'R15'!H24</f>
        <v>#REF!</v>
      </c>
    </row>
    <row r="25" spans="2:15" ht="24" customHeight="1">
      <c r="B25" s="30">
        <f t="shared" si="0"/>
        <v>2042</v>
      </c>
      <c r="C25" s="28">
        <f t="shared" si="1"/>
        <v>110</v>
      </c>
      <c r="D25" s="28">
        <v>23</v>
      </c>
      <c r="E25" s="28">
        <f>VLOOKUP(C:C, 'Total Data Set'!B:J, IF(Summary!$F$16="M", 4, 8), FALSE)</f>
        <v>0.49437599999999998</v>
      </c>
      <c r="F25" s="28">
        <f t="shared" si="2"/>
        <v>0.50562400000000007</v>
      </c>
      <c r="G25" s="28">
        <f t="shared" si="3"/>
        <v>3.6762703189975555E-4</v>
      </c>
      <c r="H25" s="28">
        <f>1/(1+Summary!$O$3)^D25</f>
        <v>0.32557130579678267</v>
      </c>
      <c r="I25" s="28">
        <f>Summary!$J$16*'R15'!H25*'R15'!G25</f>
        <v>2.5226811078450555</v>
      </c>
      <c r="L25" s="28" t="e">
        <f>IF(Summary!$F$16="M",VLOOKUP(C:C,#REF!,IF(B25&gt;2033,22,MATCH(B25,#REF!,0)),FALSE),VLOOKUP(C:C,#REF!,IF(B25&gt;2033,22,MATCH(B25,#REF!,0)),FALSE))</f>
        <v>#REF!</v>
      </c>
      <c r="M25" s="28" t="e">
        <f t="shared" si="4"/>
        <v>#REF!</v>
      </c>
      <c r="N25" s="28" t="e">
        <f t="shared" si="5"/>
        <v>#REF!</v>
      </c>
      <c r="O25" s="28" t="e">
        <f>Summary!$J$16*'R15'!N25*'R15'!H25</f>
        <v>#REF!</v>
      </c>
    </row>
    <row r="26" spans="2:15" ht="24" customHeight="1">
      <c r="B26" s="30">
        <f t="shared" si="0"/>
        <v>2043</v>
      </c>
      <c r="C26" s="28">
        <f t="shared" si="1"/>
        <v>111</v>
      </c>
      <c r="D26" s="28">
        <v>24</v>
      </c>
      <c r="E26" s="28">
        <f>VLOOKUP(C:C, 'Total Data Set'!B:J, IF(Summary!$F$16="M", 4, 8), FALSE)</f>
        <v>0.5</v>
      </c>
      <c r="F26" s="28">
        <f t="shared" si="2"/>
        <v>0.5</v>
      </c>
      <c r="G26" s="28">
        <f t="shared" si="3"/>
        <v>1.8588105037728204E-4</v>
      </c>
      <c r="H26" s="28">
        <f>1/(1+Summary!$O$3)^D26</f>
        <v>0.31006791028265024</v>
      </c>
      <c r="I26" s="28">
        <f>Summary!$J$16*'R15'!H26*'R15'!G26</f>
        <v>1.2147886785457607</v>
      </c>
      <c r="L26" s="28" t="e">
        <f>IF(Summary!$F$16="M",VLOOKUP(C:C,#REF!,IF(B26&gt;2033,22,MATCH(B26,#REF!,0)),FALSE),VLOOKUP(C:C,#REF!,IF(B26&gt;2033,22,MATCH(B26,#REF!,0)),FALSE))</f>
        <v>#REF!</v>
      </c>
      <c r="M26" s="28" t="e">
        <f t="shared" si="4"/>
        <v>#REF!</v>
      </c>
      <c r="N26" s="28" t="e">
        <f t="shared" si="5"/>
        <v>#REF!</v>
      </c>
      <c r="O26" s="28" t="e">
        <f>Summary!$J$16*'R15'!N26*'R15'!H26</f>
        <v>#REF!</v>
      </c>
    </row>
    <row r="27" spans="2:15" ht="24" customHeight="1">
      <c r="B27" s="30">
        <f t="shared" si="0"/>
        <v>2044</v>
      </c>
      <c r="C27" s="28">
        <f t="shared" si="1"/>
        <v>112</v>
      </c>
      <c r="D27" s="28">
        <v>25</v>
      </c>
      <c r="E27" s="28">
        <f>VLOOKUP(C:C, 'Total Data Set'!B:J, IF(Summary!$F$16="M", 4, 8), FALSE)</f>
        <v>0.5</v>
      </c>
      <c r="F27" s="28">
        <f t="shared" si="2"/>
        <v>0.5</v>
      </c>
      <c r="G27" s="28">
        <f t="shared" si="3"/>
        <v>9.2940525188641018E-5</v>
      </c>
      <c r="H27" s="28">
        <f>1/(1+Summary!$O$3)^D27</f>
        <v>0.29530277169776209</v>
      </c>
      <c r="I27" s="28">
        <f>Summary!$J$16*'R15'!H27*'R15'!G27</f>
        <v>0.578470799307505</v>
      </c>
      <c r="L27" s="28" t="e">
        <f>IF(Summary!$F$16="M",VLOOKUP(C:C,#REF!,IF(B27&gt;2033,22,MATCH(B27,#REF!,0)),FALSE),VLOOKUP(C:C,#REF!,IF(B27&gt;2033,22,MATCH(B27,#REF!,0)),FALSE))</f>
        <v>#REF!</v>
      </c>
      <c r="M27" s="28" t="e">
        <f t="shared" si="4"/>
        <v>#REF!</v>
      </c>
      <c r="N27" s="28" t="e">
        <f t="shared" si="5"/>
        <v>#REF!</v>
      </c>
      <c r="O27" s="28" t="e">
        <f>Summary!$J$16*'R15'!N27*'R15'!H27</f>
        <v>#REF!</v>
      </c>
    </row>
    <row r="28" spans="2:15" ht="24" customHeight="1">
      <c r="B28" s="30">
        <f t="shared" si="0"/>
        <v>2045</v>
      </c>
      <c r="C28" s="28">
        <f t="shared" si="1"/>
        <v>113</v>
      </c>
      <c r="D28" s="28">
        <v>26</v>
      </c>
      <c r="E28" s="28">
        <f>VLOOKUP(C:C, 'Total Data Set'!B:J, IF(Summary!$F$16="M", 4, 8), FALSE)</f>
        <v>0.5</v>
      </c>
      <c r="F28" s="28">
        <f t="shared" si="2"/>
        <v>0.5</v>
      </c>
      <c r="G28" s="28">
        <f t="shared" si="3"/>
        <v>4.6470262594320509E-5</v>
      </c>
      <c r="H28" s="28">
        <f>1/(1+Summary!$O$3)^D28</f>
        <v>0.28124073495024959</v>
      </c>
      <c r="I28" s="28">
        <f>Summary!$J$16*'R15'!H28*'R15'!G28</f>
        <v>0.27546228538452622</v>
      </c>
      <c r="L28" s="28" t="e">
        <f>IF(Summary!$F$16="M",VLOOKUP(C:C,#REF!,IF(B28&gt;2033,22,MATCH(B28,#REF!,0)),FALSE),VLOOKUP(C:C,#REF!,IF(B28&gt;2033,22,MATCH(B28,#REF!,0)),FALSE))</f>
        <v>#REF!</v>
      </c>
      <c r="M28" s="28" t="e">
        <f t="shared" si="4"/>
        <v>#REF!</v>
      </c>
      <c r="N28" s="28" t="e">
        <f t="shared" si="5"/>
        <v>#REF!</v>
      </c>
      <c r="O28" s="28" t="e">
        <f>Summary!$J$16*'R15'!N28*'R15'!H28</f>
        <v>#REF!</v>
      </c>
    </row>
    <row r="29" spans="2:15" ht="24" customHeight="1">
      <c r="B29" s="30">
        <f t="shared" si="0"/>
        <v>2046</v>
      </c>
      <c r="C29" s="28">
        <f t="shared" si="1"/>
        <v>114</v>
      </c>
      <c r="D29" s="28">
        <v>27</v>
      </c>
      <c r="E29" s="28">
        <f>VLOOKUP(C:C, 'Total Data Set'!B:J, IF(Summary!$F$16="M", 4, 8), FALSE)</f>
        <v>0.5</v>
      </c>
      <c r="F29" s="28">
        <f t="shared" si="2"/>
        <v>0.5</v>
      </c>
      <c r="G29" s="28">
        <f t="shared" si="3"/>
        <v>2.3235131297160254E-5</v>
      </c>
      <c r="H29" s="28">
        <f>1/(1+Summary!$O$3)^D29</f>
        <v>0.2678483190002377</v>
      </c>
      <c r="I29" s="28">
        <f>Summary!$J$16*'R15'!H29*'R15'!G29</f>
        <v>0.13117251684977438</v>
      </c>
      <c r="L29" s="28" t="e">
        <f>IF(Summary!$F$16="M",VLOOKUP(C:C,#REF!,IF(B29&gt;2033,22,MATCH(B29,#REF!,0)),FALSE),VLOOKUP(C:C,#REF!,IF(B29&gt;2033,22,MATCH(B29,#REF!,0)),FALSE))</f>
        <v>#REF!</v>
      </c>
      <c r="M29" s="28" t="e">
        <f t="shared" si="4"/>
        <v>#REF!</v>
      </c>
      <c r="N29" s="28" t="e">
        <f t="shared" si="5"/>
        <v>#REF!</v>
      </c>
      <c r="O29" s="28" t="e">
        <f>Summary!$J$16*'R15'!N29*'R15'!H29</f>
        <v>#REF!</v>
      </c>
    </row>
    <row r="30" spans="2:15" ht="24" customHeight="1">
      <c r="B30" s="30">
        <f t="shared" si="0"/>
        <v>2047</v>
      </c>
      <c r="C30" s="28">
        <f t="shared" si="1"/>
        <v>115</v>
      </c>
      <c r="D30" s="28">
        <v>28</v>
      </c>
      <c r="E30" s="28">
        <f>VLOOKUP(C:C, 'Total Data Set'!B:J, IF(Summary!$F$16="M", 4, 8), FALSE)</f>
        <v>0.5</v>
      </c>
      <c r="F30" s="28">
        <f t="shared" si="2"/>
        <v>0.5</v>
      </c>
      <c r="G30" s="28">
        <f t="shared" si="3"/>
        <v>1.1617565648580127E-5</v>
      </c>
      <c r="H30" s="28">
        <f>1/(1+Summary!$O$3)^D30</f>
        <v>0.25509363714308358</v>
      </c>
      <c r="I30" s="28">
        <f>Summary!$J$16*'R15'!H30*'R15'!G30</f>
        <v>6.246310326179734E-2</v>
      </c>
      <c r="L30" s="28" t="e">
        <f>IF(Summary!$F$16="M",VLOOKUP(C:C,#REF!,IF(B30&gt;2033,22,MATCH(B30,#REF!,0)),FALSE),VLOOKUP(C:C,#REF!,IF(B30&gt;2033,22,MATCH(B30,#REF!,0)),FALSE))</f>
        <v>#REF!</v>
      </c>
      <c r="M30" s="28" t="e">
        <f t="shared" si="4"/>
        <v>#REF!</v>
      </c>
      <c r="N30" s="28" t="e">
        <f t="shared" si="5"/>
        <v>#REF!</v>
      </c>
      <c r="O30" s="28" t="e">
        <f>Summary!$J$16*'R15'!N30*'R15'!H30</f>
        <v>#REF!</v>
      </c>
    </row>
    <row r="31" spans="2:15" ht="24" customHeight="1">
      <c r="B31" s="30">
        <f t="shared" si="0"/>
        <v>2048</v>
      </c>
      <c r="C31" s="28">
        <f t="shared" si="1"/>
        <v>116</v>
      </c>
      <c r="D31" s="28">
        <v>29</v>
      </c>
      <c r="E31" s="28">
        <f>VLOOKUP(C:C, 'Total Data Set'!B:J, IF(Summary!$F$16="M", 4, 8), FALSE)</f>
        <v>0.5</v>
      </c>
      <c r="F31" s="28">
        <f t="shared" si="2"/>
        <v>0.5</v>
      </c>
      <c r="G31" s="28">
        <f t="shared" si="3"/>
        <v>5.8087828242900636E-6</v>
      </c>
      <c r="H31" s="28">
        <f>1/(1+Summary!$O$3)^D31</f>
        <v>0.24294632108865097</v>
      </c>
      <c r="I31" s="28">
        <f>Summary!$J$16*'R15'!H31*'R15'!G31</f>
        <v>2.9744334886570151E-2</v>
      </c>
      <c r="L31" s="28" t="e">
        <f>IF(Summary!$F$16="M",VLOOKUP(C:C,#REF!,IF(B31&gt;2033,22,MATCH(B31,#REF!,0)),FALSE),VLOOKUP(C:C,#REF!,IF(B31&gt;2033,22,MATCH(B31,#REF!,0)),FALSE))</f>
        <v>#REF!</v>
      </c>
      <c r="M31" s="28" t="e">
        <f t="shared" si="4"/>
        <v>#REF!</v>
      </c>
      <c r="N31" s="28" t="e">
        <f t="shared" si="5"/>
        <v>#REF!</v>
      </c>
      <c r="O31" s="28" t="e">
        <f>Summary!$J$16*'R15'!N31*'R15'!H31</f>
        <v>#REF!</v>
      </c>
    </row>
    <row r="32" spans="2:15" ht="24" customHeight="1">
      <c r="B32" s="30">
        <f t="shared" si="0"/>
        <v>2049</v>
      </c>
      <c r="C32" s="28">
        <f t="shared" si="1"/>
        <v>117</v>
      </c>
      <c r="D32" s="28">
        <v>30</v>
      </c>
      <c r="E32" s="28">
        <f>VLOOKUP(C:C, 'Total Data Set'!B:J, IF(Summary!$F$16="M", 4, 8), FALSE)</f>
        <v>0.5</v>
      </c>
      <c r="F32" s="28">
        <f t="shared" si="2"/>
        <v>0.5</v>
      </c>
      <c r="G32" s="28">
        <f t="shared" si="3"/>
        <v>2.9043914121450318E-6</v>
      </c>
      <c r="H32" s="28">
        <f>1/(1+Summary!$O$3)^D32</f>
        <v>0.23137744865585813</v>
      </c>
      <c r="I32" s="28">
        <f>Summary!$J$16*'R15'!H32*'R15'!G32</f>
        <v>1.4163968993604838E-2</v>
      </c>
      <c r="L32" s="28" t="e">
        <f>IF(Summary!$F$16="M",VLOOKUP(C:C,#REF!,IF(B32&gt;2033,22,MATCH(B32,#REF!,0)),FALSE),VLOOKUP(C:C,#REF!,IF(B32&gt;2033,22,MATCH(B32,#REF!,0)),FALSE))</f>
        <v>#REF!</v>
      </c>
      <c r="M32" s="28" t="e">
        <f t="shared" si="4"/>
        <v>#REF!</v>
      </c>
      <c r="N32" s="28" t="e">
        <f t="shared" si="5"/>
        <v>#REF!</v>
      </c>
      <c r="O32" s="28" t="e">
        <f>Summary!$J$16*'R15'!N32*'R15'!H32</f>
        <v>#REF!</v>
      </c>
    </row>
    <row r="33" spans="2:15" ht="24" customHeight="1">
      <c r="B33" s="30">
        <f t="shared" si="0"/>
        <v>2050</v>
      </c>
      <c r="C33" s="28">
        <f t="shared" si="1"/>
        <v>118</v>
      </c>
      <c r="D33" s="28">
        <v>31</v>
      </c>
      <c r="E33" s="28">
        <f>VLOOKUP(C:C, 'Total Data Set'!B:J, IF(Summary!$F$16="M", 4, 8), FALSE)</f>
        <v>0.5</v>
      </c>
      <c r="F33" s="28">
        <f t="shared" si="2"/>
        <v>0.5</v>
      </c>
      <c r="G33" s="28">
        <f t="shared" si="3"/>
        <v>1.4521957060725159E-6</v>
      </c>
      <c r="H33" s="28">
        <f>1/(1+Summary!$O$3)^D33</f>
        <v>0.220359474910341</v>
      </c>
      <c r="I33" s="28">
        <f>Summary!$J$16*'R15'!H33*'R15'!G33</f>
        <v>6.744747139811825E-3</v>
      </c>
      <c r="L33" s="28" t="e">
        <f>IF(Summary!$F$16="M",VLOOKUP(C:C,#REF!,IF(B33&gt;2033,22,MATCH(B33,#REF!,0)),FALSE),VLOOKUP(C:C,#REF!,IF(B33&gt;2033,22,MATCH(B33,#REF!,0)),FALSE))</f>
        <v>#REF!</v>
      </c>
      <c r="M33" s="28" t="e">
        <f t="shared" si="4"/>
        <v>#REF!</v>
      </c>
      <c r="N33" s="28" t="e">
        <f t="shared" si="5"/>
        <v>#REF!</v>
      </c>
      <c r="O33" s="28" t="e">
        <f>Summary!$J$16*'R15'!N33*'R15'!H33</f>
        <v>#REF!</v>
      </c>
    </row>
    <row r="34" spans="2:15" ht="24" customHeight="1">
      <c r="B34" s="30">
        <f t="shared" si="0"/>
        <v>2051</v>
      </c>
      <c r="C34" s="28">
        <f t="shared" si="1"/>
        <v>119</v>
      </c>
      <c r="D34" s="28">
        <v>32</v>
      </c>
      <c r="E34" s="28">
        <f>VLOOKUP(C:C, 'Total Data Set'!B:J, IF(Summary!$F$16="M", 4, 8), FALSE)</f>
        <v>0.5</v>
      </c>
      <c r="F34" s="28">
        <f t="shared" si="2"/>
        <v>0.5</v>
      </c>
      <c r="G34" s="28">
        <f t="shared" si="3"/>
        <v>7.2609785303625795E-7</v>
      </c>
      <c r="H34" s="28">
        <f>1/(1+Summary!$O$3)^D34</f>
        <v>0.20986616658127716</v>
      </c>
      <c r="I34" s="28">
        <f>Summary!$J$16*'R15'!H34*'R15'!G34</f>
        <v>3.2117843522913455E-3</v>
      </c>
      <c r="L34" s="28" t="e">
        <f>IF(Summary!$F$16="M",VLOOKUP(C:C,#REF!,IF(B34&gt;2033,22,MATCH(B34,#REF!,0)),FALSE),VLOOKUP(C:C,#REF!,IF(B34&gt;2033,22,MATCH(B34,#REF!,0)),FALSE))</f>
        <v>#REF!</v>
      </c>
      <c r="M34" s="28" t="e">
        <f t="shared" si="4"/>
        <v>#REF!</v>
      </c>
      <c r="N34" s="28" t="e">
        <f t="shared" si="5"/>
        <v>#REF!</v>
      </c>
      <c r="O34" s="28" t="e">
        <f>Summary!$J$16*'R15'!N34*'R15'!H34</f>
        <v>#REF!</v>
      </c>
    </row>
    <row r="35" spans="2:15" ht="24" customHeight="1">
      <c r="B35" s="30">
        <f t="shared" si="0"/>
        <v>2052</v>
      </c>
      <c r="C35" s="28">
        <f t="shared" si="1"/>
        <v>120</v>
      </c>
      <c r="D35" s="28">
        <v>33</v>
      </c>
      <c r="E35" s="28">
        <f>VLOOKUP(C:C, 'Total Data Set'!B:J, IF(Summary!$F$16="M", 4, 8), FALSE)</f>
        <v>1</v>
      </c>
      <c r="F35" s="28">
        <f t="shared" si="2"/>
        <v>0</v>
      </c>
      <c r="G35" s="28">
        <f t="shared" si="3"/>
        <v>3.6304892651812898E-7</v>
      </c>
      <c r="H35" s="28">
        <f>1/(1+Summary!$O$3)^D35</f>
        <v>0.19987253960121634</v>
      </c>
      <c r="I35" s="28">
        <f>Summary!$J$16*'R15'!H35*'R15'!G35</f>
        <v>1.529421120138736E-3</v>
      </c>
      <c r="L35" s="28" t="e">
        <f>IF(Summary!$F$16="M",VLOOKUP(C:C,#REF!,IF(B35&gt;2033,22,MATCH(B35,#REF!,0)),FALSE),VLOOKUP(C:C,#REF!,IF(B35&gt;2033,22,MATCH(B35,#REF!,0)),FALSE))</f>
        <v>#REF!</v>
      </c>
      <c r="M35" s="28" t="e">
        <f t="shared" si="4"/>
        <v>#REF!</v>
      </c>
      <c r="N35" s="28" t="e">
        <f t="shared" si="5"/>
        <v>#REF!</v>
      </c>
      <c r="O35" s="28" t="e">
        <f>Summary!$J$16*'R15'!N35*'R15'!H35</f>
        <v>#REF!</v>
      </c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32"/>
  <sheetViews>
    <sheetView topLeftCell="G22" workbookViewId="0">
      <selection activeCell="A6" sqref="A6"/>
    </sheetView>
  </sheetViews>
  <sheetFormatPr defaultColWidth="18" defaultRowHeight="24" customHeight="1"/>
  <cols>
    <col min="1" max="6" width="18" style="28"/>
    <col min="7" max="7" width="24" style="28" customWidth="1"/>
    <col min="8" max="9" width="18" style="28"/>
    <col min="10" max="10" width="21.7109375" style="28" customWidth="1"/>
    <col min="11" max="16384" width="18" style="28"/>
  </cols>
  <sheetData>
    <row r="1" spans="1:16" ht="24" customHeight="1">
      <c r="A1" s="30" t="s">
        <v>69</v>
      </c>
      <c r="B1" s="30" t="s">
        <v>74</v>
      </c>
      <c r="C1" s="28" t="s">
        <v>28</v>
      </c>
      <c r="D1" s="28" t="s">
        <v>29</v>
      </c>
      <c r="E1" s="28" t="s">
        <v>30</v>
      </c>
      <c r="F1" s="28" t="s">
        <v>71</v>
      </c>
      <c r="G1" s="28" t="s">
        <v>72</v>
      </c>
      <c r="H1" s="28" t="s">
        <v>31</v>
      </c>
      <c r="I1" s="28" t="s">
        <v>32</v>
      </c>
      <c r="J1" s="28" t="s">
        <v>33</v>
      </c>
      <c r="L1" s="39" t="s">
        <v>82</v>
      </c>
      <c r="M1" s="39" t="s">
        <v>77</v>
      </c>
      <c r="N1" s="39" t="s">
        <v>78</v>
      </c>
      <c r="O1" s="39" t="s">
        <v>79</v>
      </c>
      <c r="P1" s="39" t="s">
        <v>80</v>
      </c>
    </row>
    <row r="2" spans="1:16" ht="24" customHeight="1">
      <c r="A2" s="31">
        <v>43647</v>
      </c>
      <c r="B2" s="30">
        <f>YEAR(A2)</f>
        <v>2019</v>
      </c>
      <c r="C2" s="28">
        <f>$A$4+D2</f>
        <v>90</v>
      </c>
      <c r="D2" s="28">
        <v>0</v>
      </c>
      <c r="E2" s="28">
        <f>VLOOKUP(C:C, 'Total Data Set'!B:J, IF(Summary!$F$17="M", 4, 8), FALSE)</f>
        <v>0.107126</v>
      </c>
      <c r="F2" s="28">
        <f>1-E2</f>
        <v>0.89287399999999995</v>
      </c>
      <c r="G2" s="28">
        <v>1</v>
      </c>
      <c r="H2" s="28">
        <f>1/(1+Summary!$O$3)^D2</f>
        <v>1</v>
      </c>
      <c r="I2" s="28">
        <f>Summary!$J$17*'R16'!H2*'R16'!G2</f>
        <v>42154</v>
      </c>
      <c r="J2" s="28">
        <f>SUM(I2:I33)</f>
        <v>214742.69921343381</v>
      </c>
      <c r="L2" s="28" t="e">
        <f>IF(Summary!$F$17="M",VLOOKUP(C:C,#REF!,IF(B2&gt;2033,22,MATCH(B2,#REF!,0)),FALSE),VLOOKUP(C:C,#REF!,IF(B2&gt;2033,22,MATCH(B2,#REF!,0)),FALSE))</f>
        <v>#REF!</v>
      </c>
      <c r="M2" s="28" t="e">
        <f>1-L2</f>
        <v>#REF!</v>
      </c>
      <c r="N2" s="28">
        <v>1</v>
      </c>
      <c r="O2" s="28">
        <f>Summary!$J$17*'R16'!N2*'R16'!H2</f>
        <v>42154</v>
      </c>
      <c r="P2" s="28" t="e">
        <f>SUM(O2:O32)</f>
        <v>#REF!</v>
      </c>
    </row>
    <row r="3" spans="1:16" ht="24" customHeight="1">
      <c r="A3" s="28" t="s">
        <v>34</v>
      </c>
      <c r="B3" s="30">
        <f>$B2+1</f>
        <v>2020</v>
      </c>
      <c r="C3" s="28">
        <f>$A$4+D3</f>
        <v>91</v>
      </c>
      <c r="D3" s="28">
        <v>1</v>
      </c>
      <c r="E3" s="28">
        <f>VLOOKUP(C:C, 'Total Data Set'!B:J, IF(Summary!$F$17="M", 4, 8), FALSE)</f>
        <v>0.119744</v>
      </c>
      <c r="F3" s="28">
        <f>1-E3</f>
        <v>0.88025600000000004</v>
      </c>
      <c r="G3" s="28">
        <f>F2</f>
        <v>0.89287399999999995</v>
      </c>
      <c r="H3" s="28">
        <f>1/(1+Summary!$O$3)^D3</f>
        <v>0.95238095238095233</v>
      </c>
      <c r="I3" s="28">
        <f>Summary!$J$17*'R16'!H3*'R16'!G3</f>
        <v>35845.914853333328</v>
      </c>
      <c r="L3" s="28" t="e">
        <f>IF(Summary!$F$17="M",VLOOKUP(C:C,#REF!,IF(B3&gt;2033,22,MATCH(B3,#REF!,0)),FALSE),VLOOKUP(C:C,#REF!,IF(B3&gt;2033,22,MATCH(B3,#REF!,0)),FALSE))</f>
        <v>#REF!</v>
      </c>
      <c r="M3" s="28" t="e">
        <f>1-L3</f>
        <v>#REF!</v>
      </c>
      <c r="N3" s="28" t="e">
        <f>N2*M2</f>
        <v>#REF!</v>
      </c>
      <c r="O3" s="28" t="e">
        <f>Summary!$J$17*'R16'!N3*'R16'!H3</f>
        <v>#REF!</v>
      </c>
    </row>
    <row r="4" spans="1:16" ht="24" customHeight="1">
      <c r="A4" s="28">
        <f>Summary!I17</f>
        <v>90</v>
      </c>
      <c r="B4" s="30">
        <f t="shared" ref="B4:B32" si="0">$B3+1</f>
        <v>2021</v>
      </c>
      <c r="C4" s="28">
        <f t="shared" ref="C4:C32" si="1">$A$4+D4</f>
        <v>92</v>
      </c>
      <c r="D4" s="28">
        <v>2</v>
      </c>
      <c r="E4" s="28">
        <f>VLOOKUP(C:C, 'Total Data Set'!B:J, IF(Summary!$F$17="M", 4, 8), FALSE)</f>
        <v>0.133299</v>
      </c>
      <c r="F4" s="28">
        <f t="shared" ref="F4:F32" si="2">1-E4</f>
        <v>0.86670099999999994</v>
      </c>
      <c r="G4" s="28">
        <f t="shared" ref="G4:G32" si="3">G3*F3</f>
        <v>0.78595769574399998</v>
      </c>
      <c r="H4" s="28">
        <f>1/(1+Summary!$O$3)^D4</f>
        <v>0.90702947845804982</v>
      </c>
      <c r="I4" s="28">
        <f>Summary!$J$17*'R16'!H4*'R16'!G4</f>
        <v>30051.030119176936</v>
      </c>
      <c r="L4" s="28" t="e">
        <f>IF(Summary!$F$17="M",VLOOKUP(C:C,#REF!,IF(B4&gt;2033,22,MATCH(B4,#REF!,0)),FALSE),VLOOKUP(C:C,#REF!,IF(B4&gt;2033,22,MATCH(B4,#REF!,0)),FALSE))</f>
        <v>#REF!</v>
      </c>
      <c r="M4" s="28" t="e">
        <f t="shared" ref="M4:M32" si="4">1-L4</f>
        <v>#REF!</v>
      </c>
      <c r="N4" s="28" t="e">
        <f t="shared" ref="N4:N32" si="5">N3*M3</f>
        <v>#REF!</v>
      </c>
      <c r="O4" s="28" t="e">
        <f>Summary!$J$17*'R16'!N4*'R16'!H4</f>
        <v>#REF!</v>
      </c>
    </row>
    <row r="5" spans="1:16" ht="24" customHeight="1">
      <c r="B5" s="30">
        <f t="shared" si="0"/>
        <v>2022</v>
      </c>
      <c r="C5" s="28">
        <f t="shared" si="1"/>
        <v>93</v>
      </c>
      <c r="D5" s="28">
        <v>3</v>
      </c>
      <c r="E5" s="28">
        <f>VLOOKUP(C:C, 'Total Data Set'!B:J, IF(Summary!$F$17="M", 4, 8), FALSE)</f>
        <v>0.14771999999999999</v>
      </c>
      <c r="F5" s="28">
        <f t="shared" si="2"/>
        <v>0.85228000000000004</v>
      </c>
      <c r="G5" s="28">
        <f t="shared" si="3"/>
        <v>0.68119032085902054</v>
      </c>
      <c r="H5" s="28">
        <f>1/(1+Summary!$O$3)^D5</f>
        <v>0.86383759853147601</v>
      </c>
      <c r="I5" s="28">
        <f>Summary!$J$17*'R16'!H5*'R16'!G5</f>
        <v>24805.007481257879</v>
      </c>
      <c r="L5" s="28" t="e">
        <f>IF(Summary!$F$17="M",VLOOKUP(C:C,#REF!,IF(B5&gt;2033,22,MATCH(B5,#REF!,0)),FALSE),VLOOKUP(C:C,#REF!,IF(B5&gt;2033,22,MATCH(B5,#REF!,0)),FALSE))</f>
        <v>#REF!</v>
      </c>
      <c r="M5" s="28" t="e">
        <f t="shared" si="4"/>
        <v>#REF!</v>
      </c>
      <c r="N5" s="28" t="e">
        <f t="shared" si="5"/>
        <v>#REF!</v>
      </c>
      <c r="O5" s="28" t="e">
        <f>Summary!$J$17*'R16'!N5*'R16'!H5</f>
        <v>#REF!</v>
      </c>
    </row>
    <row r="6" spans="1:16" ht="24" customHeight="1">
      <c r="B6" s="30">
        <f t="shared" si="0"/>
        <v>2023</v>
      </c>
      <c r="C6" s="28">
        <f t="shared" si="1"/>
        <v>94</v>
      </c>
      <c r="D6" s="28">
        <v>4</v>
      </c>
      <c r="E6" s="28">
        <f>VLOOKUP(C:C, 'Total Data Set'!B:J, IF(Summary!$F$17="M", 4, 8), FALSE)</f>
        <v>0.162971</v>
      </c>
      <c r="F6" s="28">
        <f t="shared" si="2"/>
        <v>0.83702900000000002</v>
      </c>
      <c r="G6" s="28">
        <f t="shared" si="3"/>
        <v>0.58056488666172601</v>
      </c>
      <c r="H6" s="28">
        <f>1/(1+Summary!$O$3)^D6</f>
        <v>0.82270247479188197</v>
      </c>
      <c r="I6" s="28">
        <f>Summary!$J$17*'R16'!H6*'R16'!G6</f>
        <v>20134.106453453773</v>
      </c>
      <c r="L6" s="28" t="e">
        <f>IF(Summary!$F$17="M",VLOOKUP(C:C,#REF!,IF(B6&gt;2033,22,MATCH(B6,#REF!,0)),FALSE),VLOOKUP(C:C,#REF!,IF(B6&gt;2033,22,MATCH(B6,#REF!,0)),FALSE))</f>
        <v>#REF!</v>
      </c>
      <c r="M6" s="28" t="e">
        <f t="shared" si="4"/>
        <v>#REF!</v>
      </c>
      <c r="N6" s="28" t="e">
        <f t="shared" si="5"/>
        <v>#REF!</v>
      </c>
      <c r="O6" s="28" t="e">
        <f>Summary!$J$17*'R16'!N6*'R16'!H6</f>
        <v>#REF!</v>
      </c>
    </row>
    <row r="7" spans="1:16" ht="24" customHeight="1">
      <c r="B7" s="30">
        <f t="shared" si="0"/>
        <v>2024</v>
      </c>
      <c r="C7" s="28">
        <f t="shared" si="1"/>
        <v>95</v>
      </c>
      <c r="D7" s="28">
        <v>5</v>
      </c>
      <c r="E7" s="28">
        <f>VLOOKUP(C:C, 'Total Data Set'!B:J, IF(Summary!$F$17="M", 4, 8), FALSE)</f>
        <v>0.179034</v>
      </c>
      <c r="F7" s="28">
        <f t="shared" si="2"/>
        <v>0.82096599999999997</v>
      </c>
      <c r="G7" s="28">
        <f t="shared" si="3"/>
        <v>0.48594964651757788</v>
      </c>
      <c r="H7" s="28">
        <f>1/(1+Summary!$O$3)^D7</f>
        <v>0.78352616646845896</v>
      </c>
      <c r="I7" s="28">
        <f>Summary!$J$17*'R16'!H7*'R16'!G7</f>
        <v>16050.315229169486</v>
      </c>
      <c r="L7" s="28" t="e">
        <f>IF(Summary!$F$17="M",VLOOKUP(C:C,#REF!,IF(B7&gt;2033,22,MATCH(B7,#REF!,0)),FALSE),VLOOKUP(C:C,#REF!,IF(B7&gt;2033,22,MATCH(B7,#REF!,0)),FALSE))</f>
        <v>#REF!</v>
      </c>
      <c r="M7" s="28" t="e">
        <f t="shared" si="4"/>
        <v>#REF!</v>
      </c>
      <c r="N7" s="28" t="e">
        <f t="shared" si="5"/>
        <v>#REF!</v>
      </c>
      <c r="O7" s="28" t="e">
        <f>Summary!$J$17*'R16'!N7*'R16'!H7</f>
        <v>#REF!</v>
      </c>
    </row>
    <row r="8" spans="1:16" ht="24" customHeight="1">
      <c r="B8" s="30">
        <f t="shared" si="0"/>
        <v>2025</v>
      </c>
      <c r="C8" s="28">
        <f t="shared" si="1"/>
        <v>96</v>
      </c>
      <c r="D8" s="28">
        <v>6</v>
      </c>
      <c r="E8" s="28">
        <f>VLOOKUP(C:C, 'Total Data Set'!B:J, IF(Summary!$F$17="M", 4, 8), FALSE)</f>
        <v>0.19590299999999999</v>
      </c>
      <c r="F8" s="28">
        <f t="shared" si="2"/>
        <v>0.80409700000000006</v>
      </c>
      <c r="G8" s="28">
        <f t="shared" si="3"/>
        <v>0.39894813750294983</v>
      </c>
      <c r="H8" s="28">
        <f>1/(1+Summary!$O$3)^D8</f>
        <v>0.74621539663662761</v>
      </c>
      <c r="I8" s="28">
        <f>Summary!$J$17*'R16'!H8*'R16'!G8</f>
        <v>12549.298183267005</v>
      </c>
      <c r="L8" s="28" t="e">
        <f>IF(Summary!$F$17="M",VLOOKUP(C:C,#REF!,IF(B8&gt;2033,22,MATCH(B8,#REF!,0)),FALSE),VLOOKUP(C:C,#REF!,IF(B8&gt;2033,22,MATCH(B8,#REF!,0)),FALSE))</f>
        <v>#REF!</v>
      </c>
      <c r="M8" s="28" t="e">
        <f t="shared" si="4"/>
        <v>#REF!</v>
      </c>
      <c r="N8" s="28" t="e">
        <f t="shared" si="5"/>
        <v>#REF!</v>
      </c>
      <c r="O8" s="28" t="e">
        <f>Summary!$J$17*'R16'!N8*'R16'!H8</f>
        <v>#REF!</v>
      </c>
    </row>
    <row r="9" spans="1:16" ht="24" customHeight="1">
      <c r="B9" s="30">
        <f t="shared" si="0"/>
        <v>2026</v>
      </c>
      <c r="C9" s="28">
        <f t="shared" si="1"/>
        <v>97</v>
      </c>
      <c r="D9" s="28">
        <v>7</v>
      </c>
      <c r="E9" s="28">
        <f>VLOOKUP(C:C, 'Total Data Set'!B:J, IF(Summary!$F$17="M", 4, 8), FALSE)</f>
        <v>0.213565</v>
      </c>
      <c r="F9" s="28">
        <f t="shared" si="2"/>
        <v>0.786435</v>
      </c>
      <c r="G9" s="28">
        <f t="shared" si="3"/>
        <v>0.32079300052170945</v>
      </c>
      <c r="H9" s="28">
        <f>1/(1+Summary!$O$3)^D9</f>
        <v>0.71068133013012147</v>
      </c>
      <c r="I9" s="28">
        <f>Summary!$J$17*'R16'!H9*'R16'!G9</f>
        <v>9610.3362107337598</v>
      </c>
      <c r="L9" s="28" t="e">
        <f>IF(Summary!$F$17="M",VLOOKUP(C:C,#REF!,IF(B9&gt;2033,22,MATCH(B9,#REF!,0)),FALSE),VLOOKUP(C:C,#REF!,IF(B9&gt;2033,22,MATCH(B9,#REF!,0)),FALSE))</f>
        <v>#REF!</v>
      </c>
      <c r="M9" s="28" t="e">
        <f t="shared" si="4"/>
        <v>#REF!</v>
      </c>
      <c r="N9" s="28" t="e">
        <f t="shared" si="5"/>
        <v>#REF!</v>
      </c>
      <c r="O9" s="28" t="e">
        <f>Summary!$J$17*'R16'!N9*'R16'!H9</f>
        <v>#REF!</v>
      </c>
    </row>
    <row r="10" spans="1:16" ht="24" customHeight="1">
      <c r="B10" s="30">
        <f t="shared" si="0"/>
        <v>2027</v>
      </c>
      <c r="C10" s="28">
        <f t="shared" si="1"/>
        <v>98</v>
      </c>
      <c r="D10" s="28">
        <v>8</v>
      </c>
      <c r="E10" s="28">
        <f>VLOOKUP(C:C, 'Total Data Set'!B:J, IF(Summary!$F$17="M", 4, 8), FALSE)</f>
        <v>0.231991</v>
      </c>
      <c r="F10" s="28">
        <f t="shared" si="2"/>
        <v>0.76800899999999994</v>
      </c>
      <c r="G10" s="28">
        <f t="shared" si="3"/>
        <v>0.25228284336529055</v>
      </c>
      <c r="H10" s="28">
        <f>1/(1+Summary!$O$3)^D10</f>
        <v>0.67683936202868722</v>
      </c>
      <c r="I10" s="28">
        <f>Summary!$J$17*'R16'!H10*'R16'!G10</f>
        <v>7198.0045313222909</v>
      </c>
      <c r="L10" s="28" t="e">
        <f>IF(Summary!$F$17="M",VLOOKUP(C:C,#REF!,IF(B10&gt;2033,22,MATCH(B10,#REF!,0)),FALSE),VLOOKUP(C:C,#REF!,IF(B10&gt;2033,22,MATCH(B10,#REF!,0)),FALSE))</f>
        <v>#REF!</v>
      </c>
      <c r="M10" s="28" t="e">
        <f t="shared" si="4"/>
        <v>#REF!</v>
      </c>
      <c r="N10" s="28" t="e">
        <f t="shared" si="5"/>
        <v>#REF!</v>
      </c>
      <c r="O10" s="28" t="e">
        <f>Summary!$J$17*'R16'!N10*'R16'!H10</f>
        <v>#REF!</v>
      </c>
    </row>
    <row r="11" spans="1:16" ht="24" customHeight="1">
      <c r="B11" s="30">
        <f t="shared" si="0"/>
        <v>2028</v>
      </c>
      <c r="C11" s="28">
        <f t="shared" si="1"/>
        <v>99</v>
      </c>
      <c r="D11" s="28">
        <v>9</v>
      </c>
      <c r="E11" s="28">
        <f>VLOOKUP(C:C, 'Total Data Set'!B:J, IF(Summary!$F$17="M", 4, 8), FALSE)</f>
        <v>0.25112299999999999</v>
      </c>
      <c r="F11" s="28">
        <f t="shared" si="2"/>
        <v>0.74887700000000001</v>
      </c>
      <c r="G11" s="28">
        <f t="shared" si="3"/>
        <v>0.19375549425013341</v>
      </c>
      <c r="H11" s="28">
        <f>1/(1+Summary!$O$3)^D11</f>
        <v>0.64460891621779726</v>
      </c>
      <c r="I11" s="28">
        <f>Summary!$J$17*'R16'!H11*'R16'!G11</f>
        <v>5264.8878686631424</v>
      </c>
      <c r="L11" s="28" t="e">
        <f>IF(Summary!$F$17="M",VLOOKUP(C:C,#REF!,IF(B11&gt;2033,22,MATCH(B11,#REF!,0)),FALSE),VLOOKUP(C:C,#REF!,IF(B11&gt;2033,22,MATCH(B11,#REF!,0)),FALSE))</f>
        <v>#REF!</v>
      </c>
      <c r="M11" s="28" t="e">
        <f t="shared" si="4"/>
        <v>#REF!</v>
      </c>
      <c r="N11" s="28" t="e">
        <f t="shared" si="5"/>
        <v>#REF!</v>
      </c>
      <c r="O11" s="28" t="e">
        <f>Summary!$J$17*'R16'!N11*'R16'!H11</f>
        <v>#REF!</v>
      </c>
    </row>
    <row r="12" spans="1:16" ht="24" customHeight="1">
      <c r="B12" s="30">
        <f t="shared" si="0"/>
        <v>2029</v>
      </c>
      <c r="C12" s="28">
        <f t="shared" si="1"/>
        <v>100</v>
      </c>
      <c r="D12" s="28">
        <v>10</v>
      </c>
      <c r="E12" s="28">
        <f>VLOOKUP(C:C, 'Total Data Set'!B:J, IF(Summary!$F$17="M", 4, 8), FALSE)</f>
        <v>0.27085799999999999</v>
      </c>
      <c r="F12" s="28">
        <f t="shared" si="2"/>
        <v>0.72914199999999996</v>
      </c>
      <c r="G12" s="28">
        <f t="shared" si="3"/>
        <v>0.14509903326755716</v>
      </c>
      <c r="H12" s="28">
        <f>1/(1+Summary!$O$3)^D12</f>
        <v>0.61391325354075932</v>
      </c>
      <c r="I12" s="28">
        <f>Summary!$J$17*'R16'!H12*'R16'!G12</f>
        <v>3755.003268972237</v>
      </c>
      <c r="L12" s="28" t="e">
        <f>IF(Summary!$F$17="M",VLOOKUP(C:C,#REF!,IF(B12&gt;2033,22,MATCH(B12,#REF!,0)),FALSE),VLOOKUP(C:C,#REF!,IF(B12&gt;2033,22,MATCH(B12,#REF!,0)),FALSE))</f>
        <v>#REF!</v>
      </c>
      <c r="M12" s="28" t="e">
        <f t="shared" si="4"/>
        <v>#REF!</v>
      </c>
      <c r="N12" s="28" t="e">
        <f t="shared" si="5"/>
        <v>#REF!</v>
      </c>
      <c r="O12" s="28" t="e">
        <f>Summary!$J$17*'R16'!N12*'R16'!H12</f>
        <v>#REF!</v>
      </c>
    </row>
    <row r="13" spans="1:16" ht="24" customHeight="1">
      <c r="B13" s="30">
        <f t="shared" si="0"/>
        <v>2030</v>
      </c>
      <c r="C13" s="28">
        <f t="shared" si="1"/>
        <v>101</v>
      </c>
      <c r="D13" s="28">
        <v>11</v>
      </c>
      <c r="E13" s="28">
        <f>VLOOKUP(C:C, 'Total Data Set'!B:J, IF(Summary!$F$17="M", 4, 8), FALSE)</f>
        <v>0.29104000000000002</v>
      </c>
      <c r="F13" s="28">
        <f t="shared" si="2"/>
        <v>0.70896000000000003</v>
      </c>
      <c r="G13" s="28">
        <f t="shared" si="3"/>
        <v>0.10579779931477315</v>
      </c>
      <c r="H13" s="28">
        <f>1/(1+Summary!$O$3)^D13</f>
        <v>0.5846792890864374</v>
      </c>
      <c r="I13" s="28">
        <f>Summary!$J$17*'R16'!H13*'R16'!G13</f>
        <v>2607.5529462332893</v>
      </c>
      <c r="L13" s="28" t="e">
        <f>IF(Summary!$F$17="M",VLOOKUP(C:C,#REF!,IF(B13&gt;2033,22,MATCH(B13,#REF!,0)),FALSE),VLOOKUP(C:C,#REF!,IF(B13&gt;2033,22,MATCH(B13,#REF!,0)),FALSE))</f>
        <v>#REF!</v>
      </c>
      <c r="M13" s="28" t="e">
        <f t="shared" si="4"/>
        <v>#REF!</v>
      </c>
      <c r="N13" s="28" t="e">
        <f t="shared" si="5"/>
        <v>#REF!</v>
      </c>
      <c r="O13" s="28" t="e">
        <f>Summary!$J$17*'R16'!N13*'R16'!H13</f>
        <v>#REF!</v>
      </c>
    </row>
    <row r="14" spans="1:16" ht="24" customHeight="1">
      <c r="B14" s="30">
        <f t="shared" si="0"/>
        <v>2031</v>
      </c>
      <c r="C14" s="28">
        <f t="shared" si="1"/>
        <v>102</v>
      </c>
      <c r="D14" s="28">
        <v>12</v>
      </c>
      <c r="E14" s="28">
        <f>VLOOKUP(C:C, 'Total Data Set'!B:J, IF(Summary!$F$17="M", 4, 8), FALSE)</f>
        <v>0.311444</v>
      </c>
      <c r="F14" s="28">
        <f t="shared" si="2"/>
        <v>0.68855599999999995</v>
      </c>
      <c r="G14" s="28">
        <f t="shared" si="3"/>
        <v>7.500640780220158E-2</v>
      </c>
      <c r="H14" s="28">
        <f>1/(1+Summary!$O$3)^D14</f>
        <v>0.5568374181775595</v>
      </c>
      <c r="I14" s="28">
        <f>Summary!$J$17*'R16'!H14*'R16'!G14</f>
        <v>1760.6197492967176</v>
      </c>
      <c r="L14" s="28" t="e">
        <f>IF(Summary!$F$17="M",VLOOKUP(C:C,#REF!,IF(B14&gt;2033,22,MATCH(B14,#REF!,0)),FALSE),VLOOKUP(C:C,#REF!,IF(B14&gt;2033,22,MATCH(B14,#REF!,0)),FALSE))</f>
        <v>#REF!</v>
      </c>
      <c r="M14" s="28" t="e">
        <f t="shared" si="4"/>
        <v>#REF!</v>
      </c>
      <c r="N14" s="28" t="e">
        <f t="shared" si="5"/>
        <v>#REF!</v>
      </c>
      <c r="O14" s="28" t="e">
        <f>Summary!$J$17*'R16'!N14*'R16'!H14</f>
        <v>#REF!</v>
      </c>
    </row>
    <row r="15" spans="1:16" ht="24" customHeight="1">
      <c r="B15" s="30">
        <f t="shared" si="0"/>
        <v>2032</v>
      </c>
      <c r="C15" s="28">
        <f t="shared" si="1"/>
        <v>103</v>
      </c>
      <c r="D15" s="28">
        <v>13</v>
      </c>
      <c r="E15" s="28">
        <f>VLOOKUP(C:C, 'Total Data Set'!B:J, IF(Summary!$F$17="M", 4, 8), FALSE)</f>
        <v>0.33189999999999997</v>
      </c>
      <c r="F15" s="28">
        <f t="shared" si="2"/>
        <v>0.66810000000000003</v>
      </c>
      <c r="G15" s="28">
        <f t="shared" si="3"/>
        <v>5.1646112130652705E-2</v>
      </c>
      <c r="H15" s="28">
        <f>1/(1+Summary!$O$3)^D15</f>
        <v>0.53032135064529462</v>
      </c>
      <c r="I15" s="28">
        <f>Summary!$J$17*'R16'!H15*'R16'!G15</f>
        <v>1154.5574210445238</v>
      </c>
      <c r="L15" s="28" t="e">
        <f>IF(Summary!$F$17="M",VLOOKUP(C:C,#REF!,IF(B15&gt;2033,22,MATCH(B15,#REF!,0)),FALSE),VLOOKUP(C:C,#REF!,IF(B15&gt;2033,22,MATCH(B15,#REF!,0)),FALSE))</f>
        <v>#REF!</v>
      </c>
      <c r="M15" s="28" t="e">
        <f t="shared" si="4"/>
        <v>#REF!</v>
      </c>
      <c r="N15" s="28" t="e">
        <f t="shared" si="5"/>
        <v>#REF!</v>
      </c>
      <c r="O15" s="28" t="e">
        <f>Summary!$J$17*'R16'!N15*'R16'!H15</f>
        <v>#REF!</v>
      </c>
    </row>
    <row r="16" spans="1:16" ht="24" customHeight="1">
      <c r="B16" s="30">
        <f t="shared" si="0"/>
        <v>2033</v>
      </c>
      <c r="C16" s="28">
        <f t="shared" si="1"/>
        <v>104</v>
      </c>
      <c r="D16" s="28">
        <v>14</v>
      </c>
      <c r="E16" s="28">
        <f>VLOOKUP(C:C, 'Total Data Set'!B:J, IF(Summary!$F$17="M", 4, 8), FALSE)</f>
        <v>0.35223199999999999</v>
      </c>
      <c r="F16" s="28">
        <f t="shared" si="2"/>
        <v>0.64776800000000001</v>
      </c>
      <c r="G16" s="28">
        <f t="shared" si="3"/>
        <v>3.4504767514489075E-2</v>
      </c>
      <c r="H16" s="28">
        <f>1/(1+Summary!$O$3)^D16</f>
        <v>0.50506795299551888</v>
      </c>
      <c r="I16" s="28">
        <f>Summary!$J$17*'R16'!H16*'R16'!G16</f>
        <v>734.62839333318743</v>
      </c>
      <c r="L16" s="28" t="e">
        <f>IF(Summary!$F$17="M",VLOOKUP(C:C,#REF!,IF(B16&gt;2033,22,MATCH(B16,#REF!,0)),FALSE),VLOOKUP(C:C,#REF!,IF(B16&gt;2033,22,MATCH(B16,#REF!,0)),FALSE))</f>
        <v>#REF!</v>
      </c>
      <c r="M16" s="28" t="e">
        <f t="shared" si="4"/>
        <v>#REF!</v>
      </c>
      <c r="N16" s="28" t="e">
        <f t="shared" si="5"/>
        <v>#REF!</v>
      </c>
      <c r="O16" s="28" t="e">
        <f>Summary!$J$17*'R16'!N16*'R16'!H16</f>
        <v>#REF!</v>
      </c>
    </row>
    <row r="17" spans="2:15" ht="24" customHeight="1">
      <c r="B17" s="30">
        <f t="shared" si="0"/>
        <v>2034</v>
      </c>
      <c r="C17" s="28">
        <f t="shared" si="1"/>
        <v>105</v>
      </c>
      <c r="D17" s="28">
        <v>15</v>
      </c>
      <c r="E17" s="28">
        <f>VLOOKUP(C:C, 'Total Data Set'!B:J, IF(Summary!$F$17="M", 4, 8), FALSE)</f>
        <v>0.37227300000000002</v>
      </c>
      <c r="F17" s="28">
        <f t="shared" si="2"/>
        <v>0.62772699999999992</v>
      </c>
      <c r="G17" s="28">
        <f t="shared" si="3"/>
        <v>2.2351084243325558E-2</v>
      </c>
      <c r="H17" s="28">
        <f>1/(1+Summary!$O$3)^D17</f>
        <v>0.48101709809097021</v>
      </c>
      <c r="I17" s="28">
        <f>Summary!$J$17*'R16'!H17*'R16'!G17</f>
        <v>453.2083477072876</v>
      </c>
      <c r="L17" s="28" t="e">
        <f>IF(Summary!$F$17="M",VLOOKUP(C:C,#REF!,IF(B17&gt;2033,22,MATCH(B17,#REF!,0)),FALSE),VLOOKUP(C:C,#REF!,IF(B17&gt;2033,22,MATCH(B17,#REF!,0)),FALSE))</f>
        <v>#REF!</v>
      </c>
      <c r="M17" s="28" t="e">
        <f t="shared" si="4"/>
        <v>#REF!</v>
      </c>
      <c r="N17" s="28" t="e">
        <f t="shared" si="5"/>
        <v>#REF!</v>
      </c>
      <c r="O17" s="28" t="e">
        <f>Summary!$J$17*'R16'!N17*'R16'!H17</f>
        <v>#REF!</v>
      </c>
    </row>
    <row r="18" spans="2:15" ht="24" customHeight="1">
      <c r="B18" s="30">
        <f t="shared" si="0"/>
        <v>2035</v>
      </c>
      <c r="C18" s="28">
        <f t="shared" si="1"/>
        <v>106</v>
      </c>
      <c r="D18" s="28">
        <v>16</v>
      </c>
      <c r="E18" s="28">
        <f>VLOOKUP(C:C, 'Total Data Set'!B:J, IF(Summary!$F$17="M", 4, 8), FALSE)</f>
        <v>0.39185999999999999</v>
      </c>
      <c r="F18" s="28">
        <f t="shared" si="2"/>
        <v>0.60814000000000001</v>
      </c>
      <c r="G18" s="28">
        <f t="shared" si="3"/>
        <v>1.403037905881002E-2</v>
      </c>
      <c r="H18" s="28">
        <f>1/(1+Summary!$O$3)^D18</f>
        <v>0.45811152199140021</v>
      </c>
      <c r="I18" s="28">
        <f>Summary!$J$17*'R16'!H18*'R16'!G18</f>
        <v>270.9439204583357</v>
      </c>
      <c r="L18" s="28" t="e">
        <f>IF(Summary!$F$17="M",VLOOKUP(C:C,#REF!,IF(B18&gt;2033,22,MATCH(B18,#REF!,0)),FALSE),VLOOKUP(C:C,#REF!,IF(B18&gt;2033,22,MATCH(B18,#REF!,0)),FALSE))</f>
        <v>#REF!</v>
      </c>
      <c r="M18" s="28" t="e">
        <f t="shared" si="4"/>
        <v>#REF!</v>
      </c>
      <c r="N18" s="28" t="e">
        <f t="shared" si="5"/>
        <v>#REF!</v>
      </c>
      <c r="O18" s="28" t="e">
        <f>Summary!$J$17*'R16'!N18*'R16'!H18</f>
        <v>#REF!</v>
      </c>
    </row>
    <row r="19" spans="2:15" ht="24" customHeight="1">
      <c r="B19" s="30">
        <f t="shared" si="0"/>
        <v>2036</v>
      </c>
      <c r="C19" s="28">
        <f t="shared" si="1"/>
        <v>107</v>
      </c>
      <c r="D19" s="28">
        <v>17</v>
      </c>
      <c r="E19" s="28">
        <f>VLOOKUP(C:C, 'Total Data Set'!B:J, IF(Summary!$F$17="M", 4, 8), FALSE)</f>
        <v>0.41084900000000002</v>
      </c>
      <c r="F19" s="28">
        <f t="shared" si="2"/>
        <v>0.58915099999999998</v>
      </c>
      <c r="G19" s="28">
        <f t="shared" si="3"/>
        <v>8.5324347208247265E-3</v>
      </c>
      <c r="H19" s="28">
        <f>1/(1+Summary!$O$3)^D19</f>
        <v>0.43629668761085727</v>
      </c>
      <c r="I19" s="28">
        <f>Summary!$J$17*'R16'!H19*'R16'!G19</f>
        <v>156.92555789288787</v>
      </c>
      <c r="L19" s="28" t="e">
        <f>IF(Summary!$F$17="M",VLOOKUP(C:C,#REF!,IF(B19&gt;2033,22,MATCH(B19,#REF!,0)),FALSE),VLOOKUP(C:C,#REF!,IF(B19&gt;2033,22,MATCH(B19,#REF!,0)),FALSE))</f>
        <v>#REF!</v>
      </c>
      <c r="M19" s="28" t="e">
        <f t="shared" si="4"/>
        <v>#REF!</v>
      </c>
      <c r="N19" s="28" t="e">
        <f t="shared" si="5"/>
        <v>#REF!</v>
      </c>
      <c r="O19" s="28" t="e">
        <f>Summary!$J$17*'R16'!N19*'R16'!H19</f>
        <v>#REF!</v>
      </c>
    </row>
    <row r="20" spans="2:15" ht="24" customHeight="1">
      <c r="B20" s="30">
        <f t="shared" si="0"/>
        <v>2037</v>
      </c>
      <c r="C20" s="28">
        <f t="shared" si="1"/>
        <v>108</v>
      </c>
      <c r="D20" s="28">
        <v>18</v>
      </c>
      <c r="E20" s="28">
        <f>VLOOKUP(C:C, 'Total Data Set'!B:J, IF(Summary!$F$17="M", 4, 8), FALSE)</f>
        <v>0.42911199999999999</v>
      </c>
      <c r="F20" s="28">
        <f t="shared" si="2"/>
        <v>0.57088800000000006</v>
      </c>
      <c r="G20" s="28">
        <f t="shared" si="3"/>
        <v>5.0268924482086081E-3</v>
      </c>
      <c r="H20" s="28">
        <f>1/(1+Summary!$O$3)^D20</f>
        <v>0.41552065486748313</v>
      </c>
      <c r="I20" s="28">
        <f>Summary!$J$17*'R16'!H20*'R16'!G20</f>
        <v>88.050332722050271</v>
      </c>
      <c r="L20" s="28" t="e">
        <f>IF(Summary!$F$17="M",VLOOKUP(C:C,#REF!,IF(B20&gt;2033,22,MATCH(B20,#REF!,0)),FALSE),VLOOKUP(C:C,#REF!,IF(B20&gt;2033,22,MATCH(B20,#REF!,0)),FALSE))</f>
        <v>#REF!</v>
      </c>
      <c r="M20" s="28" t="e">
        <f t="shared" si="4"/>
        <v>#REF!</v>
      </c>
      <c r="N20" s="28" t="e">
        <f t="shared" si="5"/>
        <v>#REF!</v>
      </c>
      <c r="O20" s="28" t="e">
        <f>Summary!$J$17*'R16'!N20*'R16'!H20</f>
        <v>#REF!</v>
      </c>
    </row>
    <row r="21" spans="2:15" ht="24" customHeight="1">
      <c r="B21" s="30">
        <f t="shared" si="0"/>
        <v>2038</v>
      </c>
      <c r="C21" s="28">
        <f t="shared" si="1"/>
        <v>109</v>
      </c>
      <c r="D21" s="28">
        <v>19</v>
      </c>
      <c r="E21" s="28">
        <f>VLOOKUP(C:C, 'Total Data Set'!B:J, IF(Summary!$F$17="M", 4, 8), FALSE)</f>
        <v>0.446544</v>
      </c>
      <c r="F21" s="28">
        <f t="shared" si="2"/>
        <v>0.55345599999999995</v>
      </c>
      <c r="G21" s="28">
        <f t="shared" si="3"/>
        <v>2.869792575972916E-3</v>
      </c>
      <c r="H21" s="28">
        <f>1/(1+Summary!$O$3)^D21</f>
        <v>0.39573395701665059</v>
      </c>
      <c r="I21" s="28">
        <f>Summary!$J$17*'R16'!H21*'R16'!G21</f>
        <v>47.87321747335794</v>
      </c>
      <c r="L21" s="28" t="e">
        <f>IF(Summary!$F$17="M",VLOOKUP(C:C,#REF!,IF(B21&gt;2033,22,MATCH(B21,#REF!,0)),FALSE),VLOOKUP(C:C,#REF!,IF(B21&gt;2033,22,MATCH(B21,#REF!,0)),FALSE))</f>
        <v>#REF!</v>
      </c>
      <c r="M21" s="28" t="e">
        <f t="shared" si="4"/>
        <v>#REF!</v>
      </c>
      <c r="N21" s="28" t="e">
        <f t="shared" si="5"/>
        <v>#REF!</v>
      </c>
      <c r="O21" s="28" t="e">
        <f>Summary!$J$17*'R16'!N21*'R16'!H21</f>
        <v>#REF!</v>
      </c>
    </row>
    <row r="22" spans="2:15" ht="24" customHeight="1">
      <c r="B22" s="30">
        <f t="shared" si="0"/>
        <v>2039</v>
      </c>
      <c r="C22" s="28">
        <f t="shared" si="1"/>
        <v>110</v>
      </c>
      <c r="D22" s="28">
        <v>20</v>
      </c>
      <c r="E22" s="28">
        <f>VLOOKUP(C:C, 'Total Data Set'!B:J, IF(Summary!$F$17="M", 4, 8), FALSE)</f>
        <v>0.463061</v>
      </c>
      <c r="F22" s="28">
        <f t="shared" si="2"/>
        <v>0.53693900000000006</v>
      </c>
      <c r="G22" s="28">
        <f t="shared" si="3"/>
        <v>1.5883039199276661E-3</v>
      </c>
      <c r="H22" s="28">
        <f>1/(1+Summary!$O$3)^D22</f>
        <v>0.37688948287300061</v>
      </c>
      <c r="I22" s="28">
        <f>Summary!$J$17*'R16'!H22*'R16'!G22</f>
        <v>25.234018523747419</v>
      </c>
      <c r="L22" s="28" t="e">
        <f>IF(Summary!$F$17="M",VLOOKUP(C:C,#REF!,IF(B22&gt;2033,22,MATCH(B22,#REF!,0)),FALSE),VLOOKUP(C:C,#REF!,IF(B22&gt;2033,22,MATCH(B22,#REF!,0)),FALSE))</f>
        <v>#REF!</v>
      </c>
      <c r="M22" s="28" t="e">
        <f t="shared" si="4"/>
        <v>#REF!</v>
      </c>
      <c r="N22" s="28" t="e">
        <f t="shared" si="5"/>
        <v>#REF!</v>
      </c>
      <c r="O22" s="28" t="e">
        <f>Summary!$J$17*'R16'!N22*'R16'!H22</f>
        <v>#REF!</v>
      </c>
    </row>
    <row r="23" spans="2:15" ht="24" customHeight="1">
      <c r="B23" s="30">
        <f t="shared" si="0"/>
        <v>2040</v>
      </c>
      <c r="C23" s="28">
        <f t="shared" si="1"/>
        <v>111</v>
      </c>
      <c r="D23" s="28">
        <v>21</v>
      </c>
      <c r="E23" s="28">
        <f>VLOOKUP(C:C, 'Total Data Set'!B:J, IF(Summary!$F$17="M", 4, 8), FALSE)</f>
        <v>0.47860399999999997</v>
      </c>
      <c r="F23" s="28">
        <f t="shared" si="2"/>
        <v>0.52139599999999997</v>
      </c>
      <c r="G23" s="28">
        <f t="shared" si="3"/>
        <v>8.5282231846204118E-4</v>
      </c>
      <c r="H23" s="28">
        <f>1/(1+Summary!$O$3)^D23</f>
        <v>0.35894236464095297</v>
      </c>
      <c r="I23" s="28">
        <f>Summary!$J$17*'R16'!H23*'R16'!G23</f>
        <v>12.903932068688018</v>
      </c>
      <c r="L23" s="28" t="e">
        <f>IF(Summary!$F$17="M",VLOOKUP(C:C,#REF!,IF(B23&gt;2033,22,MATCH(B23,#REF!,0)),FALSE),VLOOKUP(C:C,#REF!,IF(B23&gt;2033,22,MATCH(B23,#REF!,0)),FALSE))</f>
        <v>#REF!</v>
      </c>
      <c r="M23" s="28" t="e">
        <f t="shared" si="4"/>
        <v>#REF!</v>
      </c>
      <c r="N23" s="28" t="e">
        <f t="shared" si="5"/>
        <v>#REF!</v>
      </c>
      <c r="O23" s="28" t="e">
        <f>Summary!$J$17*'R16'!N23*'R16'!H23</f>
        <v>#REF!</v>
      </c>
    </row>
    <row r="24" spans="2:15" ht="24" customHeight="1">
      <c r="B24" s="30">
        <f t="shared" si="0"/>
        <v>2041</v>
      </c>
      <c r="C24" s="28">
        <f t="shared" si="1"/>
        <v>112</v>
      </c>
      <c r="D24" s="28">
        <v>22</v>
      </c>
      <c r="E24" s="28">
        <f>VLOOKUP(C:C, 'Total Data Set'!B:J, IF(Summary!$F$17="M", 4, 8), FALSE)</f>
        <v>0.49313699999999999</v>
      </c>
      <c r="F24" s="28">
        <f t="shared" si="2"/>
        <v>0.50686300000000006</v>
      </c>
      <c r="G24" s="28">
        <f t="shared" si="3"/>
        <v>4.4465814555683439E-4</v>
      </c>
      <c r="H24" s="28">
        <f>1/(1+Summary!$O$3)^D24</f>
        <v>0.3418498710866219</v>
      </c>
      <c r="I24" s="28">
        <f>Summary!$J$17*'R16'!H24*'R16'!G24</f>
        <v>6.4076748237006269</v>
      </c>
      <c r="L24" s="28" t="e">
        <f>IF(Summary!$F$17="M",VLOOKUP(C:C,#REF!,IF(B24&gt;2033,22,MATCH(B24,#REF!,0)),FALSE),VLOOKUP(C:C,#REF!,IF(B24&gt;2033,22,MATCH(B24,#REF!,0)),FALSE))</f>
        <v>#REF!</v>
      </c>
      <c r="M24" s="28" t="e">
        <f t="shared" si="4"/>
        <v>#REF!</v>
      </c>
      <c r="N24" s="28" t="e">
        <f t="shared" si="5"/>
        <v>#REF!</v>
      </c>
      <c r="O24" s="28" t="e">
        <f>Summary!$J$17*'R16'!N24*'R16'!H24</f>
        <v>#REF!</v>
      </c>
    </row>
    <row r="25" spans="2:15" ht="24" customHeight="1">
      <c r="B25" s="30">
        <f t="shared" si="0"/>
        <v>2042</v>
      </c>
      <c r="C25" s="28">
        <f t="shared" si="1"/>
        <v>113</v>
      </c>
      <c r="D25" s="28">
        <v>23</v>
      </c>
      <c r="E25" s="28">
        <f>VLOOKUP(C:C, 'Total Data Set'!B:J, IF(Summary!$F$17="M", 4, 8), FALSE)</f>
        <v>0.5</v>
      </c>
      <c r="F25" s="28">
        <f t="shared" si="2"/>
        <v>0.5</v>
      </c>
      <c r="G25" s="28">
        <f t="shared" si="3"/>
        <v>2.2538076163137379E-4</v>
      </c>
      <c r="H25" s="28">
        <f>1/(1+Summary!$O$3)^D25</f>
        <v>0.32557130579678267</v>
      </c>
      <c r="I25" s="28">
        <f>Summary!$J$17*'R16'!H25*'R16'!G25</f>
        <v>3.0931555087289238</v>
      </c>
      <c r="L25" s="28" t="e">
        <f>IF(Summary!$F$17="M",VLOOKUP(C:C,#REF!,IF(B25&gt;2033,22,MATCH(B25,#REF!,0)),FALSE),VLOOKUP(C:C,#REF!,IF(B25&gt;2033,22,MATCH(B25,#REF!,0)),FALSE))</f>
        <v>#REF!</v>
      </c>
      <c r="M25" s="28" t="e">
        <f t="shared" si="4"/>
        <v>#REF!</v>
      </c>
      <c r="N25" s="28" t="e">
        <f t="shared" si="5"/>
        <v>#REF!</v>
      </c>
      <c r="O25" s="28" t="e">
        <f>Summary!$J$17*'R16'!N25*'R16'!H25</f>
        <v>#REF!</v>
      </c>
    </row>
    <row r="26" spans="2:15" ht="24" customHeight="1">
      <c r="B26" s="30">
        <f t="shared" si="0"/>
        <v>2043</v>
      </c>
      <c r="C26" s="28">
        <f t="shared" si="1"/>
        <v>114</v>
      </c>
      <c r="D26" s="28">
        <v>24</v>
      </c>
      <c r="E26" s="28">
        <f>VLOOKUP(C:C, 'Total Data Set'!B:J, IF(Summary!$F$17="M", 4, 8), FALSE)</f>
        <v>0.5</v>
      </c>
      <c r="F26" s="28">
        <f t="shared" si="2"/>
        <v>0.5</v>
      </c>
      <c r="G26" s="28">
        <f t="shared" si="3"/>
        <v>1.1269038081568689E-4</v>
      </c>
      <c r="H26" s="28">
        <f>1/(1+Summary!$O$3)^D26</f>
        <v>0.31006791028265024</v>
      </c>
      <c r="I26" s="28">
        <f>Summary!$J$17*'R16'!H26*'R16'!G26</f>
        <v>1.4729311946328212</v>
      </c>
      <c r="L26" s="28" t="e">
        <f>IF(Summary!$F$17="M",VLOOKUP(C:C,#REF!,IF(B26&gt;2033,22,MATCH(B26,#REF!,0)),FALSE),VLOOKUP(C:C,#REF!,IF(B26&gt;2033,22,MATCH(B26,#REF!,0)),FALSE))</f>
        <v>#REF!</v>
      </c>
      <c r="M26" s="28" t="e">
        <f t="shared" si="4"/>
        <v>#REF!</v>
      </c>
      <c r="N26" s="28" t="e">
        <f t="shared" si="5"/>
        <v>#REF!</v>
      </c>
      <c r="O26" s="28" t="e">
        <f>Summary!$J$17*'R16'!N26*'R16'!H26</f>
        <v>#REF!</v>
      </c>
    </row>
    <row r="27" spans="2:15" ht="24" customHeight="1">
      <c r="B27" s="30">
        <f t="shared" si="0"/>
        <v>2044</v>
      </c>
      <c r="C27" s="28">
        <f t="shared" si="1"/>
        <v>115</v>
      </c>
      <c r="D27" s="28">
        <v>25</v>
      </c>
      <c r="E27" s="28">
        <f>VLOOKUP(C:C, 'Total Data Set'!B:J, IF(Summary!$F$17="M", 4, 8), FALSE)</f>
        <v>0.5</v>
      </c>
      <c r="F27" s="28">
        <f t="shared" si="2"/>
        <v>0.5</v>
      </c>
      <c r="G27" s="28">
        <f t="shared" si="3"/>
        <v>5.6345190407843447E-5</v>
      </c>
      <c r="H27" s="28">
        <f>1/(1+Summary!$O$3)^D27</f>
        <v>0.29530277169776209</v>
      </c>
      <c r="I27" s="28">
        <f>Summary!$J$17*'R16'!H27*'R16'!G27</f>
        <v>0.70139580696800996</v>
      </c>
      <c r="L27" s="28" t="e">
        <f>IF(Summary!$F$17="M",VLOOKUP(C:C,#REF!,IF(B27&gt;2033,22,MATCH(B27,#REF!,0)),FALSE),VLOOKUP(C:C,#REF!,IF(B27&gt;2033,22,MATCH(B27,#REF!,0)),FALSE))</f>
        <v>#REF!</v>
      </c>
      <c r="M27" s="28" t="e">
        <f t="shared" si="4"/>
        <v>#REF!</v>
      </c>
      <c r="N27" s="28" t="e">
        <f t="shared" si="5"/>
        <v>#REF!</v>
      </c>
      <c r="O27" s="28" t="e">
        <f>Summary!$J$17*'R16'!N27*'R16'!H27</f>
        <v>#REF!</v>
      </c>
    </row>
    <row r="28" spans="2:15" ht="24" customHeight="1">
      <c r="B28" s="30">
        <f t="shared" si="0"/>
        <v>2045</v>
      </c>
      <c r="C28" s="28">
        <f t="shared" si="1"/>
        <v>116</v>
      </c>
      <c r="D28" s="28">
        <v>26</v>
      </c>
      <c r="E28" s="28">
        <f>VLOOKUP(C:C, 'Total Data Set'!B:J, IF(Summary!$F$17="M", 4, 8), FALSE)</f>
        <v>0.5</v>
      </c>
      <c r="F28" s="28">
        <f t="shared" si="2"/>
        <v>0.5</v>
      </c>
      <c r="G28" s="28">
        <f t="shared" si="3"/>
        <v>2.8172595203921723E-5</v>
      </c>
      <c r="H28" s="28">
        <f>1/(1+Summary!$O$3)^D28</f>
        <v>0.28124073495024959</v>
      </c>
      <c r="I28" s="28">
        <f>Summary!$J$17*'R16'!H28*'R16'!G28</f>
        <v>0.33399800331809998</v>
      </c>
      <c r="L28" s="28" t="e">
        <f>IF(Summary!$F$17="M",VLOOKUP(C:C,#REF!,IF(B28&gt;2033,22,MATCH(B28,#REF!,0)),FALSE),VLOOKUP(C:C,#REF!,IF(B28&gt;2033,22,MATCH(B28,#REF!,0)),FALSE))</f>
        <v>#REF!</v>
      </c>
      <c r="M28" s="28" t="e">
        <f t="shared" si="4"/>
        <v>#REF!</v>
      </c>
      <c r="N28" s="28" t="e">
        <f t="shared" si="5"/>
        <v>#REF!</v>
      </c>
      <c r="O28" s="28" t="e">
        <f>Summary!$J$17*'R16'!N28*'R16'!H28</f>
        <v>#REF!</v>
      </c>
    </row>
    <row r="29" spans="2:15" ht="24" customHeight="1">
      <c r="B29" s="30">
        <f t="shared" si="0"/>
        <v>2046</v>
      </c>
      <c r="C29" s="28">
        <f t="shared" si="1"/>
        <v>117</v>
      </c>
      <c r="D29" s="28">
        <v>27</v>
      </c>
      <c r="E29" s="28">
        <f>VLOOKUP(C:C, 'Total Data Set'!B:J, IF(Summary!$F$17="M", 4, 8), FALSE)</f>
        <v>0.5</v>
      </c>
      <c r="F29" s="28">
        <f t="shared" si="2"/>
        <v>0.5</v>
      </c>
      <c r="G29" s="28">
        <f t="shared" si="3"/>
        <v>1.4086297601960862E-5</v>
      </c>
      <c r="H29" s="28">
        <f>1/(1+Summary!$O$3)^D29</f>
        <v>0.2678483190002377</v>
      </c>
      <c r="I29" s="28">
        <f>Summary!$J$17*'R16'!H29*'R16'!G29</f>
        <v>0.15904666824671426</v>
      </c>
      <c r="L29" s="28" t="e">
        <f>IF(Summary!$F$17="M",VLOOKUP(C:C,#REF!,IF(B29&gt;2033,22,MATCH(B29,#REF!,0)),FALSE),VLOOKUP(C:C,#REF!,IF(B29&gt;2033,22,MATCH(B29,#REF!,0)),FALSE))</f>
        <v>#REF!</v>
      </c>
      <c r="M29" s="28" t="e">
        <f t="shared" si="4"/>
        <v>#REF!</v>
      </c>
      <c r="N29" s="28" t="e">
        <f t="shared" si="5"/>
        <v>#REF!</v>
      </c>
      <c r="O29" s="28" t="e">
        <f>Summary!$J$17*'R16'!N29*'R16'!H29</f>
        <v>#REF!</v>
      </c>
    </row>
    <row r="30" spans="2:15" ht="24" customHeight="1">
      <c r="B30" s="30">
        <f t="shared" si="0"/>
        <v>2047</v>
      </c>
      <c r="C30" s="28">
        <f t="shared" si="1"/>
        <v>118</v>
      </c>
      <c r="D30" s="28">
        <v>28</v>
      </c>
      <c r="E30" s="28">
        <f>VLOOKUP(C:C, 'Total Data Set'!B:J, IF(Summary!$F$17="M", 4, 8), FALSE)</f>
        <v>0.5</v>
      </c>
      <c r="F30" s="28">
        <f t="shared" si="2"/>
        <v>0.5</v>
      </c>
      <c r="G30" s="28">
        <f t="shared" si="3"/>
        <v>7.0431488009804308E-6</v>
      </c>
      <c r="H30" s="28">
        <f>1/(1+Summary!$O$3)^D30</f>
        <v>0.25509363714308358</v>
      </c>
      <c r="I30" s="28">
        <f>Summary!$J$17*'R16'!H30*'R16'!G30</f>
        <v>7.5736508688911588E-2</v>
      </c>
      <c r="L30" s="28" t="e">
        <f>IF(Summary!$F$17="M",VLOOKUP(C:C,#REF!,IF(B30&gt;2033,22,MATCH(B30,#REF!,0)),FALSE),VLOOKUP(C:C,#REF!,IF(B30&gt;2033,22,MATCH(B30,#REF!,0)),FALSE))</f>
        <v>#REF!</v>
      </c>
      <c r="M30" s="28" t="e">
        <f t="shared" si="4"/>
        <v>#REF!</v>
      </c>
      <c r="N30" s="28" t="e">
        <f t="shared" si="5"/>
        <v>#REF!</v>
      </c>
      <c r="O30" s="28" t="e">
        <f>Summary!$J$17*'R16'!N30*'R16'!H30</f>
        <v>#REF!</v>
      </c>
    </row>
    <row r="31" spans="2:15" ht="24" customHeight="1">
      <c r="B31" s="30">
        <f t="shared" si="0"/>
        <v>2048</v>
      </c>
      <c r="C31" s="28">
        <f t="shared" si="1"/>
        <v>119</v>
      </c>
      <c r="D31" s="28">
        <v>29</v>
      </c>
      <c r="E31" s="28">
        <f>VLOOKUP(C:C, 'Total Data Set'!B:J, IF(Summary!$F$17="M", 4, 8), FALSE)</f>
        <v>0.5</v>
      </c>
      <c r="F31" s="28">
        <f t="shared" si="2"/>
        <v>0.5</v>
      </c>
      <c r="G31" s="28">
        <f t="shared" si="3"/>
        <v>3.5215744004902154E-6</v>
      </c>
      <c r="H31" s="28">
        <f>1/(1+Summary!$O$3)^D31</f>
        <v>0.24294632108865097</v>
      </c>
      <c r="I31" s="28">
        <f>Summary!$J$17*'R16'!H31*'R16'!G31</f>
        <v>3.6065004137576934E-2</v>
      </c>
      <c r="L31" s="28" t="e">
        <f>IF(Summary!$F$17="M",VLOOKUP(C:C,#REF!,IF(B31&gt;2033,22,MATCH(B31,#REF!,0)),FALSE),VLOOKUP(C:C,#REF!,IF(B31&gt;2033,22,MATCH(B31,#REF!,0)),FALSE))</f>
        <v>#REF!</v>
      </c>
      <c r="M31" s="28" t="e">
        <f t="shared" si="4"/>
        <v>#REF!</v>
      </c>
      <c r="N31" s="28" t="e">
        <f t="shared" si="5"/>
        <v>#REF!</v>
      </c>
      <c r="O31" s="28" t="e">
        <f>Summary!$J$17*'R16'!N31*'R16'!H31</f>
        <v>#REF!</v>
      </c>
    </row>
    <row r="32" spans="2:15" ht="24" customHeight="1">
      <c r="B32" s="30">
        <f t="shared" si="0"/>
        <v>2049</v>
      </c>
      <c r="C32" s="28">
        <f t="shared" si="1"/>
        <v>120</v>
      </c>
      <c r="D32" s="28">
        <v>30</v>
      </c>
      <c r="E32" s="28">
        <f>VLOOKUP(C:C, 'Total Data Set'!B:J, IF(Summary!$F$17="M", 4, 8), FALSE)</f>
        <v>1</v>
      </c>
      <c r="F32" s="28">
        <f t="shared" si="2"/>
        <v>0</v>
      </c>
      <c r="G32" s="28">
        <f t="shared" si="3"/>
        <v>1.7607872002451077E-6</v>
      </c>
      <c r="H32" s="28">
        <f>1/(1+Summary!$O$3)^D32</f>
        <v>0.23137744865585813</v>
      </c>
      <c r="I32" s="28">
        <f>Summary!$J$17*'R16'!H32*'R16'!G32</f>
        <v>1.7173811494084257E-2</v>
      </c>
      <c r="L32" s="28" t="e">
        <f>IF(Summary!$F$17="M",VLOOKUP(C:C,#REF!,IF(B32&gt;2033,22,MATCH(B32,#REF!,0)),FALSE),VLOOKUP(C:C,#REF!,IF(B32&gt;2033,22,MATCH(B32,#REF!,0)),FALSE))</f>
        <v>#REF!</v>
      </c>
      <c r="M32" s="28" t="e">
        <f t="shared" si="4"/>
        <v>#REF!</v>
      </c>
      <c r="N32" s="28" t="e">
        <f t="shared" si="5"/>
        <v>#REF!</v>
      </c>
      <c r="O32" s="28" t="e">
        <f>Summary!$J$17*'R16'!N32*'R16'!H32</f>
        <v>#REF!</v>
      </c>
    </row>
  </sheetData>
  <phoneticPr fontId="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P30"/>
  <sheetViews>
    <sheetView topLeftCell="A23" workbookViewId="0">
      <selection activeCell="A6" sqref="A6"/>
    </sheetView>
  </sheetViews>
  <sheetFormatPr defaultColWidth="18" defaultRowHeight="24" customHeight="1"/>
  <cols>
    <col min="1" max="6" width="18" style="28"/>
    <col min="7" max="7" width="24" style="28" customWidth="1"/>
    <col min="8" max="9" width="18" style="28"/>
    <col min="10" max="10" width="21.7109375" style="28" customWidth="1"/>
    <col min="11" max="16384" width="18" style="28"/>
  </cols>
  <sheetData>
    <row r="1" spans="1:16" ht="24" customHeight="1">
      <c r="A1" s="30" t="s">
        <v>69</v>
      </c>
      <c r="B1" s="30" t="s">
        <v>74</v>
      </c>
      <c r="C1" s="28" t="s">
        <v>28</v>
      </c>
      <c r="D1" s="28" t="s">
        <v>29</v>
      </c>
      <c r="E1" s="28" t="s">
        <v>30</v>
      </c>
      <c r="F1" s="28" t="s">
        <v>71</v>
      </c>
      <c r="G1" s="28" t="s">
        <v>72</v>
      </c>
      <c r="H1" s="28" t="s">
        <v>31</v>
      </c>
      <c r="I1" s="28" t="s">
        <v>32</v>
      </c>
      <c r="J1" s="28" t="s">
        <v>33</v>
      </c>
      <c r="L1" s="39" t="s">
        <v>82</v>
      </c>
      <c r="M1" s="39" t="s">
        <v>77</v>
      </c>
      <c r="N1" s="39" t="s">
        <v>78</v>
      </c>
      <c r="O1" s="39" t="s">
        <v>79</v>
      </c>
      <c r="P1" s="39" t="s">
        <v>80</v>
      </c>
    </row>
    <row r="2" spans="1:16" ht="24" customHeight="1">
      <c r="A2" s="31">
        <v>43647</v>
      </c>
      <c r="B2" s="30">
        <f>YEAR(A2)</f>
        <v>2019</v>
      </c>
      <c r="C2" s="28">
        <f>$A$4+D2</f>
        <v>92</v>
      </c>
      <c r="D2" s="28">
        <v>0</v>
      </c>
      <c r="E2" s="28">
        <f>VLOOKUP(C:C, 'Total Data Set'!B:J, IF(Summary!$F$18="M", 4, 8), FALSE)</f>
        <v>0.16742199999999999</v>
      </c>
      <c r="F2" s="28">
        <f>1-E2</f>
        <v>0.83257800000000004</v>
      </c>
      <c r="G2" s="28">
        <v>1</v>
      </c>
      <c r="H2" s="28">
        <f>1/(1+Summary!$O$3)^D2</f>
        <v>1</v>
      </c>
      <c r="I2" s="28">
        <f>Summary!$J$18*'R17'!H2*'R17'!G2</f>
        <v>11976</v>
      </c>
      <c r="J2" s="28">
        <f>SUM(I2:I30)</f>
        <v>48000.289168002193</v>
      </c>
      <c r="L2" s="28" t="e">
        <f>IF(Summary!$F$18="M",VLOOKUP(C:C,#REF!,IF(B2&gt;2033,22,MATCH(B2,#REF!,0)),FALSE),VLOOKUP(C:C,#REF!,IF(B2&gt;2033,22,MATCH(B2,#REF!,0)),FALSE))</f>
        <v>#REF!</v>
      </c>
      <c r="M2" s="28" t="e">
        <f>1-L2</f>
        <v>#REF!</v>
      </c>
      <c r="N2" s="28">
        <v>1</v>
      </c>
      <c r="O2" s="28">
        <f>Summary!$J$18*'R17'!N2*'R17'!H2</f>
        <v>11976</v>
      </c>
      <c r="P2" s="28" t="e">
        <f>SUM(O2:O30)</f>
        <v>#REF!</v>
      </c>
    </row>
    <row r="3" spans="1:16" ht="24" customHeight="1">
      <c r="A3" s="28" t="s">
        <v>34</v>
      </c>
      <c r="B3" s="30">
        <f>$B2+1</f>
        <v>2020</v>
      </c>
      <c r="C3" s="28">
        <f>$A$4+D3</f>
        <v>93</v>
      </c>
      <c r="D3" s="28">
        <v>1</v>
      </c>
      <c r="E3" s="28">
        <f>VLOOKUP(C:C, 'Total Data Set'!B:J, IF(Summary!$F$18="M", 4, 8), FALSE)</f>
        <v>0.18403</v>
      </c>
      <c r="F3" s="28">
        <f>1-E3</f>
        <v>0.81596999999999997</v>
      </c>
      <c r="G3" s="28">
        <f>F2</f>
        <v>0.83257800000000004</v>
      </c>
      <c r="H3" s="28">
        <f>1/(1+Summary!$O$3)^D3</f>
        <v>0.95238095238095233</v>
      </c>
      <c r="I3" s="28">
        <f>Summary!$J$18*'R17'!H3*'R17'!G3</f>
        <v>9496.1467885714283</v>
      </c>
      <c r="L3" s="28" t="e">
        <f>IF(Summary!$F$18="M",VLOOKUP(C:C,#REF!,IF(B3&gt;2033,22,MATCH(B3,#REF!,0)),FALSE),VLOOKUP(C:C,#REF!,IF(B3&gt;2033,22,MATCH(B3,#REF!,0)),FALSE))</f>
        <v>#REF!</v>
      </c>
      <c r="M3" s="28" t="e">
        <f>1-L3</f>
        <v>#REF!</v>
      </c>
      <c r="N3" s="28" t="e">
        <f>N2*M2</f>
        <v>#REF!</v>
      </c>
      <c r="O3" s="28" t="e">
        <f>Summary!$J$18*'R17'!N3*'R17'!H3</f>
        <v>#REF!</v>
      </c>
    </row>
    <row r="4" spans="1:16" ht="24" customHeight="1">
      <c r="A4" s="28">
        <f>Summary!I18</f>
        <v>92</v>
      </c>
      <c r="B4" s="30">
        <f t="shared" ref="B4:B30" si="0">$B3+1</f>
        <v>2021</v>
      </c>
      <c r="C4" s="28">
        <f t="shared" ref="C4:C30" si="1">$A$4+D4</f>
        <v>94</v>
      </c>
      <c r="D4" s="28">
        <v>2</v>
      </c>
      <c r="E4" s="28">
        <f>VLOOKUP(C:C, 'Total Data Set'!B:J, IF(Summary!$F$18="M", 4, 8), FALSE)</f>
        <v>0.201074</v>
      </c>
      <c r="F4" s="28">
        <f t="shared" ref="F4:F30" si="2">1-E4</f>
        <v>0.79892600000000003</v>
      </c>
      <c r="G4" s="28">
        <f t="shared" ref="G4:G30" si="3">G3*F3</f>
        <v>0.67935867066</v>
      </c>
      <c r="H4" s="28">
        <f>1/(1+Summary!$O$3)^D4</f>
        <v>0.90702947845804982</v>
      </c>
      <c r="I4" s="28">
        <f>Summary!$J$18*'R17'!H4*'R17'!G4</f>
        <v>7379.5913286386931</v>
      </c>
      <c r="L4" s="28" t="e">
        <f>IF(Summary!$F$18="M",VLOOKUP(C:C,#REF!,IF(B4&gt;2033,22,MATCH(B4,#REF!,0)),FALSE),VLOOKUP(C:C,#REF!,IF(B4&gt;2033,22,MATCH(B4,#REF!,0)),FALSE))</f>
        <v>#REF!</v>
      </c>
      <c r="M4" s="28" t="e">
        <f t="shared" ref="M4:M30" si="4">1-L4</f>
        <v>#REF!</v>
      </c>
      <c r="N4" s="28" t="e">
        <f t="shared" ref="N4:N30" si="5">N3*M3</f>
        <v>#REF!</v>
      </c>
      <c r="O4" s="28" t="e">
        <f>Summary!$J$18*'R17'!N4*'R17'!H4</f>
        <v>#REF!</v>
      </c>
    </row>
    <row r="5" spans="1:16" ht="24" customHeight="1">
      <c r="B5" s="30">
        <f t="shared" si="0"/>
        <v>2022</v>
      </c>
      <c r="C5" s="28">
        <f t="shared" si="1"/>
        <v>95</v>
      </c>
      <c r="D5" s="28">
        <v>3</v>
      </c>
      <c r="E5" s="28">
        <f>VLOOKUP(C:C, 'Total Data Set'!B:J, IF(Summary!$F$18="M", 4, 8), FALSE)</f>
        <v>0.218559</v>
      </c>
      <c r="F5" s="28">
        <f t="shared" si="2"/>
        <v>0.78144100000000005</v>
      </c>
      <c r="G5" s="28">
        <f t="shared" si="3"/>
        <v>0.5427573053157112</v>
      </c>
      <c r="H5" s="28">
        <f>1/(1+Summary!$O$3)^D5</f>
        <v>0.86383759853147601</v>
      </c>
      <c r="I5" s="28">
        <f>Summary!$J$18*'R17'!H5*'R17'!G5</f>
        <v>5614.9975064990449</v>
      </c>
      <c r="L5" s="28" t="e">
        <f>IF(Summary!$F$18="M",VLOOKUP(C:C,#REF!,IF(B5&gt;2033,22,MATCH(B5,#REF!,0)),FALSE),VLOOKUP(C:C,#REF!,IF(B5&gt;2033,22,MATCH(B5,#REF!,0)),FALSE))</f>
        <v>#REF!</v>
      </c>
      <c r="M5" s="28" t="e">
        <f t="shared" si="4"/>
        <v>#REF!</v>
      </c>
      <c r="N5" s="28" t="e">
        <f t="shared" si="5"/>
        <v>#REF!</v>
      </c>
      <c r="O5" s="28" t="e">
        <f>Summary!$J$18*'R17'!N5*'R17'!H5</f>
        <v>#REF!</v>
      </c>
    </row>
    <row r="6" spans="1:16" ht="24" customHeight="1">
      <c r="B6" s="30">
        <f t="shared" si="0"/>
        <v>2023</v>
      </c>
      <c r="C6" s="28">
        <f t="shared" si="1"/>
        <v>96</v>
      </c>
      <c r="D6" s="28">
        <v>4</v>
      </c>
      <c r="E6" s="28">
        <f>VLOOKUP(C:C, 'Total Data Set'!B:J, IF(Summary!$F$18="M", 4, 8), FALSE)</f>
        <v>0.236535</v>
      </c>
      <c r="F6" s="28">
        <f t="shared" si="2"/>
        <v>0.76346500000000006</v>
      </c>
      <c r="G6" s="28">
        <f t="shared" si="3"/>
        <v>0.42413281142321468</v>
      </c>
      <c r="H6" s="28">
        <f>1/(1+Summary!$O$3)^D6</f>
        <v>0.82270247479188197</v>
      </c>
      <c r="I6" s="28">
        <f>Summary!$J$18*'R17'!H6*'R17'!G6</f>
        <v>4178.8469204534476</v>
      </c>
      <c r="L6" s="28" t="e">
        <f>IF(Summary!$F$18="M",VLOOKUP(C:C,#REF!,IF(B6&gt;2033,22,MATCH(B6,#REF!,0)),FALSE),VLOOKUP(C:C,#REF!,IF(B6&gt;2033,22,MATCH(B6,#REF!,0)),FALSE))</f>
        <v>#REF!</v>
      </c>
      <c r="M6" s="28" t="e">
        <f t="shared" si="4"/>
        <v>#REF!</v>
      </c>
      <c r="N6" s="28" t="e">
        <f t="shared" si="5"/>
        <v>#REF!</v>
      </c>
      <c r="O6" s="28" t="e">
        <f>Summary!$J$18*'R17'!N6*'R17'!H6</f>
        <v>#REF!</v>
      </c>
    </row>
    <row r="7" spans="1:16" ht="24" customHeight="1">
      <c r="B7" s="30">
        <f t="shared" si="0"/>
        <v>2024</v>
      </c>
      <c r="C7" s="28">
        <f t="shared" si="1"/>
        <v>97</v>
      </c>
      <c r="D7" s="28">
        <v>5</v>
      </c>
      <c r="E7" s="28">
        <f>VLOOKUP(C:C, 'Total Data Set'!B:J, IF(Summary!$F$18="M", 4, 8), FALSE)</f>
        <v>0.25505899999999998</v>
      </c>
      <c r="F7" s="28">
        <f t="shared" si="2"/>
        <v>0.74494100000000008</v>
      </c>
      <c r="G7" s="28">
        <f t="shared" si="3"/>
        <v>0.32381055687322463</v>
      </c>
      <c r="H7" s="28">
        <f>1/(1+Summary!$O$3)^D7</f>
        <v>0.78352616646845896</v>
      </c>
      <c r="I7" s="28">
        <f>Summary!$J$18*'R17'!H7*'R17'!G7</f>
        <v>3038.479394403802</v>
      </c>
      <c r="L7" s="28" t="e">
        <f>IF(Summary!$F$18="M",VLOOKUP(C:C,#REF!,IF(B7&gt;2033,22,MATCH(B7,#REF!,0)),FALSE),VLOOKUP(C:C,#REF!,IF(B7&gt;2033,22,MATCH(B7,#REF!,0)),FALSE))</f>
        <v>#REF!</v>
      </c>
      <c r="M7" s="28" t="e">
        <f t="shared" si="4"/>
        <v>#REF!</v>
      </c>
      <c r="N7" s="28" t="e">
        <f t="shared" si="5"/>
        <v>#REF!</v>
      </c>
      <c r="O7" s="28" t="e">
        <f>Summary!$J$18*'R17'!N7*'R17'!H7</f>
        <v>#REF!</v>
      </c>
    </row>
    <row r="8" spans="1:16" ht="24" customHeight="1">
      <c r="B8" s="30">
        <f t="shared" si="0"/>
        <v>2025</v>
      </c>
      <c r="C8" s="28">
        <f t="shared" si="1"/>
        <v>98</v>
      </c>
      <c r="D8" s="28">
        <v>6</v>
      </c>
      <c r="E8" s="28">
        <f>VLOOKUP(C:C, 'Total Data Set'!B:J, IF(Summary!$F$18="M", 4, 8), FALSE)</f>
        <v>0.27417000000000002</v>
      </c>
      <c r="F8" s="28">
        <f t="shared" si="2"/>
        <v>0.72582999999999998</v>
      </c>
      <c r="G8" s="28">
        <f t="shared" si="3"/>
        <v>0.24121976004769685</v>
      </c>
      <c r="H8" s="28">
        <f>1/(1+Summary!$O$3)^D8</f>
        <v>0.74621539663662761</v>
      </c>
      <c r="I8" s="28">
        <f>Summary!$J$18*'R17'!H8*'R17'!G8</f>
        <v>2155.7027414729168</v>
      </c>
      <c r="L8" s="28" t="e">
        <f>IF(Summary!$F$18="M",VLOOKUP(C:C,#REF!,IF(B8&gt;2033,22,MATCH(B8,#REF!,0)),FALSE),VLOOKUP(C:C,#REF!,IF(B8&gt;2033,22,MATCH(B8,#REF!,0)),FALSE))</f>
        <v>#REF!</v>
      </c>
      <c r="M8" s="28" t="e">
        <f t="shared" si="4"/>
        <v>#REF!</v>
      </c>
      <c r="N8" s="28" t="e">
        <f t="shared" si="5"/>
        <v>#REF!</v>
      </c>
      <c r="O8" s="28" t="e">
        <f>Summary!$J$18*'R17'!N8*'R17'!H8</f>
        <v>#REF!</v>
      </c>
    </row>
    <row r="9" spans="1:16" ht="24" customHeight="1">
      <c r="B9" s="30">
        <f t="shared" si="0"/>
        <v>2026</v>
      </c>
      <c r="C9" s="28">
        <f t="shared" si="1"/>
        <v>99</v>
      </c>
      <c r="D9" s="28">
        <v>7</v>
      </c>
      <c r="E9" s="28">
        <f>VLOOKUP(C:C, 'Total Data Set'!B:J, IF(Summary!$F$18="M", 4, 8), FALSE)</f>
        <v>0.293848</v>
      </c>
      <c r="F9" s="28">
        <f t="shared" si="2"/>
        <v>0.706152</v>
      </c>
      <c r="G9" s="28">
        <f t="shared" si="3"/>
        <v>0.1750845384354198</v>
      </c>
      <c r="H9" s="28">
        <f>1/(1+Summary!$O$3)^D9</f>
        <v>0.71068133013012147</v>
      </c>
      <c r="I9" s="28">
        <f>Summary!$J$18*'R17'!H9*'R17'!G9</f>
        <v>1490.1654484221783</v>
      </c>
      <c r="L9" s="28" t="e">
        <f>IF(Summary!$F$18="M",VLOOKUP(C:C,#REF!,IF(B9&gt;2033,22,MATCH(B9,#REF!,0)),FALSE),VLOOKUP(C:C,#REF!,IF(B9&gt;2033,22,MATCH(B9,#REF!,0)),FALSE))</f>
        <v>#REF!</v>
      </c>
      <c r="M9" s="28" t="e">
        <f t="shared" si="4"/>
        <v>#REF!</v>
      </c>
      <c r="N9" s="28" t="e">
        <f t="shared" si="5"/>
        <v>#REF!</v>
      </c>
      <c r="O9" s="28" t="e">
        <f>Summary!$J$18*'R17'!N9*'R17'!H9</f>
        <v>#REF!</v>
      </c>
    </row>
    <row r="10" spans="1:16" ht="24" customHeight="1">
      <c r="B10" s="30">
        <f t="shared" si="0"/>
        <v>2027</v>
      </c>
      <c r="C10" s="28">
        <f t="shared" si="1"/>
        <v>100</v>
      </c>
      <c r="D10" s="28">
        <v>8</v>
      </c>
      <c r="E10" s="28">
        <f>VLOOKUP(C:C, 'Total Data Set'!B:J, IF(Summary!$F$18="M", 4, 8), FALSE)</f>
        <v>0.31398799999999999</v>
      </c>
      <c r="F10" s="28">
        <f t="shared" si="2"/>
        <v>0.68601200000000007</v>
      </c>
      <c r="G10" s="28">
        <f t="shared" si="3"/>
        <v>0.12363629698524856</v>
      </c>
      <c r="H10" s="28">
        <f>1/(1+Summary!$O$3)^D10</f>
        <v>0.67683936202868722</v>
      </c>
      <c r="I10" s="28">
        <f>Summary!$J$18*'R17'!H10*'R17'!G10</f>
        <v>1002.1745826040171</v>
      </c>
      <c r="L10" s="28" t="e">
        <f>IF(Summary!$F$18="M",VLOOKUP(C:C,#REF!,IF(B10&gt;2033,22,MATCH(B10,#REF!,0)),FALSE),VLOOKUP(C:C,#REF!,IF(B10&gt;2033,22,MATCH(B10,#REF!,0)),FALSE))</f>
        <v>#REF!</v>
      </c>
      <c r="M10" s="28" t="e">
        <f t="shared" si="4"/>
        <v>#REF!</v>
      </c>
      <c r="N10" s="28" t="e">
        <f t="shared" si="5"/>
        <v>#REF!</v>
      </c>
      <c r="O10" s="28" t="e">
        <f>Summary!$J$18*'R17'!N10*'R17'!H10</f>
        <v>#REF!</v>
      </c>
    </row>
    <row r="11" spans="1:16" ht="24" customHeight="1">
      <c r="B11" s="30">
        <f t="shared" si="0"/>
        <v>2028</v>
      </c>
      <c r="C11" s="28">
        <f t="shared" si="1"/>
        <v>101</v>
      </c>
      <c r="D11" s="28">
        <v>9</v>
      </c>
      <c r="E11" s="28">
        <f>VLOOKUP(C:C, 'Total Data Set'!B:J, IF(Summary!$F$18="M", 4, 8), FALSE)</f>
        <v>0.33436500000000002</v>
      </c>
      <c r="F11" s="28">
        <f t="shared" si="2"/>
        <v>0.66563499999999998</v>
      </c>
      <c r="G11" s="28">
        <f t="shared" si="3"/>
        <v>8.4815983367444336E-2</v>
      </c>
      <c r="H11" s="28">
        <f>1/(1+Summary!$O$3)^D11</f>
        <v>0.64460891621779726</v>
      </c>
      <c r="I11" s="28">
        <f>Summary!$J$18*'R17'!H11*'R17'!G11</f>
        <v>654.76551405842565</v>
      </c>
      <c r="L11" s="28" t="e">
        <f>IF(Summary!$F$18="M",VLOOKUP(C:C,#REF!,IF(B11&gt;2033,22,MATCH(B11,#REF!,0)),FALSE),VLOOKUP(C:C,#REF!,IF(B11&gt;2033,22,MATCH(B11,#REF!,0)),FALSE))</f>
        <v>#REF!</v>
      </c>
      <c r="M11" s="28" t="e">
        <f t="shared" si="4"/>
        <v>#REF!</v>
      </c>
      <c r="N11" s="28" t="e">
        <f t="shared" si="5"/>
        <v>#REF!</v>
      </c>
      <c r="O11" s="28" t="e">
        <f>Summary!$J$18*'R17'!N11*'R17'!H11</f>
        <v>#REF!</v>
      </c>
    </row>
    <row r="12" spans="1:16" ht="24" customHeight="1">
      <c r="B12" s="30">
        <f t="shared" si="0"/>
        <v>2029</v>
      </c>
      <c r="C12" s="28">
        <f t="shared" si="1"/>
        <v>102</v>
      </c>
      <c r="D12" s="28">
        <v>10</v>
      </c>
      <c r="E12" s="28">
        <f>VLOOKUP(C:C, 'Total Data Set'!B:J, IF(Summary!$F$18="M", 4, 8), FALSE)</f>
        <v>0.354599</v>
      </c>
      <c r="F12" s="28">
        <f t="shared" si="2"/>
        <v>0.645401</v>
      </c>
      <c r="G12" s="28">
        <f t="shared" si="3"/>
        <v>5.6456487088788809E-2</v>
      </c>
      <c r="H12" s="28">
        <f>1/(1+Summary!$O$3)^D12</f>
        <v>0.61391325354075932</v>
      </c>
      <c r="I12" s="28">
        <f>Summary!$J$18*'R17'!H12*'R17'!G12</f>
        <v>415.08080280979067</v>
      </c>
      <c r="L12" s="28" t="e">
        <f>IF(Summary!$F$18="M",VLOOKUP(C:C,#REF!,IF(B12&gt;2033,22,MATCH(B12,#REF!,0)),FALSE),VLOOKUP(C:C,#REF!,IF(B12&gt;2033,22,MATCH(B12,#REF!,0)),FALSE))</f>
        <v>#REF!</v>
      </c>
      <c r="M12" s="28" t="e">
        <f t="shared" si="4"/>
        <v>#REF!</v>
      </c>
      <c r="N12" s="28" t="e">
        <f t="shared" si="5"/>
        <v>#REF!</v>
      </c>
      <c r="O12" s="28" t="e">
        <f>Summary!$J$18*'R17'!N12*'R17'!H12</f>
        <v>#REF!</v>
      </c>
    </row>
    <row r="13" spans="1:16" ht="24" customHeight="1">
      <c r="B13" s="30">
        <f t="shared" si="0"/>
        <v>2030</v>
      </c>
      <c r="C13" s="28">
        <f t="shared" si="1"/>
        <v>103</v>
      </c>
      <c r="D13" s="28">
        <v>11</v>
      </c>
      <c r="E13" s="28">
        <f>VLOOKUP(C:C, 'Total Data Set'!B:J, IF(Summary!$F$18="M", 4, 8), FALSE)</f>
        <v>0.37452400000000002</v>
      </c>
      <c r="F13" s="28">
        <f t="shared" si="2"/>
        <v>0.62547599999999992</v>
      </c>
      <c r="G13" s="28">
        <f t="shared" si="3"/>
        <v>3.6437073223591389E-2</v>
      </c>
      <c r="H13" s="28">
        <f>1/(1+Summary!$O$3)^D13</f>
        <v>0.5846792890864374</v>
      </c>
      <c r="I13" s="28">
        <f>Summary!$J$18*'R17'!H13*'R17'!G13</f>
        <v>255.1367287754683</v>
      </c>
      <c r="L13" s="28" t="e">
        <f>IF(Summary!$F$18="M",VLOOKUP(C:C,#REF!,IF(B13&gt;2033,22,MATCH(B13,#REF!,0)),FALSE),VLOOKUP(C:C,#REF!,IF(B13&gt;2033,22,MATCH(B13,#REF!,0)),FALSE))</f>
        <v>#REF!</v>
      </c>
      <c r="M13" s="28" t="e">
        <f t="shared" si="4"/>
        <v>#REF!</v>
      </c>
      <c r="N13" s="28" t="e">
        <f t="shared" si="5"/>
        <v>#REF!</v>
      </c>
      <c r="O13" s="28" t="e">
        <f>Summary!$J$18*'R17'!N13*'R17'!H13</f>
        <v>#REF!</v>
      </c>
    </row>
    <row r="14" spans="1:16" ht="24" customHeight="1">
      <c r="B14" s="30">
        <f t="shared" si="0"/>
        <v>2031</v>
      </c>
      <c r="C14" s="28">
        <f t="shared" si="1"/>
        <v>104</v>
      </c>
      <c r="D14" s="28">
        <v>12</v>
      </c>
      <c r="E14" s="28">
        <f>VLOOKUP(C:C, 'Total Data Set'!B:J, IF(Summary!$F$18="M", 4, 8), FALSE)</f>
        <v>0.393982</v>
      </c>
      <c r="F14" s="28">
        <f t="shared" si="2"/>
        <v>0.60601799999999995</v>
      </c>
      <c r="G14" s="28">
        <f t="shared" si="3"/>
        <v>2.2790514811599046E-2</v>
      </c>
      <c r="H14" s="28">
        <f>1/(1+Summary!$O$3)^D14</f>
        <v>0.5568374181775595</v>
      </c>
      <c r="I14" s="28">
        <f>Summary!$J$18*'R17'!H14*'R17'!G14</f>
        <v>151.98276244529981</v>
      </c>
      <c r="L14" s="28" t="e">
        <f>IF(Summary!$F$18="M",VLOOKUP(C:C,#REF!,IF(B14&gt;2033,22,MATCH(B14,#REF!,0)),FALSE),VLOOKUP(C:C,#REF!,IF(B14&gt;2033,22,MATCH(B14,#REF!,0)),FALSE))</f>
        <v>#REF!</v>
      </c>
      <c r="M14" s="28" t="e">
        <f t="shared" si="4"/>
        <v>#REF!</v>
      </c>
      <c r="N14" s="28" t="e">
        <f t="shared" si="5"/>
        <v>#REF!</v>
      </c>
      <c r="O14" s="28" t="e">
        <f>Summary!$J$18*'R17'!N14*'R17'!H14</f>
        <v>#REF!</v>
      </c>
    </row>
    <row r="15" spans="1:16" ht="24" customHeight="1">
      <c r="B15" s="30">
        <f t="shared" si="0"/>
        <v>2032</v>
      </c>
      <c r="C15" s="28">
        <f t="shared" si="1"/>
        <v>105</v>
      </c>
      <c r="D15" s="28">
        <v>13</v>
      </c>
      <c r="E15" s="28">
        <f>VLOOKUP(C:C, 'Total Data Set'!B:J, IF(Summary!$F$18="M", 4, 8), FALSE)</f>
        <v>0.412831</v>
      </c>
      <c r="F15" s="28">
        <f t="shared" si="2"/>
        <v>0.58716900000000005</v>
      </c>
      <c r="G15" s="28">
        <f t="shared" si="3"/>
        <v>1.381146220509563E-2</v>
      </c>
      <c r="H15" s="28">
        <f>1/(1+Summary!$O$3)^D15</f>
        <v>0.53032135064529462</v>
      </c>
      <c r="I15" s="28">
        <f>Summary!$J$18*'R17'!H15*'R17'!G15</f>
        <v>87.71837117292921</v>
      </c>
      <c r="L15" s="28" t="e">
        <f>IF(Summary!$F$18="M",VLOOKUP(C:C,#REF!,IF(B15&gt;2033,22,MATCH(B15,#REF!,0)),FALSE),VLOOKUP(C:C,#REF!,IF(B15&gt;2033,22,MATCH(B15,#REF!,0)),FALSE))</f>
        <v>#REF!</v>
      </c>
      <c r="M15" s="28" t="e">
        <f t="shared" si="4"/>
        <v>#REF!</v>
      </c>
      <c r="N15" s="28" t="e">
        <f t="shared" si="5"/>
        <v>#REF!</v>
      </c>
      <c r="O15" s="28" t="e">
        <f>Summary!$J$18*'R17'!N15*'R17'!H15</f>
        <v>#REF!</v>
      </c>
    </row>
    <row r="16" spans="1:16" ht="24" customHeight="1">
      <c r="B16" s="30">
        <f t="shared" si="0"/>
        <v>2033</v>
      </c>
      <c r="C16" s="28">
        <f t="shared" si="1"/>
        <v>106</v>
      </c>
      <c r="D16" s="28">
        <v>14</v>
      </c>
      <c r="E16" s="28">
        <f>VLOOKUP(C:C, 'Total Data Set'!B:J, IF(Summary!$F$18="M", 4, 8), FALSE)</f>
        <v>0.430946</v>
      </c>
      <c r="F16" s="28">
        <f t="shared" si="2"/>
        <v>0.56905399999999995</v>
      </c>
      <c r="G16" s="28">
        <f t="shared" si="3"/>
        <v>8.1096624515037963E-3</v>
      </c>
      <c r="H16" s="28">
        <f>1/(1+Summary!$O$3)^D16</f>
        <v>0.50506795299551888</v>
      </c>
      <c r="I16" s="28">
        <f>Summary!$J$18*'R17'!H16*'R17'!G16</f>
        <v>49.052865031654946</v>
      </c>
      <c r="L16" s="28" t="e">
        <f>IF(Summary!$F$18="M",VLOOKUP(C:C,#REF!,IF(B16&gt;2033,22,MATCH(B16,#REF!,0)),FALSE),VLOOKUP(C:C,#REF!,IF(B16&gt;2033,22,MATCH(B16,#REF!,0)),FALSE))</f>
        <v>#REF!</v>
      </c>
      <c r="M16" s="28" t="e">
        <f t="shared" si="4"/>
        <v>#REF!</v>
      </c>
      <c r="N16" s="28" t="e">
        <f t="shared" si="5"/>
        <v>#REF!</v>
      </c>
      <c r="O16" s="28" t="e">
        <f>Summary!$J$18*'R17'!N16*'R17'!H16</f>
        <v>#REF!</v>
      </c>
    </row>
    <row r="17" spans="2:15" ht="24" customHeight="1">
      <c r="B17" s="30">
        <f t="shared" si="0"/>
        <v>2034</v>
      </c>
      <c r="C17" s="28">
        <f t="shared" si="1"/>
        <v>107</v>
      </c>
      <c r="D17" s="28">
        <v>15</v>
      </c>
      <c r="E17" s="28">
        <f>VLOOKUP(C:C, 'Total Data Set'!B:J, IF(Summary!$F$18="M", 4, 8), FALSE)</f>
        <v>0.44822699999999999</v>
      </c>
      <c r="F17" s="28">
        <f t="shared" si="2"/>
        <v>0.55177300000000007</v>
      </c>
      <c r="G17" s="28">
        <f t="shared" si="3"/>
        <v>4.6148358566780413E-3</v>
      </c>
      <c r="H17" s="28">
        <f>1/(1+Summary!$O$3)^D17</f>
        <v>0.48101709809097021</v>
      </c>
      <c r="I17" s="28">
        <f>Summary!$J$18*'R17'!H17*'R17'!G17</f>
        <v>26.584503864498444</v>
      </c>
      <c r="L17" s="28" t="e">
        <f>IF(Summary!$F$18="M",VLOOKUP(C:C,#REF!,IF(B17&gt;2033,22,MATCH(B17,#REF!,0)),FALSE),VLOOKUP(C:C,#REF!,IF(B17&gt;2033,22,MATCH(B17,#REF!,0)),FALSE))</f>
        <v>#REF!</v>
      </c>
      <c r="M17" s="28" t="e">
        <f t="shared" si="4"/>
        <v>#REF!</v>
      </c>
      <c r="N17" s="28" t="e">
        <f t="shared" si="5"/>
        <v>#REF!</v>
      </c>
      <c r="O17" s="28" t="e">
        <f>Summary!$J$18*'R17'!N17*'R17'!H17</f>
        <v>#REF!</v>
      </c>
    </row>
    <row r="18" spans="2:15" ht="24" customHeight="1">
      <c r="B18" s="30">
        <f t="shared" si="0"/>
        <v>2035</v>
      </c>
      <c r="C18" s="28">
        <f t="shared" si="1"/>
        <v>108</v>
      </c>
      <c r="D18" s="28">
        <v>16</v>
      </c>
      <c r="E18" s="28">
        <f>VLOOKUP(C:C, 'Total Data Set'!B:J, IF(Summary!$F$18="M", 4, 8), FALSE)</f>
        <v>0.464592</v>
      </c>
      <c r="F18" s="28">
        <f t="shared" si="2"/>
        <v>0.535408</v>
      </c>
      <c r="G18" s="28">
        <f t="shared" si="3"/>
        <v>2.546341825146813E-3</v>
      </c>
      <c r="H18" s="28">
        <f>1/(1+Summary!$O$3)^D18</f>
        <v>0.45811152199140021</v>
      </c>
      <c r="I18" s="28">
        <f>Summary!$J$18*'R17'!H18*'R17'!G18</f>
        <v>13.970106143643715</v>
      </c>
      <c r="L18" s="28" t="e">
        <f>IF(Summary!$F$18="M",VLOOKUP(C:C,#REF!,IF(B18&gt;2033,22,MATCH(B18,#REF!,0)),FALSE),VLOOKUP(C:C,#REF!,IF(B18&gt;2033,22,MATCH(B18,#REF!,0)),FALSE))</f>
        <v>#REF!</v>
      </c>
      <c r="M18" s="28" t="e">
        <f t="shared" si="4"/>
        <v>#REF!</v>
      </c>
      <c r="N18" s="28" t="e">
        <f t="shared" si="5"/>
        <v>#REF!</v>
      </c>
      <c r="O18" s="28" t="e">
        <f>Summary!$J$18*'R17'!N18*'R17'!H18</f>
        <v>#REF!</v>
      </c>
    </row>
    <row r="19" spans="2:15" ht="24" customHeight="1">
      <c r="B19" s="30">
        <f t="shared" si="0"/>
        <v>2036</v>
      </c>
      <c r="C19" s="28">
        <f t="shared" si="1"/>
        <v>109</v>
      </c>
      <c r="D19" s="28">
        <v>17</v>
      </c>
      <c r="E19" s="28">
        <f>VLOOKUP(C:C, 'Total Data Set'!B:J, IF(Summary!$F$18="M", 4, 8), FALSE)</f>
        <v>0.479987</v>
      </c>
      <c r="F19" s="28">
        <f t="shared" si="2"/>
        <v>0.52001300000000006</v>
      </c>
      <c r="G19" s="28">
        <f t="shared" si="3"/>
        <v>1.3633317839182048E-3</v>
      </c>
      <c r="H19" s="28">
        <f>1/(1+Summary!$O$3)^D19</f>
        <v>0.43629668761085727</v>
      </c>
      <c r="I19" s="28">
        <f>Summary!$J$18*'R17'!H19*'R17'!G19</f>
        <v>7.1235300858628507</v>
      </c>
      <c r="L19" s="28" t="e">
        <f>IF(Summary!$F$18="M",VLOOKUP(C:C,#REF!,IF(B19&gt;2033,22,MATCH(B19,#REF!,0)),FALSE),VLOOKUP(C:C,#REF!,IF(B19&gt;2033,22,MATCH(B19,#REF!,0)),FALSE))</f>
        <v>#REF!</v>
      </c>
      <c r="M19" s="28" t="e">
        <f t="shared" si="4"/>
        <v>#REF!</v>
      </c>
      <c r="N19" s="28" t="e">
        <f t="shared" si="5"/>
        <v>#REF!</v>
      </c>
      <c r="O19" s="28" t="e">
        <f>Summary!$J$18*'R17'!N19*'R17'!H19</f>
        <v>#REF!</v>
      </c>
    </row>
    <row r="20" spans="2:15" ht="24" customHeight="1">
      <c r="B20" s="30">
        <f t="shared" si="0"/>
        <v>2037</v>
      </c>
      <c r="C20" s="28">
        <f t="shared" si="1"/>
        <v>110</v>
      </c>
      <c r="D20" s="28">
        <v>18</v>
      </c>
      <c r="E20" s="28">
        <f>VLOOKUP(C:C, 'Total Data Set'!B:J, IF(Summary!$F$18="M", 4, 8), FALSE)</f>
        <v>0.49437599999999998</v>
      </c>
      <c r="F20" s="28">
        <f t="shared" si="2"/>
        <v>0.50562400000000007</v>
      </c>
      <c r="G20" s="28">
        <f t="shared" si="3"/>
        <v>7.0895025095065757E-4</v>
      </c>
      <c r="H20" s="28">
        <f>1/(1+Summary!$O$3)^D20</f>
        <v>0.41552065486748313</v>
      </c>
      <c r="I20" s="28">
        <f>Summary!$J$18*'R17'!H20*'R17'!G20</f>
        <v>3.5279316671807615</v>
      </c>
      <c r="L20" s="28" t="e">
        <f>IF(Summary!$F$18="M",VLOOKUP(C:C,#REF!,IF(B20&gt;2033,22,MATCH(B20,#REF!,0)),FALSE),VLOOKUP(C:C,#REF!,IF(B20&gt;2033,22,MATCH(B20,#REF!,0)),FALSE))</f>
        <v>#REF!</v>
      </c>
      <c r="M20" s="28" t="e">
        <f t="shared" si="4"/>
        <v>#REF!</v>
      </c>
      <c r="N20" s="28" t="e">
        <f t="shared" si="5"/>
        <v>#REF!</v>
      </c>
      <c r="O20" s="28" t="e">
        <f>Summary!$J$18*'R17'!N20*'R17'!H20</f>
        <v>#REF!</v>
      </c>
    </row>
    <row r="21" spans="2:15" ht="24" customHeight="1">
      <c r="B21" s="30">
        <f t="shared" si="0"/>
        <v>2038</v>
      </c>
      <c r="C21" s="28">
        <f t="shared" si="1"/>
        <v>111</v>
      </c>
      <c r="D21" s="28">
        <v>19</v>
      </c>
      <c r="E21" s="28">
        <f>VLOOKUP(C:C, 'Total Data Set'!B:J, IF(Summary!$F$18="M", 4, 8), FALSE)</f>
        <v>0.5</v>
      </c>
      <c r="F21" s="28">
        <f t="shared" si="2"/>
        <v>0.5</v>
      </c>
      <c r="G21" s="28">
        <f t="shared" si="3"/>
        <v>3.5846226168667535E-4</v>
      </c>
      <c r="H21" s="28">
        <f>1/(1+Summary!$O$3)^D21</f>
        <v>0.39573395701665059</v>
      </c>
      <c r="I21" s="28">
        <f>Summary!$J$18*'R17'!H21*'R17'!G21</f>
        <v>1.6988637345586721</v>
      </c>
      <c r="L21" s="28" t="e">
        <f>IF(Summary!$F$18="M",VLOOKUP(C:C,#REF!,IF(B21&gt;2033,22,MATCH(B21,#REF!,0)),FALSE),VLOOKUP(C:C,#REF!,IF(B21&gt;2033,22,MATCH(B21,#REF!,0)),FALSE))</f>
        <v>#REF!</v>
      </c>
      <c r="M21" s="28" t="e">
        <f t="shared" si="4"/>
        <v>#REF!</v>
      </c>
      <c r="N21" s="28" t="e">
        <f t="shared" si="5"/>
        <v>#REF!</v>
      </c>
      <c r="O21" s="28" t="e">
        <f>Summary!$J$18*'R17'!N21*'R17'!H21</f>
        <v>#REF!</v>
      </c>
    </row>
    <row r="22" spans="2:15" ht="24" customHeight="1">
      <c r="B22" s="30">
        <f t="shared" si="0"/>
        <v>2039</v>
      </c>
      <c r="C22" s="28">
        <f>$A$4+D22</f>
        <v>112</v>
      </c>
      <c r="D22" s="28">
        <v>20</v>
      </c>
      <c r="E22" s="28">
        <f>VLOOKUP(C:C, 'Total Data Set'!B:J, IF(Summary!$F$18="M", 4, 8), FALSE)</f>
        <v>0.5</v>
      </c>
      <c r="F22" s="28">
        <f>1-E22</f>
        <v>0.5</v>
      </c>
      <c r="G22" s="28">
        <f t="shared" si="3"/>
        <v>1.7923113084333768E-4</v>
      </c>
      <c r="H22" s="28">
        <f>1/(1+Summary!$O$3)^D22</f>
        <v>0.37688948287300061</v>
      </c>
      <c r="I22" s="28">
        <f>Summary!$J$18*'R17'!H22*'R17'!G22</f>
        <v>0.80898273074222482</v>
      </c>
      <c r="L22" s="28" t="e">
        <f>IF(Summary!$F$18="M",VLOOKUP(C:C,#REF!,IF(B22&gt;2033,22,MATCH(B22,#REF!,0)),FALSE),VLOOKUP(C:C,#REF!,IF(B22&gt;2033,22,MATCH(B22,#REF!,0)),FALSE))</f>
        <v>#REF!</v>
      </c>
      <c r="M22" s="28" t="e">
        <f t="shared" si="4"/>
        <v>#REF!</v>
      </c>
      <c r="N22" s="28" t="e">
        <f t="shared" si="5"/>
        <v>#REF!</v>
      </c>
      <c r="O22" s="28" t="e">
        <f>Summary!$J$18*'R17'!N22*'R17'!H22</f>
        <v>#REF!</v>
      </c>
    </row>
    <row r="23" spans="2:15" ht="24" customHeight="1">
      <c r="B23" s="30">
        <f t="shared" si="0"/>
        <v>2040</v>
      </c>
      <c r="C23" s="28">
        <f t="shared" si="1"/>
        <v>113</v>
      </c>
      <c r="D23" s="28">
        <v>21</v>
      </c>
      <c r="E23" s="28">
        <f>VLOOKUP(C:C, 'Total Data Set'!B:J, IF(Summary!$F$18="M", 4, 8), FALSE)</f>
        <v>0.5</v>
      </c>
      <c r="F23" s="28">
        <f t="shared" si="2"/>
        <v>0.5</v>
      </c>
      <c r="G23" s="28">
        <f t="shared" si="3"/>
        <v>8.9615565421668838E-5</v>
      </c>
      <c r="H23" s="28">
        <f>1/(1+Summary!$O$3)^D23</f>
        <v>0.35894236464095297</v>
      </c>
      <c r="I23" s="28">
        <f>Summary!$J$18*'R17'!H23*'R17'!G23</f>
        <v>0.38522987178201185</v>
      </c>
      <c r="L23" s="28" t="e">
        <f>IF(Summary!$F$18="M",VLOOKUP(C:C,#REF!,IF(B23&gt;2033,22,MATCH(B23,#REF!,0)),FALSE),VLOOKUP(C:C,#REF!,IF(B23&gt;2033,22,MATCH(B23,#REF!,0)),FALSE))</f>
        <v>#REF!</v>
      </c>
      <c r="M23" s="28" t="e">
        <f t="shared" si="4"/>
        <v>#REF!</v>
      </c>
      <c r="N23" s="28" t="e">
        <f t="shared" si="5"/>
        <v>#REF!</v>
      </c>
      <c r="O23" s="28" t="e">
        <f>Summary!$J$18*'R17'!N23*'R17'!H23</f>
        <v>#REF!</v>
      </c>
    </row>
    <row r="24" spans="2:15" ht="24" customHeight="1">
      <c r="B24" s="30">
        <f t="shared" si="0"/>
        <v>2041</v>
      </c>
      <c r="C24" s="28">
        <f t="shared" si="1"/>
        <v>114</v>
      </c>
      <c r="D24" s="28">
        <v>22</v>
      </c>
      <c r="E24" s="28">
        <f>VLOOKUP(C:C, 'Total Data Set'!B:J, IF(Summary!$F$18="M", 4, 8), FALSE)</f>
        <v>0.5</v>
      </c>
      <c r="F24" s="28">
        <f t="shared" si="2"/>
        <v>0.5</v>
      </c>
      <c r="G24" s="28">
        <f t="shared" si="3"/>
        <v>4.4807782710834419E-5</v>
      </c>
      <c r="H24" s="28">
        <f>1/(1+Summary!$O$3)^D24</f>
        <v>0.3418498710866219</v>
      </c>
      <c r="I24" s="28">
        <f>Summary!$J$18*'R17'!H24*'R17'!G24</f>
        <v>0.1834427960866723</v>
      </c>
      <c r="L24" s="28" t="e">
        <f>IF(Summary!$F$18="M",VLOOKUP(C:C,#REF!,IF(B24&gt;2033,22,MATCH(B24,#REF!,0)),FALSE),VLOOKUP(C:C,#REF!,IF(B24&gt;2033,22,MATCH(B24,#REF!,0)),FALSE))</f>
        <v>#REF!</v>
      </c>
      <c r="M24" s="28" t="e">
        <f t="shared" si="4"/>
        <v>#REF!</v>
      </c>
      <c r="N24" s="28" t="e">
        <f t="shared" si="5"/>
        <v>#REF!</v>
      </c>
      <c r="O24" s="28" t="e">
        <f>Summary!$J$18*'R17'!N24*'R17'!H24</f>
        <v>#REF!</v>
      </c>
    </row>
    <row r="25" spans="2:15" ht="24" customHeight="1">
      <c r="B25" s="30">
        <f t="shared" si="0"/>
        <v>2042</v>
      </c>
      <c r="C25" s="28">
        <f t="shared" si="1"/>
        <v>115</v>
      </c>
      <c r="D25" s="28">
        <v>23</v>
      </c>
      <c r="E25" s="28">
        <f>VLOOKUP(C:C, 'Total Data Set'!B:J, IF(Summary!$F$18="M", 4, 8), FALSE)</f>
        <v>0.5</v>
      </c>
      <c r="F25" s="28">
        <f t="shared" si="2"/>
        <v>0.5</v>
      </c>
      <c r="G25" s="28">
        <f t="shared" si="3"/>
        <v>2.2403891355417209E-5</v>
      </c>
      <c r="H25" s="28">
        <f>1/(1+Summary!$O$3)^D25</f>
        <v>0.32557130579678267</v>
      </c>
      <c r="I25" s="28">
        <f>Summary!$J$18*'R17'!H25*'R17'!G25</f>
        <v>8.7353712422224894E-2</v>
      </c>
      <c r="L25" s="28" t="e">
        <f>IF(Summary!$F$18="M",VLOOKUP(C:C,#REF!,IF(B25&gt;2033,22,MATCH(B25,#REF!,0)),FALSE),VLOOKUP(C:C,#REF!,IF(B25&gt;2033,22,MATCH(B25,#REF!,0)),FALSE))</f>
        <v>#REF!</v>
      </c>
      <c r="M25" s="28" t="e">
        <f t="shared" si="4"/>
        <v>#REF!</v>
      </c>
      <c r="N25" s="28" t="e">
        <f t="shared" si="5"/>
        <v>#REF!</v>
      </c>
      <c r="O25" s="28" t="e">
        <f>Summary!$J$18*'R17'!N25*'R17'!H25</f>
        <v>#REF!</v>
      </c>
    </row>
    <row r="26" spans="2:15" ht="24" customHeight="1">
      <c r="B26" s="30">
        <f t="shared" si="0"/>
        <v>2043</v>
      </c>
      <c r="C26" s="28">
        <f t="shared" si="1"/>
        <v>116</v>
      </c>
      <c r="D26" s="28">
        <v>24</v>
      </c>
      <c r="E26" s="28">
        <f>VLOOKUP(C:C, 'Total Data Set'!B:J, IF(Summary!$F$18="M", 4, 8), FALSE)</f>
        <v>0.5</v>
      </c>
      <c r="F26" s="28">
        <f t="shared" si="2"/>
        <v>0.5</v>
      </c>
      <c r="G26" s="28">
        <f t="shared" si="3"/>
        <v>1.1201945677708605E-5</v>
      </c>
      <c r="H26" s="28">
        <f>1/(1+Summary!$O$3)^D26</f>
        <v>0.31006791028265024</v>
      </c>
      <c r="I26" s="28">
        <f>Summary!$J$18*'R17'!H26*'R17'!G26</f>
        <v>4.1597005915345195E-2</v>
      </c>
      <c r="L26" s="28" t="e">
        <f>IF(Summary!$F$18="M",VLOOKUP(C:C,#REF!,IF(B26&gt;2033,22,MATCH(B26,#REF!,0)),FALSE),VLOOKUP(C:C,#REF!,IF(B26&gt;2033,22,MATCH(B26,#REF!,0)),FALSE))</f>
        <v>#REF!</v>
      </c>
      <c r="M26" s="28" t="e">
        <f t="shared" si="4"/>
        <v>#REF!</v>
      </c>
      <c r="N26" s="28" t="e">
        <f t="shared" si="5"/>
        <v>#REF!</v>
      </c>
      <c r="O26" s="28" t="e">
        <f>Summary!$J$18*'R17'!N26*'R17'!H26</f>
        <v>#REF!</v>
      </c>
    </row>
    <row r="27" spans="2:15" ht="24" customHeight="1">
      <c r="B27" s="30">
        <f t="shared" si="0"/>
        <v>2044</v>
      </c>
      <c r="C27" s="28">
        <f t="shared" si="1"/>
        <v>117</v>
      </c>
      <c r="D27" s="28">
        <v>25</v>
      </c>
      <c r="E27" s="28">
        <f>VLOOKUP(C:C, 'Total Data Set'!B:J, IF(Summary!$F$18="M", 4, 8), FALSE)</f>
        <v>0.5</v>
      </c>
      <c r="F27" s="28">
        <f t="shared" si="2"/>
        <v>0.5</v>
      </c>
      <c r="G27" s="28">
        <f t="shared" si="3"/>
        <v>5.6009728388543024E-6</v>
      </c>
      <c r="H27" s="28">
        <f>1/(1+Summary!$O$3)^D27</f>
        <v>0.29530277169776209</v>
      </c>
      <c r="I27" s="28">
        <f>Summary!$J$18*'R17'!H27*'R17'!G27</f>
        <v>1.9808098054926278E-2</v>
      </c>
      <c r="L27" s="28" t="e">
        <f>IF(Summary!$F$18="M",VLOOKUP(C:C,#REF!,IF(B27&gt;2033,22,MATCH(B27,#REF!,0)),FALSE),VLOOKUP(C:C,#REF!,IF(B27&gt;2033,22,MATCH(B27,#REF!,0)),FALSE))</f>
        <v>#REF!</v>
      </c>
      <c r="M27" s="28" t="e">
        <f t="shared" si="4"/>
        <v>#REF!</v>
      </c>
      <c r="N27" s="28" t="e">
        <f t="shared" si="5"/>
        <v>#REF!</v>
      </c>
      <c r="O27" s="28" t="e">
        <f>Summary!$J$18*'R17'!N27*'R17'!H27</f>
        <v>#REF!</v>
      </c>
    </row>
    <row r="28" spans="2:15" ht="24" customHeight="1">
      <c r="B28" s="30">
        <f t="shared" si="0"/>
        <v>2045</v>
      </c>
      <c r="C28" s="28">
        <f t="shared" si="1"/>
        <v>118</v>
      </c>
      <c r="D28" s="28">
        <v>26</v>
      </c>
      <c r="E28" s="28">
        <f>VLOOKUP(C:C, 'Total Data Set'!B:J, IF(Summary!$F$18="M", 4, 8), FALSE)</f>
        <v>0.5</v>
      </c>
      <c r="F28" s="28">
        <f t="shared" si="2"/>
        <v>0.5</v>
      </c>
      <c r="G28" s="28">
        <f t="shared" si="3"/>
        <v>2.8004864194271512E-6</v>
      </c>
      <c r="H28" s="28">
        <f>1/(1+Summary!$O$3)^D28</f>
        <v>0.28124073495024959</v>
      </c>
      <c r="I28" s="28">
        <f>Summary!$J$18*'R17'!H28*'R17'!G28</f>
        <v>9.4324276452029902E-3</v>
      </c>
      <c r="L28" s="28" t="e">
        <f>IF(Summary!$F$18="M",VLOOKUP(C:C,#REF!,IF(B28&gt;2033,22,MATCH(B28,#REF!,0)),FALSE),VLOOKUP(C:C,#REF!,IF(B28&gt;2033,22,MATCH(B28,#REF!,0)),FALSE))</f>
        <v>#REF!</v>
      </c>
      <c r="M28" s="28" t="e">
        <f t="shared" si="4"/>
        <v>#REF!</v>
      </c>
      <c r="N28" s="28" t="e">
        <f t="shared" si="5"/>
        <v>#REF!</v>
      </c>
      <c r="O28" s="28" t="e">
        <f>Summary!$J$18*'R17'!N28*'R17'!H28</f>
        <v>#REF!</v>
      </c>
    </row>
    <row r="29" spans="2:15" ht="24" customHeight="1">
      <c r="B29" s="30">
        <f t="shared" si="0"/>
        <v>2046</v>
      </c>
      <c r="C29" s="28">
        <f>$A$4+D29</f>
        <v>119</v>
      </c>
      <c r="D29" s="28">
        <v>27</v>
      </c>
      <c r="E29" s="28">
        <f>VLOOKUP(C:C, 'Total Data Set'!B:J, IF(Summary!$F$18="M", 4, 8), FALSE)</f>
        <v>0.5</v>
      </c>
      <c r="F29" s="28">
        <f>1-E29</f>
        <v>0.5</v>
      </c>
      <c r="G29" s="28">
        <f t="shared" si="3"/>
        <v>1.4002432097135756E-6</v>
      </c>
      <c r="H29" s="28">
        <f>1/(1+Summary!$O$3)^D29</f>
        <v>0.2678483190002377</v>
      </c>
      <c r="I29" s="28">
        <f>Summary!$J$18*'R17'!H29*'R17'!G29</f>
        <v>4.491632212001424E-3</v>
      </c>
      <c r="L29" s="28" t="e">
        <f>IF(Summary!$F$18="M",VLOOKUP(C:C,#REF!,IF(B29&gt;2033,22,MATCH(B29,#REF!,0)),FALSE),VLOOKUP(C:C,#REF!,IF(B29&gt;2033,22,MATCH(B29,#REF!,0)),FALSE))</f>
        <v>#REF!</v>
      </c>
      <c r="M29" s="28" t="e">
        <f t="shared" si="4"/>
        <v>#REF!</v>
      </c>
      <c r="N29" s="28" t="e">
        <f t="shared" si="5"/>
        <v>#REF!</v>
      </c>
      <c r="O29" s="28" t="e">
        <f>Summary!$J$18*'R17'!N29*'R17'!H29</f>
        <v>#REF!</v>
      </c>
    </row>
    <row r="30" spans="2:15" ht="24" customHeight="1">
      <c r="B30" s="30">
        <f t="shared" si="0"/>
        <v>2047</v>
      </c>
      <c r="C30" s="28">
        <f t="shared" si="1"/>
        <v>120</v>
      </c>
      <c r="D30" s="28">
        <v>28</v>
      </c>
      <c r="E30" s="28">
        <f>VLOOKUP(C:C, 'Total Data Set'!B:J, IF(Summary!$F$18="M", 4, 8), FALSE)</f>
        <v>1</v>
      </c>
      <c r="F30" s="28">
        <f t="shared" si="2"/>
        <v>0</v>
      </c>
      <c r="G30" s="28">
        <f t="shared" si="3"/>
        <v>7.001216048567878E-7</v>
      </c>
      <c r="H30" s="28">
        <f>1/(1+Summary!$O$3)^D30</f>
        <v>0.25509363714308358</v>
      </c>
      <c r="I30" s="28">
        <f>Summary!$J$18*'R17'!H30*'R17'!G30</f>
        <v>2.13887248190544E-3</v>
      </c>
      <c r="L30" s="28" t="e">
        <f>IF(Summary!$F$18="M",VLOOKUP(C:C,#REF!,IF(B30&gt;2033,22,MATCH(B30,#REF!,0)),FALSE),VLOOKUP(C:C,#REF!,IF(B30&gt;2033,22,MATCH(B30,#REF!,0)),FALSE))</f>
        <v>#REF!</v>
      </c>
      <c r="M30" s="28" t="e">
        <f t="shared" si="4"/>
        <v>#REF!</v>
      </c>
      <c r="N30" s="28" t="e">
        <f t="shared" si="5"/>
        <v>#REF!</v>
      </c>
      <c r="O30" s="28" t="e">
        <f>Summary!$J$18*'R17'!N30*'R17'!H30</f>
        <v>#REF!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27"/>
  <sheetViews>
    <sheetView topLeftCell="G1" zoomScale="106" workbookViewId="0">
      <selection activeCell="A6" sqref="A6"/>
    </sheetView>
  </sheetViews>
  <sheetFormatPr defaultColWidth="18" defaultRowHeight="24" customHeight="1"/>
  <cols>
    <col min="1" max="6" width="18" style="28"/>
    <col min="7" max="7" width="24" style="28" customWidth="1"/>
    <col min="8" max="9" width="18" style="28"/>
    <col min="10" max="10" width="21.7109375" style="28" customWidth="1"/>
    <col min="11" max="16384" width="18" style="28"/>
  </cols>
  <sheetData>
    <row r="1" spans="1:16" ht="24" customHeight="1">
      <c r="A1" s="30" t="s">
        <v>69</v>
      </c>
      <c r="B1" s="30" t="s">
        <v>74</v>
      </c>
      <c r="C1" s="28" t="s">
        <v>28</v>
      </c>
      <c r="D1" s="28" t="s">
        <v>29</v>
      </c>
      <c r="E1" s="28" t="s">
        <v>30</v>
      </c>
      <c r="F1" s="28" t="s">
        <v>71</v>
      </c>
      <c r="G1" s="28" t="s">
        <v>72</v>
      </c>
      <c r="H1" s="28" t="s">
        <v>31</v>
      </c>
      <c r="I1" s="28" t="s">
        <v>32</v>
      </c>
      <c r="J1" s="28" t="s">
        <v>33</v>
      </c>
      <c r="L1" s="39" t="s">
        <v>82</v>
      </c>
      <c r="M1" s="39" t="s">
        <v>77</v>
      </c>
      <c r="N1" s="39" t="s">
        <v>78</v>
      </c>
      <c r="O1" s="39" t="s">
        <v>79</v>
      </c>
      <c r="P1" s="39" t="s">
        <v>80</v>
      </c>
    </row>
    <row r="2" spans="1:16" ht="24" customHeight="1">
      <c r="A2" s="31">
        <v>43647</v>
      </c>
      <c r="B2" s="30">
        <f>YEAR(A2)</f>
        <v>2019</v>
      </c>
      <c r="C2" s="28">
        <f>$A$4+D2</f>
        <v>95</v>
      </c>
      <c r="D2" s="28">
        <v>0</v>
      </c>
      <c r="E2" s="28">
        <f>VLOOKUP(C:C, 'Total Data Set'!B:J, IF(Summary!$F$19="M", 4, 8), FALSE)</f>
        <v>0.179034</v>
      </c>
      <c r="F2" s="28">
        <f>1-E2</f>
        <v>0.82096599999999997</v>
      </c>
      <c r="G2" s="28">
        <v>1</v>
      </c>
      <c r="H2" s="28">
        <f>1/(1+Summary!$O$3)^D2</f>
        <v>1</v>
      </c>
      <c r="I2" s="28">
        <f>Summary!$J$19*'R18'!H2*'R18'!G2</f>
        <v>23952</v>
      </c>
      <c r="J2" s="28">
        <f>SUM(I2:I27)</f>
        <v>92153.905982251716</v>
      </c>
      <c r="L2" s="28" t="e">
        <f>IF(Summary!$F$19="M",VLOOKUP(C:C,#REF!,IF(B2&gt;2033,22,MATCH(B2,#REF!,0)),FALSE),VLOOKUP(C:C,#REF!,IF(B2&gt;2033,22,MATCH(B2,#REF!,0)),FALSE))</f>
        <v>#REF!</v>
      </c>
      <c r="M2" s="28" t="e">
        <f>1-L2</f>
        <v>#REF!</v>
      </c>
      <c r="N2" s="28">
        <v>1</v>
      </c>
      <c r="O2" s="28">
        <f>Summary!$J$19*'R18'!N2*'R18'!H2</f>
        <v>23952</v>
      </c>
      <c r="P2" s="28" t="e">
        <f>SUM(O2:O27)</f>
        <v>#REF!</v>
      </c>
    </row>
    <row r="3" spans="1:16" ht="24" customHeight="1">
      <c r="A3" s="28" t="s">
        <v>34</v>
      </c>
      <c r="B3" s="30">
        <f>$B2+1</f>
        <v>2020</v>
      </c>
      <c r="C3" s="28">
        <f>$A$4+D3</f>
        <v>96</v>
      </c>
      <c r="D3" s="28">
        <v>1</v>
      </c>
      <c r="E3" s="28">
        <f>VLOOKUP(C:C, 'Total Data Set'!B:J, IF(Summary!$F$19="M", 4, 8), FALSE)</f>
        <v>0.19590299999999999</v>
      </c>
      <c r="F3" s="28">
        <f>1-E3</f>
        <v>0.80409700000000006</v>
      </c>
      <c r="G3" s="28">
        <f>F2</f>
        <v>0.82096599999999997</v>
      </c>
      <c r="H3" s="28">
        <f>1/(1+Summary!$O$3)^D3</f>
        <v>0.95238095238095233</v>
      </c>
      <c r="I3" s="28">
        <f>Summary!$J$19*'R18'!H3*'R18'!G3</f>
        <v>18727.407268571427</v>
      </c>
      <c r="L3" s="28" t="e">
        <f>IF(Summary!$F$19="M",VLOOKUP(C:C,#REF!,IF(B3&gt;2033,22,MATCH(B3,#REF!,0)),FALSE),VLOOKUP(C:C,#REF!,IF(B3&gt;2033,22,MATCH(B3,#REF!,0)),FALSE))</f>
        <v>#REF!</v>
      </c>
      <c r="M3" s="28" t="e">
        <f>1-L3</f>
        <v>#REF!</v>
      </c>
      <c r="N3" s="28" t="e">
        <f>N2*M2</f>
        <v>#REF!</v>
      </c>
      <c r="O3" s="28" t="e">
        <f>Summary!$J$19*'R18'!N3*'R18'!H3</f>
        <v>#REF!</v>
      </c>
    </row>
    <row r="4" spans="1:16" ht="24" customHeight="1">
      <c r="A4" s="28">
        <f>Summary!I19</f>
        <v>95</v>
      </c>
      <c r="B4" s="30">
        <f t="shared" ref="B4:B27" si="0">$B3+1</f>
        <v>2021</v>
      </c>
      <c r="C4" s="28">
        <f t="shared" ref="C4:C27" si="1">$A$4+D4</f>
        <v>97</v>
      </c>
      <c r="D4" s="28">
        <v>2</v>
      </c>
      <c r="E4" s="28">
        <f>VLOOKUP(C:C, 'Total Data Set'!B:J, IF(Summary!$F$19="M", 4, 8), FALSE)</f>
        <v>0.213565</v>
      </c>
      <c r="F4" s="28">
        <f t="shared" ref="F4:F27" si="2">1-E4</f>
        <v>0.786435</v>
      </c>
      <c r="G4" s="28">
        <f t="shared" ref="G4:G27" si="3">G3*F3</f>
        <v>0.660136297702</v>
      </c>
      <c r="H4" s="28">
        <f>1/(1+Summary!$O$3)^D4</f>
        <v>0.90702947845804982</v>
      </c>
      <c r="I4" s="28">
        <f>Summary!$J$19*'R18'!H4*'R18'!G4</f>
        <v>14341.573335653788</v>
      </c>
      <c r="L4" s="28" t="e">
        <f>IF(Summary!$F$19="M",VLOOKUP(C:C,#REF!,IF(B4&gt;2033,22,MATCH(B4,#REF!,0)),FALSE),VLOOKUP(C:C,#REF!,IF(B4&gt;2033,22,MATCH(B4,#REF!,0)),FALSE))</f>
        <v>#REF!</v>
      </c>
      <c r="M4" s="28" t="e">
        <f t="shared" ref="M4:M27" si="4">1-L4</f>
        <v>#REF!</v>
      </c>
      <c r="N4" s="28" t="e">
        <f t="shared" ref="N4:N27" si="5">N3*M3</f>
        <v>#REF!</v>
      </c>
      <c r="O4" s="28" t="e">
        <f>Summary!$J$19*'R18'!N4*'R18'!H4</f>
        <v>#REF!</v>
      </c>
    </row>
    <row r="5" spans="1:16" ht="24" customHeight="1">
      <c r="B5" s="30">
        <f t="shared" si="0"/>
        <v>2022</v>
      </c>
      <c r="C5" s="28">
        <f t="shared" si="1"/>
        <v>98</v>
      </c>
      <c r="D5" s="28">
        <v>3</v>
      </c>
      <c r="E5" s="28">
        <f>VLOOKUP(C:C, 'Total Data Set'!B:J, IF(Summary!$F$19="M", 4, 8), FALSE)</f>
        <v>0.231991</v>
      </c>
      <c r="F5" s="28">
        <f t="shared" si="2"/>
        <v>0.76800899999999994</v>
      </c>
      <c r="G5" s="28">
        <f t="shared" si="3"/>
        <v>0.51915428928327234</v>
      </c>
      <c r="H5" s="28">
        <f>1/(1+Summary!$O$3)^D5</f>
        <v>0.86383759853147601</v>
      </c>
      <c r="I5" s="28">
        <f>Summary!$J$19*'R18'!H5*'R18'!G5</f>
        <v>10741.633548785607</v>
      </c>
      <c r="L5" s="28" t="e">
        <f>IF(Summary!$F$19="M",VLOOKUP(C:C,#REF!,IF(B5&gt;2033,22,MATCH(B5,#REF!,0)),FALSE),VLOOKUP(C:C,#REF!,IF(B5&gt;2033,22,MATCH(B5,#REF!,0)),FALSE))</f>
        <v>#REF!</v>
      </c>
      <c r="M5" s="28" t="e">
        <f t="shared" si="4"/>
        <v>#REF!</v>
      </c>
      <c r="N5" s="28" t="e">
        <f t="shared" si="5"/>
        <v>#REF!</v>
      </c>
      <c r="O5" s="28" t="e">
        <f>Summary!$J$19*'R18'!N5*'R18'!H5</f>
        <v>#REF!</v>
      </c>
    </row>
    <row r="6" spans="1:16" ht="24" customHeight="1">
      <c r="B6" s="30">
        <f t="shared" si="0"/>
        <v>2023</v>
      </c>
      <c r="C6" s="28">
        <f t="shared" si="1"/>
        <v>99</v>
      </c>
      <c r="D6" s="28">
        <v>4</v>
      </c>
      <c r="E6" s="28">
        <f>VLOOKUP(C:C, 'Total Data Set'!B:J, IF(Summary!$F$19="M", 4, 8), FALSE)</f>
        <v>0.25112299999999999</v>
      </c>
      <c r="F6" s="28">
        <f t="shared" si="2"/>
        <v>0.74887700000000001</v>
      </c>
      <c r="G6" s="28">
        <f t="shared" si="3"/>
        <v>0.3987151665581567</v>
      </c>
      <c r="H6" s="28">
        <f>1/(1+Summary!$O$3)^D6</f>
        <v>0.82270247479188197</v>
      </c>
      <c r="I6" s="28">
        <f>Summary!$J$19*'R18'!H6*'R18'!G6</f>
        <v>7856.8297525421758</v>
      </c>
      <c r="L6" s="28" t="e">
        <f>IF(Summary!$F$19="M",VLOOKUP(C:C,#REF!,IF(B6&gt;2033,22,MATCH(B6,#REF!,0)),FALSE),VLOOKUP(C:C,#REF!,IF(B6&gt;2033,22,MATCH(B6,#REF!,0)),FALSE))</f>
        <v>#REF!</v>
      </c>
      <c r="M6" s="28" t="e">
        <f t="shared" si="4"/>
        <v>#REF!</v>
      </c>
      <c r="N6" s="28" t="e">
        <f t="shared" si="5"/>
        <v>#REF!</v>
      </c>
      <c r="O6" s="28" t="e">
        <f>Summary!$J$19*'R18'!N6*'R18'!H6</f>
        <v>#REF!</v>
      </c>
    </row>
    <row r="7" spans="1:16" ht="24" customHeight="1">
      <c r="B7" s="30">
        <f t="shared" si="0"/>
        <v>2024</v>
      </c>
      <c r="C7" s="28">
        <f t="shared" si="1"/>
        <v>100</v>
      </c>
      <c r="D7" s="28">
        <v>5</v>
      </c>
      <c r="E7" s="28">
        <f>VLOOKUP(C:C, 'Total Data Set'!B:J, IF(Summary!$F$19="M", 4, 8), FALSE)</f>
        <v>0.27085799999999999</v>
      </c>
      <c r="F7" s="28">
        <f t="shared" si="2"/>
        <v>0.72914199999999996</v>
      </c>
      <c r="G7" s="28">
        <f t="shared" si="3"/>
        <v>0.2985886177865727</v>
      </c>
      <c r="H7" s="28">
        <f>1/(1+Summary!$O$3)^D7</f>
        <v>0.78352616646845896</v>
      </c>
      <c r="I7" s="28">
        <f>Summary!$J$19*'R18'!H7*'R18'!G7</f>
        <v>5603.6181853281205</v>
      </c>
      <c r="L7" s="28" t="e">
        <f>IF(Summary!$F$19="M",VLOOKUP(C:C,#REF!,IF(B7&gt;2033,22,MATCH(B7,#REF!,0)),FALSE),VLOOKUP(C:C,#REF!,IF(B7&gt;2033,22,MATCH(B7,#REF!,0)),FALSE))</f>
        <v>#REF!</v>
      </c>
      <c r="M7" s="28" t="e">
        <f t="shared" si="4"/>
        <v>#REF!</v>
      </c>
      <c r="N7" s="28" t="e">
        <f t="shared" si="5"/>
        <v>#REF!</v>
      </c>
      <c r="O7" s="28" t="e">
        <f>Summary!$J$19*'R18'!N7*'R18'!H7</f>
        <v>#REF!</v>
      </c>
    </row>
    <row r="8" spans="1:16" ht="24" customHeight="1">
      <c r="B8" s="30">
        <f t="shared" si="0"/>
        <v>2025</v>
      </c>
      <c r="C8" s="28">
        <f t="shared" si="1"/>
        <v>101</v>
      </c>
      <c r="D8" s="28">
        <v>6</v>
      </c>
      <c r="E8" s="28">
        <f>VLOOKUP(C:C, 'Total Data Set'!B:J, IF(Summary!$F$19="M", 4, 8), FALSE)</f>
        <v>0.29104000000000002</v>
      </c>
      <c r="F8" s="28">
        <f t="shared" si="2"/>
        <v>0.70896000000000003</v>
      </c>
      <c r="G8" s="28">
        <f t="shared" si="3"/>
        <v>0.21771350195013717</v>
      </c>
      <c r="H8" s="28">
        <f>1/(1+Summary!$O$3)^D8</f>
        <v>0.74621539663662761</v>
      </c>
      <c r="I8" s="28">
        <f>Summary!$J$19*'R18'!H8*'R18'!G8</f>
        <v>3891.2698770347774</v>
      </c>
      <c r="L8" s="28" t="e">
        <f>IF(Summary!$F$19="M",VLOOKUP(C:C,#REF!,IF(B8&gt;2033,22,MATCH(B8,#REF!,0)),FALSE),VLOOKUP(C:C,#REF!,IF(B8&gt;2033,22,MATCH(B8,#REF!,0)),FALSE))</f>
        <v>#REF!</v>
      </c>
      <c r="M8" s="28" t="e">
        <f t="shared" si="4"/>
        <v>#REF!</v>
      </c>
      <c r="N8" s="28" t="e">
        <f t="shared" si="5"/>
        <v>#REF!</v>
      </c>
      <c r="O8" s="28" t="e">
        <f>Summary!$J$19*'R18'!N8*'R18'!H8</f>
        <v>#REF!</v>
      </c>
    </row>
    <row r="9" spans="1:16" ht="24" customHeight="1">
      <c r="B9" s="30">
        <f t="shared" si="0"/>
        <v>2026</v>
      </c>
      <c r="C9" s="28">
        <f t="shared" si="1"/>
        <v>102</v>
      </c>
      <c r="D9" s="28">
        <v>7</v>
      </c>
      <c r="E9" s="28">
        <f>VLOOKUP(C:C, 'Total Data Set'!B:J, IF(Summary!$F$19="M", 4, 8), FALSE)</f>
        <v>0.311444</v>
      </c>
      <c r="F9" s="28">
        <f t="shared" si="2"/>
        <v>0.68855599999999995</v>
      </c>
      <c r="G9" s="28">
        <f t="shared" si="3"/>
        <v>0.15435016434256926</v>
      </c>
      <c r="H9" s="28">
        <f>1/(1+Summary!$O$3)^D9</f>
        <v>0.71068133013012147</v>
      </c>
      <c r="I9" s="28">
        <f>Summary!$J$19*'R18'!H9*'R18'!G9</f>
        <v>2627.385420973882</v>
      </c>
      <c r="L9" s="28" t="e">
        <f>IF(Summary!$F$19="M",VLOOKUP(C:C,#REF!,IF(B9&gt;2033,22,MATCH(B9,#REF!,0)),FALSE),VLOOKUP(C:C,#REF!,IF(B9&gt;2033,22,MATCH(B9,#REF!,0)),FALSE))</f>
        <v>#REF!</v>
      </c>
      <c r="M9" s="28" t="e">
        <f t="shared" si="4"/>
        <v>#REF!</v>
      </c>
      <c r="N9" s="28" t="e">
        <f t="shared" si="5"/>
        <v>#REF!</v>
      </c>
      <c r="O9" s="28" t="e">
        <f>Summary!$J$19*'R18'!N9*'R18'!H9</f>
        <v>#REF!</v>
      </c>
    </row>
    <row r="10" spans="1:16" ht="24" customHeight="1">
      <c r="B10" s="30">
        <f t="shared" si="0"/>
        <v>2027</v>
      </c>
      <c r="C10" s="28">
        <f t="shared" si="1"/>
        <v>103</v>
      </c>
      <c r="D10" s="28">
        <v>8</v>
      </c>
      <c r="E10" s="28">
        <f>VLOOKUP(C:C, 'Total Data Set'!B:J, IF(Summary!$F$19="M", 4, 8), FALSE)</f>
        <v>0.33189999999999997</v>
      </c>
      <c r="F10" s="28">
        <f t="shared" si="2"/>
        <v>0.66810000000000003</v>
      </c>
      <c r="G10" s="28">
        <f t="shared" si="3"/>
        <v>0.10627873175906211</v>
      </c>
      <c r="H10" s="28">
        <f>1/(1+Summary!$O$3)^D10</f>
        <v>0.67683936202868722</v>
      </c>
      <c r="I10" s="28">
        <f>Summary!$J$19*'R18'!H10*'R18'!G10</f>
        <v>1722.9542818324687</v>
      </c>
      <c r="L10" s="28" t="e">
        <f>IF(Summary!$F$19="M",VLOOKUP(C:C,#REF!,IF(B10&gt;2033,22,MATCH(B10,#REF!,0)),FALSE),VLOOKUP(C:C,#REF!,IF(B10&gt;2033,22,MATCH(B10,#REF!,0)),FALSE))</f>
        <v>#REF!</v>
      </c>
      <c r="M10" s="28" t="e">
        <f t="shared" si="4"/>
        <v>#REF!</v>
      </c>
      <c r="N10" s="28" t="e">
        <f t="shared" si="5"/>
        <v>#REF!</v>
      </c>
      <c r="O10" s="28" t="e">
        <f>Summary!$J$19*'R18'!N10*'R18'!H10</f>
        <v>#REF!</v>
      </c>
    </row>
    <row r="11" spans="1:16" ht="24" customHeight="1">
      <c r="B11" s="30">
        <f t="shared" si="0"/>
        <v>2028</v>
      </c>
      <c r="C11" s="28">
        <f t="shared" si="1"/>
        <v>104</v>
      </c>
      <c r="D11" s="28">
        <v>9</v>
      </c>
      <c r="E11" s="28">
        <f>VLOOKUP(C:C, 'Total Data Set'!B:J, IF(Summary!$F$19="M", 4, 8), FALSE)</f>
        <v>0.35223199999999999</v>
      </c>
      <c r="F11" s="28">
        <f t="shared" si="2"/>
        <v>0.64776800000000001</v>
      </c>
      <c r="G11" s="28">
        <f t="shared" si="3"/>
        <v>7.10048206882294E-2</v>
      </c>
      <c r="H11" s="28">
        <f>1/(1+Summary!$O$3)^D11</f>
        <v>0.64460891621779726</v>
      </c>
      <c r="I11" s="28">
        <f>Summary!$J$19*'R18'!H11*'R18'!G11</f>
        <v>1096.2911958974021</v>
      </c>
      <c r="L11" s="28" t="e">
        <f>IF(Summary!$F$19="M",VLOOKUP(C:C,#REF!,IF(B11&gt;2033,22,MATCH(B11,#REF!,0)),FALSE),VLOOKUP(C:C,#REF!,IF(B11&gt;2033,22,MATCH(B11,#REF!,0)),FALSE))</f>
        <v>#REF!</v>
      </c>
      <c r="M11" s="28" t="e">
        <f t="shared" si="4"/>
        <v>#REF!</v>
      </c>
      <c r="N11" s="28" t="e">
        <f t="shared" si="5"/>
        <v>#REF!</v>
      </c>
      <c r="O11" s="28" t="e">
        <f>Summary!$J$19*'R18'!N11*'R18'!H11</f>
        <v>#REF!</v>
      </c>
    </row>
    <row r="12" spans="1:16" ht="24" customHeight="1">
      <c r="B12" s="30">
        <f t="shared" si="0"/>
        <v>2029</v>
      </c>
      <c r="C12" s="28">
        <f t="shared" si="1"/>
        <v>105</v>
      </c>
      <c r="D12" s="28">
        <v>10</v>
      </c>
      <c r="E12" s="28">
        <f>VLOOKUP(C:C, 'Total Data Set'!B:J, IF(Summary!$F$19="M", 4, 8), FALSE)</f>
        <v>0.37227300000000002</v>
      </c>
      <c r="F12" s="28">
        <f t="shared" si="2"/>
        <v>0.62772699999999992</v>
      </c>
      <c r="G12" s="28">
        <f t="shared" si="3"/>
        <v>4.5994650687572983E-2</v>
      </c>
      <c r="H12" s="28">
        <f>1/(1+Summary!$O$3)^D12</f>
        <v>0.61391325354075932</v>
      </c>
      <c r="I12" s="28">
        <f>Summary!$J$19*'R18'!H12*'R18'!G12</f>
        <v>676.32605274673188</v>
      </c>
      <c r="L12" s="28" t="e">
        <f>IF(Summary!$F$19="M",VLOOKUP(C:C,#REF!,IF(B12&gt;2033,22,MATCH(B12,#REF!,0)),FALSE),VLOOKUP(C:C,#REF!,IF(B12&gt;2033,22,MATCH(B12,#REF!,0)),FALSE))</f>
        <v>#REF!</v>
      </c>
      <c r="M12" s="28" t="e">
        <f t="shared" si="4"/>
        <v>#REF!</v>
      </c>
      <c r="N12" s="28" t="e">
        <f t="shared" si="5"/>
        <v>#REF!</v>
      </c>
      <c r="O12" s="28" t="e">
        <f>Summary!$J$19*'R18'!N12*'R18'!H12</f>
        <v>#REF!</v>
      </c>
    </row>
    <row r="13" spans="1:16" ht="24" customHeight="1">
      <c r="B13" s="30">
        <f t="shared" si="0"/>
        <v>2030</v>
      </c>
      <c r="C13" s="28">
        <f t="shared" si="1"/>
        <v>106</v>
      </c>
      <c r="D13" s="28">
        <v>11</v>
      </c>
      <c r="E13" s="28">
        <f>VLOOKUP(C:C, 'Total Data Set'!B:J, IF(Summary!$F$19="M", 4, 8), FALSE)</f>
        <v>0.39185999999999999</v>
      </c>
      <c r="F13" s="28">
        <f t="shared" si="2"/>
        <v>0.60814000000000001</v>
      </c>
      <c r="G13" s="28">
        <f t="shared" si="3"/>
        <v>2.8872084092158121E-2</v>
      </c>
      <c r="H13" s="28">
        <f>1/(1+Summary!$O$3)^D13</f>
        <v>0.5846792890864374</v>
      </c>
      <c r="I13" s="28">
        <f>Summary!$J$19*'R18'!H13*'R18'!G13</f>
        <v>404.33154677385494</v>
      </c>
      <c r="L13" s="28" t="e">
        <f>IF(Summary!$F$19="M",VLOOKUP(C:C,#REF!,IF(B13&gt;2033,22,MATCH(B13,#REF!,0)),FALSE),VLOOKUP(C:C,#REF!,IF(B13&gt;2033,22,MATCH(B13,#REF!,0)),FALSE))</f>
        <v>#REF!</v>
      </c>
      <c r="M13" s="28" t="e">
        <f t="shared" si="4"/>
        <v>#REF!</v>
      </c>
      <c r="N13" s="28" t="e">
        <f t="shared" si="5"/>
        <v>#REF!</v>
      </c>
      <c r="O13" s="28" t="e">
        <f>Summary!$J$19*'R18'!N13*'R18'!H13</f>
        <v>#REF!</v>
      </c>
    </row>
    <row r="14" spans="1:16" ht="24" customHeight="1">
      <c r="B14" s="30">
        <f t="shared" si="0"/>
        <v>2031</v>
      </c>
      <c r="C14" s="28">
        <f t="shared" si="1"/>
        <v>107</v>
      </c>
      <c r="D14" s="28">
        <v>12</v>
      </c>
      <c r="E14" s="28">
        <f>VLOOKUP(C:C, 'Total Data Set'!B:J, IF(Summary!$F$19="M", 4, 8), FALSE)</f>
        <v>0.41084900000000002</v>
      </c>
      <c r="F14" s="28">
        <f t="shared" si="2"/>
        <v>0.58915099999999998</v>
      </c>
      <c r="G14" s="28">
        <f t="shared" si="3"/>
        <v>1.755826921980504E-2</v>
      </c>
      <c r="H14" s="28">
        <f>1/(1+Summary!$O$3)^D14</f>
        <v>0.5568374181775595</v>
      </c>
      <c r="I14" s="28">
        <f>Summary!$J$19*'R18'!H14*'R18'!G14</f>
        <v>234.18113033814492</v>
      </c>
      <c r="L14" s="28" t="e">
        <f>IF(Summary!$F$19="M",VLOOKUP(C:C,#REF!,IF(B14&gt;2033,22,MATCH(B14,#REF!,0)),FALSE),VLOOKUP(C:C,#REF!,IF(B14&gt;2033,22,MATCH(B14,#REF!,0)),FALSE))</f>
        <v>#REF!</v>
      </c>
      <c r="M14" s="28" t="e">
        <f t="shared" si="4"/>
        <v>#REF!</v>
      </c>
      <c r="N14" s="28" t="e">
        <f t="shared" si="5"/>
        <v>#REF!</v>
      </c>
      <c r="O14" s="28" t="e">
        <f>Summary!$J$19*'R18'!N14*'R18'!H14</f>
        <v>#REF!</v>
      </c>
    </row>
    <row r="15" spans="1:16" ht="24" customHeight="1">
      <c r="B15" s="30">
        <f t="shared" si="0"/>
        <v>2032</v>
      </c>
      <c r="C15" s="28">
        <f t="shared" si="1"/>
        <v>108</v>
      </c>
      <c r="D15" s="28">
        <v>13</v>
      </c>
      <c r="E15" s="28">
        <f>VLOOKUP(C:C, 'Total Data Set'!B:J, IF(Summary!$F$19="M", 4, 8), FALSE)</f>
        <v>0.42911199999999999</v>
      </c>
      <c r="F15" s="28">
        <f t="shared" si="2"/>
        <v>0.57088800000000006</v>
      </c>
      <c r="G15" s="28">
        <f t="shared" si="3"/>
        <v>1.0344471869117359E-2</v>
      </c>
      <c r="H15" s="28">
        <f>1/(1+Summary!$O$3)^D15</f>
        <v>0.53032135064529462</v>
      </c>
      <c r="I15" s="28">
        <f>Summary!$J$19*'R18'!H15*'R18'!G15</f>
        <v>131.39814011414131</v>
      </c>
      <c r="L15" s="28" t="e">
        <f>IF(Summary!$F$19="M",VLOOKUP(C:C,#REF!,IF(B15&gt;2033,22,MATCH(B15,#REF!,0)),FALSE),VLOOKUP(C:C,#REF!,IF(B15&gt;2033,22,MATCH(B15,#REF!,0)),FALSE))</f>
        <v>#REF!</v>
      </c>
      <c r="M15" s="28" t="e">
        <f t="shared" si="4"/>
        <v>#REF!</v>
      </c>
      <c r="N15" s="28" t="e">
        <f t="shared" si="5"/>
        <v>#REF!</v>
      </c>
      <c r="O15" s="28" t="e">
        <f>Summary!$J$19*'R18'!N15*'R18'!H15</f>
        <v>#REF!</v>
      </c>
    </row>
    <row r="16" spans="1:16" ht="24" customHeight="1">
      <c r="B16" s="30">
        <f t="shared" si="0"/>
        <v>2033</v>
      </c>
      <c r="C16" s="28">
        <f t="shared" si="1"/>
        <v>109</v>
      </c>
      <c r="D16" s="28">
        <v>14</v>
      </c>
      <c r="E16" s="28">
        <f>VLOOKUP(C:C, 'Total Data Set'!B:J, IF(Summary!$F$19="M", 4, 8), FALSE)</f>
        <v>0.446544</v>
      </c>
      <c r="F16" s="28">
        <f t="shared" si="2"/>
        <v>0.55345599999999995</v>
      </c>
      <c r="G16" s="28">
        <f t="shared" si="3"/>
        <v>5.9055348564166716E-3</v>
      </c>
      <c r="H16" s="28">
        <f>1/(1+Summary!$O$3)^D16</f>
        <v>0.50506795299551888</v>
      </c>
      <c r="I16" s="28">
        <f>Summary!$J$19*'R18'!H16*'R18'!G16</f>
        <v>71.441544203316127</v>
      </c>
      <c r="L16" s="28" t="e">
        <f>IF(Summary!$F$19="M",VLOOKUP(C:C,#REF!,IF(B16&gt;2033,22,MATCH(B16,#REF!,0)),FALSE),VLOOKUP(C:C,#REF!,IF(B16&gt;2033,22,MATCH(B16,#REF!,0)),FALSE))</f>
        <v>#REF!</v>
      </c>
      <c r="M16" s="28" t="e">
        <f t="shared" si="4"/>
        <v>#REF!</v>
      </c>
      <c r="N16" s="28" t="e">
        <f t="shared" si="5"/>
        <v>#REF!</v>
      </c>
      <c r="O16" s="28" t="e">
        <f>Summary!$J$19*'R18'!N16*'R18'!H16</f>
        <v>#REF!</v>
      </c>
    </row>
    <row r="17" spans="2:15" ht="24" customHeight="1">
      <c r="B17" s="30">
        <f t="shared" si="0"/>
        <v>2034</v>
      </c>
      <c r="C17" s="28">
        <f t="shared" si="1"/>
        <v>110</v>
      </c>
      <c r="D17" s="28">
        <v>15</v>
      </c>
      <c r="E17" s="28">
        <f>VLOOKUP(C:C, 'Total Data Set'!B:J, IF(Summary!$F$19="M", 4, 8), FALSE)</f>
        <v>0.463061</v>
      </c>
      <c r="F17" s="28">
        <f t="shared" si="2"/>
        <v>0.53693900000000006</v>
      </c>
      <c r="G17" s="28">
        <f t="shared" si="3"/>
        <v>3.2684536994929451E-3</v>
      </c>
      <c r="H17" s="28">
        <f>1/(1+Summary!$O$3)^D17</f>
        <v>0.48101709809097021</v>
      </c>
      <c r="I17" s="28">
        <f>Summary!$J$19*'R18'!H17*'R18'!G17</f>
        <v>37.656905989133826</v>
      </c>
      <c r="L17" s="28" t="e">
        <f>IF(Summary!$F$19="M",VLOOKUP(C:C,#REF!,IF(B17&gt;2033,22,MATCH(B17,#REF!,0)),FALSE),VLOOKUP(C:C,#REF!,IF(B17&gt;2033,22,MATCH(B17,#REF!,0)),FALSE))</f>
        <v>#REF!</v>
      </c>
      <c r="M17" s="28" t="e">
        <f t="shared" si="4"/>
        <v>#REF!</v>
      </c>
      <c r="N17" s="28" t="e">
        <f t="shared" si="5"/>
        <v>#REF!</v>
      </c>
      <c r="O17" s="28" t="e">
        <f>Summary!$J$19*'R18'!N17*'R18'!H17</f>
        <v>#REF!</v>
      </c>
    </row>
    <row r="18" spans="2:15" ht="24" customHeight="1">
      <c r="B18" s="30">
        <f t="shared" si="0"/>
        <v>2035</v>
      </c>
      <c r="C18" s="28">
        <f t="shared" si="1"/>
        <v>111</v>
      </c>
      <c r="D18" s="28">
        <v>16</v>
      </c>
      <c r="E18" s="28">
        <f>VLOOKUP(C:C, 'Total Data Set'!B:J, IF(Summary!$F$19="M", 4, 8), FALSE)</f>
        <v>0.47860399999999997</v>
      </c>
      <c r="F18" s="28">
        <f t="shared" si="2"/>
        <v>0.52139599999999997</v>
      </c>
      <c r="G18" s="28">
        <f t="shared" si="3"/>
        <v>1.7549602609520426E-3</v>
      </c>
      <c r="H18" s="28">
        <f>1/(1+Summary!$O$3)^D18</f>
        <v>0.45811152199140021</v>
      </c>
      <c r="I18" s="28">
        <f>Summary!$J$19*'R18'!H18*'R18'!G18</f>
        <v>19.256629947523361</v>
      </c>
      <c r="L18" s="28" t="e">
        <f>IF(Summary!$F$19="M",VLOOKUP(C:C,#REF!,IF(B18&gt;2033,22,MATCH(B18,#REF!,0)),FALSE),VLOOKUP(C:C,#REF!,IF(B18&gt;2033,22,MATCH(B18,#REF!,0)),FALSE))</f>
        <v>#REF!</v>
      </c>
      <c r="M18" s="28" t="e">
        <f t="shared" si="4"/>
        <v>#REF!</v>
      </c>
      <c r="N18" s="28" t="e">
        <f t="shared" si="5"/>
        <v>#REF!</v>
      </c>
      <c r="O18" s="28" t="e">
        <f>Summary!$J$19*'R18'!N18*'R18'!H18</f>
        <v>#REF!</v>
      </c>
    </row>
    <row r="19" spans="2:15" ht="24" customHeight="1">
      <c r="B19" s="30">
        <f t="shared" si="0"/>
        <v>2036</v>
      </c>
      <c r="C19" s="28">
        <f t="shared" si="1"/>
        <v>112</v>
      </c>
      <c r="D19" s="28">
        <v>17</v>
      </c>
      <c r="E19" s="28">
        <f>VLOOKUP(C:C, 'Total Data Set'!B:J, IF(Summary!$F$19="M", 4, 8), FALSE)</f>
        <v>0.49313699999999999</v>
      </c>
      <c r="F19" s="28">
        <f t="shared" si="2"/>
        <v>0.50686300000000006</v>
      </c>
      <c r="G19" s="28">
        <f t="shared" si="3"/>
        <v>9.150292602193512E-4</v>
      </c>
      <c r="H19" s="28">
        <f>1/(1+Summary!$O$3)^D19</f>
        <v>0.43629668761085727</v>
      </c>
      <c r="I19" s="28">
        <f>Summary!$J$19*'R18'!H19*'R18'!G19</f>
        <v>9.5622188839227515</v>
      </c>
      <c r="L19" s="28" t="e">
        <f>IF(Summary!$F$19="M",VLOOKUP(C:C,#REF!,IF(B19&gt;2033,22,MATCH(B19,#REF!,0)),FALSE),VLOOKUP(C:C,#REF!,IF(B19&gt;2033,22,MATCH(B19,#REF!,0)),FALSE))</f>
        <v>#REF!</v>
      </c>
      <c r="M19" s="28" t="e">
        <f t="shared" si="4"/>
        <v>#REF!</v>
      </c>
      <c r="N19" s="28" t="e">
        <f t="shared" si="5"/>
        <v>#REF!</v>
      </c>
      <c r="O19" s="28" t="e">
        <f>Summary!$J$19*'R18'!N19*'R18'!H19</f>
        <v>#REF!</v>
      </c>
    </row>
    <row r="20" spans="2:15" ht="24" customHeight="1">
      <c r="B20" s="30">
        <f t="shared" si="0"/>
        <v>2037</v>
      </c>
      <c r="C20" s="28">
        <f t="shared" si="1"/>
        <v>113</v>
      </c>
      <c r="D20" s="28">
        <v>18</v>
      </c>
      <c r="E20" s="28">
        <f>VLOOKUP(C:C, 'Total Data Set'!B:J, IF(Summary!$F$19="M", 4, 8), FALSE)</f>
        <v>0.5</v>
      </c>
      <c r="F20" s="28">
        <f t="shared" si="2"/>
        <v>0.5</v>
      </c>
      <c r="G20" s="28">
        <f t="shared" si="3"/>
        <v>4.6379447592256108E-4</v>
      </c>
      <c r="H20" s="28">
        <f>1/(1+Summary!$O$3)^D20</f>
        <v>0.41552065486748313</v>
      </c>
      <c r="I20" s="28">
        <f>Summary!$J$19*'R18'!H20*'R18'!G20</f>
        <v>4.6159380477730849</v>
      </c>
      <c r="L20" s="28" t="e">
        <f>IF(Summary!$F$19="M",VLOOKUP(C:C,#REF!,IF(B20&gt;2033,22,MATCH(B20,#REF!,0)),FALSE),VLOOKUP(C:C,#REF!,IF(B20&gt;2033,22,MATCH(B20,#REF!,0)),FALSE))</f>
        <v>#REF!</v>
      </c>
      <c r="M20" s="28" t="e">
        <f t="shared" si="4"/>
        <v>#REF!</v>
      </c>
      <c r="N20" s="28" t="e">
        <f t="shared" si="5"/>
        <v>#REF!</v>
      </c>
      <c r="O20" s="28" t="e">
        <f>Summary!$J$19*'R18'!N20*'R18'!H20</f>
        <v>#REF!</v>
      </c>
    </row>
    <row r="21" spans="2:15" ht="24" customHeight="1">
      <c r="B21" s="30">
        <f t="shared" si="0"/>
        <v>2038</v>
      </c>
      <c r="C21" s="28">
        <f t="shared" si="1"/>
        <v>114</v>
      </c>
      <c r="D21" s="28">
        <v>19</v>
      </c>
      <c r="E21" s="28">
        <f>VLOOKUP(C:C, 'Total Data Set'!B:J, IF(Summary!$F$19="M", 4, 8), FALSE)</f>
        <v>0.5</v>
      </c>
      <c r="F21" s="28">
        <f t="shared" si="2"/>
        <v>0.5</v>
      </c>
      <c r="G21" s="28">
        <f t="shared" si="3"/>
        <v>2.3189723796128054E-4</v>
      </c>
      <c r="H21" s="28">
        <f>1/(1+Summary!$O$3)^D21</f>
        <v>0.39573395701665059</v>
      </c>
      <c r="I21" s="28">
        <f>Summary!$J$19*'R18'!H21*'R18'!G21</f>
        <v>2.1980657370348022</v>
      </c>
      <c r="L21" s="28" t="e">
        <f>IF(Summary!$F$19="M",VLOOKUP(C:C,#REF!,IF(B21&gt;2033,22,MATCH(B21,#REF!,0)),FALSE),VLOOKUP(C:C,#REF!,IF(B21&gt;2033,22,MATCH(B21,#REF!,0)),FALSE))</f>
        <v>#REF!</v>
      </c>
      <c r="M21" s="28" t="e">
        <f t="shared" si="4"/>
        <v>#REF!</v>
      </c>
      <c r="N21" s="28" t="e">
        <f t="shared" si="5"/>
        <v>#REF!</v>
      </c>
      <c r="O21" s="28" t="e">
        <f>Summary!$J$19*'R18'!N21*'R18'!H21</f>
        <v>#REF!</v>
      </c>
    </row>
    <row r="22" spans="2:15" ht="24" customHeight="1">
      <c r="B22" s="30">
        <f t="shared" si="0"/>
        <v>2039</v>
      </c>
      <c r="C22" s="28">
        <f t="shared" si="1"/>
        <v>115</v>
      </c>
      <c r="D22" s="28">
        <v>20</v>
      </c>
      <c r="E22" s="28">
        <f>VLOOKUP(C:C, 'Total Data Set'!B:J, IF(Summary!$F$19="M", 4, 8), FALSE)</f>
        <v>0.5</v>
      </c>
      <c r="F22" s="28">
        <f t="shared" si="2"/>
        <v>0.5</v>
      </c>
      <c r="G22" s="28">
        <f t="shared" si="3"/>
        <v>1.1594861898064027E-4</v>
      </c>
      <c r="H22" s="28">
        <f>1/(1+Summary!$O$3)^D22</f>
        <v>0.37688948287300061</v>
      </c>
      <c r="I22" s="28">
        <f>Summary!$J$19*'R18'!H22*'R18'!G22</f>
        <v>1.0466979700165726</v>
      </c>
      <c r="L22" s="28" t="e">
        <f>IF(Summary!$F$19="M",VLOOKUP(C:C,#REF!,IF(B22&gt;2033,22,MATCH(B22,#REF!,0)),FALSE),VLOOKUP(C:C,#REF!,IF(B22&gt;2033,22,MATCH(B22,#REF!,0)),FALSE))</f>
        <v>#REF!</v>
      </c>
      <c r="M22" s="28" t="e">
        <f t="shared" si="4"/>
        <v>#REF!</v>
      </c>
      <c r="N22" s="28" t="e">
        <f t="shared" si="5"/>
        <v>#REF!</v>
      </c>
      <c r="O22" s="28" t="e">
        <f>Summary!$J$19*'R18'!N22*'R18'!H22</f>
        <v>#REF!</v>
      </c>
    </row>
    <row r="23" spans="2:15" ht="24" customHeight="1">
      <c r="B23" s="30">
        <f t="shared" si="0"/>
        <v>2040</v>
      </c>
      <c r="C23" s="28">
        <f t="shared" si="1"/>
        <v>116</v>
      </c>
      <c r="D23" s="28">
        <v>21</v>
      </c>
      <c r="E23" s="28">
        <f>VLOOKUP(C:C, 'Total Data Set'!B:J, IF(Summary!$F$19="M", 4, 8), FALSE)</f>
        <v>0.5</v>
      </c>
      <c r="F23" s="28">
        <f t="shared" si="2"/>
        <v>0.5</v>
      </c>
      <c r="G23" s="28">
        <f t="shared" si="3"/>
        <v>5.7974309490320135E-5</v>
      </c>
      <c r="H23" s="28">
        <f>1/(1+Summary!$O$3)^D23</f>
        <v>0.35894236464095297</v>
      </c>
      <c r="I23" s="28">
        <f>Summary!$J$19*'R18'!H23*'R18'!G23</f>
        <v>0.49842760476979653</v>
      </c>
      <c r="L23" s="28" t="e">
        <f>IF(Summary!$F$19="M",VLOOKUP(C:C,#REF!,IF(B23&gt;2033,22,MATCH(B23,#REF!,0)),FALSE),VLOOKUP(C:C,#REF!,IF(B23&gt;2033,22,MATCH(B23,#REF!,0)),FALSE))</f>
        <v>#REF!</v>
      </c>
      <c r="M23" s="28" t="e">
        <f t="shared" si="4"/>
        <v>#REF!</v>
      </c>
      <c r="N23" s="28" t="e">
        <f t="shared" si="5"/>
        <v>#REF!</v>
      </c>
      <c r="O23" s="28" t="e">
        <f>Summary!$J$19*'R18'!N23*'R18'!H23</f>
        <v>#REF!</v>
      </c>
    </row>
    <row r="24" spans="2:15" ht="24" customHeight="1">
      <c r="B24" s="30">
        <f t="shared" si="0"/>
        <v>2041</v>
      </c>
      <c r="C24" s="28">
        <f t="shared" si="1"/>
        <v>117</v>
      </c>
      <c r="D24" s="28">
        <v>22</v>
      </c>
      <c r="E24" s="28">
        <f>VLOOKUP(C:C, 'Total Data Set'!B:J, IF(Summary!$F$19="M", 4, 8), FALSE)</f>
        <v>0.5</v>
      </c>
      <c r="F24" s="28">
        <f t="shared" si="2"/>
        <v>0.5</v>
      </c>
      <c r="G24" s="28">
        <f t="shared" si="3"/>
        <v>2.8987154745160068E-5</v>
      </c>
      <c r="H24" s="28">
        <f>1/(1+Summary!$O$3)^D24</f>
        <v>0.3418498710866219</v>
      </c>
      <c r="I24" s="28">
        <f>Summary!$J$19*'R18'!H24*'R18'!G24</f>
        <v>0.23734647846180787</v>
      </c>
      <c r="L24" s="28" t="e">
        <f>IF(Summary!$F$19="M",VLOOKUP(C:C,#REF!,IF(B24&gt;2033,22,MATCH(B24,#REF!,0)),FALSE),VLOOKUP(C:C,#REF!,IF(B24&gt;2033,22,MATCH(B24,#REF!,0)),FALSE))</f>
        <v>#REF!</v>
      </c>
      <c r="M24" s="28" t="e">
        <f t="shared" si="4"/>
        <v>#REF!</v>
      </c>
      <c r="N24" s="28" t="e">
        <f t="shared" si="5"/>
        <v>#REF!</v>
      </c>
      <c r="O24" s="28" t="e">
        <f>Summary!$J$19*'R18'!N24*'R18'!H24</f>
        <v>#REF!</v>
      </c>
    </row>
    <row r="25" spans="2:15" ht="24" customHeight="1">
      <c r="B25" s="30">
        <f t="shared" si="0"/>
        <v>2042</v>
      </c>
      <c r="C25" s="28">
        <f t="shared" si="1"/>
        <v>118</v>
      </c>
      <c r="D25" s="28">
        <v>23</v>
      </c>
      <c r="E25" s="28">
        <f>VLOOKUP(C:C, 'Total Data Set'!B:J, IF(Summary!$F$19="M", 4, 8), FALSE)</f>
        <v>0.5</v>
      </c>
      <c r="F25" s="28">
        <f t="shared" si="2"/>
        <v>0.5</v>
      </c>
      <c r="G25" s="28">
        <f t="shared" si="3"/>
        <v>1.4493577372580034E-5</v>
      </c>
      <c r="H25" s="28">
        <f>1/(1+Summary!$O$3)^D25</f>
        <v>0.32557130579678267</v>
      </c>
      <c r="I25" s="28">
        <f>Summary!$J$19*'R18'!H25*'R18'!G25</f>
        <v>0.11302213260086086</v>
      </c>
      <c r="L25" s="28" t="e">
        <f>IF(Summary!$F$19="M",VLOOKUP(C:C,#REF!,IF(B25&gt;2033,22,MATCH(B25,#REF!,0)),FALSE),VLOOKUP(C:C,#REF!,IF(B25&gt;2033,22,MATCH(B25,#REF!,0)),FALSE))</f>
        <v>#REF!</v>
      </c>
      <c r="M25" s="28" t="e">
        <f t="shared" si="4"/>
        <v>#REF!</v>
      </c>
      <c r="N25" s="28" t="e">
        <f t="shared" si="5"/>
        <v>#REF!</v>
      </c>
      <c r="O25" s="28" t="e">
        <f>Summary!$J$19*'R18'!N25*'R18'!H25</f>
        <v>#REF!</v>
      </c>
    </row>
    <row r="26" spans="2:15" ht="24" customHeight="1">
      <c r="B26" s="30">
        <f t="shared" si="0"/>
        <v>2043</v>
      </c>
      <c r="C26" s="28">
        <f>$A$4+D26</f>
        <v>119</v>
      </c>
      <c r="D26" s="28">
        <v>24</v>
      </c>
      <c r="E26" s="28">
        <f>VLOOKUP(C:C, 'Total Data Set'!B:J, IF(Summary!$F$19="M", 4, 8), FALSE)</f>
        <v>0.5</v>
      </c>
      <c r="F26" s="28">
        <f>1-E26</f>
        <v>0.5</v>
      </c>
      <c r="G26" s="28">
        <f t="shared" si="3"/>
        <v>7.2467886862900169E-6</v>
      </c>
      <c r="H26" s="28">
        <f>1/(1+Summary!$O$3)^D26</f>
        <v>0.31006791028265024</v>
      </c>
      <c r="I26" s="28">
        <f>Summary!$J$19*'R18'!H26*'R18'!G26</f>
        <v>5.3820063143267087E-2</v>
      </c>
      <c r="L26" s="28" t="e">
        <f>IF(Summary!$F$19="M",VLOOKUP(C:C,#REF!,IF(B26&gt;2033,22,MATCH(B26,#REF!,0)),FALSE),VLOOKUP(C:C,#REF!,IF(B26&gt;2033,22,MATCH(B26,#REF!,0)),FALSE))</f>
        <v>#REF!</v>
      </c>
      <c r="M26" s="28" t="e">
        <f t="shared" si="4"/>
        <v>#REF!</v>
      </c>
      <c r="N26" s="28" t="e">
        <f t="shared" si="5"/>
        <v>#REF!</v>
      </c>
      <c r="O26" s="28" t="e">
        <f>Summary!$J$19*'R18'!N26*'R18'!H26</f>
        <v>#REF!</v>
      </c>
    </row>
    <row r="27" spans="2:15" ht="24" customHeight="1">
      <c r="B27" s="30">
        <f t="shared" si="0"/>
        <v>2044</v>
      </c>
      <c r="C27" s="28">
        <f t="shared" si="1"/>
        <v>120</v>
      </c>
      <c r="D27" s="28">
        <v>25</v>
      </c>
      <c r="E27" s="28">
        <f>VLOOKUP(C:C, 'Total Data Set'!B:J, IF(Summary!$F$19="M", 4, 8), FALSE)</f>
        <v>1</v>
      </c>
      <c r="F27" s="28">
        <f t="shared" si="2"/>
        <v>0</v>
      </c>
      <c r="G27" s="28">
        <f t="shared" si="3"/>
        <v>3.6233943431450085E-6</v>
      </c>
      <c r="H27" s="28">
        <f>1/(1+Summary!$O$3)^D27</f>
        <v>0.29530277169776209</v>
      </c>
      <c r="I27" s="28">
        <f>Summary!$J$19*'R18'!H27*'R18'!G27</f>
        <v>2.5628601496793846E-2</v>
      </c>
      <c r="L27" s="28" t="e">
        <f>IF(Summary!$F$19="M",VLOOKUP(C:C,#REF!,IF(B27&gt;2033,22,MATCH(B27,#REF!,0)),FALSE),VLOOKUP(C:C,#REF!,IF(B27&gt;2033,22,MATCH(B27,#REF!,0)),FALSE))</f>
        <v>#REF!</v>
      </c>
      <c r="M27" s="28" t="e">
        <f t="shared" si="4"/>
        <v>#REF!</v>
      </c>
      <c r="N27" s="28" t="e">
        <f t="shared" si="5"/>
        <v>#REF!</v>
      </c>
      <c r="O27" s="28" t="e">
        <f>Summary!$J$19*'R18'!N27*'R18'!H27</f>
        <v>#REF!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25"/>
  <sheetViews>
    <sheetView topLeftCell="G1" workbookViewId="0">
      <selection activeCell="A6" sqref="A6"/>
    </sheetView>
  </sheetViews>
  <sheetFormatPr defaultColWidth="18" defaultRowHeight="24" customHeight="1"/>
  <cols>
    <col min="1" max="6" width="18" style="28"/>
    <col min="7" max="7" width="24.7109375" style="28" customWidth="1"/>
    <col min="8" max="9" width="18" style="28"/>
    <col min="10" max="10" width="21.7109375" style="28" customWidth="1"/>
    <col min="11" max="16384" width="18" style="28"/>
  </cols>
  <sheetData>
    <row r="1" spans="1:16" ht="24" customHeight="1">
      <c r="A1" s="30" t="s">
        <v>69</v>
      </c>
      <c r="B1" s="30" t="s">
        <v>74</v>
      </c>
      <c r="C1" s="28" t="s">
        <v>28</v>
      </c>
      <c r="D1" s="28" t="s">
        <v>29</v>
      </c>
      <c r="E1" s="28" t="s">
        <v>30</v>
      </c>
      <c r="F1" s="28" t="s">
        <v>71</v>
      </c>
      <c r="G1" s="28" t="s">
        <v>72</v>
      </c>
      <c r="H1" s="28" t="s">
        <v>31</v>
      </c>
      <c r="I1" s="28" t="s">
        <v>32</v>
      </c>
      <c r="J1" s="28" t="s">
        <v>33</v>
      </c>
      <c r="L1" s="39" t="s">
        <v>82</v>
      </c>
      <c r="M1" s="39" t="s">
        <v>77</v>
      </c>
      <c r="N1" s="39" t="s">
        <v>78</v>
      </c>
      <c r="O1" s="39" t="s">
        <v>79</v>
      </c>
      <c r="P1" s="39" t="s">
        <v>80</v>
      </c>
    </row>
    <row r="2" spans="1:16" ht="24" customHeight="1">
      <c r="A2" s="31">
        <v>43647</v>
      </c>
      <c r="B2" s="30">
        <f>YEAR(A2)</f>
        <v>2019</v>
      </c>
      <c r="C2" s="28">
        <f>$A$4+D2</f>
        <v>97</v>
      </c>
      <c r="D2" s="28">
        <v>0</v>
      </c>
      <c r="E2" s="28">
        <f>VLOOKUP(C:C, 'Total Data Set'!B:J, IF(Summary!$F$20="M", 4, 8), FALSE)</f>
        <v>0.213565</v>
      </c>
      <c r="F2" s="28">
        <f>1-E2</f>
        <v>0.786435</v>
      </c>
      <c r="G2" s="28">
        <v>1</v>
      </c>
      <c r="H2" s="28">
        <f>1/(1+Summary!$O$3)^D2</f>
        <v>1</v>
      </c>
      <c r="I2" s="28">
        <f>Summary!$J$20*'R19'!H2*'R19'!G2</f>
        <v>24985</v>
      </c>
      <c r="J2" s="28">
        <f>SUM(I2:I25)</f>
        <v>86191.404627012016</v>
      </c>
      <c r="L2" s="28" t="e">
        <f>IF(Summary!$F$20="M",VLOOKUP(C:C,#REF!,IF(B2&gt;2033,22,MATCH(B2,#REF!,0)),FALSE),VLOOKUP(C:C,#REF!,IF(B2&gt;2033,22,MATCH(B2,#REF!,0)),FALSE))</f>
        <v>#REF!</v>
      </c>
      <c r="M2" s="28" t="e">
        <f>1-L2</f>
        <v>#REF!</v>
      </c>
      <c r="N2" s="28">
        <v>1</v>
      </c>
      <c r="O2" s="28">
        <f>Summary!$J$20*'R19'!N2*'R19'!H2</f>
        <v>24985</v>
      </c>
      <c r="P2" s="28" t="e">
        <f>SUM(O2:O25)</f>
        <v>#REF!</v>
      </c>
    </row>
    <row r="3" spans="1:16" ht="24" customHeight="1">
      <c r="A3" s="28" t="s">
        <v>34</v>
      </c>
      <c r="B3" s="30">
        <f>$B2+1</f>
        <v>2020</v>
      </c>
      <c r="C3" s="28">
        <f>$A$4+D3</f>
        <v>98</v>
      </c>
      <c r="D3" s="28">
        <v>1</v>
      </c>
      <c r="E3" s="28">
        <f>VLOOKUP(C:C, 'Total Data Set'!B:J, IF(Summary!$F$20="M", 4, 8), FALSE)</f>
        <v>0.231991</v>
      </c>
      <c r="F3" s="28">
        <f>1-E3</f>
        <v>0.76800899999999994</v>
      </c>
      <c r="G3" s="28">
        <f>F2</f>
        <v>0.786435</v>
      </c>
      <c r="H3" s="28">
        <f>1/(1+Summary!$O$3)^D3</f>
        <v>0.95238095238095233</v>
      </c>
      <c r="I3" s="28">
        <f>Summary!$J$20*'R19'!H3*'R19'!G3</f>
        <v>18713.40807142857</v>
      </c>
      <c r="L3" s="28" t="e">
        <f>IF(Summary!$F$20="M",VLOOKUP(C:C,#REF!,IF(B3&gt;2033,22,MATCH(B3,#REF!,0)),FALSE),VLOOKUP(C:C,#REF!,IF(B3&gt;2033,22,MATCH(B3,#REF!,0)),FALSE))</f>
        <v>#REF!</v>
      </c>
      <c r="M3" s="28" t="e">
        <f>1-L3</f>
        <v>#REF!</v>
      </c>
      <c r="N3" s="28" t="e">
        <f>N2*M2</f>
        <v>#REF!</v>
      </c>
      <c r="O3" s="28" t="e">
        <f>Summary!$J$20*'R19'!N3*'R19'!H3</f>
        <v>#REF!</v>
      </c>
    </row>
    <row r="4" spans="1:16" ht="24" customHeight="1">
      <c r="A4" s="28">
        <f>Summary!I20</f>
        <v>97</v>
      </c>
      <c r="B4" s="30">
        <f t="shared" ref="B4:B25" si="0">$B3+1</f>
        <v>2021</v>
      </c>
      <c r="C4" s="28">
        <f t="shared" ref="C4:C25" si="1">$A$4+D4</f>
        <v>99</v>
      </c>
      <c r="D4" s="28">
        <v>2</v>
      </c>
      <c r="E4" s="28">
        <f>VLOOKUP(C:C, 'Total Data Set'!B:J, IF(Summary!$F$20="M", 4, 8), FALSE)</f>
        <v>0.25112299999999999</v>
      </c>
      <c r="F4" s="28">
        <f t="shared" ref="F4:F25" si="2">1-E4</f>
        <v>0.74887700000000001</v>
      </c>
      <c r="G4" s="28">
        <f t="shared" ref="G4:G25" si="3">G3*F3</f>
        <v>0.60398915791499996</v>
      </c>
      <c r="H4" s="28">
        <f>1/(1+Summary!$O$3)^D4</f>
        <v>0.90702947845804982</v>
      </c>
      <c r="I4" s="28">
        <f>Summary!$J$20*'R19'!H4*'R19'!G4</f>
        <v>13687.681732885509</v>
      </c>
      <c r="L4" s="28" t="e">
        <f>IF(Summary!$F$20="M",VLOOKUP(C:C,#REF!,IF(B4&gt;2033,22,MATCH(B4,#REF!,0)),FALSE),VLOOKUP(C:C,#REF!,IF(B4&gt;2033,22,MATCH(B4,#REF!,0)),FALSE))</f>
        <v>#REF!</v>
      </c>
      <c r="M4" s="28" t="e">
        <f t="shared" ref="M4:M25" si="4">1-L4</f>
        <v>#REF!</v>
      </c>
      <c r="N4" s="28" t="e">
        <f t="shared" ref="N4:N25" si="5">N3*M3</f>
        <v>#REF!</v>
      </c>
      <c r="O4" s="28" t="e">
        <f>Summary!$J$20*'R19'!N4*'R19'!H4</f>
        <v>#REF!</v>
      </c>
    </row>
    <row r="5" spans="1:16" ht="24" customHeight="1">
      <c r="B5" s="30">
        <f t="shared" si="0"/>
        <v>2022</v>
      </c>
      <c r="C5" s="28">
        <f t="shared" si="1"/>
        <v>100</v>
      </c>
      <c r="D5" s="28">
        <v>3</v>
      </c>
      <c r="E5" s="28">
        <f>VLOOKUP(C:C, 'Total Data Set'!B:J, IF(Summary!$F$20="M", 4, 8), FALSE)</f>
        <v>0.27085799999999999</v>
      </c>
      <c r="F5" s="28">
        <f t="shared" si="2"/>
        <v>0.72914199999999996</v>
      </c>
      <c r="G5" s="28">
        <f t="shared" si="3"/>
        <v>0.45231358861191145</v>
      </c>
      <c r="H5" s="28">
        <f>1/(1+Summary!$O$3)^D5</f>
        <v>0.86383759853147601</v>
      </c>
      <c r="I5" s="28">
        <f>Summary!$J$20*'R19'!H5*'R19'!G5</f>
        <v>9762.2762219791439</v>
      </c>
      <c r="L5" s="28" t="e">
        <f>IF(Summary!$F$20="M",VLOOKUP(C:C,#REF!,IF(B5&gt;2033,22,MATCH(B5,#REF!,0)),FALSE),VLOOKUP(C:C,#REF!,IF(B5&gt;2033,22,MATCH(B5,#REF!,0)),FALSE))</f>
        <v>#REF!</v>
      </c>
      <c r="M5" s="28" t="e">
        <f t="shared" si="4"/>
        <v>#REF!</v>
      </c>
      <c r="N5" s="28" t="e">
        <f t="shared" si="5"/>
        <v>#REF!</v>
      </c>
      <c r="O5" s="28" t="e">
        <f>Summary!$J$20*'R19'!N5*'R19'!H5</f>
        <v>#REF!</v>
      </c>
    </row>
    <row r="6" spans="1:16" ht="24" customHeight="1">
      <c r="B6" s="30">
        <f t="shared" si="0"/>
        <v>2023</v>
      </c>
      <c r="C6" s="28">
        <f t="shared" si="1"/>
        <v>101</v>
      </c>
      <c r="D6" s="28">
        <v>4</v>
      </c>
      <c r="E6" s="28">
        <f>VLOOKUP(C:C, 'Total Data Set'!B:J, IF(Summary!$F$20="M", 4, 8), FALSE)</f>
        <v>0.29104000000000002</v>
      </c>
      <c r="F6" s="28">
        <f t="shared" si="2"/>
        <v>0.70896000000000003</v>
      </c>
      <c r="G6" s="28">
        <f t="shared" si="3"/>
        <v>0.32980083462766629</v>
      </c>
      <c r="H6" s="28">
        <f>1/(1+Summary!$O$3)^D6</f>
        <v>0.82270247479188197</v>
      </c>
      <c r="I6" s="28">
        <f>Summary!$J$20*'R19'!H6*'R19'!G6</f>
        <v>6779.1291514726818</v>
      </c>
      <c r="L6" s="28" t="e">
        <f>IF(Summary!$F$20="M",VLOOKUP(C:C,#REF!,IF(B6&gt;2033,22,MATCH(B6,#REF!,0)),FALSE),VLOOKUP(C:C,#REF!,IF(B6&gt;2033,22,MATCH(B6,#REF!,0)),FALSE))</f>
        <v>#REF!</v>
      </c>
      <c r="M6" s="28" t="e">
        <f t="shared" si="4"/>
        <v>#REF!</v>
      </c>
      <c r="N6" s="28" t="e">
        <f t="shared" si="5"/>
        <v>#REF!</v>
      </c>
      <c r="O6" s="28" t="e">
        <f>Summary!$J$20*'R19'!N6*'R19'!H6</f>
        <v>#REF!</v>
      </c>
    </row>
    <row r="7" spans="1:16" ht="24" customHeight="1">
      <c r="B7" s="30">
        <f t="shared" si="0"/>
        <v>2024</v>
      </c>
      <c r="C7" s="28">
        <f t="shared" si="1"/>
        <v>102</v>
      </c>
      <c r="D7" s="28">
        <v>5</v>
      </c>
      <c r="E7" s="28">
        <f>VLOOKUP(C:C, 'Total Data Set'!B:J, IF(Summary!$F$20="M", 4, 8), FALSE)</f>
        <v>0.311444</v>
      </c>
      <c r="F7" s="28">
        <f t="shared" si="2"/>
        <v>0.68855599999999995</v>
      </c>
      <c r="G7" s="28">
        <f t="shared" si="3"/>
        <v>0.2338155997176303</v>
      </c>
      <c r="H7" s="28">
        <f>1/(1+Summary!$O$3)^D7</f>
        <v>0.78352616646845896</v>
      </c>
      <c r="I7" s="28">
        <f>Summary!$J$20*'R19'!H7*'R19'!G7</f>
        <v>4577.268003074355</v>
      </c>
      <c r="L7" s="28" t="e">
        <f>IF(Summary!$F$20="M",VLOOKUP(C:C,#REF!,IF(B7&gt;2033,22,MATCH(B7,#REF!,0)),FALSE),VLOOKUP(C:C,#REF!,IF(B7&gt;2033,22,MATCH(B7,#REF!,0)),FALSE))</f>
        <v>#REF!</v>
      </c>
      <c r="M7" s="28" t="e">
        <f t="shared" si="4"/>
        <v>#REF!</v>
      </c>
      <c r="N7" s="28" t="e">
        <f t="shared" si="5"/>
        <v>#REF!</v>
      </c>
      <c r="O7" s="28" t="e">
        <f>Summary!$J$20*'R19'!N7*'R19'!H7</f>
        <v>#REF!</v>
      </c>
    </row>
    <row r="8" spans="1:16" ht="24" customHeight="1">
      <c r="B8" s="30">
        <f t="shared" si="0"/>
        <v>2025</v>
      </c>
      <c r="C8" s="28">
        <f t="shared" si="1"/>
        <v>103</v>
      </c>
      <c r="D8" s="28">
        <v>6</v>
      </c>
      <c r="E8" s="28">
        <f>VLOOKUP(C:C, 'Total Data Set'!B:J, IF(Summary!$F$20="M", 4, 8), FALSE)</f>
        <v>0.33189999999999997</v>
      </c>
      <c r="F8" s="28">
        <f t="shared" si="2"/>
        <v>0.66810000000000003</v>
      </c>
      <c r="G8" s="28">
        <f t="shared" si="3"/>
        <v>0.16099513407917262</v>
      </c>
      <c r="H8" s="28">
        <f>1/(1+Summary!$O$3)^D8</f>
        <v>0.74621539663662761</v>
      </c>
      <c r="I8" s="28">
        <f>Summary!$J$20*'R19'!H8*'R19'!G8</f>
        <v>3001.6241401189191</v>
      </c>
      <c r="L8" s="28" t="e">
        <f>IF(Summary!$F$20="M",VLOOKUP(C:C,#REF!,IF(B8&gt;2033,22,MATCH(B8,#REF!,0)),FALSE),VLOOKUP(C:C,#REF!,IF(B8&gt;2033,22,MATCH(B8,#REF!,0)),FALSE))</f>
        <v>#REF!</v>
      </c>
      <c r="M8" s="28" t="e">
        <f t="shared" si="4"/>
        <v>#REF!</v>
      </c>
      <c r="N8" s="28" t="e">
        <f t="shared" si="5"/>
        <v>#REF!</v>
      </c>
      <c r="O8" s="28" t="e">
        <f>Summary!$J$20*'R19'!N8*'R19'!H8</f>
        <v>#REF!</v>
      </c>
    </row>
    <row r="9" spans="1:16" ht="24" customHeight="1">
      <c r="B9" s="30">
        <f t="shared" si="0"/>
        <v>2026</v>
      </c>
      <c r="C9" s="28">
        <f t="shared" si="1"/>
        <v>104</v>
      </c>
      <c r="D9" s="28">
        <v>7</v>
      </c>
      <c r="E9" s="28">
        <f>VLOOKUP(C:C, 'Total Data Set'!B:J, IF(Summary!$F$20="M", 4, 8), FALSE)</f>
        <v>0.35223199999999999</v>
      </c>
      <c r="F9" s="28">
        <f t="shared" si="2"/>
        <v>0.64776800000000001</v>
      </c>
      <c r="G9" s="28">
        <f t="shared" si="3"/>
        <v>0.10756084907829523</v>
      </c>
      <c r="H9" s="28">
        <f>1/(1+Summary!$O$3)^D9</f>
        <v>0.71068133013012147</v>
      </c>
      <c r="I9" s="28">
        <f>Summary!$J$20*'R19'!H9*'R19'!G9</f>
        <v>1909.8905600128094</v>
      </c>
      <c r="L9" s="28" t="e">
        <f>IF(Summary!$F$20="M",VLOOKUP(C:C,#REF!,IF(B9&gt;2033,22,MATCH(B9,#REF!,0)),FALSE),VLOOKUP(C:C,#REF!,IF(B9&gt;2033,22,MATCH(B9,#REF!,0)),FALSE))</f>
        <v>#REF!</v>
      </c>
      <c r="M9" s="28" t="e">
        <f t="shared" si="4"/>
        <v>#REF!</v>
      </c>
      <c r="N9" s="28" t="e">
        <f t="shared" si="5"/>
        <v>#REF!</v>
      </c>
      <c r="O9" s="28" t="e">
        <f>Summary!$J$20*'R19'!N9*'R19'!H9</f>
        <v>#REF!</v>
      </c>
    </row>
    <row r="10" spans="1:16" ht="24" customHeight="1">
      <c r="B10" s="30">
        <f t="shared" si="0"/>
        <v>2027</v>
      </c>
      <c r="C10" s="28">
        <f t="shared" si="1"/>
        <v>105</v>
      </c>
      <c r="D10" s="28">
        <v>8</v>
      </c>
      <c r="E10" s="28">
        <f>VLOOKUP(C:C, 'Total Data Set'!B:J, IF(Summary!$F$20="M", 4, 8), FALSE)</f>
        <v>0.37227300000000002</v>
      </c>
      <c r="F10" s="28">
        <f t="shared" si="2"/>
        <v>0.62772699999999992</v>
      </c>
      <c r="G10" s="28">
        <f t="shared" si="3"/>
        <v>6.9674476085749143E-2</v>
      </c>
      <c r="H10" s="28">
        <f>1/(1+Summary!$O$3)^D10</f>
        <v>0.67683936202868722</v>
      </c>
      <c r="I10" s="28">
        <f>Summary!$J$20*'R19'!H10*'R19'!G10</f>
        <v>1178.2533221698834</v>
      </c>
      <c r="L10" s="28" t="e">
        <f>IF(Summary!$F$20="M",VLOOKUP(C:C,#REF!,IF(B10&gt;2033,22,MATCH(B10,#REF!,0)),FALSE),VLOOKUP(C:C,#REF!,IF(B10&gt;2033,22,MATCH(B10,#REF!,0)),FALSE))</f>
        <v>#REF!</v>
      </c>
      <c r="M10" s="28" t="e">
        <f t="shared" si="4"/>
        <v>#REF!</v>
      </c>
      <c r="N10" s="28" t="e">
        <f t="shared" si="5"/>
        <v>#REF!</v>
      </c>
      <c r="O10" s="28" t="e">
        <f>Summary!$J$20*'R19'!N10*'R19'!H10</f>
        <v>#REF!</v>
      </c>
    </row>
    <row r="11" spans="1:16" ht="24" customHeight="1">
      <c r="B11" s="30">
        <f t="shared" si="0"/>
        <v>2028</v>
      </c>
      <c r="C11" s="28">
        <f t="shared" si="1"/>
        <v>106</v>
      </c>
      <c r="D11" s="28">
        <v>9</v>
      </c>
      <c r="E11" s="28">
        <f>VLOOKUP(C:C, 'Total Data Set'!B:J, IF(Summary!$F$20="M", 4, 8), FALSE)</f>
        <v>0.39185999999999999</v>
      </c>
      <c r="F11" s="28">
        <f t="shared" si="2"/>
        <v>0.60814000000000001</v>
      </c>
      <c r="G11" s="28">
        <f t="shared" si="3"/>
        <v>4.3736549849879049E-2</v>
      </c>
      <c r="H11" s="28">
        <f>1/(1+Summary!$O$3)^D11</f>
        <v>0.64460891621779726</v>
      </c>
      <c r="I11" s="28">
        <f>Summary!$J$20*'R19'!H11*'R19'!G11</f>
        <v>704.40135539593746</v>
      </c>
      <c r="L11" s="28" t="e">
        <f>IF(Summary!$F$20="M",VLOOKUP(C:C,#REF!,IF(B11&gt;2033,22,MATCH(B11,#REF!,0)),FALSE),VLOOKUP(C:C,#REF!,IF(B11&gt;2033,22,MATCH(B11,#REF!,0)),FALSE))</f>
        <v>#REF!</v>
      </c>
      <c r="M11" s="28" t="e">
        <f t="shared" si="4"/>
        <v>#REF!</v>
      </c>
      <c r="N11" s="28" t="e">
        <f t="shared" si="5"/>
        <v>#REF!</v>
      </c>
      <c r="O11" s="28" t="e">
        <f>Summary!$J$20*'R19'!N11*'R19'!H11</f>
        <v>#REF!</v>
      </c>
    </row>
    <row r="12" spans="1:16" ht="24" customHeight="1">
      <c r="B12" s="30">
        <f t="shared" si="0"/>
        <v>2029</v>
      </c>
      <c r="C12" s="28">
        <f t="shared" si="1"/>
        <v>107</v>
      </c>
      <c r="D12" s="28">
        <v>10</v>
      </c>
      <c r="E12" s="28">
        <f>VLOOKUP(C:C, 'Total Data Set'!B:J, IF(Summary!$F$20="M", 4, 8), FALSE)</f>
        <v>0.41084900000000002</v>
      </c>
      <c r="F12" s="28">
        <f t="shared" si="2"/>
        <v>0.58915099999999998</v>
      </c>
      <c r="G12" s="28">
        <f t="shared" si="3"/>
        <v>2.6597945425705444E-2</v>
      </c>
      <c r="H12" s="28">
        <f>1/(1+Summary!$O$3)^D12</f>
        <v>0.61391325354075932</v>
      </c>
      <c r="I12" s="28">
        <f>Summary!$J$20*'R19'!H12*'R19'!G12</f>
        <v>407.97584787665272</v>
      </c>
      <c r="L12" s="28" t="e">
        <f>IF(Summary!$F$20="M",VLOOKUP(C:C,#REF!,IF(B12&gt;2033,22,MATCH(B12,#REF!,0)),FALSE),VLOOKUP(C:C,#REF!,IF(B12&gt;2033,22,MATCH(B12,#REF!,0)),FALSE))</f>
        <v>#REF!</v>
      </c>
      <c r="M12" s="28" t="e">
        <f t="shared" si="4"/>
        <v>#REF!</v>
      </c>
      <c r="N12" s="28" t="e">
        <f t="shared" si="5"/>
        <v>#REF!</v>
      </c>
      <c r="O12" s="28" t="e">
        <f>Summary!$J$20*'R19'!N12*'R19'!H12</f>
        <v>#REF!</v>
      </c>
    </row>
    <row r="13" spans="1:16" ht="24" customHeight="1">
      <c r="B13" s="30">
        <f t="shared" si="0"/>
        <v>2030</v>
      </c>
      <c r="C13" s="28">
        <f t="shared" si="1"/>
        <v>108</v>
      </c>
      <c r="D13" s="28">
        <v>11</v>
      </c>
      <c r="E13" s="28">
        <f>VLOOKUP(C:C, 'Total Data Set'!B:J, IF(Summary!$F$20="M", 4, 8), FALSE)</f>
        <v>0.42911199999999999</v>
      </c>
      <c r="F13" s="28">
        <f t="shared" si="2"/>
        <v>0.57088800000000006</v>
      </c>
      <c r="G13" s="28">
        <f t="shared" si="3"/>
        <v>1.5670206145499788E-2</v>
      </c>
      <c r="H13" s="28">
        <f>1/(1+Summary!$O$3)^D13</f>
        <v>0.5846792890864374</v>
      </c>
      <c r="I13" s="28">
        <f>Summary!$J$20*'R19'!H13*'R19'!G13</f>
        <v>228.91369404988365</v>
      </c>
      <c r="L13" s="28" t="e">
        <f>IF(Summary!$F$20="M",VLOOKUP(C:C,#REF!,IF(B13&gt;2033,22,MATCH(B13,#REF!,0)),FALSE),VLOOKUP(C:C,#REF!,IF(B13&gt;2033,22,MATCH(B13,#REF!,0)),FALSE))</f>
        <v>#REF!</v>
      </c>
      <c r="M13" s="28" t="e">
        <f t="shared" si="4"/>
        <v>#REF!</v>
      </c>
      <c r="N13" s="28" t="e">
        <f t="shared" si="5"/>
        <v>#REF!</v>
      </c>
      <c r="O13" s="28" t="e">
        <f>Summary!$J$20*'R19'!N13*'R19'!H13</f>
        <v>#REF!</v>
      </c>
    </row>
    <row r="14" spans="1:16" ht="24" customHeight="1">
      <c r="B14" s="30">
        <f t="shared" si="0"/>
        <v>2031</v>
      </c>
      <c r="C14" s="28">
        <f t="shared" si="1"/>
        <v>109</v>
      </c>
      <c r="D14" s="28">
        <v>12</v>
      </c>
      <c r="E14" s="28">
        <f>VLOOKUP(C:C, 'Total Data Set'!B:J, IF(Summary!$F$20="M", 4, 8), FALSE)</f>
        <v>0.446544</v>
      </c>
      <c r="F14" s="28">
        <f t="shared" si="2"/>
        <v>0.55345599999999995</v>
      </c>
      <c r="G14" s="28">
        <f t="shared" si="3"/>
        <v>8.9459326459920847E-3</v>
      </c>
      <c r="H14" s="28">
        <f>1/(1+Summary!$O$3)^D14</f>
        <v>0.5568374181775595</v>
      </c>
      <c r="I14" s="28">
        <f>Summary!$J$20*'R19'!H14*'R19'!G14</f>
        <v>124.46102949404762</v>
      </c>
      <c r="L14" s="28" t="e">
        <f>IF(Summary!$F$20="M",VLOOKUP(C:C,#REF!,IF(B14&gt;2033,22,MATCH(B14,#REF!,0)),FALSE),VLOOKUP(C:C,#REF!,IF(B14&gt;2033,22,MATCH(B14,#REF!,0)),FALSE))</f>
        <v>#REF!</v>
      </c>
      <c r="M14" s="28" t="e">
        <f t="shared" si="4"/>
        <v>#REF!</v>
      </c>
      <c r="N14" s="28" t="e">
        <f t="shared" si="5"/>
        <v>#REF!</v>
      </c>
      <c r="O14" s="28" t="e">
        <f>Summary!$J$20*'R19'!N14*'R19'!H14</f>
        <v>#REF!</v>
      </c>
    </row>
    <row r="15" spans="1:16" ht="24" customHeight="1">
      <c r="B15" s="30">
        <f t="shared" si="0"/>
        <v>2032</v>
      </c>
      <c r="C15" s="28">
        <f t="shared" si="1"/>
        <v>110</v>
      </c>
      <c r="D15" s="28">
        <v>13</v>
      </c>
      <c r="E15" s="28">
        <f>VLOOKUP(C:C, 'Total Data Set'!B:J, IF(Summary!$F$20="M", 4, 8), FALSE)</f>
        <v>0.463061</v>
      </c>
      <c r="F15" s="28">
        <f t="shared" si="2"/>
        <v>0.53693900000000006</v>
      </c>
      <c r="G15" s="28">
        <f t="shared" si="3"/>
        <v>4.9511800985201949E-3</v>
      </c>
      <c r="H15" s="28">
        <f>1/(1+Summary!$O$3)^D15</f>
        <v>0.53032135064529462</v>
      </c>
      <c r="I15" s="28">
        <f>Summary!$J$20*'R19'!H15*'R19'!G15</f>
        <v>65.603527180626287</v>
      </c>
      <c r="L15" s="28" t="e">
        <f>IF(Summary!$F$20="M",VLOOKUP(C:C,#REF!,IF(B15&gt;2033,22,MATCH(B15,#REF!,0)),FALSE),VLOOKUP(C:C,#REF!,IF(B15&gt;2033,22,MATCH(B15,#REF!,0)),FALSE))</f>
        <v>#REF!</v>
      </c>
      <c r="M15" s="28" t="e">
        <f t="shared" si="4"/>
        <v>#REF!</v>
      </c>
      <c r="N15" s="28" t="e">
        <f t="shared" si="5"/>
        <v>#REF!</v>
      </c>
      <c r="O15" s="28" t="e">
        <f>Summary!$J$20*'R19'!N15*'R19'!H15</f>
        <v>#REF!</v>
      </c>
    </row>
    <row r="16" spans="1:16" ht="24" customHeight="1">
      <c r="B16" s="30">
        <f t="shared" si="0"/>
        <v>2033</v>
      </c>
      <c r="C16" s="28">
        <f t="shared" si="1"/>
        <v>111</v>
      </c>
      <c r="D16" s="28">
        <v>14</v>
      </c>
      <c r="E16" s="28">
        <f>VLOOKUP(C:C, 'Total Data Set'!B:J, IF(Summary!$F$20="M", 4, 8), FALSE)</f>
        <v>0.47860399999999997</v>
      </c>
      <c r="F16" s="28">
        <f t="shared" si="2"/>
        <v>0.52139599999999997</v>
      </c>
      <c r="G16" s="28">
        <f t="shared" si="3"/>
        <v>2.6584816909193351E-3</v>
      </c>
      <c r="H16" s="28">
        <f>1/(1+Summary!$O$3)^D16</f>
        <v>0.50506795299551888</v>
      </c>
      <c r="I16" s="28">
        <f>Summary!$J$20*'R19'!H16*'R19'!G16</f>
        <v>33.547706934131725</v>
      </c>
      <c r="L16" s="28" t="e">
        <f>IF(Summary!$F$20="M",VLOOKUP(C:C,#REF!,IF(B16&gt;2033,22,MATCH(B16,#REF!,0)),FALSE),VLOOKUP(C:C,#REF!,IF(B16&gt;2033,22,MATCH(B16,#REF!,0)),FALSE))</f>
        <v>#REF!</v>
      </c>
      <c r="M16" s="28" t="e">
        <f t="shared" si="4"/>
        <v>#REF!</v>
      </c>
      <c r="N16" s="28" t="e">
        <f t="shared" si="5"/>
        <v>#REF!</v>
      </c>
      <c r="O16" s="28" t="e">
        <f>Summary!$J$20*'R19'!N16*'R19'!H16</f>
        <v>#REF!</v>
      </c>
    </row>
    <row r="17" spans="2:15" ht="24" customHeight="1">
      <c r="B17" s="30">
        <f t="shared" si="0"/>
        <v>2034</v>
      </c>
      <c r="C17" s="28">
        <f t="shared" si="1"/>
        <v>112</v>
      </c>
      <c r="D17" s="28">
        <v>15</v>
      </c>
      <c r="E17" s="28">
        <f>VLOOKUP(C:C, 'Total Data Set'!B:J, IF(Summary!$F$20="M", 4, 8), FALSE)</f>
        <v>0.49313699999999999</v>
      </c>
      <c r="F17" s="28">
        <f t="shared" si="2"/>
        <v>0.50686300000000006</v>
      </c>
      <c r="G17" s="28">
        <f t="shared" si="3"/>
        <v>1.3861217197185776E-3</v>
      </c>
      <c r="H17" s="28">
        <f>1/(1+Summary!$O$3)^D17</f>
        <v>0.48101709809097021</v>
      </c>
      <c r="I17" s="28">
        <f>Summary!$J$20*'R19'!H17*'R19'!G17</f>
        <v>16.658704956789087</v>
      </c>
      <c r="L17" s="28" t="e">
        <f>IF(Summary!$F$20="M",VLOOKUP(C:C,#REF!,IF(B17&gt;2033,22,MATCH(B17,#REF!,0)),FALSE),VLOOKUP(C:C,#REF!,IF(B17&gt;2033,22,MATCH(B17,#REF!,0)),FALSE))</f>
        <v>#REF!</v>
      </c>
      <c r="M17" s="28" t="e">
        <f t="shared" si="4"/>
        <v>#REF!</v>
      </c>
      <c r="N17" s="28" t="e">
        <f t="shared" si="5"/>
        <v>#REF!</v>
      </c>
      <c r="O17" s="28" t="e">
        <f>Summary!$J$20*'R19'!N17*'R19'!H17</f>
        <v>#REF!</v>
      </c>
    </row>
    <row r="18" spans="2:15" ht="24" customHeight="1">
      <c r="B18" s="30">
        <f t="shared" si="0"/>
        <v>2035</v>
      </c>
      <c r="C18" s="28">
        <f t="shared" si="1"/>
        <v>113</v>
      </c>
      <c r="D18" s="28">
        <v>16</v>
      </c>
      <c r="E18" s="28">
        <f>VLOOKUP(C:C, 'Total Data Set'!B:J, IF(Summary!$F$20="M", 4, 8), FALSE)</f>
        <v>0.5</v>
      </c>
      <c r="F18" s="28">
        <f t="shared" si="2"/>
        <v>0.5</v>
      </c>
      <c r="G18" s="28">
        <f t="shared" si="3"/>
        <v>7.0257381322171746E-4</v>
      </c>
      <c r="H18" s="28">
        <f>1/(1+Summary!$O$3)^D18</f>
        <v>0.45811152199140021</v>
      </c>
      <c r="I18" s="28">
        <f>Summary!$J$20*'R19'!H18*'R19'!G18</f>
        <v>8.0416011147742736</v>
      </c>
      <c r="L18" s="28" t="e">
        <f>IF(Summary!$F$20="M",VLOOKUP(C:C,#REF!,IF(B18&gt;2033,22,MATCH(B18,#REF!,0)),FALSE),VLOOKUP(C:C,#REF!,IF(B18&gt;2033,22,MATCH(B18,#REF!,0)),FALSE))</f>
        <v>#REF!</v>
      </c>
      <c r="M18" s="28" t="e">
        <f t="shared" si="4"/>
        <v>#REF!</v>
      </c>
      <c r="N18" s="28" t="e">
        <f t="shared" si="5"/>
        <v>#REF!</v>
      </c>
      <c r="O18" s="28" t="e">
        <f>Summary!$J$20*'R19'!N18*'R19'!H18</f>
        <v>#REF!</v>
      </c>
    </row>
    <row r="19" spans="2:15" ht="24" customHeight="1">
      <c r="B19" s="30">
        <f t="shared" si="0"/>
        <v>2036</v>
      </c>
      <c r="C19" s="28">
        <f t="shared" si="1"/>
        <v>114</v>
      </c>
      <c r="D19" s="28">
        <v>17</v>
      </c>
      <c r="E19" s="28">
        <f>VLOOKUP(C:C, 'Total Data Set'!B:J, IF(Summary!$F$20="M", 4, 8), FALSE)</f>
        <v>0.5</v>
      </c>
      <c r="F19" s="28">
        <f t="shared" si="2"/>
        <v>0.5</v>
      </c>
      <c r="G19" s="28">
        <f t="shared" si="3"/>
        <v>3.5128690661085873E-4</v>
      </c>
      <c r="H19" s="28">
        <f>1/(1+Summary!$O$3)^D19</f>
        <v>0.43629668761085727</v>
      </c>
      <c r="I19" s="28">
        <f>Summary!$J$20*'R19'!H19*'R19'!G19</f>
        <v>3.8293338641782251</v>
      </c>
      <c r="L19" s="28" t="e">
        <f>IF(Summary!$F$20="M",VLOOKUP(C:C,#REF!,IF(B19&gt;2033,22,MATCH(B19,#REF!,0)),FALSE),VLOOKUP(C:C,#REF!,IF(B19&gt;2033,22,MATCH(B19,#REF!,0)),FALSE))</f>
        <v>#REF!</v>
      </c>
      <c r="M19" s="28" t="e">
        <f t="shared" si="4"/>
        <v>#REF!</v>
      </c>
      <c r="N19" s="28" t="e">
        <f t="shared" si="5"/>
        <v>#REF!</v>
      </c>
      <c r="O19" s="28" t="e">
        <f>Summary!$J$20*'R19'!N19*'R19'!H19</f>
        <v>#REF!</v>
      </c>
    </row>
    <row r="20" spans="2:15" ht="24" customHeight="1">
      <c r="B20" s="30">
        <f t="shared" si="0"/>
        <v>2037</v>
      </c>
      <c r="C20" s="28">
        <f t="shared" si="1"/>
        <v>115</v>
      </c>
      <c r="D20" s="28">
        <v>18</v>
      </c>
      <c r="E20" s="28">
        <f>VLOOKUP(C:C, 'Total Data Set'!B:J, IF(Summary!$F$20="M", 4, 8), FALSE)</f>
        <v>0.5</v>
      </c>
      <c r="F20" s="28">
        <f t="shared" si="2"/>
        <v>0.5</v>
      </c>
      <c r="G20" s="28">
        <f t="shared" si="3"/>
        <v>1.7564345330542937E-4</v>
      </c>
      <c r="H20" s="28">
        <f>1/(1+Summary!$O$3)^D20</f>
        <v>0.41552065486748313</v>
      </c>
      <c r="I20" s="28">
        <f>Summary!$J$20*'R19'!H20*'R19'!G20</f>
        <v>1.8234923162753451</v>
      </c>
      <c r="L20" s="28" t="e">
        <f>IF(Summary!$F$20="M",VLOOKUP(C:C,#REF!,IF(B20&gt;2033,22,MATCH(B20,#REF!,0)),FALSE),VLOOKUP(C:C,#REF!,IF(B20&gt;2033,22,MATCH(B20,#REF!,0)),FALSE))</f>
        <v>#REF!</v>
      </c>
      <c r="M20" s="28" t="e">
        <f t="shared" si="4"/>
        <v>#REF!</v>
      </c>
      <c r="N20" s="28" t="e">
        <f t="shared" si="5"/>
        <v>#REF!</v>
      </c>
      <c r="O20" s="28" t="e">
        <f>Summary!$J$20*'R19'!N20*'R19'!H20</f>
        <v>#REF!</v>
      </c>
    </row>
    <row r="21" spans="2:15" ht="24" customHeight="1">
      <c r="B21" s="30">
        <f t="shared" si="0"/>
        <v>2038</v>
      </c>
      <c r="C21" s="28">
        <f t="shared" si="1"/>
        <v>116</v>
      </c>
      <c r="D21" s="28">
        <v>19</v>
      </c>
      <c r="E21" s="28">
        <f>VLOOKUP(C:C, 'Total Data Set'!B:J, IF(Summary!$F$20="M", 4, 8), FALSE)</f>
        <v>0.5</v>
      </c>
      <c r="F21" s="28">
        <f t="shared" si="2"/>
        <v>0.5</v>
      </c>
      <c r="G21" s="28">
        <f t="shared" si="3"/>
        <v>8.7821726652714683E-5</v>
      </c>
      <c r="H21" s="28">
        <f>1/(1+Summary!$O$3)^D21</f>
        <v>0.39573395701665059</v>
      </c>
      <c r="I21" s="28">
        <f>Summary!$J$20*'R19'!H21*'R19'!G21</f>
        <v>0.86832967441683107</v>
      </c>
      <c r="L21" s="28" t="e">
        <f>IF(Summary!$F$20="M",VLOOKUP(C:C,#REF!,IF(B21&gt;2033,22,MATCH(B21,#REF!,0)),FALSE),VLOOKUP(C:C,#REF!,IF(B21&gt;2033,22,MATCH(B21,#REF!,0)),FALSE))</f>
        <v>#REF!</v>
      </c>
      <c r="M21" s="28" t="e">
        <f t="shared" si="4"/>
        <v>#REF!</v>
      </c>
      <c r="N21" s="28" t="e">
        <f t="shared" si="5"/>
        <v>#REF!</v>
      </c>
      <c r="O21" s="28" t="e">
        <f>Summary!$J$20*'R19'!N21*'R19'!H21</f>
        <v>#REF!</v>
      </c>
    </row>
    <row r="22" spans="2:15" ht="24" customHeight="1">
      <c r="B22" s="30">
        <f t="shared" si="0"/>
        <v>2039</v>
      </c>
      <c r="C22" s="28">
        <f t="shared" si="1"/>
        <v>117</v>
      </c>
      <c r="D22" s="28">
        <v>20</v>
      </c>
      <c r="E22" s="28">
        <f>VLOOKUP(C:C, 'Total Data Set'!B:J, IF(Summary!$F$20="M", 4, 8), FALSE)</f>
        <v>0.5</v>
      </c>
      <c r="F22" s="28">
        <f t="shared" si="2"/>
        <v>0.5</v>
      </c>
      <c r="G22" s="28">
        <f t="shared" si="3"/>
        <v>4.3910863326357341E-5</v>
      </c>
      <c r="H22" s="28">
        <f>1/(1+Summary!$O$3)^D22</f>
        <v>0.37688948287300061</v>
      </c>
      <c r="I22" s="28">
        <f>Summary!$J$20*'R19'!H22*'R19'!G22</f>
        <v>0.41349032115087198</v>
      </c>
      <c r="L22" s="28" t="e">
        <f>IF(Summary!$F$20="M",VLOOKUP(C:C,#REF!,IF(B22&gt;2033,22,MATCH(B22,#REF!,0)),FALSE),VLOOKUP(C:C,#REF!,IF(B22&gt;2033,22,MATCH(B22,#REF!,0)),FALSE))</f>
        <v>#REF!</v>
      </c>
      <c r="M22" s="28" t="e">
        <f t="shared" si="4"/>
        <v>#REF!</v>
      </c>
      <c r="N22" s="28" t="e">
        <f t="shared" si="5"/>
        <v>#REF!</v>
      </c>
      <c r="O22" s="28" t="e">
        <f>Summary!$J$20*'R19'!N22*'R19'!H22</f>
        <v>#REF!</v>
      </c>
    </row>
    <row r="23" spans="2:15" ht="24" customHeight="1">
      <c r="B23" s="30">
        <f t="shared" si="0"/>
        <v>2040</v>
      </c>
      <c r="C23" s="28">
        <f t="shared" si="1"/>
        <v>118</v>
      </c>
      <c r="D23" s="28">
        <v>21</v>
      </c>
      <c r="E23" s="28">
        <f>VLOOKUP(C:C, 'Total Data Set'!B:J, IF(Summary!$F$20="M", 4, 8), FALSE)</f>
        <v>0.5</v>
      </c>
      <c r="F23" s="28">
        <f t="shared" si="2"/>
        <v>0.5</v>
      </c>
      <c r="G23" s="28">
        <f t="shared" si="3"/>
        <v>2.1955431663178671E-5</v>
      </c>
      <c r="H23" s="28">
        <f>1/(1+Summary!$O$3)^D23</f>
        <v>0.35894236464095297</v>
      </c>
      <c r="I23" s="28">
        <f>Summary!$J$20*'R19'!H23*'R19'!G23</f>
        <v>0.19690015292898666</v>
      </c>
      <c r="L23" s="28" t="e">
        <f>IF(Summary!$F$20="M",VLOOKUP(C:C,#REF!,IF(B23&gt;2033,22,MATCH(B23,#REF!,0)),FALSE),VLOOKUP(C:C,#REF!,IF(B23&gt;2033,22,MATCH(B23,#REF!,0)),FALSE))</f>
        <v>#REF!</v>
      </c>
      <c r="M23" s="28" t="e">
        <f t="shared" si="4"/>
        <v>#REF!</v>
      </c>
      <c r="N23" s="28" t="e">
        <f t="shared" si="5"/>
        <v>#REF!</v>
      </c>
      <c r="O23" s="28" t="e">
        <f>Summary!$J$20*'R19'!N23*'R19'!H23</f>
        <v>#REF!</v>
      </c>
    </row>
    <row r="24" spans="2:15" ht="24" customHeight="1">
      <c r="B24" s="30">
        <f t="shared" si="0"/>
        <v>2041</v>
      </c>
      <c r="C24" s="28">
        <f t="shared" si="1"/>
        <v>119</v>
      </c>
      <c r="D24" s="28">
        <v>22</v>
      </c>
      <c r="E24" s="28">
        <f>VLOOKUP(C:C, 'Total Data Set'!B:J, IF(Summary!$F$20="M", 4, 8), FALSE)</f>
        <v>0.5</v>
      </c>
      <c r="F24" s="28">
        <f t="shared" si="2"/>
        <v>0.5</v>
      </c>
      <c r="G24" s="28">
        <f t="shared" si="3"/>
        <v>1.0977715831589335E-5</v>
      </c>
      <c r="H24" s="28">
        <f>1/(1+Summary!$O$3)^D24</f>
        <v>0.3418498710866219</v>
      </c>
      <c r="I24" s="28">
        <f>Summary!$J$20*'R19'!H24*'R19'!G24</f>
        <v>9.3761977585231762E-2</v>
      </c>
      <c r="L24" s="28" t="e">
        <f>IF(Summary!$F$20="M",VLOOKUP(C:C,#REF!,IF(B24&gt;2033,22,MATCH(B24,#REF!,0)),FALSE),VLOOKUP(C:C,#REF!,IF(B24&gt;2033,22,MATCH(B24,#REF!,0)),FALSE))</f>
        <v>#REF!</v>
      </c>
      <c r="M24" s="28" t="e">
        <f t="shared" si="4"/>
        <v>#REF!</v>
      </c>
      <c r="N24" s="28" t="e">
        <f t="shared" si="5"/>
        <v>#REF!</v>
      </c>
      <c r="O24" s="28" t="e">
        <f>Summary!$J$20*'R19'!N24*'R19'!H24</f>
        <v>#REF!</v>
      </c>
    </row>
    <row r="25" spans="2:15" ht="24" customHeight="1">
      <c r="B25" s="30">
        <f t="shared" si="0"/>
        <v>2042</v>
      </c>
      <c r="C25" s="28">
        <f t="shared" si="1"/>
        <v>120</v>
      </c>
      <c r="D25" s="28">
        <v>23</v>
      </c>
      <c r="E25" s="28">
        <f>VLOOKUP(C:C, 'Total Data Set'!B:J, IF(Summary!$F$20="M", 4, 8), FALSE)</f>
        <v>1</v>
      </c>
      <c r="F25" s="28">
        <f t="shared" si="2"/>
        <v>0</v>
      </c>
      <c r="G25" s="28">
        <f t="shared" si="3"/>
        <v>5.4888579157946677E-6</v>
      </c>
      <c r="H25" s="28">
        <f>1/(1+Summary!$O$3)^D25</f>
        <v>0.32557130579678267</v>
      </c>
      <c r="I25" s="28">
        <f>Summary!$J$20*'R19'!H25*'R19'!G25</f>
        <v>4.4648560754872252E-2</v>
      </c>
      <c r="L25" s="28" t="e">
        <f>IF(Summary!$F$20="M",VLOOKUP(C:C,#REF!,IF(B25&gt;2033,22,MATCH(B25,#REF!,0)),FALSE),VLOOKUP(C:C,#REF!,IF(B25&gt;2033,22,MATCH(B25,#REF!,0)),FALSE))</f>
        <v>#REF!</v>
      </c>
      <c r="M25" s="28" t="e">
        <f t="shared" si="4"/>
        <v>#REF!</v>
      </c>
      <c r="N25" s="28" t="e">
        <f t="shared" si="5"/>
        <v>#REF!</v>
      </c>
      <c r="O25" s="28" t="e">
        <f>Summary!$J$20*'R19'!N25*'R19'!H25</f>
        <v>#REF!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2"/>
  <sheetViews>
    <sheetView workbookViewId="0">
      <selection activeCell="A6" sqref="A6"/>
    </sheetView>
  </sheetViews>
  <sheetFormatPr defaultColWidth="18" defaultRowHeight="24" customHeight="1"/>
  <cols>
    <col min="1" max="6" width="18" style="28"/>
    <col min="7" max="7" width="23.7109375" style="28" customWidth="1"/>
    <col min="8" max="9" width="18" style="28"/>
    <col min="10" max="10" width="21.7109375" style="28" customWidth="1"/>
    <col min="11" max="16384" width="18" style="28"/>
  </cols>
  <sheetData>
    <row r="1" spans="1:16" ht="24" customHeight="1">
      <c r="A1" s="30" t="s">
        <v>69</v>
      </c>
      <c r="B1" s="30" t="s">
        <v>74</v>
      </c>
      <c r="C1" s="28" t="s">
        <v>28</v>
      </c>
      <c r="D1" s="28" t="s">
        <v>29</v>
      </c>
      <c r="E1" s="28" t="s">
        <v>30</v>
      </c>
      <c r="F1" s="28" t="s">
        <v>71</v>
      </c>
      <c r="G1" s="28" t="s">
        <v>72</v>
      </c>
      <c r="H1" s="28" t="s">
        <v>31</v>
      </c>
      <c r="I1" s="28" t="s">
        <v>32</v>
      </c>
      <c r="J1" s="28" t="s">
        <v>33</v>
      </c>
      <c r="L1" s="39" t="s">
        <v>82</v>
      </c>
      <c r="M1" s="39" t="s">
        <v>77</v>
      </c>
      <c r="N1" s="39" t="s">
        <v>78</v>
      </c>
      <c r="O1" s="39" t="s">
        <v>79</v>
      </c>
      <c r="P1" s="39" t="s">
        <v>80</v>
      </c>
    </row>
    <row r="2" spans="1:16" ht="24" customHeight="1">
      <c r="A2" s="31">
        <v>43647</v>
      </c>
      <c r="B2" s="30">
        <f>YEAR(A2)</f>
        <v>2019</v>
      </c>
      <c r="C2" s="28">
        <f>$A$4+D2</f>
        <v>100</v>
      </c>
      <c r="D2" s="28">
        <v>0</v>
      </c>
      <c r="E2" s="28">
        <f>VLOOKUP(C:C, 'Total Data Set'!B:J, IF(Summary!$F$21="M", 4, 8), FALSE)</f>
        <v>0.27085799999999999</v>
      </c>
      <c r="F2" s="28">
        <f>1-E2</f>
        <v>0.72914199999999996</v>
      </c>
      <c r="G2" s="28">
        <v>1</v>
      </c>
      <c r="H2" s="28">
        <f>1/(1+Summary!$O$3)^D2</f>
        <v>1</v>
      </c>
      <c r="I2" s="28">
        <f>Summary!$J$21*'R20'!H2*'R20'!G2</f>
        <v>46135</v>
      </c>
      <c r="J2" s="28">
        <f>SUM(I2:I23)</f>
        <v>136129.44042222036</v>
      </c>
      <c r="L2" s="28" t="e">
        <f>IF(Summary!$F$21="M",VLOOKUP(C:C,#REF!,IF(B2&gt;2033,22,MATCH(B2,#REF!,0)),FALSE),VLOOKUP(C:C,#REF!,IF(B2&gt;2033,22,MATCH(B2,#REF!,0)),FALSE))</f>
        <v>#REF!</v>
      </c>
      <c r="M2" s="28" t="e">
        <f>1-L2</f>
        <v>#REF!</v>
      </c>
      <c r="N2" s="28">
        <v>1</v>
      </c>
      <c r="O2" s="28">
        <f>Summary!$J$21*'R20'!N2*'R20'!H2</f>
        <v>46135</v>
      </c>
      <c r="P2" s="28" t="e">
        <f>SUM(O2:O22)</f>
        <v>#REF!</v>
      </c>
    </row>
    <row r="3" spans="1:16" ht="24" customHeight="1">
      <c r="A3" s="28" t="s">
        <v>34</v>
      </c>
      <c r="B3" s="30">
        <f>$B2+1</f>
        <v>2020</v>
      </c>
      <c r="C3" s="28">
        <f>$A$4+D3</f>
        <v>101</v>
      </c>
      <c r="D3" s="28">
        <v>1</v>
      </c>
      <c r="E3" s="28">
        <f>VLOOKUP(C:C, 'Total Data Set'!B:J, IF(Summary!$F$21="M", 4, 8), FALSE)</f>
        <v>0.29104000000000002</v>
      </c>
      <c r="F3" s="28">
        <f>1-E3</f>
        <v>0.70896000000000003</v>
      </c>
      <c r="G3" s="28">
        <f>F2</f>
        <v>0.72914199999999996</v>
      </c>
      <c r="H3" s="28">
        <f>1/(1+Summary!$O$3)^D3</f>
        <v>0.95238095238095233</v>
      </c>
      <c r="I3" s="28">
        <f>Summary!$J$21*'R20'!H3*'R20'!G3</f>
        <v>32037.110638095237</v>
      </c>
      <c r="L3" s="28" t="e">
        <f>IF(Summary!$F$21="M",VLOOKUP(C:C,#REF!,IF(B3&gt;2033,22,MATCH(B3,#REF!,0)),FALSE),VLOOKUP(C:C,#REF!,IF(B3&gt;2033,22,MATCH(B3,#REF!,0)),FALSE))</f>
        <v>#REF!</v>
      </c>
      <c r="M3" s="28" t="e">
        <f>1-L3</f>
        <v>#REF!</v>
      </c>
      <c r="N3" s="28" t="e">
        <f>N2*M2</f>
        <v>#REF!</v>
      </c>
      <c r="O3" s="28" t="e">
        <f>Summary!$J$21*'R20'!N3*'R20'!H3</f>
        <v>#REF!</v>
      </c>
    </row>
    <row r="4" spans="1:16" ht="24" customHeight="1">
      <c r="A4" s="28">
        <f>Summary!I21</f>
        <v>100</v>
      </c>
      <c r="B4" s="30">
        <f t="shared" ref="B4:B22" si="0">$B3+1</f>
        <v>2021</v>
      </c>
      <c r="C4" s="28">
        <f t="shared" ref="C4:C21" si="1">$A$4+D4</f>
        <v>102</v>
      </c>
      <c r="D4" s="28">
        <v>2</v>
      </c>
      <c r="E4" s="28">
        <f>VLOOKUP(C:C, 'Total Data Set'!B:J, IF(Summary!$F$21="M", 4, 8), FALSE)</f>
        <v>0.311444</v>
      </c>
      <c r="F4" s="28">
        <f t="shared" ref="F4:F21" si="2">1-E4</f>
        <v>0.68855599999999995</v>
      </c>
      <c r="G4" s="28">
        <f t="shared" ref="G4:G22" si="3">G3*F3</f>
        <v>0.51693251232000004</v>
      </c>
      <c r="H4" s="28">
        <f>1/(1+Summary!$O$3)^D4</f>
        <v>0.90702947845804982</v>
      </c>
      <c r="I4" s="28">
        <f>Summary!$J$21*'R20'!H4*'R20'!G4</f>
        <v>21631.457102841905</v>
      </c>
      <c r="L4" s="28" t="e">
        <f>IF(Summary!$F$21="M",VLOOKUP(C:C,#REF!,IF(B4&gt;2033,22,MATCH(B4,#REF!,0)),FALSE),VLOOKUP(C:C,#REF!,IF(B4&gt;2033,22,MATCH(B4,#REF!,0)),FALSE))</f>
        <v>#REF!</v>
      </c>
      <c r="M4" s="28" t="e">
        <f t="shared" ref="M4:M22" si="4">1-L4</f>
        <v>#REF!</v>
      </c>
      <c r="N4" s="28" t="e">
        <f t="shared" ref="N4:N22" si="5">N3*M3</f>
        <v>#REF!</v>
      </c>
      <c r="O4" s="28" t="e">
        <f>Summary!$J$21*'R20'!N4*'R20'!H4</f>
        <v>#REF!</v>
      </c>
    </row>
    <row r="5" spans="1:16" ht="24" customHeight="1">
      <c r="B5" s="30">
        <f t="shared" si="0"/>
        <v>2022</v>
      </c>
      <c r="C5" s="28">
        <f t="shared" si="1"/>
        <v>103</v>
      </c>
      <c r="D5" s="28">
        <v>3</v>
      </c>
      <c r="E5" s="28">
        <f>VLOOKUP(C:C, 'Total Data Set'!B:J, IF(Summary!$F$21="M", 4, 8), FALSE)</f>
        <v>0.33189999999999997</v>
      </c>
      <c r="F5" s="28">
        <f t="shared" si="2"/>
        <v>0.66810000000000003</v>
      </c>
      <c r="G5" s="28">
        <f t="shared" si="3"/>
        <v>0.35593698295300991</v>
      </c>
      <c r="H5" s="28">
        <f>1/(1+Summary!$O$3)^D5</f>
        <v>0.86383759853147601</v>
      </c>
      <c r="I5" s="28">
        <f>Summary!$J$21*'R20'!H5*'R20'!G5</f>
        <v>14185.209120861342</v>
      </c>
      <c r="L5" s="28" t="e">
        <f>IF(Summary!$F$21="M",VLOOKUP(C:C,#REF!,IF(B5&gt;2033,22,MATCH(B5,#REF!,0)),FALSE),VLOOKUP(C:C,#REF!,IF(B5&gt;2033,22,MATCH(B5,#REF!,0)),FALSE))</f>
        <v>#REF!</v>
      </c>
      <c r="M5" s="28" t="e">
        <f t="shared" si="4"/>
        <v>#REF!</v>
      </c>
      <c r="N5" s="28" t="e">
        <f t="shared" si="5"/>
        <v>#REF!</v>
      </c>
      <c r="O5" s="28" t="e">
        <f>Summary!$J$21*'R20'!N5*'R20'!H5</f>
        <v>#REF!</v>
      </c>
    </row>
    <row r="6" spans="1:16" ht="24" customHeight="1">
      <c r="B6" s="30">
        <f t="shared" si="0"/>
        <v>2023</v>
      </c>
      <c r="C6" s="28">
        <f t="shared" si="1"/>
        <v>104</v>
      </c>
      <c r="D6" s="28">
        <v>4</v>
      </c>
      <c r="E6" s="28">
        <f>VLOOKUP(C:C, 'Total Data Set'!B:J, IF(Summary!$F$21="M", 4, 8), FALSE)</f>
        <v>0.35223199999999999</v>
      </c>
      <c r="F6" s="28">
        <f t="shared" si="2"/>
        <v>0.64776800000000001</v>
      </c>
      <c r="G6" s="28">
        <f t="shared" si="3"/>
        <v>0.23780149831090594</v>
      </c>
      <c r="H6" s="28">
        <f>1/(1+Summary!$O$3)^D6</f>
        <v>0.82270247479188197</v>
      </c>
      <c r="I6" s="28">
        <f>Summary!$J$21*'R20'!H6*'R20'!G6</f>
        <v>9025.8459177594905</v>
      </c>
      <c r="L6" s="28" t="e">
        <f>IF(Summary!$F$21="M",VLOOKUP(C:C,#REF!,IF(B6&gt;2033,22,MATCH(B6,#REF!,0)),FALSE),VLOOKUP(C:C,#REF!,IF(B6&gt;2033,22,MATCH(B6,#REF!,0)),FALSE))</f>
        <v>#REF!</v>
      </c>
      <c r="M6" s="28" t="e">
        <f t="shared" si="4"/>
        <v>#REF!</v>
      </c>
      <c r="N6" s="28" t="e">
        <f t="shared" si="5"/>
        <v>#REF!</v>
      </c>
      <c r="O6" s="28" t="e">
        <f>Summary!$J$21*'R20'!N6*'R20'!H6</f>
        <v>#REF!</v>
      </c>
    </row>
    <row r="7" spans="1:16" ht="24" customHeight="1">
      <c r="B7" s="30">
        <f t="shared" si="0"/>
        <v>2024</v>
      </c>
      <c r="C7" s="28">
        <f t="shared" si="1"/>
        <v>105</v>
      </c>
      <c r="D7" s="28">
        <v>5</v>
      </c>
      <c r="E7" s="28">
        <f>VLOOKUP(C:C, 'Total Data Set'!B:J, IF(Summary!$F$21="M", 4, 8), FALSE)</f>
        <v>0.37227300000000002</v>
      </c>
      <c r="F7" s="28">
        <f t="shared" si="2"/>
        <v>0.62772699999999992</v>
      </c>
      <c r="G7" s="28">
        <f t="shared" si="3"/>
        <v>0.15404020095785892</v>
      </c>
      <c r="H7" s="28">
        <f>1/(1+Summary!$O$3)^D7</f>
        <v>0.78352616646845896</v>
      </c>
      <c r="I7" s="28">
        <f>Summary!$J$21*'R20'!H7*'R20'!G7</f>
        <v>5568.2420556716461</v>
      </c>
      <c r="L7" s="28" t="e">
        <f>IF(Summary!$F$21="M",VLOOKUP(C:C,#REF!,IF(B7&gt;2033,22,MATCH(B7,#REF!,0)),FALSE),VLOOKUP(C:C,#REF!,IF(B7&gt;2033,22,MATCH(B7,#REF!,0)),FALSE))</f>
        <v>#REF!</v>
      </c>
      <c r="M7" s="28" t="e">
        <f t="shared" si="4"/>
        <v>#REF!</v>
      </c>
      <c r="N7" s="28" t="e">
        <f t="shared" si="5"/>
        <v>#REF!</v>
      </c>
      <c r="O7" s="28" t="e">
        <f>Summary!$J$21*'R20'!N7*'R20'!H7</f>
        <v>#REF!</v>
      </c>
    </row>
    <row r="8" spans="1:16" ht="24" customHeight="1">
      <c r="B8" s="30">
        <f t="shared" si="0"/>
        <v>2025</v>
      </c>
      <c r="C8" s="28">
        <f t="shared" si="1"/>
        <v>106</v>
      </c>
      <c r="D8" s="28">
        <v>6</v>
      </c>
      <c r="E8" s="28">
        <f>VLOOKUP(C:C, 'Total Data Set'!B:J, IF(Summary!$F$21="M", 4, 8), FALSE)</f>
        <v>0.39185999999999999</v>
      </c>
      <c r="F8" s="28">
        <f t="shared" si="2"/>
        <v>0.60814000000000001</v>
      </c>
      <c r="G8" s="28">
        <f t="shared" si="3"/>
        <v>9.6695193226673901E-2</v>
      </c>
      <c r="H8" s="28">
        <f>1/(1+Summary!$O$3)^D8</f>
        <v>0.74621539663662761</v>
      </c>
      <c r="I8" s="28">
        <f>Summary!$J$21*'R20'!H8*'R20'!G8</f>
        <v>3328.8913151243769</v>
      </c>
      <c r="L8" s="28" t="e">
        <f>IF(Summary!$F$21="M",VLOOKUP(C:C,#REF!,IF(B8&gt;2033,22,MATCH(B8,#REF!,0)),FALSE),VLOOKUP(C:C,#REF!,IF(B8&gt;2033,22,MATCH(B8,#REF!,0)),FALSE))</f>
        <v>#REF!</v>
      </c>
      <c r="M8" s="28" t="e">
        <f t="shared" si="4"/>
        <v>#REF!</v>
      </c>
      <c r="N8" s="28" t="e">
        <f t="shared" si="5"/>
        <v>#REF!</v>
      </c>
      <c r="O8" s="28" t="e">
        <f>Summary!$J$21*'R20'!N8*'R20'!H8</f>
        <v>#REF!</v>
      </c>
    </row>
    <row r="9" spans="1:16" ht="24" customHeight="1">
      <c r="B9" s="30">
        <f t="shared" si="0"/>
        <v>2026</v>
      </c>
      <c r="C9" s="28">
        <f t="shared" si="1"/>
        <v>107</v>
      </c>
      <c r="D9" s="28">
        <v>7</v>
      </c>
      <c r="E9" s="28">
        <f>VLOOKUP(C:C, 'Total Data Set'!B:J, IF(Summary!$F$21="M", 4, 8), FALSE)</f>
        <v>0.41084900000000002</v>
      </c>
      <c r="F9" s="28">
        <f t="shared" si="2"/>
        <v>0.58915099999999998</v>
      </c>
      <c r="G9" s="28">
        <f t="shared" si="3"/>
        <v>5.8804214808869465E-2</v>
      </c>
      <c r="H9" s="28">
        <f>1/(1+Summary!$O$3)^D9</f>
        <v>0.71068133013012147</v>
      </c>
      <c r="I9" s="28">
        <f>Summary!$J$21*'R20'!H9*'R20'!G9</f>
        <v>1928.0304422664174</v>
      </c>
      <c r="L9" s="28" t="e">
        <f>IF(Summary!$F$21="M",VLOOKUP(C:C,#REF!,IF(B9&gt;2033,22,MATCH(B9,#REF!,0)),FALSE),VLOOKUP(C:C,#REF!,IF(B9&gt;2033,22,MATCH(B9,#REF!,0)),FALSE))</f>
        <v>#REF!</v>
      </c>
      <c r="M9" s="28" t="e">
        <f t="shared" si="4"/>
        <v>#REF!</v>
      </c>
      <c r="N9" s="28" t="e">
        <f t="shared" si="5"/>
        <v>#REF!</v>
      </c>
      <c r="O9" s="28" t="e">
        <f>Summary!$J$21*'R20'!N9*'R20'!H9</f>
        <v>#REF!</v>
      </c>
    </row>
    <row r="10" spans="1:16" ht="24" customHeight="1">
      <c r="B10" s="30">
        <f t="shared" si="0"/>
        <v>2027</v>
      </c>
      <c r="C10" s="28">
        <f t="shared" si="1"/>
        <v>108</v>
      </c>
      <c r="D10" s="28">
        <v>8</v>
      </c>
      <c r="E10" s="28">
        <f>VLOOKUP(C:C, 'Total Data Set'!B:J, IF(Summary!$F$21="M", 4, 8), FALSE)</f>
        <v>0.42911199999999999</v>
      </c>
      <c r="F10" s="28">
        <f t="shared" si="2"/>
        <v>0.57088800000000006</v>
      </c>
      <c r="G10" s="28">
        <f t="shared" si="3"/>
        <v>3.4644561958860252E-2</v>
      </c>
      <c r="H10" s="28">
        <f>1/(1+Summary!$O$3)^D10</f>
        <v>0.67683936202868722</v>
      </c>
      <c r="I10" s="28">
        <f>Summary!$J$21*'R20'!H10*'R20'!G10</f>
        <v>1081.8105362778117</v>
      </c>
      <c r="L10" s="28" t="e">
        <f>IF(Summary!$F$21="M",VLOOKUP(C:C,#REF!,IF(B10&gt;2033,22,MATCH(B10,#REF!,0)),FALSE),VLOOKUP(C:C,#REF!,IF(B10&gt;2033,22,MATCH(B10,#REF!,0)),FALSE))</f>
        <v>#REF!</v>
      </c>
      <c r="M10" s="28" t="e">
        <f t="shared" si="4"/>
        <v>#REF!</v>
      </c>
      <c r="N10" s="28" t="e">
        <f t="shared" si="5"/>
        <v>#REF!</v>
      </c>
      <c r="O10" s="28" t="e">
        <f>Summary!$J$21*'R20'!N10*'R20'!H10</f>
        <v>#REF!</v>
      </c>
    </row>
    <row r="11" spans="1:16" ht="24" customHeight="1">
      <c r="B11" s="30">
        <f t="shared" si="0"/>
        <v>2028</v>
      </c>
      <c r="C11" s="28">
        <f t="shared" si="1"/>
        <v>109</v>
      </c>
      <c r="D11" s="28">
        <v>9</v>
      </c>
      <c r="E11" s="28">
        <f>VLOOKUP(C:C, 'Total Data Set'!B:J, IF(Summary!$F$21="M", 4, 8), FALSE)</f>
        <v>0.446544</v>
      </c>
      <c r="F11" s="28">
        <f t="shared" si="2"/>
        <v>0.55345599999999995</v>
      </c>
      <c r="G11" s="28">
        <f t="shared" si="3"/>
        <v>1.9778164687569814E-2</v>
      </c>
      <c r="H11" s="28">
        <f>1/(1+Summary!$O$3)^D11</f>
        <v>0.64460891621779726</v>
      </c>
      <c r="I11" s="28">
        <f>Summary!$J$21*'R20'!H11*'R20'!G11</f>
        <v>588.18347946149265</v>
      </c>
      <c r="L11" s="28" t="e">
        <f>IF(Summary!$F$21="M",VLOOKUP(C:C,#REF!,IF(B11&gt;2033,22,MATCH(B11,#REF!,0)),FALSE),VLOOKUP(C:C,#REF!,IF(B11&gt;2033,22,MATCH(B11,#REF!,0)),FALSE))</f>
        <v>#REF!</v>
      </c>
      <c r="M11" s="28" t="e">
        <f t="shared" si="4"/>
        <v>#REF!</v>
      </c>
      <c r="N11" s="28" t="e">
        <f t="shared" si="5"/>
        <v>#REF!</v>
      </c>
      <c r="O11" s="28" t="e">
        <f>Summary!$J$21*'R20'!N11*'R20'!H11</f>
        <v>#REF!</v>
      </c>
    </row>
    <row r="12" spans="1:16" ht="24" customHeight="1">
      <c r="B12" s="30">
        <f t="shared" si="0"/>
        <v>2029</v>
      </c>
      <c r="C12" s="28">
        <f t="shared" si="1"/>
        <v>110</v>
      </c>
      <c r="D12" s="28">
        <v>10</v>
      </c>
      <c r="E12" s="28">
        <f>VLOOKUP(C:C, 'Total Data Set'!B:J, IF(Summary!$F$21="M", 4, 8), FALSE)</f>
        <v>0.463061</v>
      </c>
      <c r="F12" s="28">
        <f t="shared" si="2"/>
        <v>0.53693900000000006</v>
      </c>
      <c r="G12" s="28">
        <f t="shared" si="3"/>
        <v>1.0946343915323639E-2</v>
      </c>
      <c r="H12" s="28">
        <f>1/(1+Summary!$O$3)^D12</f>
        <v>0.61391325354075932</v>
      </c>
      <c r="I12" s="28">
        <f>Summary!$J$21*'R20'!H12*'R20'!G12</f>
        <v>310.03207219889509</v>
      </c>
      <c r="L12" s="28" t="e">
        <f>IF(Summary!$F$21="M",VLOOKUP(C:C,#REF!,IF(B12&gt;2033,22,MATCH(B12,#REF!,0)),FALSE),VLOOKUP(C:C,#REF!,IF(B12&gt;2033,22,MATCH(B12,#REF!,0)),FALSE))</f>
        <v>#REF!</v>
      </c>
      <c r="M12" s="28" t="e">
        <f t="shared" si="4"/>
        <v>#REF!</v>
      </c>
      <c r="N12" s="28" t="e">
        <f t="shared" si="5"/>
        <v>#REF!</v>
      </c>
      <c r="O12" s="28" t="e">
        <f>Summary!$J$21*'R20'!N12*'R20'!H12</f>
        <v>#REF!</v>
      </c>
    </row>
    <row r="13" spans="1:16" ht="24" customHeight="1">
      <c r="B13" s="30">
        <f t="shared" si="0"/>
        <v>2030</v>
      </c>
      <c r="C13" s="28">
        <f t="shared" si="1"/>
        <v>111</v>
      </c>
      <c r="D13" s="28">
        <v>11</v>
      </c>
      <c r="E13" s="28">
        <f>VLOOKUP(C:C, 'Total Data Set'!B:J, IF(Summary!$F$21="M", 4, 8), FALSE)</f>
        <v>0.47860399999999997</v>
      </c>
      <c r="F13" s="28">
        <f t="shared" si="2"/>
        <v>0.52139599999999997</v>
      </c>
      <c r="G13" s="28">
        <f t="shared" si="3"/>
        <v>5.8775189555499603E-3</v>
      </c>
      <c r="H13" s="28">
        <f>1/(1+Summary!$O$3)^D13</f>
        <v>0.5846792890864374</v>
      </c>
      <c r="I13" s="28">
        <f>Summary!$J$21*'R20'!H13*'R20'!G13</f>
        <v>158.54124839466911</v>
      </c>
      <c r="L13" s="28" t="e">
        <f>IF(Summary!$F$21="M",VLOOKUP(C:C,#REF!,IF(B13&gt;2033,22,MATCH(B13,#REF!,0)),FALSE),VLOOKUP(C:C,#REF!,IF(B13&gt;2033,22,MATCH(B13,#REF!,0)),FALSE))</f>
        <v>#REF!</v>
      </c>
      <c r="M13" s="28" t="e">
        <f t="shared" si="4"/>
        <v>#REF!</v>
      </c>
      <c r="N13" s="28" t="e">
        <f t="shared" si="5"/>
        <v>#REF!</v>
      </c>
      <c r="O13" s="28" t="e">
        <f>Summary!$J$21*'R20'!N13*'R20'!H13</f>
        <v>#REF!</v>
      </c>
    </row>
    <row r="14" spans="1:16" ht="24" customHeight="1">
      <c r="B14" s="30">
        <f t="shared" si="0"/>
        <v>2031</v>
      </c>
      <c r="C14" s="28">
        <f t="shared" si="1"/>
        <v>112</v>
      </c>
      <c r="D14" s="28">
        <v>12</v>
      </c>
      <c r="E14" s="28">
        <f>VLOOKUP(C:C, 'Total Data Set'!B:J, IF(Summary!$F$21="M", 4, 8), FALSE)</f>
        <v>0.49313699999999999</v>
      </c>
      <c r="F14" s="28">
        <f t="shared" si="2"/>
        <v>0.50686300000000006</v>
      </c>
      <c r="G14" s="28">
        <f t="shared" si="3"/>
        <v>3.0645148733479269E-3</v>
      </c>
      <c r="H14" s="28">
        <f>1/(1+Summary!$O$3)^D14</f>
        <v>0.5568374181775595</v>
      </c>
      <c r="I14" s="28">
        <f>Summary!$J$21*'R20'!H14*'R20'!G14</f>
        <v>78.726450236177996</v>
      </c>
      <c r="L14" s="28" t="e">
        <f>IF(Summary!$F$21="M",VLOOKUP(C:C,#REF!,IF(B14&gt;2033,22,MATCH(B14,#REF!,0)),FALSE),VLOOKUP(C:C,#REF!,IF(B14&gt;2033,22,MATCH(B14,#REF!,0)),FALSE))</f>
        <v>#REF!</v>
      </c>
      <c r="M14" s="28" t="e">
        <f t="shared" si="4"/>
        <v>#REF!</v>
      </c>
      <c r="N14" s="28" t="e">
        <f t="shared" si="5"/>
        <v>#REF!</v>
      </c>
      <c r="O14" s="28" t="e">
        <f>Summary!$J$21*'R20'!N14*'R20'!H14</f>
        <v>#REF!</v>
      </c>
    </row>
    <row r="15" spans="1:16" ht="24" customHeight="1">
      <c r="B15" s="30">
        <f t="shared" si="0"/>
        <v>2032</v>
      </c>
      <c r="C15" s="28">
        <f t="shared" si="1"/>
        <v>113</v>
      </c>
      <c r="D15" s="28">
        <v>13</v>
      </c>
      <c r="E15" s="28">
        <f>VLOOKUP(C:C, 'Total Data Set'!B:J, IF(Summary!$F$21="M", 4, 8), FALSE)</f>
        <v>0.5</v>
      </c>
      <c r="F15" s="28">
        <f t="shared" si="2"/>
        <v>0.5</v>
      </c>
      <c r="G15" s="28">
        <f t="shared" si="3"/>
        <v>1.5532892022497504E-3</v>
      </c>
      <c r="H15" s="28">
        <f>1/(1+Summary!$O$3)^D15</f>
        <v>0.53032135064529462</v>
      </c>
      <c r="I15" s="28">
        <f>Summary!$J$21*'R20'!H15*'R20'!G15</f>
        <v>38.003356901009411</v>
      </c>
      <c r="L15" s="28" t="e">
        <f>IF(Summary!$F$21="M",VLOOKUP(C:C,#REF!,IF(B15&gt;2033,22,MATCH(B15,#REF!,0)),FALSE),VLOOKUP(C:C,#REF!,IF(B15&gt;2033,22,MATCH(B15,#REF!,0)),FALSE))</f>
        <v>#REF!</v>
      </c>
      <c r="M15" s="28" t="e">
        <f t="shared" si="4"/>
        <v>#REF!</v>
      </c>
      <c r="N15" s="28" t="e">
        <f t="shared" si="5"/>
        <v>#REF!</v>
      </c>
      <c r="O15" s="28" t="e">
        <f>Summary!$J$21*'R20'!N15*'R20'!H15</f>
        <v>#REF!</v>
      </c>
    </row>
    <row r="16" spans="1:16" ht="24" customHeight="1">
      <c r="B16" s="30">
        <f t="shared" si="0"/>
        <v>2033</v>
      </c>
      <c r="C16" s="28">
        <f t="shared" si="1"/>
        <v>114</v>
      </c>
      <c r="D16" s="28">
        <v>14</v>
      </c>
      <c r="E16" s="28">
        <f>VLOOKUP(C:C, 'Total Data Set'!B:J, IF(Summary!$F$21="M", 4, 8), FALSE)</f>
        <v>0.5</v>
      </c>
      <c r="F16" s="28">
        <f t="shared" si="2"/>
        <v>0.5</v>
      </c>
      <c r="G16" s="28">
        <f t="shared" si="3"/>
        <v>7.7664460112487519E-4</v>
      </c>
      <c r="H16" s="28">
        <f>1/(1+Summary!$O$3)^D16</f>
        <v>0.50506795299551888</v>
      </c>
      <c r="I16" s="28">
        <f>Summary!$J$21*'R20'!H16*'R20'!G16</f>
        <v>18.096836619528297</v>
      </c>
      <c r="L16" s="28" t="e">
        <f>IF(Summary!$F$21="M",VLOOKUP(C:C,#REF!,IF(B16&gt;2033,22,MATCH(B16,#REF!,0)),FALSE),VLOOKUP(C:C,#REF!,IF(B16&gt;2033,22,MATCH(B16,#REF!,0)),FALSE))</f>
        <v>#REF!</v>
      </c>
      <c r="M16" s="28" t="e">
        <f t="shared" si="4"/>
        <v>#REF!</v>
      </c>
      <c r="N16" s="28" t="e">
        <f t="shared" si="5"/>
        <v>#REF!</v>
      </c>
      <c r="O16" s="28" t="e">
        <f>Summary!$J$21*'R20'!N16*'R20'!H16</f>
        <v>#REF!</v>
      </c>
    </row>
    <row r="17" spans="2:15" ht="24" customHeight="1">
      <c r="B17" s="30">
        <f t="shared" si="0"/>
        <v>2034</v>
      </c>
      <c r="C17" s="28">
        <f t="shared" si="1"/>
        <v>115</v>
      </c>
      <c r="D17" s="28">
        <v>15</v>
      </c>
      <c r="E17" s="28">
        <f>VLOOKUP(C:C, 'Total Data Set'!B:J, IF(Summary!$F$21="M", 4, 8), FALSE)</f>
        <v>0.5</v>
      </c>
      <c r="F17" s="28">
        <f t="shared" si="2"/>
        <v>0.5</v>
      </c>
      <c r="G17" s="28">
        <f t="shared" si="3"/>
        <v>3.883223005624376E-4</v>
      </c>
      <c r="H17" s="28">
        <f>1/(1+Summary!$O$3)^D17</f>
        <v>0.48101709809097021</v>
      </c>
      <c r="I17" s="28">
        <f>Summary!$J$21*'R20'!H17*'R20'!G17</f>
        <v>8.6175412473944242</v>
      </c>
      <c r="L17" s="28" t="e">
        <f>IF(Summary!$F$21="M",VLOOKUP(C:C,#REF!,IF(B17&gt;2033,22,MATCH(B17,#REF!,0)),FALSE),VLOOKUP(C:C,#REF!,IF(B17&gt;2033,22,MATCH(B17,#REF!,0)),FALSE))</f>
        <v>#REF!</v>
      </c>
      <c r="M17" s="28" t="e">
        <f t="shared" si="4"/>
        <v>#REF!</v>
      </c>
      <c r="N17" s="28" t="e">
        <f t="shared" si="5"/>
        <v>#REF!</v>
      </c>
      <c r="O17" s="28" t="e">
        <f>Summary!$J$21*'R20'!N17*'R20'!H17</f>
        <v>#REF!</v>
      </c>
    </row>
    <row r="18" spans="2:15" ht="24" customHeight="1">
      <c r="B18" s="30">
        <f t="shared" si="0"/>
        <v>2035</v>
      </c>
      <c r="C18" s="28">
        <f t="shared" si="1"/>
        <v>116</v>
      </c>
      <c r="D18" s="28">
        <v>16</v>
      </c>
      <c r="E18" s="28">
        <f>VLOOKUP(C:C, 'Total Data Set'!B:J, IF(Summary!$F$21="M", 4, 8), FALSE)</f>
        <v>0.5</v>
      </c>
      <c r="F18" s="28">
        <f t="shared" si="2"/>
        <v>0.5</v>
      </c>
      <c r="G18" s="28">
        <f t="shared" si="3"/>
        <v>1.941611502812188E-4</v>
      </c>
      <c r="H18" s="28">
        <f>1/(1+Summary!$O$3)^D18</f>
        <v>0.45811152199140021</v>
      </c>
      <c r="I18" s="28">
        <f>Summary!$J$21*'R20'!H18*'R20'!G18</f>
        <v>4.1035910701878215</v>
      </c>
      <c r="L18" s="28" t="e">
        <f>IF(Summary!$F$21="M",VLOOKUP(C:C,#REF!,IF(B18&gt;2033,22,MATCH(B18,#REF!,0)),FALSE),VLOOKUP(C:C,#REF!,IF(B18&gt;2033,22,MATCH(B18,#REF!,0)),FALSE))</f>
        <v>#REF!</v>
      </c>
      <c r="M18" s="28" t="e">
        <f t="shared" si="4"/>
        <v>#REF!</v>
      </c>
      <c r="N18" s="28" t="e">
        <f t="shared" si="5"/>
        <v>#REF!</v>
      </c>
      <c r="O18" s="28" t="e">
        <f>Summary!$J$21*'R20'!N18*'R20'!H18</f>
        <v>#REF!</v>
      </c>
    </row>
    <row r="19" spans="2:15" ht="24" customHeight="1">
      <c r="B19" s="30">
        <f t="shared" si="0"/>
        <v>2036</v>
      </c>
      <c r="C19" s="28">
        <f t="shared" si="1"/>
        <v>117</v>
      </c>
      <c r="D19" s="28">
        <v>17</v>
      </c>
      <c r="E19" s="28">
        <f>VLOOKUP(C:C, 'Total Data Set'!B:J, IF(Summary!$F$21="M", 4, 8), FALSE)</f>
        <v>0.5</v>
      </c>
      <c r="F19" s="28">
        <f t="shared" si="2"/>
        <v>0.5</v>
      </c>
      <c r="G19" s="28">
        <f t="shared" si="3"/>
        <v>9.7080575140609399E-5</v>
      </c>
      <c r="H19" s="28">
        <f>1/(1+Summary!$O$3)^D19</f>
        <v>0.43629668761085727</v>
      </c>
      <c r="I19" s="28">
        <f>Summary!$J$21*'R20'!H19*'R20'!G19</f>
        <v>1.9540909858037241</v>
      </c>
      <c r="L19" s="28" t="e">
        <f>IF(Summary!$F$21="M",VLOOKUP(C:C,#REF!,IF(B19&gt;2033,22,MATCH(B19,#REF!,0)),FALSE),VLOOKUP(C:C,#REF!,IF(B19&gt;2033,22,MATCH(B19,#REF!,0)),FALSE))</f>
        <v>#REF!</v>
      </c>
      <c r="M19" s="28" t="e">
        <f t="shared" si="4"/>
        <v>#REF!</v>
      </c>
      <c r="N19" s="28" t="e">
        <f t="shared" si="5"/>
        <v>#REF!</v>
      </c>
      <c r="O19" s="28" t="e">
        <f>Summary!$J$21*'R20'!N19*'R20'!H19</f>
        <v>#REF!</v>
      </c>
    </row>
    <row r="20" spans="2:15" ht="24" customHeight="1">
      <c r="B20" s="30">
        <f t="shared" si="0"/>
        <v>2037</v>
      </c>
      <c r="C20" s="28">
        <f t="shared" si="1"/>
        <v>118</v>
      </c>
      <c r="D20" s="28">
        <v>18</v>
      </c>
      <c r="E20" s="28">
        <f>VLOOKUP(C:C, 'Total Data Set'!B:J, IF(Summary!$F$21="M", 4, 8), FALSE)</f>
        <v>0.5</v>
      </c>
      <c r="F20" s="28">
        <f t="shared" si="2"/>
        <v>0.5</v>
      </c>
      <c r="G20" s="28">
        <f t="shared" si="3"/>
        <v>4.8540287570304699E-5</v>
      </c>
      <c r="H20" s="28">
        <f>1/(1+Summary!$O$3)^D20</f>
        <v>0.41552065486748313</v>
      </c>
      <c r="I20" s="28">
        <f>Summary!$J$21*'R20'!H20*'R20'!G20</f>
        <v>0.93051951704939251</v>
      </c>
      <c r="L20" s="28" t="e">
        <f>IF(Summary!$F$21="M",VLOOKUP(C:C,#REF!,IF(B20&gt;2033,22,MATCH(B20,#REF!,0)),FALSE),VLOOKUP(C:C,#REF!,IF(B20&gt;2033,22,MATCH(B20,#REF!,0)),FALSE))</f>
        <v>#REF!</v>
      </c>
      <c r="M20" s="28" t="e">
        <f t="shared" si="4"/>
        <v>#REF!</v>
      </c>
      <c r="N20" s="28" t="e">
        <f t="shared" si="5"/>
        <v>#REF!</v>
      </c>
      <c r="O20" s="28" t="e">
        <f>Summary!$J$21*'R20'!N20*'R20'!H20</f>
        <v>#REF!</v>
      </c>
    </row>
    <row r="21" spans="2:15" ht="24" customHeight="1">
      <c r="B21" s="30">
        <f t="shared" si="0"/>
        <v>2038</v>
      </c>
      <c r="C21" s="28">
        <f t="shared" si="1"/>
        <v>119</v>
      </c>
      <c r="D21" s="28">
        <v>19</v>
      </c>
      <c r="E21" s="28">
        <f>VLOOKUP(C:C, 'Total Data Set'!B:J, IF(Summary!$F$21="M", 4, 8), FALSE)</f>
        <v>0.5</v>
      </c>
      <c r="F21" s="28">
        <f t="shared" si="2"/>
        <v>0.5</v>
      </c>
      <c r="G21" s="28">
        <f t="shared" si="3"/>
        <v>2.427014378515235E-5</v>
      </c>
      <c r="H21" s="28">
        <f>1/(1+Summary!$O$3)^D21</f>
        <v>0.39573395701665059</v>
      </c>
      <c r="I21" s="28">
        <f>Summary!$J$21*'R20'!H21*'R20'!G21</f>
        <v>0.44310453192828209</v>
      </c>
      <c r="L21" s="28" t="e">
        <f>IF(Summary!$F$21="M",VLOOKUP(C:C,#REF!,IF(B21&gt;2033,22,MATCH(B21,#REF!,0)),FALSE),VLOOKUP(C:C,#REF!,IF(B21&gt;2033,22,MATCH(B21,#REF!,0)),FALSE))</f>
        <v>#REF!</v>
      </c>
      <c r="M21" s="28" t="e">
        <f t="shared" si="4"/>
        <v>#REF!</v>
      </c>
      <c r="N21" s="28" t="e">
        <f t="shared" si="5"/>
        <v>#REF!</v>
      </c>
      <c r="O21" s="28" t="e">
        <f>Summary!$J$21*'R20'!N21*'R20'!H21</f>
        <v>#REF!</v>
      </c>
    </row>
    <row r="22" spans="2:15" ht="24" customHeight="1">
      <c r="B22" s="30">
        <f t="shared" si="0"/>
        <v>2039</v>
      </c>
      <c r="C22" s="28">
        <f>$A$4+D22</f>
        <v>120</v>
      </c>
      <c r="D22" s="28">
        <v>20</v>
      </c>
      <c r="E22" s="28">
        <f>VLOOKUP(C:C, 'Total Data Set'!B:J, IF(Summary!$F$21="M", 4, 8), FALSE)</f>
        <v>1</v>
      </c>
      <c r="F22" s="28">
        <f>1-E22</f>
        <v>0</v>
      </c>
      <c r="G22" s="28">
        <f t="shared" si="3"/>
        <v>1.2135071892576175E-5</v>
      </c>
      <c r="H22" s="28">
        <f>1/(1+Summary!$O$3)^D22</f>
        <v>0.37688948287300061</v>
      </c>
      <c r="I22" s="28">
        <f>Summary!$J$21*'R20'!H22*'R20'!G22</f>
        <v>0.21100215806108677</v>
      </c>
      <c r="L22" s="28" t="e">
        <f>IF(Summary!$F$21="M",VLOOKUP(C:C,#REF!,IF(B22&gt;2033,22,MATCH(B22,#REF!,0)),FALSE),VLOOKUP(C:C,#REF!,IF(B22&gt;2033,22,MATCH(B22,#REF!,0)),FALSE))</f>
        <v>#REF!</v>
      </c>
      <c r="M22" s="28" t="e">
        <f t="shared" si="4"/>
        <v>#REF!</v>
      </c>
      <c r="N22" s="28" t="e">
        <f t="shared" si="5"/>
        <v>#REF!</v>
      </c>
      <c r="O22" s="28" t="e">
        <f>Summary!$J$21*'R20'!N22*'R20'!H22</f>
        <v>#REF!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Summary</vt:lpstr>
      <vt:lpstr>Total Data Set</vt:lpstr>
      <vt:lpstr>post retirement male</vt:lpstr>
      <vt:lpstr>post retirement female</vt:lpstr>
      <vt:lpstr>R1</vt:lpstr>
      <vt:lpstr>R2</vt:lpstr>
      <vt:lpstr>R3</vt:lpstr>
      <vt:lpstr>R4</vt:lpstr>
      <vt:lpstr>R5</vt:lpstr>
      <vt:lpstr>R6</vt:lpstr>
      <vt:lpstr>R7</vt:lpstr>
      <vt:lpstr>R8</vt:lpstr>
      <vt:lpstr>R9</vt:lpstr>
      <vt:lpstr>R10</vt:lpstr>
      <vt:lpstr>R11</vt:lpstr>
      <vt:lpstr>R12</vt:lpstr>
      <vt:lpstr>R13</vt:lpstr>
      <vt:lpstr>R14</vt:lpstr>
      <vt:lpstr>R15</vt:lpstr>
      <vt:lpstr>R16</vt:lpstr>
      <vt:lpstr>R17</vt:lpstr>
      <vt:lpstr>R18</vt:lpstr>
      <vt:lpstr>R19</vt:lpstr>
      <vt:lpstr>R20</vt:lpstr>
      <vt:lpstr>qMale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裘小萍</dc:creator>
  <cp:lastModifiedBy>裘小萍</cp:lastModifiedBy>
  <dcterms:created xsi:type="dcterms:W3CDTF">2019-06-06T19:53:26Z</dcterms:created>
  <dcterms:modified xsi:type="dcterms:W3CDTF">2019-07-22T23:40:13Z</dcterms:modified>
</cp:coreProperties>
</file>